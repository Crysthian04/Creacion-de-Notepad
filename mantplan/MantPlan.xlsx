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PERFIL_HH" sheetId="9" state="visible" r:id="rId9"/>
    <sheet name="PLAN_SEMANAL" sheetId="10" state="visible" r:id="rId10"/>
    <sheet name="ADHERENCIA" sheetId="11" state="visible" r:id="rId11"/>
    <sheet name="COSTOS" sheetId="12" state="visible" r:id="rId12"/>
    <sheet name="BACKLOG" sheetId="13" state="visible" r:id="rId13"/>
    <sheet name="EQUIPOS_CRITICOS" sheetId="14" state="visible" r:id="rId14"/>
    <sheet name="VALIDACION" sheetId="15" state="visible" r:id="rId15"/>
    <sheet name="CAT_CENTROS_COSTO" sheetId="16" state="visible" r:id="rId16"/>
    <sheet name="CAT_PUESTOS" sheetId="17" state="visible" r:id="rId17"/>
    <sheet name="CAT_ACTIVIDADES" sheetId="18" state="visible" r:id="rId18"/>
    <sheet name="CAT_TIPOS_OT" sheetId="19" state="visible" r:id="rId19"/>
    <sheet name="CAT_ESTADOS_ERP" sheetId="20" state="visible" r:id="rId20"/>
    <sheet name="EXPORTAR" sheetId="21" state="visible" r:id="rId21"/>
    <sheet name="_COMPATIBILIDAD" sheetId="22" state="visible" r:id="rId22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9" hidden="1">'PLAN_SEMANAL'!$A$25:$M$1225</definedName>
    <definedName name="_xlnm.Print_Area" localSheetId="9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N1203" headerRowCount="1">
  <autoFilter ref="A3:AN1203"/>
  <tableColumns count="40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HHA"/>
    <tableColumn id="31" name="HHD"/>
    <tableColumn id="32" name="costo_servicio"/>
    <tableColumn id="33" name="costo_materiales"/>
    <tableColumn id="34" name="costo_total"/>
    <tableColumn id="35" name="permiso_requerido"/>
    <tableColumn id="36" name="bloqueo_energia"/>
    <tableColumn id="37" name="link_checklist"/>
    <tableColumn id="38" name="abrir_checklist"/>
    <tableColumn id="39" name="observaciones"/>
    <tableColumn id="40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2.1.0 · generado 2026-07-20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</sheetData>
  <dataValidations count="3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1-ALTA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2-MEDIA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1-ALTA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OT-000134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2-MEDIA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OT-000135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3-BAJA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OT-000136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1-ALTA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OT-000137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2-MEDIA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OT-000138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3-BAJA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OT-000139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1-ALTA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OT-000140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2-MEDIA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OT-000141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3-BAJA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OT-000142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1-ALTA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OT-000143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2-MEDIA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OT-000144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3-BAJA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OT-000145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1-ALTA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OT-000146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2-MEDIA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OT-000147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3-BAJA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OT-000148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1-ALTA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OT-000149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2-MEDIA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OT-000150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3-BAJA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OT-000151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1-ALTA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OT-000152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2-MEDIA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OT-000153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3-BAJA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OT-000154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1-ALTA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OT-000155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2-MEDIA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OT-000156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3-BAJA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OT-000157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1-ALTA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OT-000158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2-MEDIA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OT-000159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3-BAJA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OT-000160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1-ALTA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OT-000161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2-MEDIA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OT-000162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3-BAJA</t>
        </is>
      </c>
      <c r="E139" s="3" t="inlineStr">
        <is>
          <t>PARADO</t>
        </is>
      </c>
      <c r="F139" s="10" t="n">
        <v>200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OT-000163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1-ALTA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OT-000164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2-MEDIA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OT-000165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3-BAJA</t>
        </is>
      </c>
      <c r="E142" s="3" t="inlineStr">
        <is>
          <t>OPERATIVO</t>
        </is>
      </c>
      <c r="F142" s="10" t="n">
        <v>64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OT-000166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1-ALTA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OT-000167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2-MEDIA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OT-000168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3-BAJA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OT-000169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1-ALTA</t>
        </is>
      </c>
      <c r="E146" s="3" t="inlineStr">
        <is>
          <t>OPERATIVO</t>
        </is>
      </c>
      <c r="F146" s="10" t="n">
        <v>340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OT-000170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2-MEDIA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OT-000171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3-BAJA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OT-000172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1-ALTA</t>
        </is>
      </c>
      <c r="E149" s="3" t="inlineStr">
        <is>
          <t>PARADO</t>
        </is>
      </c>
      <c r="F149" s="10" t="n">
        <v>60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OT-000173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2-MEDIA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OT-000174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3-BAJA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OT-000175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1-ALTA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OT-000176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2-MEDIA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2-MEDIA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3-BAJA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1-ALTA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2-MEDIA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3-BAJA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1-ALTA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2-MEDIA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3-BAJA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OT-000196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1-ALTA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OT-000197</t>
        </is>
      </c>
      <c r="B163" s="3" t="inlineStr">
        <is>
          <t>0010</t>
        </is>
      </c>
      <c r="C163" s="3" t="inlineStr">
        <is>
          <t>EJEC</t>
        </is>
      </c>
      <c r="D163" s="3" t="inlineStr">
        <is>
          <t>2-MEDIA</t>
        </is>
      </c>
      <c r="E163" s="3" t="inlineStr">
        <is>
          <t>OPERATIVO</t>
        </is>
      </c>
      <c r="F163" s="10" t="n">
        <v>32</v>
      </c>
      <c r="G163" s="10" t="n">
        <v>0</v>
      </c>
      <c r="H163" s="10" t="n">
        <v>80</v>
      </c>
      <c r="I163" s="3" t="inlineStr">
        <is>
          <t>EN EJECUCION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OT-000198</t>
        </is>
      </c>
      <c r="B164" s="3" t="inlineStr">
        <is>
          <t>0010</t>
        </is>
      </c>
      <c r="C164" s="3" t="inlineStr">
        <is>
          <t>ABIE</t>
        </is>
      </c>
      <c r="D164" s="3" t="inlineStr">
        <is>
          <t>3-BAJA</t>
        </is>
      </c>
      <c r="E164" s="3" t="inlineStr">
        <is>
          <t>PARADO</t>
        </is>
      </c>
      <c r="F164" s="10" t="n">
        <v>32</v>
      </c>
      <c r="G164" s="10" t="n">
        <v>0</v>
      </c>
      <c r="H164" s="10" t="n">
        <v>80</v>
      </c>
      <c r="I164" s="3" t="inlineStr">
        <is>
          <t>ABIERTA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OT-000199</t>
        </is>
      </c>
      <c r="B165" s="3" t="inlineStr">
        <is>
          <t>0010</t>
        </is>
      </c>
      <c r="C165" s="3" t="inlineStr">
        <is>
          <t>EJEC</t>
        </is>
      </c>
      <c r="D165" s="3" t="inlineStr">
        <is>
          <t>1-ALTA</t>
        </is>
      </c>
      <c r="E165" s="3" t="inlineStr">
        <is>
          <t>OPERATIVO</t>
        </is>
      </c>
      <c r="F165" s="10" t="n">
        <v>32</v>
      </c>
      <c r="G165" s="10" t="n">
        <v>0</v>
      </c>
      <c r="H165" s="10" t="n">
        <v>80</v>
      </c>
      <c r="I165" s="3" t="inlineStr">
        <is>
          <t>EN EJECUCION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inlineStr">
        <is>
          <t>OT-000200</t>
        </is>
      </c>
      <c r="B166" s="3" t="inlineStr">
        <is>
          <t>0010</t>
        </is>
      </c>
      <c r="C166" s="3" t="inlineStr">
        <is>
          <t>ABIE</t>
        </is>
      </c>
      <c r="D166" s="3" t="inlineStr">
        <is>
          <t>2-MEDIA</t>
        </is>
      </c>
      <c r="E166" s="3" t="inlineStr">
        <is>
          <t>PARADO</t>
        </is>
      </c>
      <c r="F166" s="10" t="n">
        <v>32</v>
      </c>
      <c r="G166" s="10" t="n">
        <v>0</v>
      </c>
      <c r="H166" s="10" t="n">
        <v>80</v>
      </c>
      <c r="I166" s="3" t="inlineStr">
        <is>
          <t>ABIERTA</t>
        </is>
      </c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inlineStr">
        <is>
          <t>OT-000990</t>
        </is>
      </c>
      <c r="B167" s="3" t="inlineStr">
        <is>
          <t>0010</t>
        </is>
      </c>
      <c r="C167" s="3" t="inlineStr">
        <is>
          <t>LIB</t>
        </is>
      </c>
      <c r="D167" s="3" t="inlineStr">
        <is>
          <t>2-MEDIA</t>
        </is>
      </c>
      <c r="E167" s="3" t="inlineStr">
        <is>
          <t>OPERATIVO</t>
        </is>
      </c>
      <c r="F167" s="10" t="n">
        <v>50</v>
      </c>
      <c r="G167" s="10" t="n">
        <v>0</v>
      </c>
      <c r="H167" s="10" t="n">
        <v>150</v>
      </c>
      <c r="I167" s="3" t="inlineStr">
        <is>
          <t>LIBERADA</t>
        </is>
      </c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inlineStr">
        <is>
          <t>OT-000991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0" t="n">
        <v>50</v>
      </c>
      <c r="G168" s="10" t="n">
        <v>0</v>
      </c>
      <c r="H168" s="10" t="n">
        <v>150</v>
      </c>
      <c r="I168" s="3" t="inlineStr">
        <is>
          <t>LIBERADA</t>
        </is>
      </c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inlineStr">
        <is>
          <t>OT-000992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0" t="n">
        <v>50</v>
      </c>
      <c r="G169" s="10" t="n">
        <v>0</v>
      </c>
      <c r="H169" s="10" t="n">
        <v>150</v>
      </c>
      <c r="I169" s="3" t="inlineStr">
        <is>
          <t>LIBERADA</t>
        </is>
      </c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N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5" customWidth="1" min="40" max="40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HHA</t>
        </is>
      </c>
      <c r="AE3" s="5" t="inlineStr">
        <is>
          <t>HHD</t>
        </is>
      </c>
      <c r="AF3" s="5" t="inlineStr">
        <is>
          <t>costo_servicio</t>
        </is>
      </c>
      <c r="AG3" s="5" t="inlineStr">
        <is>
          <t>costo_materiales</t>
        </is>
      </c>
      <c r="AH3" s="5" t="inlineStr">
        <is>
          <t>costo_total</t>
        </is>
      </c>
      <c r="AI3" s="5" t="inlineStr">
        <is>
          <t>permiso_requerido</t>
        </is>
      </c>
      <c r="AJ3" s="5" t="inlineStr">
        <is>
          <t>bloqueo_energia</t>
        </is>
      </c>
      <c r="AK3" s="5" t="inlineStr">
        <is>
          <t>link_checklist</t>
        </is>
      </c>
      <c r="AL3" s="5" t="inlineStr">
        <is>
          <t>abrir_checklist</t>
        </is>
      </c>
      <c r="AM3" s="5" t="inlineStr">
        <is>
          <t>observaciones</t>
        </is>
      </c>
      <c r="AN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Row],[tipo_ot]]="","",_xlfn.XLOOKUP(tblOrdenes[[#This Row],[tipo_ot]],tblTiposOT[codigo],tblTiposOT[clasificacion],"sin_clasificar"))</f>
        <v/>
      </c>
      <c r="T4" s="3">
        <f>IF(tblOrdenes[[#This Row],[centro_costo]]="","",_xlfn.XLOOKUP(tblOrdenes[[#This Row],[centro_costo]],tblCECO[codigo],tblCECO[linea],"(sin catálogo)"))</f>
        <v/>
      </c>
      <c r="U4" s="3">
        <f>IF(tblOrdenes[[#This Row],[centro_costo]]="","",_xlfn.XLOOKUP(tblOrdenes[[#This Row],[centro_costo]],tblCECO[codigo],tblCECO[area],"(sin catálogo)"))</f>
        <v/>
      </c>
      <c r="V4" s="3">
        <f>IF(tblOrdenes[[#This Row],[centro_costo]]="","",_xlfn.XLOOKUP(tblOrdenes[[#This Row],[centro_costo]],tblCECO[codigo],tblCECO[coordinador],"(sin catálogo)"))</f>
        <v/>
      </c>
      <c r="W4" s="3">
        <f>IF(tblOrdenes[[#This Row],[puesto_trabajo]]="","",_xlfn.XLOOKUP(tblOrdenes[[#This Row],[puesto_trabajo]],tblPuestos[codigo],tblPuestos[especialidad],"(sin catálogo)"))</f>
        <v/>
      </c>
      <c r="X4" s="3">
        <f>IF(tblOrdenes[[#This Row],[cod_actividad]]="","",_xlfn.XLOOKUP(tblOrdenes[[#This Row],[cod_actividad]],tblActividades[codigo],tblActividades[descripcion],"(sin catálogo)"))</f>
        <v/>
      </c>
      <c r="Y4" s="12">
        <f>IF(tblOrdenes[[#This Row],[fecha_inicio]]="","",TODAY()-tblOrdenes[[#This Row],[fecha_inicio]])</f>
        <v/>
      </c>
      <c r="Z4" s="3">
        <f>IF(tblOrdenes[[#This Row],[backlog_dias]]="","",IF(tblOrdenes[[#This Row],[backlog_dias]]&lt;0,"FUTURO",IF(tblOrdenes[[#This Row],[backlog_dias]]&gt;p_dias_backlog_max,"BACKLOG","MES CORRIENTE")))</f>
        <v/>
      </c>
      <c r="AA4" s="3">
        <f>IF(tblOrdenes[[#This Row],[backlog_dias]]="",FALSE,AND(tblOrdenes[[#This Row],[backlog_dias]]&gt;p_dias_backlog_min,tblOrdenes[[#This Row],[backlog_dias]]&lt;=p_dias_backlog_max))</f>
        <v/>
      </c>
      <c r="AB4" s="6" t="inlineStr">
        <is>
          <t>Técnico 01</t>
        </is>
      </c>
      <c r="AC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" s="10">
        <f>IF(tblOrdenes[[#This Row],[orden]]="","",_xlfn.XLOOKUP(tblOrdenes[[#This Row],[id_operacion]],tblEjecucion[id_operacion],tblEjecucion[precio],0))</f>
        <v/>
      </c>
      <c r="AG4" s="10">
        <f>IF(tblOrdenes[[#This Row],[orden]]="","",MAX(0,_xlfn.XLOOKUP(tblOrdenes[[#This Row],[id_operacion]],tblEjecucion[id_operacion],tblEjecucion[costo_plan_total],0)-tblOrdenes[[#This Row],[costo_servicio]]))</f>
        <v/>
      </c>
      <c r="AH4" s="10">
        <f>IF(tblOrdenes[[#This Row],[orden]]="","",tblOrdenes[[#This Row],[costo_servicio]]+tblOrdenes[[#This Row],[costo_materiales]])</f>
        <v/>
      </c>
      <c r="AI4" s="6" t="inlineStr"/>
      <c r="AJ4" s="6" t="inlineStr"/>
      <c r="AK4" s="6" t="inlineStr">
        <is>
          <t>ACT-02.pdf</t>
        </is>
      </c>
      <c r="AL4" s="3">
        <f>IF(tblOrdenes[[#This Row],[link_checklist]]="","",HYPERLINK(p_ruta_base_checklists&amp;tblOrdenes[[#This Row],[link_checklist]],"abrir"))</f>
        <v/>
      </c>
      <c r="AM4" s="6" t="inlineStr"/>
      <c r="AN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Row],[tipo_ot]]="","",_xlfn.XLOOKUP(tblOrdenes[[#This Row],[tipo_ot]],tblTiposOT[codigo],tblTiposOT[clasificacion],"sin_clasificar"))</f>
        <v/>
      </c>
      <c r="T5" s="3">
        <f>IF(tblOrdenes[[#This Row],[centro_costo]]="","",_xlfn.XLOOKUP(tblOrdenes[[#This Row],[centro_costo]],tblCECO[codigo],tblCECO[linea],"(sin catálogo)"))</f>
        <v/>
      </c>
      <c r="U5" s="3">
        <f>IF(tblOrdenes[[#This Row],[centro_costo]]="","",_xlfn.XLOOKUP(tblOrdenes[[#This Row],[centro_costo]],tblCECO[codigo],tblCECO[area],"(sin catálogo)"))</f>
        <v/>
      </c>
      <c r="V5" s="3">
        <f>IF(tblOrdenes[[#This Row],[centro_costo]]="","",_xlfn.XLOOKUP(tblOrdenes[[#This Row],[centro_costo]],tblCECO[codigo],tblCECO[coordinador],"(sin catálogo)"))</f>
        <v/>
      </c>
      <c r="W5" s="3">
        <f>IF(tblOrdenes[[#This Row],[puesto_trabajo]]="","",_xlfn.XLOOKUP(tblOrdenes[[#This Row],[puesto_trabajo]],tblPuestos[codigo],tblPuestos[especialidad],"(sin catálogo)"))</f>
        <v/>
      </c>
      <c r="X5" s="3">
        <f>IF(tblOrdenes[[#This Row],[cod_actividad]]="","",_xlfn.XLOOKUP(tblOrdenes[[#This Row],[cod_actividad]],tblActividades[codigo],tblActividades[descripcion],"(sin catálogo)"))</f>
        <v/>
      </c>
      <c r="Y5" s="12">
        <f>IF(tblOrdenes[[#This Row],[fecha_inicio]]="","",TODAY()-tblOrdenes[[#This Row],[fecha_inicio]])</f>
        <v/>
      </c>
      <c r="Z5" s="3">
        <f>IF(tblOrdenes[[#This Row],[backlog_dias]]="","",IF(tblOrdenes[[#This Row],[backlog_dias]]&lt;0,"FUTURO",IF(tblOrdenes[[#This Row],[backlog_dias]]&gt;p_dias_backlog_max,"BACKLOG","MES CORRIENTE")))</f>
        <v/>
      </c>
      <c r="AA5" s="3">
        <f>IF(tblOrdenes[[#This Row],[backlog_dias]]="",FALSE,AND(tblOrdenes[[#This Row],[backlog_dias]]&gt;p_dias_backlog_min,tblOrdenes[[#This Row],[backlog_dias]]&lt;=p_dias_backlog_max))</f>
        <v/>
      </c>
      <c r="AB5" s="6" t="inlineStr">
        <is>
          <t>Técnico 02</t>
        </is>
      </c>
      <c r="AC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" s="10">
        <f>IF(tblOrdenes[[#This Row],[orden]]="","",_xlfn.XLOOKUP(tblOrdenes[[#This Row],[id_operacion]],tblEjecucion[id_operacion],tblEjecucion[precio],0))</f>
        <v/>
      </c>
      <c r="AG5" s="10">
        <f>IF(tblOrdenes[[#This Row],[orden]]="","",MAX(0,_xlfn.XLOOKUP(tblOrdenes[[#This Row],[id_operacion]],tblEjecucion[id_operacion],tblEjecucion[costo_plan_total],0)-tblOrdenes[[#This Row],[costo_servicio]]))</f>
        <v/>
      </c>
      <c r="AH5" s="10">
        <f>IF(tblOrdenes[[#This Row],[orden]]="","",tblOrdenes[[#This Row],[costo_servicio]]+tblOrdenes[[#This Row],[costo_materiales]])</f>
        <v/>
      </c>
      <c r="AI5" s="6" t="inlineStr"/>
      <c r="AJ5" s="6" t="inlineStr"/>
      <c r="AK5" s="6" t="inlineStr">
        <is>
          <t>ACT-04.pdf</t>
        </is>
      </c>
      <c r="AL5" s="3">
        <f>IF(tblOrdenes[[#This Row],[link_checklist]]="","",HYPERLINK(p_ruta_base_checklists&amp;tblOrdenes[[#This Row],[link_checklist]],"abrir"))</f>
        <v/>
      </c>
      <c r="AM5" s="6" t="inlineStr"/>
      <c r="AN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Row],[tipo_ot]]="","",_xlfn.XLOOKUP(tblOrdenes[[#This Row],[tipo_ot]],tblTiposOT[codigo],tblTiposOT[clasificacion],"sin_clasificar"))</f>
        <v/>
      </c>
      <c r="T6" s="3">
        <f>IF(tblOrdenes[[#This Row],[centro_costo]]="","",_xlfn.XLOOKUP(tblOrdenes[[#This Row],[centro_costo]],tblCECO[codigo],tblCECO[linea],"(sin catálogo)"))</f>
        <v/>
      </c>
      <c r="U6" s="3">
        <f>IF(tblOrdenes[[#This Row],[centro_costo]]="","",_xlfn.XLOOKUP(tblOrdenes[[#This Row],[centro_costo]],tblCECO[codigo],tblCECO[area],"(sin catálogo)"))</f>
        <v/>
      </c>
      <c r="V6" s="3">
        <f>IF(tblOrdenes[[#This Row],[centro_costo]]="","",_xlfn.XLOOKUP(tblOrdenes[[#This Row],[centro_costo]],tblCECO[codigo],tblCECO[coordinador],"(sin catálogo)"))</f>
        <v/>
      </c>
      <c r="W6" s="3">
        <f>IF(tblOrdenes[[#This Row],[puesto_trabajo]]="","",_xlfn.XLOOKUP(tblOrdenes[[#This Row],[puesto_trabajo]],tblPuestos[codigo],tblPuestos[especialidad],"(sin catálogo)"))</f>
        <v/>
      </c>
      <c r="X6" s="3">
        <f>IF(tblOrdenes[[#This Row],[cod_actividad]]="","",_xlfn.XLOOKUP(tblOrdenes[[#This Row],[cod_actividad]],tblActividades[codigo],tblActividades[descripcion],"(sin catálogo)"))</f>
        <v/>
      </c>
      <c r="Y6" s="12">
        <f>IF(tblOrdenes[[#This Row],[fecha_inicio]]="","",TODAY()-tblOrdenes[[#This Row],[fecha_inicio]])</f>
        <v/>
      </c>
      <c r="Z6" s="3">
        <f>IF(tblOrdenes[[#This Row],[backlog_dias]]="","",IF(tblOrdenes[[#This Row],[backlog_dias]]&lt;0,"FUTURO",IF(tblOrdenes[[#This Row],[backlog_dias]]&gt;p_dias_backlog_max,"BACKLOG","MES CORRIENTE")))</f>
        <v/>
      </c>
      <c r="AA6" s="3">
        <f>IF(tblOrdenes[[#This Row],[backlog_dias]]="",FALSE,AND(tblOrdenes[[#This Row],[backlog_dias]]&gt;p_dias_backlog_min,tblOrdenes[[#This Row],[backlog_dias]]&lt;=p_dias_backlog_max))</f>
        <v/>
      </c>
      <c r="AB6" s="6" t="inlineStr">
        <is>
          <t>Técnico 03</t>
        </is>
      </c>
      <c r="AC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" s="10">
        <f>IF(tblOrdenes[[#This Row],[orden]]="","",_xlfn.XLOOKUP(tblOrdenes[[#This Row],[id_operacion]],tblEjecucion[id_operacion],tblEjecucion[precio],0))</f>
        <v/>
      </c>
      <c r="AG6" s="10">
        <f>IF(tblOrdenes[[#This Row],[orden]]="","",MAX(0,_xlfn.XLOOKUP(tblOrdenes[[#This Row],[id_operacion]],tblEjecucion[id_operacion],tblEjecucion[costo_plan_total],0)-tblOrdenes[[#This Row],[costo_servicio]]))</f>
        <v/>
      </c>
      <c r="AH6" s="10">
        <f>IF(tblOrdenes[[#This Row],[orden]]="","",tblOrdenes[[#This Row],[costo_servicio]]+tblOrdenes[[#This Row],[costo_materiales]])</f>
        <v/>
      </c>
      <c r="AI6" s="6" t="inlineStr"/>
      <c r="AJ6" s="6" t="inlineStr"/>
      <c r="AK6" s="6" t="inlineStr">
        <is>
          <t>ACT-01.pdf</t>
        </is>
      </c>
      <c r="AL6" s="3">
        <f>IF(tblOrdenes[[#This Row],[link_checklist]]="","",HYPERLINK(p_ruta_base_checklists&amp;tblOrdenes[[#This Row],[link_checklist]],"abrir"))</f>
        <v/>
      </c>
      <c r="AM6" s="6" t="inlineStr"/>
      <c r="AN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Row],[tipo_ot]]="","",_xlfn.XLOOKUP(tblOrdenes[[#This Row],[tipo_ot]],tblTiposOT[codigo],tblTiposOT[clasificacion],"sin_clasificar"))</f>
        <v/>
      </c>
      <c r="T7" s="3">
        <f>IF(tblOrdenes[[#This Row],[centro_costo]]="","",_xlfn.XLOOKUP(tblOrdenes[[#This Row],[centro_costo]],tblCECO[codigo],tblCECO[linea],"(sin catálogo)"))</f>
        <v/>
      </c>
      <c r="U7" s="3">
        <f>IF(tblOrdenes[[#This Row],[centro_costo]]="","",_xlfn.XLOOKUP(tblOrdenes[[#This Row],[centro_costo]],tblCECO[codigo],tblCECO[area],"(sin catálogo)"))</f>
        <v/>
      </c>
      <c r="V7" s="3">
        <f>IF(tblOrdenes[[#This Row],[centro_costo]]="","",_xlfn.XLOOKUP(tblOrdenes[[#This Row],[centro_costo]],tblCECO[codigo],tblCECO[coordinador],"(sin catálogo)"))</f>
        <v/>
      </c>
      <c r="W7" s="3">
        <f>IF(tblOrdenes[[#This Row],[puesto_trabajo]]="","",_xlfn.XLOOKUP(tblOrdenes[[#This Row],[puesto_trabajo]],tblPuestos[codigo],tblPuestos[especialidad],"(sin catálogo)"))</f>
        <v/>
      </c>
      <c r="X7" s="3">
        <f>IF(tblOrdenes[[#This Row],[cod_actividad]]="","",_xlfn.XLOOKUP(tblOrdenes[[#This Row],[cod_actividad]],tblActividades[codigo],tblActividades[descripcion],"(sin catálogo)"))</f>
        <v/>
      </c>
      <c r="Y7" s="12">
        <f>IF(tblOrdenes[[#This Row],[fecha_inicio]]="","",TODAY()-tblOrdenes[[#This Row],[fecha_inicio]])</f>
        <v/>
      </c>
      <c r="Z7" s="3">
        <f>IF(tblOrdenes[[#This Row],[backlog_dias]]="","",IF(tblOrdenes[[#This Row],[backlog_dias]]&lt;0,"FUTURO",IF(tblOrdenes[[#This Row],[backlog_dias]]&gt;p_dias_backlog_max,"BACKLOG","MES CORRIENTE")))</f>
        <v/>
      </c>
      <c r="AA7" s="3">
        <f>IF(tblOrdenes[[#This Row],[backlog_dias]]="",FALSE,AND(tblOrdenes[[#This Row],[backlog_dias]]&gt;p_dias_backlog_min,tblOrdenes[[#This Row],[backlog_dias]]&lt;=p_dias_backlog_max))</f>
        <v/>
      </c>
      <c r="AB7" s="6" t="inlineStr">
        <is>
          <t>Técnico 04</t>
        </is>
      </c>
      <c r="AC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" s="10">
        <f>IF(tblOrdenes[[#This Row],[orden]]="","",_xlfn.XLOOKUP(tblOrdenes[[#This Row],[id_operacion]],tblEjecucion[id_operacion],tblEjecucion[precio],0))</f>
        <v/>
      </c>
      <c r="AG7" s="10">
        <f>IF(tblOrdenes[[#This Row],[orden]]="","",MAX(0,_xlfn.XLOOKUP(tblOrdenes[[#This Row],[id_operacion]],tblEjecucion[id_operacion],tblEjecucion[costo_plan_total],0)-tblOrdenes[[#This Row],[costo_servicio]]))</f>
        <v/>
      </c>
      <c r="AH7" s="10">
        <f>IF(tblOrdenes[[#This Row],[orden]]="","",tblOrdenes[[#This Row],[costo_servicio]]+tblOrdenes[[#This Row],[costo_materiales]])</f>
        <v/>
      </c>
      <c r="AI7" s="6" t="inlineStr"/>
      <c r="AJ7" s="6" t="inlineStr"/>
      <c r="AK7" s="6" t="inlineStr">
        <is>
          <t>ACT-02.pdf</t>
        </is>
      </c>
      <c r="AL7" s="3">
        <f>IF(tblOrdenes[[#This Row],[link_checklist]]="","",HYPERLINK(p_ruta_base_checklists&amp;tblOrdenes[[#This Row],[link_checklist]],"abrir"))</f>
        <v/>
      </c>
      <c r="AM7" s="6" t="inlineStr"/>
      <c r="AN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Row],[tipo_ot]]="","",_xlfn.XLOOKUP(tblOrdenes[[#This Row],[tipo_ot]],tblTiposOT[codigo],tblTiposOT[clasificacion],"sin_clasificar"))</f>
        <v/>
      </c>
      <c r="T8" s="3">
        <f>IF(tblOrdenes[[#This Row],[centro_costo]]="","",_xlfn.XLOOKUP(tblOrdenes[[#This Row],[centro_costo]],tblCECO[codigo],tblCECO[linea],"(sin catálogo)"))</f>
        <v/>
      </c>
      <c r="U8" s="3">
        <f>IF(tblOrdenes[[#This Row],[centro_costo]]="","",_xlfn.XLOOKUP(tblOrdenes[[#This Row],[centro_costo]],tblCECO[codigo],tblCECO[area],"(sin catálogo)"))</f>
        <v/>
      </c>
      <c r="V8" s="3">
        <f>IF(tblOrdenes[[#This Row],[centro_costo]]="","",_xlfn.XLOOKUP(tblOrdenes[[#This Row],[centro_costo]],tblCECO[codigo],tblCECO[coordinador],"(sin catálogo)"))</f>
        <v/>
      </c>
      <c r="W8" s="3">
        <f>IF(tblOrdenes[[#This Row],[puesto_trabajo]]="","",_xlfn.XLOOKUP(tblOrdenes[[#This Row],[puesto_trabajo]],tblPuestos[codigo],tblPuestos[especialidad],"(sin catálogo)"))</f>
        <v/>
      </c>
      <c r="X8" s="3">
        <f>IF(tblOrdenes[[#This Row],[cod_actividad]]="","",_xlfn.XLOOKUP(tblOrdenes[[#This Row],[cod_actividad]],tblActividades[codigo],tblActividades[descripcion],"(sin catálogo)"))</f>
        <v/>
      </c>
      <c r="Y8" s="12">
        <f>IF(tblOrdenes[[#This Row],[fecha_inicio]]="","",TODAY()-tblOrdenes[[#This Row],[fecha_inicio]])</f>
        <v/>
      </c>
      <c r="Z8" s="3">
        <f>IF(tblOrdenes[[#This Row],[backlog_dias]]="","",IF(tblOrdenes[[#This Row],[backlog_dias]]&lt;0,"FUTURO",IF(tblOrdenes[[#This Row],[backlog_dias]]&gt;p_dias_backlog_max,"BACKLOG","MES CORRIENTE")))</f>
        <v/>
      </c>
      <c r="AA8" s="3">
        <f>IF(tblOrdenes[[#This Row],[backlog_dias]]="",FALSE,AND(tblOrdenes[[#This Row],[backlog_dias]]&gt;p_dias_backlog_min,tblOrdenes[[#This Row],[backlog_dias]]&lt;=p_dias_backlog_max))</f>
        <v/>
      </c>
      <c r="AB8" s="6" t="inlineStr">
        <is>
          <t>Técnico 01</t>
        </is>
      </c>
      <c r="AC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" s="10">
        <f>IF(tblOrdenes[[#This Row],[orden]]="","",_xlfn.XLOOKUP(tblOrdenes[[#This Row],[id_operacion]],tblEjecucion[id_operacion],tblEjecucion[precio],0))</f>
        <v/>
      </c>
      <c r="AG8" s="10">
        <f>IF(tblOrdenes[[#This Row],[orden]]="","",MAX(0,_xlfn.XLOOKUP(tblOrdenes[[#This Row],[id_operacion]],tblEjecucion[id_operacion],tblEjecucion[costo_plan_total],0)-tblOrdenes[[#This Row],[costo_servicio]]))</f>
        <v/>
      </c>
      <c r="AH8" s="10">
        <f>IF(tblOrdenes[[#This Row],[orden]]="","",tblOrdenes[[#This Row],[costo_servicio]]+tblOrdenes[[#This Row],[costo_materiales]])</f>
        <v/>
      </c>
      <c r="AI8" s="6" t="inlineStr"/>
      <c r="AJ8" s="6" t="inlineStr"/>
      <c r="AK8" s="6" t="inlineStr">
        <is>
          <t>ACT-04.pdf</t>
        </is>
      </c>
      <c r="AL8" s="3">
        <f>IF(tblOrdenes[[#This Row],[link_checklist]]="","",HYPERLINK(p_ruta_base_checklists&amp;tblOrdenes[[#This Row],[link_checklist]],"abrir"))</f>
        <v/>
      </c>
      <c r="AM8" s="6" t="inlineStr"/>
      <c r="AN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Row],[tipo_ot]]="","",_xlfn.XLOOKUP(tblOrdenes[[#This Row],[tipo_ot]],tblTiposOT[codigo],tblTiposOT[clasificacion],"sin_clasificar"))</f>
        <v/>
      </c>
      <c r="T9" s="3">
        <f>IF(tblOrdenes[[#This Row],[centro_costo]]="","",_xlfn.XLOOKUP(tblOrdenes[[#This Row],[centro_costo]],tblCECO[codigo],tblCECO[linea],"(sin catálogo)"))</f>
        <v/>
      </c>
      <c r="U9" s="3">
        <f>IF(tblOrdenes[[#This Row],[centro_costo]]="","",_xlfn.XLOOKUP(tblOrdenes[[#This Row],[centro_costo]],tblCECO[codigo],tblCECO[area],"(sin catálogo)"))</f>
        <v/>
      </c>
      <c r="V9" s="3">
        <f>IF(tblOrdenes[[#This Row],[centro_costo]]="","",_xlfn.XLOOKUP(tblOrdenes[[#This Row],[centro_costo]],tblCECO[codigo],tblCECO[coordinador],"(sin catálogo)"))</f>
        <v/>
      </c>
      <c r="W9" s="3">
        <f>IF(tblOrdenes[[#This Row],[puesto_trabajo]]="","",_xlfn.XLOOKUP(tblOrdenes[[#This Row],[puesto_trabajo]],tblPuestos[codigo],tblPuestos[especialidad],"(sin catálogo)"))</f>
        <v/>
      </c>
      <c r="X9" s="3">
        <f>IF(tblOrdenes[[#This Row],[cod_actividad]]="","",_xlfn.XLOOKUP(tblOrdenes[[#This Row],[cod_actividad]],tblActividades[codigo],tblActividades[descripcion],"(sin catálogo)"))</f>
        <v/>
      </c>
      <c r="Y9" s="12">
        <f>IF(tblOrdenes[[#This Row],[fecha_inicio]]="","",TODAY()-tblOrdenes[[#This Row],[fecha_inicio]])</f>
        <v/>
      </c>
      <c r="Z9" s="3">
        <f>IF(tblOrdenes[[#This Row],[backlog_dias]]="","",IF(tblOrdenes[[#This Row],[backlog_dias]]&lt;0,"FUTURO",IF(tblOrdenes[[#This Row],[backlog_dias]]&gt;p_dias_backlog_max,"BACKLOG","MES CORRIENTE")))</f>
        <v/>
      </c>
      <c r="AA9" s="3">
        <f>IF(tblOrdenes[[#This Row],[backlog_dias]]="",FALSE,AND(tblOrdenes[[#This Row],[backlog_dias]]&gt;p_dias_backlog_min,tblOrdenes[[#This Row],[backlog_dias]]&lt;=p_dias_backlog_max))</f>
        <v/>
      </c>
      <c r="AB9" s="6" t="inlineStr">
        <is>
          <t>Técnico 02</t>
        </is>
      </c>
      <c r="AC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" s="10">
        <f>IF(tblOrdenes[[#This Row],[orden]]="","",_xlfn.XLOOKUP(tblOrdenes[[#This Row],[id_operacion]],tblEjecucion[id_operacion],tblEjecucion[precio],0))</f>
        <v/>
      </c>
      <c r="AG9" s="10">
        <f>IF(tblOrdenes[[#This Row],[orden]]="","",MAX(0,_xlfn.XLOOKUP(tblOrdenes[[#This Row],[id_operacion]],tblEjecucion[id_operacion],tblEjecucion[costo_plan_total],0)-tblOrdenes[[#This Row],[costo_servicio]]))</f>
        <v/>
      </c>
      <c r="AH9" s="10">
        <f>IF(tblOrdenes[[#This Row],[orden]]="","",tblOrdenes[[#This Row],[costo_servicio]]+tblOrdenes[[#This Row],[costo_materiales]])</f>
        <v/>
      </c>
      <c r="AI9" s="6" t="inlineStr"/>
      <c r="AJ9" s="6" t="inlineStr"/>
      <c r="AK9" s="6" t="inlineStr">
        <is>
          <t>ACT-01.pdf</t>
        </is>
      </c>
      <c r="AL9" s="3">
        <f>IF(tblOrdenes[[#This Row],[link_checklist]]="","",HYPERLINK(p_ruta_base_checklists&amp;tblOrdenes[[#This Row],[link_checklist]],"abrir"))</f>
        <v/>
      </c>
      <c r="AM9" s="6" t="inlineStr"/>
      <c r="AN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Row],[tipo_ot]]="","",_xlfn.XLOOKUP(tblOrdenes[[#This Row],[tipo_ot]],tblTiposOT[codigo],tblTiposOT[clasificacion],"sin_clasificar"))</f>
        <v/>
      </c>
      <c r="T10" s="3">
        <f>IF(tblOrdenes[[#This Row],[centro_costo]]="","",_xlfn.XLOOKUP(tblOrdenes[[#This Row],[centro_costo]],tblCECO[codigo],tblCECO[linea],"(sin catálogo)"))</f>
        <v/>
      </c>
      <c r="U10" s="3">
        <f>IF(tblOrdenes[[#This Row],[centro_costo]]="","",_xlfn.XLOOKUP(tblOrdenes[[#This Row],[centro_costo]],tblCECO[codigo],tblCECO[area],"(sin catálogo)"))</f>
        <v/>
      </c>
      <c r="V10" s="3">
        <f>IF(tblOrdenes[[#This Row],[centro_costo]]="","",_xlfn.XLOOKUP(tblOrdenes[[#This Row],[centro_costo]],tblCECO[codigo],tblCECO[coordinador],"(sin catálogo)"))</f>
        <v/>
      </c>
      <c r="W10" s="3">
        <f>IF(tblOrdenes[[#This Row],[puesto_trabajo]]="","",_xlfn.XLOOKUP(tblOrdenes[[#This Row],[puesto_trabajo]],tblPuestos[codigo],tblPuestos[especialidad],"(sin catálogo)"))</f>
        <v/>
      </c>
      <c r="X10" s="3">
        <f>IF(tblOrdenes[[#This Row],[cod_actividad]]="","",_xlfn.XLOOKUP(tblOrdenes[[#This Row],[cod_actividad]],tblActividades[codigo],tblActividades[descripcion],"(sin catálogo)"))</f>
        <v/>
      </c>
      <c r="Y10" s="12">
        <f>IF(tblOrdenes[[#This Row],[fecha_inicio]]="","",TODAY()-tblOrdenes[[#This Row],[fecha_inicio]])</f>
        <v/>
      </c>
      <c r="Z10" s="3">
        <f>IF(tblOrdenes[[#This Row],[backlog_dias]]="","",IF(tblOrdenes[[#This Row],[backlog_dias]]&lt;0,"FUTURO",IF(tblOrdenes[[#This Row],[backlog_dias]]&gt;p_dias_backlog_max,"BACKLOG","MES CORRIENTE")))</f>
        <v/>
      </c>
      <c r="AA10" s="3">
        <f>IF(tblOrdenes[[#This Row],[backlog_dias]]="",FALSE,AND(tblOrdenes[[#This Row],[backlog_dias]]&gt;p_dias_backlog_min,tblOrdenes[[#This Row],[backlog_dias]]&lt;=p_dias_backlog_max))</f>
        <v/>
      </c>
      <c r="AB10" s="6" t="inlineStr">
        <is>
          <t>Técnico 03</t>
        </is>
      </c>
      <c r="AC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" s="10">
        <f>IF(tblOrdenes[[#This Row],[orden]]="","",_xlfn.XLOOKUP(tblOrdenes[[#This Row],[id_operacion]],tblEjecucion[id_operacion],tblEjecucion[precio],0))</f>
        <v/>
      </c>
      <c r="AG10" s="10">
        <f>IF(tblOrdenes[[#This Row],[orden]]="","",MAX(0,_xlfn.XLOOKUP(tblOrdenes[[#This Row],[id_operacion]],tblEjecucion[id_operacion],tblEjecucion[costo_plan_total],0)-tblOrdenes[[#This Row],[costo_servicio]]))</f>
        <v/>
      </c>
      <c r="AH10" s="10">
        <f>IF(tblOrdenes[[#This Row],[orden]]="","",tblOrdenes[[#This Row],[costo_servicio]]+tblOrdenes[[#This Row],[costo_materiales]])</f>
        <v/>
      </c>
      <c r="AI10" s="6" t="inlineStr"/>
      <c r="AJ10" s="6" t="inlineStr"/>
      <c r="AK10" s="6" t="inlineStr">
        <is>
          <t>ACT-02.pdf</t>
        </is>
      </c>
      <c r="AL10" s="3">
        <f>IF(tblOrdenes[[#This Row],[link_checklist]]="","",HYPERLINK(p_ruta_base_checklists&amp;tblOrdenes[[#This Row],[link_checklist]],"abrir"))</f>
        <v/>
      </c>
      <c r="AM10" s="6" t="inlineStr"/>
      <c r="AN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Row],[tipo_ot]]="","",_xlfn.XLOOKUP(tblOrdenes[[#This Row],[tipo_ot]],tblTiposOT[codigo],tblTiposOT[clasificacion],"sin_clasificar"))</f>
        <v/>
      </c>
      <c r="T11" s="3">
        <f>IF(tblOrdenes[[#This Row],[centro_costo]]="","",_xlfn.XLOOKUP(tblOrdenes[[#This Row],[centro_costo]],tblCECO[codigo],tblCECO[linea],"(sin catálogo)"))</f>
        <v/>
      </c>
      <c r="U11" s="3">
        <f>IF(tblOrdenes[[#This Row],[centro_costo]]="","",_xlfn.XLOOKUP(tblOrdenes[[#This Row],[centro_costo]],tblCECO[codigo],tblCECO[area],"(sin catálogo)"))</f>
        <v/>
      </c>
      <c r="V11" s="3">
        <f>IF(tblOrdenes[[#This Row],[centro_costo]]="","",_xlfn.XLOOKUP(tblOrdenes[[#This Row],[centro_costo]],tblCECO[codigo],tblCECO[coordinador],"(sin catálogo)"))</f>
        <v/>
      </c>
      <c r="W11" s="3">
        <f>IF(tblOrdenes[[#This Row],[puesto_trabajo]]="","",_xlfn.XLOOKUP(tblOrdenes[[#This Row],[puesto_trabajo]],tblPuestos[codigo],tblPuestos[especialidad],"(sin catálogo)"))</f>
        <v/>
      </c>
      <c r="X11" s="3">
        <f>IF(tblOrdenes[[#This Row],[cod_actividad]]="","",_xlfn.XLOOKUP(tblOrdenes[[#This Row],[cod_actividad]],tblActividades[codigo],tblActividades[descripcion],"(sin catálogo)"))</f>
        <v/>
      </c>
      <c r="Y11" s="12">
        <f>IF(tblOrdenes[[#This Row],[fecha_inicio]]="","",TODAY()-tblOrdenes[[#This Row],[fecha_inicio]])</f>
        <v/>
      </c>
      <c r="Z11" s="3">
        <f>IF(tblOrdenes[[#This Row],[backlog_dias]]="","",IF(tblOrdenes[[#This Row],[backlog_dias]]&lt;0,"FUTURO",IF(tblOrdenes[[#This Row],[backlog_dias]]&gt;p_dias_backlog_max,"BACKLOG","MES CORRIENTE")))</f>
        <v/>
      </c>
      <c r="AA11" s="3">
        <f>IF(tblOrdenes[[#This Row],[backlog_dias]]="",FALSE,AND(tblOrdenes[[#This Row],[backlog_dias]]&gt;p_dias_backlog_min,tblOrdenes[[#This Row],[backlog_dias]]&lt;=p_dias_backlog_max))</f>
        <v/>
      </c>
      <c r="AB11" s="6" t="inlineStr">
        <is>
          <t>Técnico 04</t>
        </is>
      </c>
      <c r="AC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" s="10">
        <f>IF(tblOrdenes[[#This Row],[orden]]="","",_xlfn.XLOOKUP(tblOrdenes[[#This Row],[id_operacion]],tblEjecucion[id_operacion],tblEjecucion[precio],0))</f>
        <v/>
      </c>
      <c r="AG11" s="10">
        <f>IF(tblOrdenes[[#This Row],[orden]]="","",MAX(0,_xlfn.XLOOKUP(tblOrdenes[[#This Row],[id_operacion]],tblEjecucion[id_operacion],tblEjecucion[costo_plan_total],0)-tblOrdenes[[#This Row],[costo_servicio]]))</f>
        <v/>
      </c>
      <c r="AH11" s="10">
        <f>IF(tblOrdenes[[#This Row],[orden]]="","",tblOrdenes[[#This Row],[costo_servicio]]+tblOrdenes[[#This Row],[costo_materiales]])</f>
        <v/>
      </c>
      <c r="AI11" s="6" t="inlineStr"/>
      <c r="AJ11" s="6" t="inlineStr"/>
      <c r="AK11" s="6" t="inlineStr">
        <is>
          <t>ACT-04.pdf</t>
        </is>
      </c>
      <c r="AL11" s="3">
        <f>IF(tblOrdenes[[#This Row],[link_checklist]]="","",HYPERLINK(p_ruta_base_checklists&amp;tblOrdenes[[#This Row],[link_checklist]],"abrir"))</f>
        <v/>
      </c>
      <c r="AM11" s="6" t="inlineStr"/>
      <c r="AN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Row],[tipo_ot]]="","",_xlfn.XLOOKUP(tblOrdenes[[#This Row],[tipo_ot]],tblTiposOT[codigo],tblTiposOT[clasificacion],"sin_clasificar"))</f>
        <v/>
      </c>
      <c r="T12" s="3">
        <f>IF(tblOrdenes[[#This Row],[centro_costo]]="","",_xlfn.XLOOKUP(tblOrdenes[[#This Row],[centro_costo]],tblCECO[codigo],tblCECO[linea],"(sin catálogo)"))</f>
        <v/>
      </c>
      <c r="U12" s="3">
        <f>IF(tblOrdenes[[#This Row],[centro_costo]]="","",_xlfn.XLOOKUP(tblOrdenes[[#This Row],[centro_costo]],tblCECO[codigo],tblCECO[area],"(sin catálogo)"))</f>
        <v/>
      </c>
      <c r="V12" s="3">
        <f>IF(tblOrdenes[[#This Row],[centro_costo]]="","",_xlfn.XLOOKUP(tblOrdenes[[#This Row],[centro_costo]],tblCECO[codigo],tblCECO[coordinador],"(sin catálogo)"))</f>
        <v/>
      </c>
      <c r="W12" s="3">
        <f>IF(tblOrdenes[[#This Row],[puesto_trabajo]]="","",_xlfn.XLOOKUP(tblOrdenes[[#This Row],[puesto_trabajo]],tblPuestos[codigo],tblPuestos[especialidad],"(sin catálogo)"))</f>
        <v/>
      </c>
      <c r="X12" s="3">
        <f>IF(tblOrdenes[[#This Row],[cod_actividad]]="","",_xlfn.XLOOKUP(tblOrdenes[[#This Row],[cod_actividad]],tblActividades[codigo],tblActividades[descripcion],"(sin catálogo)"))</f>
        <v/>
      </c>
      <c r="Y12" s="12">
        <f>IF(tblOrdenes[[#This Row],[fecha_inicio]]="","",TODAY()-tblOrdenes[[#This Row],[fecha_inicio]])</f>
        <v/>
      </c>
      <c r="Z12" s="3">
        <f>IF(tblOrdenes[[#This Row],[backlog_dias]]="","",IF(tblOrdenes[[#This Row],[backlog_dias]]&lt;0,"FUTURO",IF(tblOrdenes[[#This Row],[backlog_dias]]&gt;p_dias_backlog_max,"BACKLOG","MES CORRIENTE")))</f>
        <v/>
      </c>
      <c r="AA12" s="3">
        <f>IF(tblOrdenes[[#This Row],[backlog_dias]]="",FALSE,AND(tblOrdenes[[#This Row],[backlog_dias]]&gt;p_dias_backlog_min,tblOrdenes[[#This Row],[backlog_dias]]&lt;=p_dias_backlog_max))</f>
        <v/>
      </c>
      <c r="AB12" s="6" t="inlineStr">
        <is>
          <t>Técnico 01</t>
        </is>
      </c>
      <c r="AC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" s="10">
        <f>IF(tblOrdenes[[#This Row],[orden]]="","",_xlfn.XLOOKUP(tblOrdenes[[#This Row],[id_operacion]],tblEjecucion[id_operacion],tblEjecucion[precio],0))</f>
        <v/>
      </c>
      <c r="AG12" s="10">
        <f>IF(tblOrdenes[[#This Row],[orden]]="","",MAX(0,_xlfn.XLOOKUP(tblOrdenes[[#This Row],[id_operacion]],tblEjecucion[id_operacion],tblEjecucion[costo_plan_total],0)-tblOrdenes[[#This Row],[costo_servicio]]))</f>
        <v/>
      </c>
      <c r="AH12" s="10">
        <f>IF(tblOrdenes[[#This Row],[orden]]="","",tblOrdenes[[#This Row],[costo_servicio]]+tblOrdenes[[#This Row],[costo_materiales]])</f>
        <v/>
      </c>
      <c r="AI12" s="6" t="inlineStr"/>
      <c r="AJ12" s="6" t="inlineStr"/>
      <c r="AK12" s="6" t="inlineStr">
        <is>
          <t>ACT-01.pdf</t>
        </is>
      </c>
      <c r="AL12" s="3">
        <f>IF(tblOrdenes[[#This Row],[link_checklist]]="","",HYPERLINK(p_ruta_base_checklists&amp;tblOrdenes[[#This Row],[link_checklist]],"abrir"))</f>
        <v/>
      </c>
      <c r="AM12" s="6" t="inlineStr"/>
      <c r="AN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Row],[tipo_ot]]="","",_xlfn.XLOOKUP(tblOrdenes[[#This Row],[tipo_ot]],tblTiposOT[codigo],tblTiposOT[clasificacion],"sin_clasificar"))</f>
        <v/>
      </c>
      <c r="T13" s="3">
        <f>IF(tblOrdenes[[#This Row],[centro_costo]]="","",_xlfn.XLOOKUP(tblOrdenes[[#This Row],[centro_costo]],tblCECO[codigo],tblCECO[linea],"(sin catálogo)"))</f>
        <v/>
      </c>
      <c r="U13" s="3">
        <f>IF(tblOrdenes[[#This Row],[centro_costo]]="","",_xlfn.XLOOKUP(tblOrdenes[[#This Row],[centro_costo]],tblCECO[codigo],tblCECO[area],"(sin catálogo)"))</f>
        <v/>
      </c>
      <c r="V13" s="3">
        <f>IF(tblOrdenes[[#This Row],[centro_costo]]="","",_xlfn.XLOOKUP(tblOrdenes[[#This Row],[centro_costo]],tblCECO[codigo],tblCECO[coordinador],"(sin catálogo)"))</f>
        <v/>
      </c>
      <c r="W13" s="3">
        <f>IF(tblOrdenes[[#This Row],[puesto_trabajo]]="","",_xlfn.XLOOKUP(tblOrdenes[[#This Row],[puesto_trabajo]],tblPuestos[codigo],tblPuestos[especialidad],"(sin catálogo)"))</f>
        <v/>
      </c>
      <c r="X13" s="3">
        <f>IF(tblOrdenes[[#This Row],[cod_actividad]]="","",_xlfn.XLOOKUP(tblOrdenes[[#This Row],[cod_actividad]],tblActividades[codigo],tblActividades[descripcion],"(sin catálogo)"))</f>
        <v/>
      </c>
      <c r="Y13" s="12">
        <f>IF(tblOrdenes[[#This Row],[fecha_inicio]]="","",TODAY()-tblOrdenes[[#This Row],[fecha_inicio]])</f>
        <v/>
      </c>
      <c r="Z13" s="3">
        <f>IF(tblOrdenes[[#This Row],[backlog_dias]]="","",IF(tblOrdenes[[#This Row],[backlog_dias]]&lt;0,"FUTURO",IF(tblOrdenes[[#This Row],[backlog_dias]]&gt;p_dias_backlog_max,"BACKLOG","MES CORRIENTE")))</f>
        <v/>
      </c>
      <c r="AA13" s="3">
        <f>IF(tblOrdenes[[#This Row],[backlog_dias]]="",FALSE,AND(tblOrdenes[[#This Row],[backlog_dias]]&gt;p_dias_backlog_min,tblOrdenes[[#This Row],[backlog_dias]]&lt;=p_dias_backlog_max))</f>
        <v/>
      </c>
      <c r="AB13" s="6" t="inlineStr">
        <is>
          <t>Técnico 02</t>
        </is>
      </c>
      <c r="AC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" s="10">
        <f>IF(tblOrdenes[[#This Row],[orden]]="","",_xlfn.XLOOKUP(tblOrdenes[[#This Row],[id_operacion]],tblEjecucion[id_operacion],tblEjecucion[precio],0))</f>
        <v/>
      </c>
      <c r="AG13" s="10">
        <f>IF(tblOrdenes[[#This Row],[orden]]="","",MAX(0,_xlfn.XLOOKUP(tblOrdenes[[#This Row],[id_operacion]],tblEjecucion[id_operacion],tblEjecucion[costo_plan_total],0)-tblOrdenes[[#This Row],[costo_servicio]]))</f>
        <v/>
      </c>
      <c r="AH13" s="10">
        <f>IF(tblOrdenes[[#This Row],[orden]]="","",tblOrdenes[[#This Row],[costo_servicio]]+tblOrdenes[[#This Row],[costo_materiales]])</f>
        <v/>
      </c>
      <c r="AI13" s="6" t="inlineStr"/>
      <c r="AJ13" s="6" t="inlineStr"/>
      <c r="AK13" s="6" t="inlineStr">
        <is>
          <t>ACT-02.pdf</t>
        </is>
      </c>
      <c r="AL13" s="3">
        <f>IF(tblOrdenes[[#This Row],[link_checklist]]="","",HYPERLINK(p_ruta_base_checklists&amp;tblOrdenes[[#This Row],[link_checklist]],"abrir"))</f>
        <v/>
      </c>
      <c r="AM13" s="6" t="inlineStr"/>
      <c r="AN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Row],[tipo_ot]]="","",_xlfn.XLOOKUP(tblOrdenes[[#This Row],[tipo_ot]],tblTiposOT[codigo],tblTiposOT[clasificacion],"sin_clasificar"))</f>
        <v/>
      </c>
      <c r="T14" s="3">
        <f>IF(tblOrdenes[[#This Row],[centro_costo]]="","",_xlfn.XLOOKUP(tblOrdenes[[#This Row],[centro_costo]],tblCECO[codigo],tblCECO[linea],"(sin catálogo)"))</f>
        <v/>
      </c>
      <c r="U14" s="3">
        <f>IF(tblOrdenes[[#This Row],[centro_costo]]="","",_xlfn.XLOOKUP(tblOrdenes[[#This Row],[centro_costo]],tblCECO[codigo],tblCECO[area],"(sin catálogo)"))</f>
        <v/>
      </c>
      <c r="V14" s="3">
        <f>IF(tblOrdenes[[#This Row],[centro_costo]]="","",_xlfn.XLOOKUP(tblOrdenes[[#This Row],[centro_costo]],tblCECO[codigo],tblCECO[coordinador],"(sin catálogo)"))</f>
        <v/>
      </c>
      <c r="W14" s="3">
        <f>IF(tblOrdenes[[#This Row],[puesto_trabajo]]="","",_xlfn.XLOOKUP(tblOrdenes[[#This Row],[puesto_trabajo]],tblPuestos[codigo],tblPuestos[especialidad],"(sin catálogo)"))</f>
        <v/>
      </c>
      <c r="X14" s="3">
        <f>IF(tblOrdenes[[#This Row],[cod_actividad]]="","",_xlfn.XLOOKUP(tblOrdenes[[#This Row],[cod_actividad]],tblActividades[codigo],tblActividades[descripcion],"(sin catálogo)"))</f>
        <v/>
      </c>
      <c r="Y14" s="12">
        <f>IF(tblOrdenes[[#This Row],[fecha_inicio]]="","",TODAY()-tblOrdenes[[#This Row],[fecha_inicio]])</f>
        <v/>
      </c>
      <c r="Z14" s="3">
        <f>IF(tblOrdenes[[#This Row],[backlog_dias]]="","",IF(tblOrdenes[[#This Row],[backlog_dias]]&lt;0,"FUTURO",IF(tblOrdenes[[#This Row],[backlog_dias]]&gt;p_dias_backlog_max,"BACKLOG","MES CORRIENTE")))</f>
        <v/>
      </c>
      <c r="AA14" s="3">
        <f>IF(tblOrdenes[[#This Row],[backlog_dias]]="",FALSE,AND(tblOrdenes[[#This Row],[backlog_dias]]&gt;p_dias_backlog_min,tblOrdenes[[#This Row],[backlog_dias]]&lt;=p_dias_backlog_max))</f>
        <v/>
      </c>
      <c r="AB14" s="6" t="inlineStr">
        <is>
          <t>Técnico 03</t>
        </is>
      </c>
      <c r="AC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" s="10">
        <f>IF(tblOrdenes[[#This Row],[orden]]="","",_xlfn.XLOOKUP(tblOrdenes[[#This Row],[id_operacion]],tblEjecucion[id_operacion],tblEjecucion[precio],0))</f>
        <v/>
      </c>
      <c r="AG14" s="10">
        <f>IF(tblOrdenes[[#This Row],[orden]]="","",MAX(0,_xlfn.XLOOKUP(tblOrdenes[[#This Row],[id_operacion]],tblEjecucion[id_operacion],tblEjecucion[costo_plan_total],0)-tblOrdenes[[#This Row],[costo_servicio]]))</f>
        <v/>
      </c>
      <c r="AH14" s="10">
        <f>IF(tblOrdenes[[#This Row],[orden]]="","",tblOrdenes[[#This Row],[costo_servicio]]+tblOrdenes[[#This Row],[costo_materiales]])</f>
        <v/>
      </c>
      <c r="AI14" s="6" t="inlineStr"/>
      <c r="AJ14" s="6" t="inlineStr"/>
      <c r="AK14" s="6" t="inlineStr"/>
      <c r="AL14" s="3">
        <f>IF(tblOrdenes[[#This Row],[link_checklist]]="","",HYPERLINK(p_ruta_base_checklists&amp;tblOrdenes[[#This Row],[link_checklist]],"abrir"))</f>
        <v/>
      </c>
      <c r="AM14" s="6" t="inlineStr"/>
      <c r="AN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Row],[tipo_ot]]="","",_xlfn.XLOOKUP(tblOrdenes[[#This Row],[tipo_ot]],tblTiposOT[codigo],tblTiposOT[clasificacion],"sin_clasificar"))</f>
        <v/>
      </c>
      <c r="T15" s="3">
        <f>IF(tblOrdenes[[#This Row],[centro_costo]]="","",_xlfn.XLOOKUP(tblOrdenes[[#This Row],[centro_costo]],tblCECO[codigo],tblCECO[linea],"(sin catálogo)"))</f>
        <v/>
      </c>
      <c r="U15" s="3">
        <f>IF(tblOrdenes[[#This Row],[centro_costo]]="","",_xlfn.XLOOKUP(tblOrdenes[[#This Row],[centro_costo]],tblCECO[codigo],tblCECO[area],"(sin catálogo)"))</f>
        <v/>
      </c>
      <c r="V15" s="3">
        <f>IF(tblOrdenes[[#This Row],[centro_costo]]="","",_xlfn.XLOOKUP(tblOrdenes[[#This Row],[centro_costo]],tblCECO[codigo],tblCECO[coordinador],"(sin catálogo)"))</f>
        <v/>
      </c>
      <c r="W15" s="3">
        <f>IF(tblOrdenes[[#This Row],[puesto_trabajo]]="","",_xlfn.XLOOKUP(tblOrdenes[[#This Row],[puesto_trabajo]],tblPuestos[codigo],tblPuestos[especialidad],"(sin catálogo)"))</f>
        <v/>
      </c>
      <c r="X15" s="3">
        <f>IF(tblOrdenes[[#This Row],[cod_actividad]]="","",_xlfn.XLOOKUP(tblOrdenes[[#This Row],[cod_actividad]],tblActividades[codigo],tblActividades[descripcion],"(sin catálogo)"))</f>
        <v/>
      </c>
      <c r="Y15" s="12">
        <f>IF(tblOrdenes[[#This Row],[fecha_inicio]]="","",TODAY()-tblOrdenes[[#This Row],[fecha_inicio]])</f>
        <v/>
      </c>
      <c r="Z15" s="3">
        <f>IF(tblOrdenes[[#This Row],[backlog_dias]]="","",IF(tblOrdenes[[#This Row],[backlog_dias]]&lt;0,"FUTURO",IF(tblOrdenes[[#This Row],[backlog_dias]]&gt;p_dias_backlog_max,"BACKLOG","MES CORRIENTE")))</f>
        <v/>
      </c>
      <c r="AA15" s="3">
        <f>IF(tblOrdenes[[#This Row],[backlog_dias]]="",FALSE,AND(tblOrdenes[[#This Row],[backlog_dias]]&gt;p_dias_backlog_min,tblOrdenes[[#This Row],[backlog_dias]]&lt;=p_dias_backlog_max))</f>
        <v/>
      </c>
      <c r="AB15" s="6" t="inlineStr"/>
      <c r="AC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" s="10">
        <f>IF(tblOrdenes[[#This Row],[orden]]="","",_xlfn.XLOOKUP(tblOrdenes[[#This Row],[id_operacion]],tblEjecucion[id_operacion],tblEjecucion[precio],0))</f>
        <v/>
      </c>
      <c r="AG15" s="10">
        <f>IF(tblOrdenes[[#This Row],[orden]]="","",MAX(0,_xlfn.XLOOKUP(tblOrdenes[[#This Row],[id_operacion]],tblEjecucion[id_operacion],tblEjecucion[costo_plan_total],0)-tblOrdenes[[#This Row],[costo_servicio]]))</f>
        <v/>
      </c>
      <c r="AH15" s="10">
        <f>IF(tblOrdenes[[#This Row],[orden]]="","",tblOrdenes[[#This Row],[costo_servicio]]+tblOrdenes[[#This Row],[costo_materiales]])</f>
        <v/>
      </c>
      <c r="AI15" s="6" t="inlineStr">
        <is>
          <t>PT-CALIENTE</t>
        </is>
      </c>
      <c r="AJ15" s="6" t="inlineStr">
        <is>
          <t>LOTO</t>
        </is>
      </c>
      <c r="AK15" s="6" t="inlineStr"/>
      <c r="AL15" s="3">
        <f>IF(tblOrdenes[[#This Row],[link_checklist]]="","",HYPERLINK(p_ruta_base_checklists&amp;tblOrdenes[[#This Row],[link_checklist]],"abrir"))</f>
        <v/>
      </c>
      <c r="AM15" s="6" t="inlineStr"/>
      <c r="AN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Row],[tipo_ot]]="","",_xlfn.XLOOKUP(tblOrdenes[[#This Row],[tipo_ot]],tblTiposOT[codigo],tblTiposOT[clasificacion],"sin_clasificar"))</f>
        <v/>
      </c>
      <c r="T16" s="3">
        <f>IF(tblOrdenes[[#This Row],[centro_costo]]="","",_xlfn.XLOOKUP(tblOrdenes[[#This Row],[centro_costo]],tblCECO[codigo],tblCECO[linea],"(sin catálogo)"))</f>
        <v/>
      </c>
      <c r="U16" s="3">
        <f>IF(tblOrdenes[[#This Row],[centro_costo]]="","",_xlfn.XLOOKUP(tblOrdenes[[#This Row],[centro_costo]],tblCECO[codigo],tblCECO[area],"(sin catálogo)"))</f>
        <v/>
      </c>
      <c r="V16" s="3">
        <f>IF(tblOrdenes[[#This Row],[centro_costo]]="","",_xlfn.XLOOKUP(tblOrdenes[[#This Row],[centro_costo]],tblCECO[codigo],tblCECO[coordinador],"(sin catálogo)"))</f>
        <v/>
      </c>
      <c r="W16" s="3">
        <f>IF(tblOrdenes[[#This Row],[puesto_trabajo]]="","",_xlfn.XLOOKUP(tblOrdenes[[#This Row],[puesto_trabajo]],tblPuestos[codigo],tblPuestos[especialidad],"(sin catálogo)"))</f>
        <v/>
      </c>
      <c r="X16" s="3">
        <f>IF(tblOrdenes[[#This Row],[cod_actividad]]="","",_xlfn.XLOOKUP(tblOrdenes[[#This Row],[cod_actividad]],tblActividades[codigo],tblActividades[descripcion],"(sin catálogo)"))</f>
        <v/>
      </c>
      <c r="Y16" s="12">
        <f>IF(tblOrdenes[[#This Row],[fecha_inicio]]="","",TODAY()-tblOrdenes[[#This Row],[fecha_inicio]])</f>
        <v/>
      </c>
      <c r="Z16" s="3">
        <f>IF(tblOrdenes[[#This Row],[backlog_dias]]="","",IF(tblOrdenes[[#This Row],[backlog_dias]]&lt;0,"FUTURO",IF(tblOrdenes[[#This Row],[backlog_dias]]&gt;p_dias_backlog_max,"BACKLOG","MES CORRIENTE")))</f>
        <v/>
      </c>
      <c r="AA16" s="3">
        <f>IF(tblOrdenes[[#This Row],[backlog_dias]]="",FALSE,AND(tblOrdenes[[#This Row],[backlog_dias]]&gt;p_dias_backlog_min,tblOrdenes[[#This Row],[backlog_dias]]&lt;=p_dias_backlog_max))</f>
        <v/>
      </c>
      <c r="AB16" s="6" t="inlineStr">
        <is>
          <t>Técnico 01</t>
        </is>
      </c>
      <c r="AC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" s="10">
        <f>IF(tblOrdenes[[#This Row],[orden]]="","",_xlfn.XLOOKUP(tblOrdenes[[#This Row],[id_operacion]],tblEjecucion[id_operacion],tblEjecucion[precio],0))</f>
        <v/>
      </c>
      <c r="AG16" s="10">
        <f>IF(tblOrdenes[[#This Row],[orden]]="","",MAX(0,_xlfn.XLOOKUP(tblOrdenes[[#This Row],[id_operacion]],tblEjecucion[id_operacion],tblEjecucion[costo_plan_total],0)-tblOrdenes[[#This Row],[costo_servicio]]))</f>
        <v/>
      </c>
      <c r="AH16" s="10">
        <f>IF(tblOrdenes[[#This Row],[orden]]="","",tblOrdenes[[#This Row],[costo_servicio]]+tblOrdenes[[#This Row],[costo_materiales]])</f>
        <v/>
      </c>
      <c r="AI16" s="6" t="inlineStr"/>
      <c r="AJ16" s="6" t="inlineStr"/>
      <c r="AK16" s="6" t="inlineStr">
        <is>
          <t>ACT-02.pdf</t>
        </is>
      </c>
      <c r="AL16" s="3">
        <f>IF(tblOrdenes[[#This Row],[link_checklist]]="","",HYPERLINK(p_ruta_base_checklists&amp;tblOrdenes[[#This Row],[link_checklist]],"abrir"))</f>
        <v/>
      </c>
      <c r="AM16" s="6" t="inlineStr"/>
      <c r="AN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Row],[tipo_ot]]="","",_xlfn.XLOOKUP(tblOrdenes[[#This Row],[tipo_ot]],tblTiposOT[codigo],tblTiposOT[clasificacion],"sin_clasificar"))</f>
        <v/>
      </c>
      <c r="T17" s="3">
        <f>IF(tblOrdenes[[#This Row],[centro_costo]]="","",_xlfn.XLOOKUP(tblOrdenes[[#This Row],[centro_costo]],tblCECO[codigo],tblCECO[linea],"(sin catálogo)"))</f>
        <v/>
      </c>
      <c r="U17" s="3">
        <f>IF(tblOrdenes[[#This Row],[centro_costo]]="","",_xlfn.XLOOKUP(tblOrdenes[[#This Row],[centro_costo]],tblCECO[codigo],tblCECO[area],"(sin catálogo)"))</f>
        <v/>
      </c>
      <c r="V17" s="3">
        <f>IF(tblOrdenes[[#This Row],[centro_costo]]="","",_xlfn.XLOOKUP(tblOrdenes[[#This Row],[centro_costo]],tblCECO[codigo],tblCECO[coordinador],"(sin catálogo)"))</f>
        <v/>
      </c>
      <c r="W17" s="3">
        <f>IF(tblOrdenes[[#This Row],[puesto_trabajo]]="","",_xlfn.XLOOKUP(tblOrdenes[[#This Row],[puesto_trabajo]],tblPuestos[codigo],tblPuestos[especialidad],"(sin catálogo)"))</f>
        <v/>
      </c>
      <c r="X17" s="3">
        <f>IF(tblOrdenes[[#This Row],[cod_actividad]]="","",_xlfn.XLOOKUP(tblOrdenes[[#This Row],[cod_actividad]],tblActividades[codigo],tblActividades[descripcion],"(sin catálogo)"))</f>
        <v/>
      </c>
      <c r="Y17" s="12">
        <f>IF(tblOrdenes[[#This Row],[fecha_inicio]]="","",TODAY()-tblOrdenes[[#This Row],[fecha_inicio]])</f>
        <v/>
      </c>
      <c r="Z17" s="3">
        <f>IF(tblOrdenes[[#This Row],[backlog_dias]]="","",IF(tblOrdenes[[#This Row],[backlog_dias]]&lt;0,"FUTURO",IF(tblOrdenes[[#This Row],[backlog_dias]]&gt;p_dias_backlog_max,"BACKLOG","MES CORRIENTE")))</f>
        <v/>
      </c>
      <c r="AA17" s="3">
        <f>IF(tblOrdenes[[#This Row],[backlog_dias]]="",FALSE,AND(tblOrdenes[[#This Row],[backlog_dias]]&gt;p_dias_backlog_min,tblOrdenes[[#This Row],[backlog_dias]]&lt;=p_dias_backlog_max))</f>
        <v/>
      </c>
      <c r="AB17" s="6" t="inlineStr">
        <is>
          <t>Técnico 02</t>
        </is>
      </c>
      <c r="AC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" s="10">
        <f>IF(tblOrdenes[[#This Row],[orden]]="","",_xlfn.XLOOKUP(tblOrdenes[[#This Row],[id_operacion]],tblEjecucion[id_operacion],tblEjecucion[precio],0))</f>
        <v/>
      </c>
      <c r="AG17" s="10">
        <f>IF(tblOrdenes[[#This Row],[orden]]="","",MAX(0,_xlfn.XLOOKUP(tblOrdenes[[#This Row],[id_operacion]],tblEjecucion[id_operacion],tblEjecucion[costo_plan_total],0)-tblOrdenes[[#This Row],[costo_servicio]]))</f>
        <v/>
      </c>
      <c r="AH17" s="10">
        <f>IF(tblOrdenes[[#This Row],[orden]]="","",tblOrdenes[[#This Row],[costo_servicio]]+tblOrdenes[[#This Row],[costo_materiales]])</f>
        <v/>
      </c>
      <c r="AI17" s="6" t="inlineStr"/>
      <c r="AJ17" s="6" t="inlineStr"/>
      <c r="AK17" s="6" t="inlineStr">
        <is>
          <t>ACT-04.pdf</t>
        </is>
      </c>
      <c r="AL17" s="3">
        <f>IF(tblOrdenes[[#This Row],[link_checklist]]="","",HYPERLINK(p_ruta_base_checklists&amp;tblOrdenes[[#This Row],[link_checklist]],"abrir"))</f>
        <v/>
      </c>
      <c r="AM17" s="6" t="inlineStr"/>
      <c r="AN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Row],[tipo_ot]]="","",_xlfn.XLOOKUP(tblOrdenes[[#This Row],[tipo_ot]],tblTiposOT[codigo],tblTiposOT[clasificacion],"sin_clasificar"))</f>
        <v/>
      </c>
      <c r="T18" s="3">
        <f>IF(tblOrdenes[[#This Row],[centro_costo]]="","",_xlfn.XLOOKUP(tblOrdenes[[#This Row],[centro_costo]],tblCECO[codigo],tblCECO[linea],"(sin catálogo)"))</f>
        <v/>
      </c>
      <c r="U18" s="3">
        <f>IF(tblOrdenes[[#This Row],[centro_costo]]="","",_xlfn.XLOOKUP(tblOrdenes[[#This Row],[centro_costo]],tblCECO[codigo],tblCECO[area],"(sin catálogo)"))</f>
        <v/>
      </c>
      <c r="V18" s="3">
        <f>IF(tblOrdenes[[#This Row],[centro_costo]]="","",_xlfn.XLOOKUP(tblOrdenes[[#This Row],[centro_costo]],tblCECO[codigo],tblCECO[coordinador],"(sin catálogo)"))</f>
        <v/>
      </c>
      <c r="W18" s="3">
        <f>IF(tblOrdenes[[#This Row],[puesto_trabajo]]="","",_xlfn.XLOOKUP(tblOrdenes[[#This Row],[puesto_trabajo]],tblPuestos[codigo],tblPuestos[especialidad],"(sin catálogo)"))</f>
        <v/>
      </c>
      <c r="X18" s="3">
        <f>IF(tblOrdenes[[#This Row],[cod_actividad]]="","",_xlfn.XLOOKUP(tblOrdenes[[#This Row],[cod_actividad]],tblActividades[codigo],tblActividades[descripcion],"(sin catálogo)"))</f>
        <v/>
      </c>
      <c r="Y18" s="12">
        <f>IF(tblOrdenes[[#This Row],[fecha_inicio]]="","",TODAY()-tblOrdenes[[#This Row],[fecha_inicio]])</f>
        <v/>
      </c>
      <c r="Z18" s="3">
        <f>IF(tblOrdenes[[#This Row],[backlog_dias]]="","",IF(tblOrdenes[[#This Row],[backlog_dias]]&lt;0,"FUTURO",IF(tblOrdenes[[#This Row],[backlog_dias]]&gt;p_dias_backlog_max,"BACKLOG","MES CORRIENTE")))</f>
        <v/>
      </c>
      <c r="AA18" s="3">
        <f>IF(tblOrdenes[[#This Row],[backlog_dias]]="",FALSE,AND(tblOrdenes[[#This Row],[backlog_dias]]&gt;p_dias_backlog_min,tblOrdenes[[#This Row],[backlog_dias]]&lt;=p_dias_backlog_max))</f>
        <v/>
      </c>
      <c r="AB18" s="6" t="inlineStr">
        <is>
          <t>Técnico 03</t>
        </is>
      </c>
      <c r="AC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" s="10">
        <f>IF(tblOrdenes[[#This Row],[orden]]="","",_xlfn.XLOOKUP(tblOrdenes[[#This Row],[id_operacion]],tblEjecucion[id_operacion],tblEjecucion[precio],0))</f>
        <v/>
      </c>
      <c r="AG18" s="10">
        <f>IF(tblOrdenes[[#This Row],[orden]]="","",MAX(0,_xlfn.XLOOKUP(tblOrdenes[[#This Row],[id_operacion]],tblEjecucion[id_operacion],tblEjecucion[costo_plan_total],0)-tblOrdenes[[#This Row],[costo_servicio]]))</f>
        <v/>
      </c>
      <c r="AH18" s="10">
        <f>IF(tblOrdenes[[#This Row],[orden]]="","",tblOrdenes[[#This Row],[costo_servicio]]+tblOrdenes[[#This Row],[costo_materiales]])</f>
        <v/>
      </c>
      <c r="AI18" s="6" t="inlineStr"/>
      <c r="AJ18" s="6" t="inlineStr"/>
      <c r="AK18" s="6" t="inlineStr">
        <is>
          <t>ACT-01.pdf</t>
        </is>
      </c>
      <c r="AL18" s="3">
        <f>IF(tblOrdenes[[#This Row],[link_checklist]]="","",HYPERLINK(p_ruta_base_checklists&amp;tblOrdenes[[#This Row],[link_checklist]],"abrir"))</f>
        <v/>
      </c>
      <c r="AM18" s="6" t="inlineStr"/>
      <c r="AN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Row],[tipo_ot]]="","",_xlfn.XLOOKUP(tblOrdenes[[#This Row],[tipo_ot]],tblTiposOT[codigo],tblTiposOT[clasificacion],"sin_clasificar"))</f>
        <v/>
      </c>
      <c r="T19" s="3">
        <f>IF(tblOrdenes[[#This Row],[centro_costo]]="","",_xlfn.XLOOKUP(tblOrdenes[[#This Row],[centro_costo]],tblCECO[codigo],tblCECO[linea],"(sin catálogo)"))</f>
        <v/>
      </c>
      <c r="U19" s="3">
        <f>IF(tblOrdenes[[#This Row],[centro_costo]]="","",_xlfn.XLOOKUP(tblOrdenes[[#This Row],[centro_costo]],tblCECO[codigo],tblCECO[area],"(sin catálogo)"))</f>
        <v/>
      </c>
      <c r="V19" s="3">
        <f>IF(tblOrdenes[[#This Row],[centro_costo]]="","",_xlfn.XLOOKUP(tblOrdenes[[#This Row],[centro_costo]],tblCECO[codigo],tblCECO[coordinador],"(sin catálogo)"))</f>
        <v/>
      </c>
      <c r="W19" s="3">
        <f>IF(tblOrdenes[[#This Row],[puesto_trabajo]]="","",_xlfn.XLOOKUP(tblOrdenes[[#This Row],[puesto_trabajo]],tblPuestos[codigo],tblPuestos[especialidad],"(sin catálogo)"))</f>
        <v/>
      </c>
      <c r="X19" s="3">
        <f>IF(tblOrdenes[[#This Row],[cod_actividad]]="","",_xlfn.XLOOKUP(tblOrdenes[[#This Row],[cod_actividad]],tblActividades[codigo],tblActividades[descripcion],"(sin catálogo)"))</f>
        <v/>
      </c>
      <c r="Y19" s="12">
        <f>IF(tblOrdenes[[#This Row],[fecha_inicio]]="","",TODAY()-tblOrdenes[[#This Row],[fecha_inicio]])</f>
        <v/>
      </c>
      <c r="Z19" s="3">
        <f>IF(tblOrdenes[[#This Row],[backlog_dias]]="","",IF(tblOrdenes[[#This Row],[backlog_dias]]&lt;0,"FUTURO",IF(tblOrdenes[[#This Row],[backlog_dias]]&gt;p_dias_backlog_max,"BACKLOG","MES CORRIENTE")))</f>
        <v/>
      </c>
      <c r="AA19" s="3">
        <f>IF(tblOrdenes[[#This Row],[backlog_dias]]="",FALSE,AND(tblOrdenes[[#This Row],[backlog_dias]]&gt;p_dias_backlog_min,tblOrdenes[[#This Row],[backlog_dias]]&lt;=p_dias_backlog_max))</f>
        <v/>
      </c>
      <c r="AB19" s="6" t="inlineStr">
        <is>
          <t>Técnico 04</t>
        </is>
      </c>
      <c r="AC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" s="10">
        <f>IF(tblOrdenes[[#This Row],[orden]]="","",_xlfn.XLOOKUP(tblOrdenes[[#This Row],[id_operacion]],tblEjecucion[id_operacion],tblEjecucion[precio],0))</f>
        <v/>
      </c>
      <c r="AG19" s="10">
        <f>IF(tblOrdenes[[#This Row],[orden]]="","",MAX(0,_xlfn.XLOOKUP(tblOrdenes[[#This Row],[id_operacion]],tblEjecucion[id_operacion],tblEjecucion[costo_plan_total],0)-tblOrdenes[[#This Row],[costo_servicio]]))</f>
        <v/>
      </c>
      <c r="AH19" s="10">
        <f>IF(tblOrdenes[[#This Row],[orden]]="","",tblOrdenes[[#This Row],[costo_servicio]]+tblOrdenes[[#This Row],[costo_materiales]])</f>
        <v/>
      </c>
      <c r="AI19" s="6" t="inlineStr"/>
      <c r="AJ19" s="6" t="inlineStr"/>
      <c r="AK19" s="6" t="inlineStr">
        <is>
          <t>ACT-02.pdf</t>
        </is>
      </c>
      <c r="AL19" s="3">
        <f>IF(tblOrdenes[[#This Row],[link_checklist]]="","",HYPERLINK(p_ruta_base_checklists&amp;tblOrdenes[[#This Row],[link_checklist]],"abrir"))</f>
        <v/>
      </c>
      <c r="AM19" s="6" t="inlineStr"/>
      <c r="AN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Row],[tipo_ot]]="","",_xlfn.XLOOKUP(tblOrdenes[[#This Row],[tipo_ot]],tblTiposOT[codigo],tblTiposOT[clasificacion],"sin_clasificar"))</f>
        <v/>
      </c>
      <c r="T20" s="3">
        <f>IF(tblOrdenes[[#This Row],[centro_costo]]="","",_xlfn.XLOOKUP(tblOrdenes[[#This Row],[centro_costo]],tblCECO[codigo],tblCECO[linea],"(sin catálogo)"))</f>
        <v/>
      </c>
      <c r="U20" s="3">
        <f>IF(tblOrdenes[[#This Row],[centro_costo]]="","",_xlfn.XLOOKUP(tblOrdenes[[#This Row],[centro_costo]],tblCECO[codigo],tblCECO[area],"(sin catálogo)"))</f>
        <v/>
      </c>
      <c r="V20" s="3">
        <f>IF(tblOrdenes[[#This Row],[centro_costo]]="","",_xlfn.XLOOKUP(tblOrdenes[[#This Row],[centro_costo]],tblCECO[codigo],tblCECO[coordinador],"(sin catálogo)"))</f>
        <v/>
      </c>
      <c r="W20" s="3">
        <f>IF(tblOrdenes[[#This Row],[puesto_trabajo]]="","",_xlfn.XLOOKUP(tblOrdenes[[#This Row],[puesto_trabajo]],tblPuestos[codigo],tblPuestos[especialidad],"(sin catálogo)"))</f>
        <v/>
      </c>
      <c r="X20" s="3">
        <f>IF(tblOrdenes[[#This Row],[cod_actividad]]="","",_xlfn.XLOOKUP(tblOrdenes[[#This Row],[cod_actividad]],tblActividades[codigo],tblActividades[descripcion],"(sin catálogo)"))</f>
        <v/>
      </c>
      <c r="Y20" s="12">
        <f>IF(tblOrdenes[[#This Row],[fecha_inicio]]="","",TODAY()-tblOrdenes[[#This Row],[fecha_inicio]])</f>
        <v/>
      </c>
      <c r="Z20" s="3">
        <f>IF(tblOrdenes[[#This Row],[backlog_dias]]="","",IF(tblOrdenes[[#This Row],[backlog_dias]]&lt;0,"FUTURO",IF(tblOrdenes[[#This Row],[backlog_dias]]&gt;p_dias_backlog_max,"BACKLOG","MES CORRIENTE")))</f>
        <v/>
      </c>
      <c r="AA20" s="3">
        <f>IF(tblOrdenes[[#This Row],[backlog_dias]]="",FALSE,AND(tblOrdenes[[#This Row],[backlog_dias]]&gt;p_dias_backlog_min,tblOrdenes[[#This Row],[backlog_dias]]&lt;=p_dias_backlog_max))</f>
        <v/>
      </c>
      <c r="AB20" s="6" t="inlineStr">
        <is>
          <t>Técnico 01</t>
        </is>
      </c>
      <c r="AC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" s="10">
        <f>IF(tblOrdenes[[#This Row],[orden]]="","",_xlfn.XLOOKUP(tblOrdenes[[#This Row],[id_operacion]],tblEjecucion[id_operacion],tblEjecucion[precio],0))</f>
        <v/>
      </c>
      <c r="AG20" s="10">
        <f>IF(tblOrdenes[[#This Row],[orden]]="","",MAX(0,_xlfn.XLOOKUP(tblOrdenes[[#This Row],[id_operacion]],tblEjecucion[id_operacion],tblEjecucion[costo_plan_total],0)-tblOrdenes[[#This Row],[costo_servicio]]))</f>
        <v/>
      </c>
      <c r="AH20" s="10">
        <f>IF(tblOrdenes[[#This Row],[orden]]="","",tblOrdenes[[#This Row],[costo_servicio]]+tblOrdenes[[#This Row],[costo_materiales]])</f>
        <v/>
      </c>
      <c r="AI20" s="6" t="inlineStr"/>
      <c r="AJ20" s="6" t="inlineStr"/>
      <c r="AK20" s="6" t="inlineStr">
        <is>
          <t>ACT-04.pdf</t>
        </is>
      </c>
      <c r="AL20" s="3">
        <f>IF(tblOrdenes[[#This Row],[link_checklist]]="","",HYPERLINK(p_ruta_base_checklists&amp;tblOrdenes[[#This Row],[link_checklist]],"abrir"))</f>
        <v/>
      </c>
      <c r="AM20" s="6" t="inlineStr">
        <is>
          <t>Ajuste 8 → 12 h en hoja AJUSTES</t>
        </is>
      </c>
      <c r="AN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Row],[tipo_ot]]="","",_xlfn.XLOOKUP(tblOrdenes[[#This Row],[tipo_ot]],tblTiposOT[codigo],tblTiposOT[clasificacion],"sin_clasificar"))</f>
        <v/>
      </c>
      <c r="T21" s="3">
        <f>IF(tblOrdenes[[#This Row],[centro_costo]]="","",_xlfn.XLOOKUP(tblOrdenes[[#This Row],[centro_costo]],tblCECO[codigo],tblCECO[linea],"(sin catálogo)"))</f>
        <v/>
      </c>
      <c r="U21" s="3">
        <f>IF(tblOrdenes[[#This Row],[centro_costo]]="","",_xlfn.XLOOKUP(tblOrdenes[[#This Row],[centro_costo]],tblCECO[codigo],tblCECO[area],"(sin catálogo)"))</f>
        <v/>
      </c>
      <c r="V21" s="3">
        <f>IF(tblOrdenes[[#This Row],[centro_costo]]="","",_xlfn.XLOOKUP(tblOrdenes[[#This Row],[centro_costo]],tblCECO[codigo],tblCECO[coordinador],"(sin catálogo)"))</f>
        <v/>
      </c>
      <c r="W21" s="3">
        <f>IF(tblOrdenes[[#This Row],[puesto_trabajo]]="","",_xlfn.XLOOKUP(tblOrdenes[[#This Row],[puesto_trabajo]],tblPuestos[codigo],tblPuestos[especialidad],"(sin catálogo)"))</f>
        <v/>
      </c>
      <c r="X21" s="3">
        <f>IF(tblOrdenes[[#This Row],[cod_actividad]]="","",_xlfn.XLOOKUP(tblOrdenes[[#This Row],[cod_actividad]],tblActividades[codigo],tblActividades[descripcion],"(sin catálogo)"))</f>
        <v/>
      </c>
      <c r="Y21" s="12">
        <f>IF(tblOrdenes[[#This Row],[fecha_inicio]]="","",TODAY()-tblOrdenes[[#This Row],[fecha_inicio]])</f>
        <v/>
      </c>
      <c r="Z21" s="3">
        <f>IF(tblOrdenes[[#This Row],[backlog_dias]]="","",IF(tblOrdenes[[#This Row],[backlog_dias]]&lt;0,"FUTURO",IF(tblOrdenes[[#This Row],[backlog_dias]]&gt;p_dias_backlog_max,"BACKLOG","MES CORRIENTE")))</f>
        <v/>
      </c>
      <c r="AA21" s="3">
        <f>IF(tblOrdenes[[#This Row],[backlog_dias]]="",FALSE,AND(tblOrdenes[[#This Row],[backlog_dias]]&gt;p_dias_backlog_min,tblOrdenes[[#This Row],[backlog_dias]]&lt;=p_dias_backlog_max))</f>
        <v/>
      </c>
      <c r="AB21" s="6" t="inlineStr">
        <is>
          <t>Técnico 02</t>
        </is>
      </c>
      <c r="AC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" s="10">
        <f>IF(tblOrdenes[[#This Row],[orden]]="","",_xlfn.XLOOKUP(tblOrdenes[[#This Row],[id_operacion]],tblEjecucion[id_operacion],tblEjecucion[precio],0))</f>
        <v/>
      </c>
      <c r="AG21" s="10">
        <f>IF(tblOrdenes[[#This Row],[orden]]="","",MAX(0,_xlfn.XLOOKUP(tblOrdenes[[#This Row],[id_operacion]],tblEjecucion[id_operacion],tblEjecucion[costo_plan_total],0)-tblOrdenes[[#This Row],[costo_servicio]]))</f>
        <v/>
      </c>
      <c r="AH21" s="10">
        <f>IF(tblOrdenes[[#This Row],[orden]]="","",tblOrdenes[[#This Row],[costo_servicio]]+tblOrdenes[[#This Row],[costo_materiales]])</f>
        <v/>
      </c>
      <c r="AI21" s="6" t="inlineStr"/>
      <c r="AJ21" s="6" t="inlineStr"/>
      <c r="AK21" s="6" t="inlineStr">
        <is>
          <t>ACT-01.pdf</t>
        </is>
      </c>
      <c r="AL21" s="3">
        <f>IF(tblOrdenes[[#This Row],[link_checklist]]="","",HYPERLINK(p_ruta_base_checklists&amp;tblOrdenes[[#This Row],[link_checklist]],"abrir"))</f>
        <v/>
      </c>
      <c r="AM21" s="6" t="inlineStr"/>
      <c r="AN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Row],[tipo_ot]]="","",_xlfn.XLOOKUP(tblOrdenes[[#This Row],[tipo_ot]],tblTiposOT[codigo],tblTiposOT[clasificacion],"sin_clasificar"))</f>
        <v/>
      </c>
      <c r="T22" s="3">
        <f>IF(tblOrdenes[[#This Row],[centro_costo]]="","",_xlfn.XLOOKUP(tblOrdenes[[#This Row],[centro_costo]],tblCECO[codigo],tblCECO[linea],"(sin catálogo)"))</f>
        <v/>
      </c>
      <c r="U22" s="3">
        <f>IF(tblOrdenes[[#This Row],[centro_costo]]="","",_xlfn.XLOOKUP(tblOrdenes[[#This Row],[centro_costo]],tblCECO[codigo],tblCECO[area],"(sin catálogo)"))</f>
        <v/>
      </c>
      <c r="V22" s="3">
        <f>IF(tblOrdenes[[#This Row],[centro_costo]]="","",_xlfn.XLOOKUP(tblOrdenes[[#This Row],[centro_costo]],tblCECO[codigo],tblCECO[coordinador],"(sin catálogo)"))</f>
        <v/>
      </c>
      <c r="W22" s="3">
        <f>IF(tblOrdenes[[#This Row],[puesto_trabajo]]="","",_xlfn.XLOOKUP(tblOrdenes[[#This Row],[puesto_trabajo]],tblPuestos[codigo],tblPuestos[especialidad],"(sin catálogo)"))</f>
        <v/>
      </c>
      <c r="X22" s="3">
        <f>IF(tblOrdenes[[#This Row],[cod_actividad]]="","",_xlfn.XLOOKUP(tblOrdenes[[#This Row],[cod_actividad]],tblActividades[codigo],tblActividades[descripcion],"(sin catálogo)"))</f>
        <v/>
      </c>
      <c r="Y22" s="12">
        <f>IF(tblOrdenes[[#This Row],[fecha_inicio]]="","",TODAY()-tblOrdenes[[#This Row],[fecha_inicio]])</f>
        <v/>
      </c>
      <c r="Z22" s="3">
        <f>IF(tblOrdenes[[#This Row],[backlog_dias]]="","",IF(tblOrdenes[[#This Row],[backlog_dias]]&lt;0,"FUTURO",IF(tblOrdenes[[#This Row],[backlog_dias]]&gt;p_dias_backlog_max,"BACKLOG","MES CORRIENTE")))</f>
        <v/>
      </c>
      <c r="AA22" s="3">
        <f>IF(tblOrdenes[[#This Row],[backlog_dias]]="",FALSE,AND(tblOrdenes[[#This Row],[backlog_dias]]&gt;p_dias_backlog_min,tblOrdenes[[#This Row],[backlog_dias]]&lt;=p_dias_backlog_max))</f>
        <v/>
      </c>
      <c r="AB22" s="6" t="inlineStr">
        <is>
          <t>Técnico 03</t>
        </is>
      </c>
      <c r="AC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" s="10">
        <f>IF(tblOrdenes[[#This Row],[orden]]="","",_xlfn.XLOOKUP(tblOrdenes[[#This Row],[id_operacion]],tblEjecucion[id_operacion],tblEjecucion[precio],0))</f>
        <v/>
      </c>
      <c r="AG22" s="10">
        <f>IF(tblOrdenes[[#This Row],[orden]]="","",MAX(0,_xlfn.XLOOKUP(tblOrdenes[[#This Row],[id_operacion]],tblEjecucion[id_operacion],tblEjecucion[costo_plan_total],0)-tblOrdenes[[#This Row],[costo_servicio]]))</f>
        <v/>
      </c>
      <c r="AH22" s="10">
        <f>IF(tblOrdenes[[#This Row],[orden]]="","",tblOrdenes[[#This Row],[costo_servicio]]+tblOrdenes[[#This Row],[costo_materiales]])</f>
        <v/>
      </c>
      <c r="AI22" s="6" t="inlineStr"/>
      <c r="AJ22" s="6" t="inlineStr"/>
      <c r="AK22" s="6" t="inlineStr">
        <is>
          <t>ACT-02.pdf</t>
        </is>
      </c>
      <c r="AL22" s="3">
        <f>IF(tblOrdenes[[#This Row],[link_checklist]]="","",HYPERLINK(p_ruta_base_checklists&amp;tblOrdenes[[#This Row],[link_checklist]],"abrir"))</f>
        <v/>
      </c>
      <c r="AM22" s="6" t="inlineStr"/>
      <c r="AN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Row],[tipo_ot]]="","",_xlfn.XLOOKUP(tblOrdenes[[#This Row],[tipo_ot]],tblTiposOT[codigo],tblTiposOT[clasificacion],"sin_clasificar"))</f>
        <v/>
      </c>
      <c r="T23" s="3">
        <f>IF(tblOrdenes[[#This Row],[centro_costo]]="","",_xlfn.XLOOKUP(tblOrdenes[[#This Row],[centro_costo]],tblCECO[codigo],tblCECO[linea],"(sin catálogo)"))</f>
        <v/>
      </c>
      <c r="U23" s="3">
        <f>IF(tblOrdenes[[#This Row],[centro_costo]]="","",_xlfn.XLOOKUP(tblOrdenes[[#This Row],[centro_costo]],tblCECO[codigo],tblCECO[area],"(sin catálogo)"))</f>
        <v/>
      </c>
      <c r="V23" s="3">
        <f>IF(tblOrdenes[[#This Row],[centro_costo]]="","",_xlfn.XLOOKUP(tblOrdenes[[#This Row],[centro_costo]],tblCECO[codigo],tblCECO[coordinador],"(sin catálogo)"))</f>
        <v/>
      </c>
      <c r="W23" s="3">
        <f>IF(tblOrdenes[[#This Row],[puesto_trabajo]]="","",_xlfn.XLOOKUP(tblOrdenes[[#This Row],[puesto_trabajo]],tblPuestos[codigo],tblPuestos[especialidad],"(sin catálogo)"))</f>
        <v/>
      </c>
      <c r="X23" s="3">
        <f>IF(tblOrdenes[[#This Row],[cod_actividad]]="","",_xlfn.XLOOKUP(tblOrdenes[[#This Row],[cod_actividad]],tblActividades[codigo],tblActividades[descripcion],"(sin catálogo)"))</f>
        <v/>
      </c>
      <c r="Y23" s="12">
        <f>IF(tblOrdenes[[#This Row],[fecha_inicio]]="","",TODAY()-tblOrdenes[[#This Row],[fecha_inicio]])</f>
        <v/>
      </c>
      <c r="Z23" s="3">
        <f>IF(tblOrdenes[[#This Row],[backlog_dias]]="","",IF(tblOrdenes[[#This Row],[backlog_dias]]&lt;0,"FUTURO",IF(tblOrdenes[[#This Row],[backlog_dias]]&gt;p_dias_backlog_max,"BACKLOG","MES CORRIENTE")))</f>
        <v/>
      </c>
      <c r="AA23" s="3">
        <f>IF(tblOrdenes[[#This Row],[backlog_dias]]="",FALSE,AND(tblOrdenes[[#This Row],[backlog_dias]]&gt;p_dias_backlog_min,tblOrdenes[[#This Row],[backlog_dias]]&lt;=p_dias_backlog_max))</f>
        <v/>
      </c>
      <c r="AB23" s="6" t="inlineStr">
        <is>
          <t>Técnico 04</t>
        </is>
      </c>
      <c r="AC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" s="10">
        <f>IF(tblOrdenes[[#This Row],[orden]]="","",_xlfn.XLOOKUP(tblOrdenes[[#This Row],[id_operacion]],tblEjecucion[id_operacion],tblEjecucion[precio],0))</f>
        <v/>
      </c>
      <c r="AG23" s="10">
        <f>IF(tblOrdenes[[#This Row],[orden]]="","",MAX(0,_xlfn.XLOOKUP(tblOrdenes[[#This Row],[id_operacion]],tblEjecucion[id_operacion],tblEjecucion[costo_plan_total],0)-tblOrdenes[[#This Row],[costo_servicio]]))</f>
        <v/>
      </c>
      <c r="AH23" s="10">
        <f>IF(tblOrdenes[[#This Row],[orden]]="","",tblOrdenes[[#This Row],[costo_servicio]]+tblOrdenes[[#This Row],[costo_materiales]])</f>
        <v/>
      </c>
      <c r="AI23" s="6" t="inlineStr"/>
      <c r="AJ23" s="6" t="inlineStr"/>
      <c r="AK23" s="6" t="inlineStr">
        <is>
          <t>ACT-04.pdf</t>
        </is>
      </c>
      <c r="AL23" s="3">
        <f>IF(tblOrdenes[[#This Row],[link_checklist]]="","",HYPERLINK(p_ruta_base_checklists&amp;tblOrdenes[[#This Row],[link_checklist]],"abrir"))</f>
        <v/>
      </c>
      <c r="AM23" s="6" t="inlineStr"/>
      <c r="AN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Row],[tipo_ot]]="","",_xlfn.XLOOKUP(tblOrdenes[[#This Row],[tipo_ot]],tblTiposOT[codigo],tblTiposOT[clasificacion],"sin_clasificar"))</f>
        <v/>
      </c>
      <c r="T24" s="3">
        <f>IF(tblOrdenes[[#This Row],[centro_costo]]="","",_xlfn.XLOOKUP(tblOrdenes[[#This Row],[centro_costo]],tblCECO[codigo],tblCECO[linea],"(sin catálogo)"))</f>
        <v/>
      </c>
      <c r="U24" s="3">
        <f>IF(tblOrdenes[[#This Row],[centro_costo]]="","",_xlfn.XLOOKUP(tblOrdenes[[#This Row],[centro_costo]],tblCECO[codigo],tblCECO[area],"(sin catálogo)"))</f>
        <v/>
      </c>
      <c r="V24" s="3">
        <f>IF(tblOrdenes[[#This Row],[centro_costo]]="","",_xlfn.XLOOKUP(tblOrdenes[[#This Row],[centro_costo]],tblCECO[codigo],tblCECO[coordinador],"(sin catálogo)"))</f>
        <v/>
      </c>
      <c r="W24" s="3">
        <f>IF(tblOrdenes[[#This Row],[puesto_trabajo]]="","",_xlfn.XLOOKUP(tblOrdenes[[#This Row],[puesto_trabajo]],tblPuestos[codigo],tblPuestos[especialidad],"(sin catálogo)"))</f>
        <v/>
      </c>
      <c r="X24" s="3">
        <f>IF(tblOrdenes[[#This Row],[cod_actividad]]="","",_xlfn.XLOOKUP(tblOrdenes[[#This Row],[cod_actividad]],tblActividades[codigo],tblActividades[descripcion],"(sin catálogo)"))</f>
        <v/>
      </c>
      <c r="Y24" s="12">
        <f>IF(tblOrdenes[[#This Row],[fecha_inicio]]="","",TODAY()-tblOrdenes[[#This Row],[fecha_inicio]])</f>
        <v/>
      </c>
      <c r="Z24" s="3">
        <f>IF(tblOrdenes[[#This Row],[backlog_dias]]="","",IF(tblOrdenes[[#This Row],[backlog_dias]]&lt;0,"FUTURO",IF(tblOrdenes[[#This Row],[backlog_dias]]&gt;p_dias_backlog_max,"BACKLOG","MES CORRIENTE")))</f>
        <v/>
      </c>
      <c r="AA24" s="3">
        <f>IF(tblOrdenes[[#This Row],[backlog_dias]]="",FALSE,AND(tblOrdenes[[#This Row],[backlog_dias]]&gt;p_dias_backlog_min,tblOrdenes[[#This Row],[backlog_dias]]&lt;=p_dias_backlog_max))</f>
        <v/>
      </c>
      <c r="AB24" s="6" t="inlineStr">
        <is>
          <t>Técnico 01</t>
        </is>
      </c>
      <c r="AC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" s="10">
        <f>IF(tblOrdenes[[#This Row],[orden]]="","",_xlfn.XLOOKUP(tblOrdenes[[#This Row],[id_operacion]],tblEjecucion[id_operacion],tblEjecucion[precio],0))</f>
        <v/>
      </c>
      <c r="AG24" s="10">
        <f>IF(tblOrdenes[[#This Row],[orden]]="","",MAX(0,_xlfn.XLOOKUP(tblOrdenes[[#This Row],[id_operacion]],tblEjecucion[id_operacion],tblEjecucion[costo_plan_total],0)-tblOrdenes[[#This Row],[costo_servicio]]))</f>
        <v/>
      </c>
      <c r="AH24" s="10">
        <f>IF(tblOrdenes[[#This Row],[orden]]="","",tblOrdenes[[#This Row],[costo_servicio]]+tblOrdenes[[#This Row],[costo_materiales]])</f>
        <v/>
      </c>
      <c r="AI24" s="6" t="inlineStr"/>
      <c r="AJ24" s="6" t="inlineStr"/>
      <c r="AK24" s="6" t="inlineStr">
        <is>
          <t>ACT-01.pdf</t>
        </is>
      </c>
      <c r="AL24" s="3">
        <f>IF(tblOrdenes[[#This Row],[link_checklist]]="","",HYPERLINK(p_ruta_base_checklists&amp;tblOrdenes[[#This Row],[link_checklist]],"abrir"))</f>
        <v/>
      </c>
      <c r="AM24" s="6" t="inlineStr"/>
      <c r="AN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Row],[tipo_ot]]="","",_xlfn.XLOOKUP(tblOrdenes[[#This Row],[tipo_ot]],tblTiposOT[codigo],tblTiposOT[clasificacion],"sin_clasificar"))</f>
        <v/>
      </c>
      <c r="T25" s="3">
        <f>IF(tblOrdenes[[#This Row],[centro_costo]]="","",_xlfn.XLOOKUP(tblOrdenes[[#This Row],[centro_costo]],tblCECO[codigo],tblCECO[linea],"(sin catálogo)"))</f>
        <v/>
      </c>
      <c r="U25" s="3">
        <f>IF(tblOrdenes[[#This Row],[centro_costo]]="","",_xlfn.XLOOKUP(tblOrdenes[[#This Row],[centro_costo]],tblCECO[codigo],tblCECO[area],"(sin catálogo)"))</f>
        <v/>
      </c>
      <c r="V25" s="3">
        <f>IF(tblOrdenes[[#This Row],[centro_costo]]="","",_xlfn.XLOOKUP(tblOrdenes[[#This Row],[centro_costo]],tblCECO[codigo],tblCECO[coordinador],"(sin catálogo)"))</f>
        <v/>
      </c>
      <c r="W25" s="3">
        <f>IF(tblOrdenes[[#This Row],[puesto_trabajo]]="","",_xlfn.XLOOKUP(tblOrdenes[[#This Row],[puesto_trabajo]],tblPuestos[codigo],tblPuestos[especialidad],"(sin catálogo)"))</f>
        <v/>
      </c>
      <c r="X25" s="3">
        <f>IF(tblOrdenes[[#This Row],[cod_actividad]]="","",_xlfn.XLOOKUP(tblOrdenes[[#This Row],[cod_actividad]],tblActividades[codigo],tblActividades[descripcion],"(sin catálogo)"))</f>
        <v/>
      </c>
      <c r="Y25" s="12">
        <f>IF(tblOrdenes[[#This Row],[fecha_inicio]]="","",TODAY()-tblOrdenes[[#This Row],[fecha_inicio]])</f>
        <v/>
      </c>
      <c r="Z25" s="3">
        <f>IF(tblOrdenes[[#This Row],[backlog_dias]]="","",IF(tblOrdenes[[#This Row],[backlog_dias]]&lt;0,"FUTURO",IF(tblOrdenes[[#This Row],[backlog_dias]]&gt;p_dias_backlog_max,"BACKLOG","MES CORRIENTE")))</f>
        <v/>
      </c>
      <c r="AA25" s="3">
        <f>IF(tblOrdenes[[#This Row],[backlog_dias]]="",FALSE,AND(tblOrdenes[[#This Row],[backlog_dias]]&gt;p_dias_backlog_min,tblOrdenes[[#This Row],[backlog_dias]]&lt;=p_dias_backlog_max))</f>
        <v/>
      </c>
      <c r="AB25" s="6" t="inlineStr">
        <is>
          <t>Técnico 02</t>
        </is>
      </c>
      <c r="AC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" s="10">
        <f>IF(tblOrdenes[[#This Row],[orden]]="","",_xlfn.XLOOKUP(tblOrdenes[[#This Row],[id_operacion]],tblEjecucion[id_operacion],tblEjecucion[precio],0))</f>
        <v/>
      </c>
      <c r="AG25" s="10">
        <f>IF(tblOrdenes[[#This Row],[orden]]="","",MAX(0,_xlfn.XLOOKUP(tblOrdenes[[#This Row],[id_operacion]],tblEjecucion[id_operacion],tblEjecucion[costo_plan_total],0)-tblOrdenes[[#This Row],[costo_servicio]]))</f>
        <v/>
      </c>
      <c r="AH25" s="10">
        <f>IF(tblOrdenes[[#This Row],[orden]]="","",tblOrdenes[[#This Row],[costo_servicio]]+tblOrdenes[[#This Row],[costo_materiales]])</f>
        <v/>
      </c>
      <c r="AI25" s="6" t="inlineStr"/>
      <c r="AJ25" s="6" t="inlineStr"/>
      <c r="AK25" s="6" t="inlineStr">
        <is>
          <t>ACT-02.pdf</t>
        </is>
      </c>
      <c r="AL25" s="3">
        <f>IF(tblOrdenes[[#This Row],[link_checklist]]="","",HYPERLINK(p_ruta_base_checklists&amp;tblOrdenes[[#This Row],[link_checklist]],"abrir"))</f>
        <v/>
      </c>
      <c r="AM25" s="6" t="inlineStr"/>
      <c r="AN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Row],[tipo_ot]]="","",_xlfn.XLOOKUP(tblOrdenes[[#This Row],[tipo_ot]],tblTiposOT[codigo],tblTiposOT[clasificacion],"sin_clasificar"))</f>
        <v/>
      </c>
      <c r="T26" s="3">
        <f>IF(tblOrdenes[[#This Row],[centro_costo]]="","",_xlfn.XLOOKUP(tblOrdenes[[#This Row],[centro_costo]],tblCECO[codigo],tblCECO[linea],"(sin catálogo)"))</f>
        <v/>
      </c>
      <c r="U26" s="3">
        <f>IF(tblOrdenes[[#This Row],[centro_costo]]="","",_xlfn.XLOOKUP(tblOrdenes[[#This Row],[centro_costo]],tblCECO[codigo],tblCECO[area],"(sin catálogo)"))</f>
        <v/>
      </c>
      <c r="V26" s="3">
        <f>IF(tblOrdenes[[#This Row],[centro_costo]]="","",_xlfn.XLOOKUP(tblOrdenes[[#This Row],[centro_costo]],tblCECO[codigo],tblCECO[coordinador],"(sin catálogo)"))</f>
        <v/>
      </c>
      <c r="W26" s="3">
        <f>IF(tblOrdenes[[#This Row],[puesto_trabajo]]="","",_xlfn.XLOOKUP(tblOrdenes[[#This Row],[puesto_trabajo]],tblPuestos[codigo],tblPuestos[especialidad],"(sin catálogo)"))</f>
        <v/>
      </c>
      <c r="X26" s="3">
        <f>IF(tblOrdenes[[#This Row],[cod_actividad]]="","",_xlfn.XLOOKUP(tblOrdenes[[#This Row],[cod_actividad]],tblActividades[codigo],tblActividades[descripcion],"(sin catálogo)"))</f>
        <v/>
      </c>
      <c r="Y26" s="12">
        <f>IF(tblOrdenes[[#This Row],[fecha_inicio]]="","",TODAY()-tblOrdenes[[#This Row],[fecha_inicio]])</f>
        <v/>
      </c>
      <c r="Z26" s="3">
        <f>IF(tblOrdenes[[#This Row],[backlog_dias]]="","",IF(tblOrdenes[[#This Row],[backlog_dias]]&lt;0,"FUTURO",IF(tblOrdenes[[#This Row],[backlog_dias]]&gt;p_dias_backlog_max,"BACKLOG","MES CORRIENTE")))</f>
        <v/>
      </c>
      <c r="AA26" s="3">
        <f>IF(tblOrdenes[[#This Row],[backlog_dias]]="",FALSE,AND(tblOrdenes[[#This Row],[backlog_dias]]&gt;p_dias_backlog_min,tblOrdenes[[#This Row],[backlog_dias]]&lt;=p_dias_backlog_max))</f>
        <v/>
      </c>
      <c r="AB26" s="6" t="inlineStr">
        <is>
          <t>Técnico 03</t>
        </is>
      </c>
      <c r="AC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" s="10">
        <f>IF(tblOrdenes[[#This Row],[orden]]="","",_xlfn.XLOOKUP(tblOrdenes[[#This Row],[id_operacion]],tblEjecucion[id_operacion],tblEjecucion[precio],0))</f>
        <v/>
      </c>
      <c r="AG26" s="10">
        <f>IF(tblOrdenes[[#This Row],[orden]]="","",MAX(0,_xlfn.XLOOKUP(tblOrdenes[[#This Row],[id_operacion]],tblEjecucion[id_operacion],tblEjecucion[costo_plan_total],0)-tblOrdenes[[#This Row],[costo_servicio]]))</f>
        <v/>
      </c>
      <c r="AH26" s="10">
        <f>IF(tblOrdenes[[#This Row],[orden]]="","",tblOrdenes[[#This Row],[costo_servicio]]+tblOrdenes[[#This Row],[costo_materiales]])</f>
        <v/>
      </c>
      <c r="AI26" s="6" t="inlineStr"/>
      <c r="AJ26" s="6" t="inlineStr"/>
      <c r="AK26" s="6" t="inlineStr"/>
      <c r="AL26" s="3">
        <f>IF(tblOrdenes[[#This Row],[link_checklist]]="","",HYPERLINK(p_ruta_base_checklists&amp;tblOrdenes[[#This Row],[link_checklist]],"abrir"))</f>
        <v/>
      </c>
      <c r="AM26" s="6" t="inlineStr"/>
      <c r="AN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Row],[tipo_ot]]="","",_xlfn.XLOOKUP(tblOrdenes[[#This Row],[tipo_ot]],tblTiposOT[codigo],tblTiposOT[clasificacion],"sin_clasificar"))</f>
        <v/>
      </c>
      <c r="T27" s="3">
        <f>IF(tblOrdenes[[#This Row],[centro_costo]]="","",_xlfn.XLOOKUP(tblOrdenes[[#This Row],[centro_costo]],tblCECO[codigo],tblCECO[linea],"(sin catálogo)"))</f>
        <v/>
      </c>
      <c r="U27" s="3">
        <f>IF(tblOrdenes[[#This Row],[centro_costo]]="","",_xlfn.XLOOKUP(tblOrdenes[[#This Row],[centro_costo]],tblCECO[codigo],tblCECO[area],"(sin catálogo)"))</f>
        <v/>
      </c>
      <c r="V27" s="3">
        <f>IF(tblOrdenes[[#This Row],[centro_costo]]="","",_xlfn.XLOOKUP(tblOrdenes[[#This Row],[centro_costo]],tblCECO[codigo],tblCECO[coordinador],"(sin catálogo)"))</f>
        <v/>
      </c>
      <c r="W27" s="3">
        <f>IF(tblOrdenes[[#This Row],[puesto_trabajo]]="","",_xlfn.XLOOKUP(tblOrdenes[[#This Row],[puesto_trabajo]],tblPuestos[codigo],tblPuestos[especialidad],"(sin catálogo)"))</f>
        <v/>
      </c>
      <c r="X27" s="3">
        <f>IF(tblOrdenes[[#This Row],[cod_actividad]]="","",_xlfn.XLOOKUP(tblOrdenes[[#This Row],[cod_actividad]],tblActividades[codigo],tblActividades[descripcion],"(sin catálogo)"))</f>
        <v/>
      </c>
      <c r="Y27" s="12">
        <f>IF(tblOrdenes[[#This Row],[fecha_inicio]]="","",TODAY()-tblOrdenes[[#This Row],[fecha_inicio]])</f>
        <v/>
      </c>
      <c r="Z27" s="3">
        <f>IF(tblOrdenes[[#This Row],[backlog_dias]]="","",IF(tblOrdenes[[#This Row],[backlog_dias]]&lt;0,"FUTURO",IF(tblOrdenes[[#This Row],[backlog_dias]]&gt;p_dias_backlog_max,"BACKLOG","MES CORRIENTE")))</f>
        <v/>
      </c>
      <c r="AA27" s="3">
        <f>IF(tblOrdenes[[#This Row],[backlog_dias]]="",FALSE,AND(tblOrdenes[[#This Row],[backlog_dias]]&gt;p_dias_backlog_min,tblOrdenes[[#This Row],[backlog_dias]]&lt;=p_dias_backlog_max))</f>
        <v/>
      </c>
      <c r="AB27" s="6" t="inlineStr"/>
      <c r="AC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" s="10">
        <f>IF(tblOrdenes[[#This Row],[orden]]="","",_xlfn.XLOOKUP(tblOrdenes[[#This Row],[id_operacion]],tblEjecucion[id_operacion],tblEjecucion[precio],0))</f>
        <v/>
      </c>
      <c r="AG27" s="10">
        <f>IF(tblOrdenes[[#This Row],[orden]]="","",MAX(0,_xlfn.XLOOKUP(tblOrdenes[[#This Row],[id_operacion]],tblEjecucion[id_operacion],tblEjecucion[costo_plan_total],0)-tblOrdenes[[#This Row],[costo_servicio]]))</f>
        <v/>
      </c>
      <c r="AH27" s="10">
        <f>IF(tblOrdenes[[#This Row],[orden]]="","",tblOrdenes[[#This Row],[costo_servicio]]+tblOrdenes[[#This Row],[costo_materiales]])</f>
        <v/>
      </c>
      <c r="AI27" s="6" t="inlineStr">
        <is>
          <t>PT-CALIENTE</t>
        </is>
      </c>
      <c r="AJ27" s="6" t="inlineStr">
        <is>
          <t>LOTO</t>
        </is>
      </c>
      <c r="AK27" s="6" t="inlineStr"/>
      <c r="AL27" s="3">
        <f>IF(tblOrdenes[[#This Row],[link_checklist]]="","",HYPERLINK(p_ruta_base_checklists&amp;tblOrdenes[[#This Row],[link_checklist]],"abrir"))</f>
        <v/>
      </c>
      <c r="AM27" s="6" t="inlineStr"/>
      <c r="AN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Row],[tipo_ot]]="","",_xlfn.XLOOKUP(tblOrdenes[[#This Row],[tipo_ot]],tblTiposOT[codigo],tblTiposOT[clasificacion],"sin_clasificar"))</f>
        <v/>
      </c>
      <c r="T28" s="3">
        <f>IF(tblOrdenes[[#This Row],[centro_costo]]="","",_xlfn.XLOOKUP(tblOrdenes[[#This Row],[centro_costo]],tblCECO[codigo],tblCECO[linea],"(sin catálogo)"))</f>
        <v/>
      </c>
      <c r="U28" s="3">
        <f>IF(tblOrdenes[[#This Row],[centro_costo]]="","",_xlfn.XLOOKUP(tblOrdenes[[#This Row],[centro_costo]],tblCECO[codigo],tblCECO[area],"(sin catálogo)"))</f>
        <v/>
      </c>
      <c r="V28" s="3">
        <f>IF(tblOrdenes[[#This Row],[centro_costo]]="","",_xlfn.XLOOKUP(tblOrdenes[[#This Row],[centro_costo]],tblCECO[codigo],tblCECO[coordinador],"(sin catálogo)"))</f>
        <v/>
      </c>
      <c r="W28" s="3">
        <f>IF(tblOrdenes[[#This Row],[puesto_trabajo]]="","",_xlfn.XLOOKUP(tblOrdenes[[#This Row],[puesto_trabajo]],tblPuestos[codigo],tblPuestos[especialidad],"(sin catálogo)"))</f>
        <v/>
      </c>
      <c r="X28" s="3">
        <f>IF(tblOrdenes[[#This Row],[cod_actividad]]="","",_xlfn.XLOOKUP(tblOrdenes[[#This Row],[cod_actividad]],tblActividades[codigo],tblActividades[descripcion],"(sin catálogo)"))</f>
        <v/>
      </c>
      <c r="Y28" s="12">
        <f>IF(tblOrdenes[[#This Row],[fecha_inicio]]="","",TODAY()-tblOrdenes[[#This Row],[fecha_inicio]])</f>
        <v/>
      </c>
      <c r="Z28" s="3">
        <f>IF(tblOrdenes[[#This Row],[backlog_dias]]="","",IF(tblOrdenes[[#This Row],[backlog_dias]]&lt;0,"FUTURO",IF(tblOrdenes[[#This Row],[backlog_dias]]&gt;p_dias_backlog_max,"BACKLOG","MES CORRIENTE")))</f>
        <v/>
      </c>
      <c r="AA28" s="3">
        <f>IF(tblOrdenes[[#This Row],[backlog_dias]]="",FALSE,AND(tblOrdenes[[#This Row],[backlog_dias]]&gt;p_dias_backlog_min,tblOrdenes[[#This Row],[backlog_dias]]&lt;=p_dias_backlog_max))</f>
        <v/>
      </c>
      <c r="AB28" s="6" t="inlineStr">
        <is>
          <t>Técnico 01</t>
        </is>
      </c>
      <c r="AC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" s="10">
        <f>IF(tblOrdenes[[#This Row],[orden]]="","",_xlfn.XLOOKUP(tblOrdenes[[#This Row],[id_operacion]],tblEjecucion[id_operacion],tblEjecucion[precio],0))</f>
        <v/>
      </c>
      <c r="AG28" s="10">
        <f>IF(tblOrdenes[[#This Row],[orden]]="","",MAX(0,_xlfn.XLOOKUP(tblOrdenes[[#This Row],[id_operacion]],tblEjecucion[id_operacion],tblEjecucion[costo_plan_total],0)-tblOrdenes[[#This Row],[costo_servicio]]))</f>
        <v/>
      </c>
      <c r="AH28" s="10">
        <f>IF(tblOrdenes[[#This Row],[orden]]="","",tblOrdenes[[#This Row],[costo_servicio]]+tblOrdenes[[#This Row],[costo_materiales]])</f>
        <v/>
      </c>
      <c r="AI28" s="6" t="inlineStr"/>
      <c r="AJ28" s="6" t="inlineStr"/>
      <c r="AK28" s="6" t="inlineStr"/>
      <c r="AL28" s="3">
        <f>IF(tblOrdenes[[#This Row],[link_checklist]]="","",HYPERLINK(p_ruta_base_checklists&amp;tblOrdenes[[#This Row],[link_checklist]],"abrir"))</f>
        <v/>
      </c>
      <c r="AM28" s="6" t="inlineStr"/>
      <c r="AN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Row],[tipo_ot]]="","",_xlfn.XLOOKUP(tblOrdenes[[#This Row],[tipo_ot]],tblTiposOT[codigo],tblTiposOT[clasificacion],"sin_clasificar"))</f>
        <v/>
      </c>
      <c r="T29" s="3">
        <f>IF(tblOrdenes[[#This Row],[centro_costo]]="","",_xlfn.XLOOKUP(tblOrdenes[[#This Row],[centro_costo]],tblCECO[codigo],tblCECO[linea],"(sin catálogo)"))</f>
        <v/>
      </c>
      <c r="U29" s="3">
        <f>IF(tblOrdenes[[#This Row],[centro_costo]]="","",_xlfn.XLOOKUP(tblOrdenes[[#This Row],[centro_costo]],tblCECO[codigo],tblCECO[area],"(sin catálogo)"))</f>
        <v/>
      </c>
      <c r="V29" s="3">
        <f>IF(tblOrdenes[[#This Row],[centro_costo]]="","",_xlfn.XLOOKUP(tblOrdenes[[#This Row],[centro_costo]],tblCECO[codigo],tblCECO[coordinador],"(sin catálogo)"))</f>
        <v/>
      </c>
      <c r="W29" s="3">
        <f>IF(tblOrdenes[[#This Row],[puesto_trabajo]]="","",_xlfn.XLOOKUP(tblOrdenes[[#This Row],[puesto_trabajo]],tblPuestos[codigo],tblPuestos[especialidad],"(sin catálogo)"))</f>
        <v/>
      </c>
      <c r="X29" s="3">
        <f>IF(tblOrdenes[[#This Row],[cod_actividad]]="","",_xlfn.XLOOKUP(tblOrdenes[[#This Row],[cod_actividad]],tblActividades[codigo],tblActividades[descripcion],"(sin catálogo)"))</f>
        <v/>
      </c>
      <c r="Y29" s="12">
        <f>IF(tblOrdenes[[#This Row],[fecha_inicio]]="","",TODAY()-tblOrdenes[[#This Row],[fecha_inicio]])</f>
        <v/>
      </c>
      <c r="Z29" s="3">
        <f>IF(tblOrdenes[[#This Row],[backlog_dias]]="","",IF(tblOrdenes[[#This Row],[backlog_dias]]&lt;0,"FUTURO",IF(tblOrdenes[[#This Row],[backlog_dias]]&gt;p_dias_backlog_max,"BACKLOG","MES CORRIENTE")))</f>
        <v/>
      </c>
      <c r="AA29" s="3">
        <f>IF(tblOrdenes[[#This Row],[backlog_dias]]="",FALSE,AND(tblOrdenes[[#This Row],[backlog_dias]]&gt;p_dias_backlog_min,tblOrdenes[[#This Row],[backlog_dias]]&lt;=p_dias_backlog_max))</f>
        <v/>
      </c>
      <c r="AB29" s="6" t="inlineStr">
        <is>
          <t>Técnico 04</t>
        </is>
      </c>
      <c r="AC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" s="10">
        <f>IF(tblOrdenes[[#This Row],[orden]]="","",_xlfn.XLOOKUP(tblOrdenes[[#This Row],[id_operacion]],tblEjecucion[id_operacion],tblEjecucion[precio],0))</f>
        <v/>
      </c>
      <c r="AG29" s="10">
        <f>IF(tblOrdenes[[#This Row],[orden]]="","",MAX(0,_xlfn.XLOOKUP(tblOrdenes[[#This Row],[id_operacion]],tblEjecucion[id_operacion],tblEjecucion[costo_plan_total],0)-tblOrdenes[[#This Row],[costo_servicio]]))</f>
        <v/>
      </c>
      <c r="AH29" s="10">
        <f>IF(tblOrdenes[[#This Row],[orden]]="","",tblOrdenes[[#This Row],[costo_servicio]]+tblOrdenes[[#This Row],[costo_materiales]])</f>
        <v/>
      </c>
      <c r="AI29" s="6" t="inlineStr"/>
      <c r="AJ29" s="6" t="inlineStr"/>
      <c r="AK29" s="6" t="inlineStr">
        <is>
          <t>ACT-04.pdf</t>
        </is>
      </c>
      <c r="AL29" s="3">
        <f>IF(tblOrdenes[[#This Row],[link_checklist]]="","",HYPERLINK(p_ruta_base_checklists&amp;tblOrdenes[[#This Row],[link_checklist]],"abrir"))</f>
        <v/>
      </c>
      <c r="AM29" s="6" t="inlineStr">
        <is>
          <t>Demo: asignada a técnico de vacaciones (HHD = −HHA)</t>
        </is>
      </c>
      <c r="AN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Row],[tipo_ot]]="","",_xlfn.XLOOKUP(tblOrdenes[[#This Row],[tipo_ot]],tblTiposOT[codigo],tblTiposOT[clasificacion],"sin_clasificar"))</f>
        <v/>
      </c>
      <c r="T30" s="3">
        <f>IF(tblOrdenes[[#This Row],[centro_costo]]="","",_xlfn.XLOOKUP(tblOrdenes[[#This Row],[centro_costo]],tblCECO[codigo],tblCECO[linea],"(sin catálogo)"))</f>
        <v/>
      </c>
      <c r="U30" s="3">
        <f>IF(tblOrdenes[[#This Row],[centro_costo]]="","",_xlfn.XLOOKUP(tblOrdenes[[#This Row],[centro_costo]],tblCECO[codigo],tblCECO[area],"(sin catálogo)"))</f>
        <v/>
      </c>
      <c r="V30" s="3">
        <f>IF(tblOrdenes[[#This Row],[centro_costo]]="","",_xlfn.XLOOKUP(tblOrdenes[[#This Row],[centro_costo]],tblCECO[codigo],tblCECO[coordinador],"(sin catálogo)"))</f>
        <v/>
      </c>
      <c r="W30" s="3">
        <f>IF(tblOrdenes[[#This Row],[puesto_trabajo]]="","",_xlfn.XLOOKUP(tblOrdenes[[#This Row],[puesto_trabajo]],tblPuestos[codigo],tblPuestos[especialidad],"(sin catálogo)"))</f>
        <v/>
      </c>
      <c r="X30" s="3">
        <f>IF(tblOrdenes[[#This Row],[cod_actividad]]="","",_xlfn.XLOOKUP(tblOrdenes[[#This Row],[cod_actividad]],tblActividades[codigo],tblActividades[descripcion],"(sin catálogo)"))</f>
        <v/>
      </c>
      <c r="Y30" s="12">
        <f>IF(tblOrdenes[[#This Row],[fecha_inicio]]="","",TODAY()-tblOrdenes[[#This Row],[fecha_inicio]])</f>
        <v/>
      </c>
      <c r="Z30" s="3">
        <f>IF(tblOrdenes[[#This Row],[backlog_dias]]="","",IF(tblOrdenes[[#This Row],[backlog_dias]]&lt;0,"FUTURO",IF(tblOrdenes[[#This Row],[backlog_dias]]&gt;p_dias_backlog_max,"BACKLOG","MES CORRIENTE")))</f>
        <v/>
      </c>
      <c r="AA30" s="3">
        <f>IF(tblOrdenes[[#This Row],[backlog_dias]]="",FALSE,AND(tblOrdenes[[#This Row],[backlog_dias]]&gt;p_dias_backlog_min,tblOrdenes[[#This Row],[backlog_dias]]&lt;=p_dias_backlog_max))</f>
        <v/>
      </c>
      <c r="AB30" s="6" t="inlineStr">
        <is>
          <t>Técnico 03</t>
        </is>
      </c>
      <c r="AC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" s="10">
        <f>IF(tblOrdenes[[#This Row],[orden]]="","",_xlfn.XLOOKUP(tblOrdenes[[#This Row],[id_operacion]],tblEjecucion[id_operacion],tblEjecucion[precio],0))</f>
        <v/>
      </c>
      <c r="AG30" s="10">
        <f>IF(tblOrdenes[[#This Row],[orden]]="","",MAX(0,_xlfn.XLOOKUP(tblOrdenes[[#This Row],[id_operacion]],tblEjecucion[id_operacion],tblEjecucion[costo_plan_total],0)-tblOrdenes[[#This Row],[costo_servicio]]))</f>
        <v/>
      </c>
      <c r="AH30" s="10">
        <f>IF(tblOrdenes[[#This Row],[orden]]="","",tblOrdenes[[#This Row],[costo_servicio]]+tblOrdenes[[#This Row],[costo_materiales]])</f>
        <v/>
      </c>
      <c r="AI30" s="6" t="inlineStr"/>
      <c r="AJ30" s="6" t="inlineStr"/>
      <c r="AK30" s="6" t="inlineStr">
        <is>
          <t>ACT-01.pdf</t>
        </is>
      </c>
      <c r="AL30" s="3">
        <f>IF(tblOrdenes[[#This Row],[link_checklist]]="","",HYPERLINK(p_ruta_base_checklists&amp;tblOrdenes[[#This Row],[link_checklist]],"abrir"))</f>
        <v/>
      </c>
      <c r="AM30" s="6" t="inlineStr"/>
      <c r="AN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Row],[tipo_ot]]="","",_xlfn.XLOOKUP(tblOrdenes[[#This Row],[tipo_ot]],tblTiposOT[codigo],tblTiposOT[clasificacion],"sin_clasificar"))</f>
        <v/>
      </c>
      <c r="T31" s="3">
        <f>IF(tblOrdenes[[#This Row],[centro_costo]]="","",_xlfn.XLOOKUP(tblOrdenes[[#This Row],[centro_costo]],tblCECO[codigo],tblCECO[linea],"(sin catálogo)"))</f>
        <v/>
      </c>
      <c r="U31" s="3">
        <f>IF(tblOrdenes[[#This Row],[centro_costo]]="","",_xlfn.XLOOKUP(tblOrdenes[[#This Row],[centro_costo]],tblCECO[codigo],tblCECO[area],"(sin catálogo)"))</f>
        <v/>
      </c>
      <c r="V31" s="3">
        <f>IF(tblOrdenes[[#This Row],[centro_costo]]="","",_xlfn.XLOOKUP(tblOrdenes[[#This Row],[centro_costo]],tblCECO[codigo],tblCECO[coordinador],"(sin catálogo)"))</f>
        <v/>
      </c>
      <c r="W31" s="3">
        <f>IF(tblOrdenes[[#This Row],[puesto_trabajo]]="","",_xlfn.XLOOKUP(tblOrdenes[[#This Row],[puesto_trabajo]],tblPuestos[codigo],tblPuestos[especialidad],"(sin catálogo)"))</f>
        <v/>
      </c>
      <c r="X31" s="3">
        <f>IF(tblOrdenes[[#This Row],[cod_actividad]]="","",_xlfn.XLOOKUP(tblOrdenes[[#This Row],[cod_actividad]],tblActividades[codigo],tblActividades[descripcion],"(sin catálogo)"))</f>
        <v/>
      </c>
      <c r="Y31" s="12">
        <f>IF(tblOrdenes[[#This Row],[fecha_inicio]]="","",TODAY()-tblOrdenes[[#This Row],[fecha_inicio]])</f>
        <v/>
      </c>
      <c r="Z31" s="3">
        <f>IF(tblOrdenes[[#This Row],[backlog_dias]]="","",IF(tblOrdenes[[#This Row],[backlog_dias]]&lt;0,"FUTURO",IF(tblOrdenes[[#This Row],[backlog_dias]]&gt;p_dias_backlog_max,"BACKLOG","MES CORRIENTE")))</f>
        <v/>
      </c>
      <c r="AA31" s="3">
        <f>IF(tblOrdenes[[#This Row],[backlog_dias]]="",FALSE,AND(tblOrdenes[[#This Row],[backlog_dias]]&gt;p_dias_backlog_min,tblOrdenes[[#This Row],[backlog_dias]]&lt;=p_dias_backlog_max))</f>
        <v/>
      </c>
      <c r="AB31" s="6" t="inlineStr">
        <is>
          <t>Técnico 01</t>
        </is>
      </c>
      <c r="AC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" s="10">
        <f>IF(tblOrdenes[[#This Row],[orden]]="","",_xlfn.XLOOKUP(tblOrdenes[[#This Row],[id_operacion]],tblEjecucion[id_operacion],tblEjecucion[precio],0))</f>
        <v/>
      </c>
      <c r="AG31" s="10">
        <f>IF(tblOrdenes[[#This Row],[orden]]="","",MAX(0,_xlfn.XLOOKUP(tblOrdenes[[#This Row],[id_operacion]],tblEjecucion[id_operacion],tblEjecucion[costo_plan_total],0)-tblOrdenes[[#This Row],[costo_servicio]]))</f>
        <v/>
      </c>
      <c r="AH31" s="10">
        <f>IF(tblOrdenes[[#This Row],[orden]]="","",tblOrdenes[[#This Row],[costo_servicio]]+tblOrdenes[[#This Row],[costo_materiales]])</f>
        <v/>
      </c>
      <c r="AI31" s="6" t="inlineStr"/>
      <c r="AJ31" s="6" t="inlineStr"/>
      <c r="AK31" s="6" t="inlineStr">
        <is>
          <t>ACT-02.pdf</t>
        </is>
      </c>
      <c r="AL31" s="3">
        <f>IF(tblOrdenes[[#This Row],[link_checklist]]="","",HYPERLINK(p_ruta_base_checklists&amp;tblOrdenes[[#This Row],[link_checklist]],"abrir"))</f>
        <v/>
      </c>
      <c r="AM31" s="6" t="inlineStr"/>
      <c r="AN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Row],[tipo_ot]]="","",_xlfn.XLOOKUP(tblOrdenes[[#This Row],[tipo_ot]],tblTiposOT[codigo],tblTiposOT[clasificacion],"sin_clasificar"))</f>
        <v/>
      </c>
      <c r="T32" s="3">
        <f>IF(tblOrdenes[[#This Row],[centro_costo]]="","",_xlfn.XLOOKUP(tblOrdenes[[#This Row],[centro_costo]],tblCECO[codigo],tblCECO[linea],"(sin catálogo)"))</f>
        <v/>
      </c>
      <c r="U32" s="3">
        <f>IF(tblOrdenes[[#This Row],[centro_costo]]="","",_xlfn.XLOOKUP(tblOrdenes[[#This Row],[centro_costo]],tblCECO[codigo],tblCECO[area],"(sin catálogo)"))</f>
        <v/>
      </c>
      <c r="V32" s="3">
        <f>IF(tblOrdenes[[#This Row],[centro_costo]]="","",_xlfn.XLOOKUP(tblOrdenes[[#This Row],[centro_costo]],tblCECO[codigo],tblCECO[coordinador],"(sin catálogo)"))</f>
        <v/>
      </c>
      <c r="W32" s="3">
        <f>IF(tblOrdenes[[#This Row],[puesto_trabajo]]="","",_xlfn.XLOOKUP(tblOrdenes[[#This Row],[puesto_trabajo]],tblPuestos[codigo],tblPuestos[especialidad],"(sin catálogo)"))</f>
        <v/>
      </c>
      <c r="X32" s="3">
        <f>IF(tblOrdenes[[#This Row],[cod_actividad]]="","",_xlfn.XLOOKUP(tblOrdenes[[#This Row],[cod_actividad]],tblActividades[codigo],tblActividades[descripcion],"(sin catálogo)"))</f>
        <v/>
      </c>
      <c r="Y32" s="12">
        <f>IF(tblOrdenes[[#This Row],[fecha_inicio]]="","",TODAY()-tblOrdenes[[#This Row],[fecha_inicio]])</f>
        <v/>
      </c>
      <c r="Z32" s="3">
        <f>IF(tblOrdenes[[#This Row],[backlog_dias]]="","",IF(tblOrdenes[[#This Row],[backlog_dias]]&lt;0,"FUTURO",IF(tblOrdenes[[#This Row],[backlog_dias]]&gt;p_dias_backlog_max,"BACKLOG","MES CORRIENTE")))</f>
        <v/>
      </c>
      <c r="AA32" s="3">
        <f>IF(tblOrdenes[[#This Row],[backlog_dias]]="",FALSE,AND(tblOrdenes[[#This Row],[backlog_dias]]&gt;p_dias_backlog_min,tblOrdenes[[#This Row],[backlog_dias]]&lt;=p_dias_backlog_max))</f>
        <v/>
      </c>
      <c r="AB32" s="6" t="inlineStr">
        <is>
          <t>Técnico 02</t>
        </is>
      </c>
      <c r="AC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" s="10">
        <f>IF(tblOrdenes[[#This Row],[orden]]="","",_xlfn.XLOOKUP(tblOrdenes[[#This Row],[id_operacion]],tblEjecucion[id_operacion],tblEjecucion[precio],0))</f>
        <v/>
      </c>
      <c r="AG32" s="10">
        <f>IF(tblOrdenes[[#This Row],[orden]]="","",MAX(0,_xlfn.XLOOKUP(tblOrdenes[[#This Row],[id_operacion]],tblEjecucion[id_operacion],tblEjecucion[costo_plan_total],0)-tblOrdenes[[#This Row],[costo_servicio]]))</f>
        <v/>
      </c>
      <c r="AH32" s="10">
        <f>IF(tblOrdenes[[#This Row],[orden]]="","",tblOrdenes[[#This Row],[costo_servicio]]+tblOrdenes[[#This Row],[costo_materiales]])</f>
        <v/>
      </c>
      <c r="AI32" s="6" t="inlineStr"/>
      <c r="AJ32" s="6" t="inlineStr"/>
      <c r="AK32" s="6" t="inlineStr">
        <is>
          <t>ACT-04.pdf</t>
        </is>
      </c>
      <c r="AL32" s="3">
        <f>IF(tblOrdenes[[#This Row],[link_checklist]]="","",HYPERLINK(p_ruta_base_checklists&amp;tblOrdenes[[#This Row],[link_checklist]],"abrir"))</f>
        <v/>
      </c>
      <c r="AM32" s="6" t="inlineStr"/>
      <c r="AN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Row],[tipo_ot]]="","",_xlfn.XLOOKUP(tblOrdenes[[#This Row],[tipo_ot]],tblTiposOT[codigo],tblTiposOT[clasificacion],"sin_clasificar"))</f>
        <v/>
      </c>
      <c r="T33" s="3">
        <f>IF(tblOrdenes[[#This Row],[centro_costo]]="","",_xlfn.XLOOKUP(tblOrdenes[[#This Row],[centro_costo]],tblCECO[codigo],tblCECO[linea],"(sin catálogo)"))</f>
        <v/>
      </c>
      <c r="U33" s="3">
        <f>IF(tblOrdenes[[#This Row],[centro_costo]]="","",_xlfn.XLOOKUP(tblOrdenes[[#This Row],[centro_costo]],tblCECO[codigo],tblCECO[area],"(sin catálogo)"))</f>
        <v/>
      </c>
      <c r="V33" s="3">
        <f>IF(tblOrdenes[[#This Row],[centro_costo]]="","",_xlfn.XLOOKUP(tblOrdenes[[#This Row],[centro_costo]],tblCECO[codigo],tblCECO[coordinador],"(sin catálogo)"))</f>
        <v/>
      </c>
      <c r="W33" s="3">
        <f>IF(tblOrdenes[[#This Row],[puesto_trabajo]]="","",_xlfn.XLOOKUP(tblOrdenes[[#This Row],[puesto_trabajo]],tblPuestos[codigo],tblPuestos[especialidad],"(sin catálogo)"))</f>
        <v/>
      </c>
      <c r="X33" s="3">
        <f>IF(tblOrdenes[[#This Row],[cod_actividad]]="","",_xlfn.XLOOKUP(tblOrdenes[[#This Row],[cod_actividad]],tblActividades[codigo],tblActividades[descripcion],"(sin catálogo)"))</f>
        <v/>
      </c>
      <c r="Y33" s="12">
        <f>IF(tblOrdenes[[#This Row],[fecha_inicio]]="","",TODAY()-tblOrdenes[[#This Row],[fecha_inicio]])</f>
        <v/>
      </c>
      <c r="Z33" s="3">
        <f>IF(tblOrdenes[[#This Row],[backlog_dias]]="","",IF(tblOrdenes[[#This Row],[backlog_dias]]&lt;0,"FUTURO",IF(tblOrdenes[[#This Row],[backlog_dias]]&gt;p_dias_backlog_max,"BACKLOG","MES CORRIENTE")))</f>
        <v/>
      </c>
      <c r="AA33" s="3">
        <f>IF(tblOrdenes[[#This Row],[backlog_dias]]="",FALSE,AND(tblOrdenes[[#This Row],[backlog_dias]]&gt;p_dias_backlog_min,tblOrdenes[[#This Row],[backlog_dias]]&lt;=p_dias_backlog_max))</f>
        <v/>
      </c>
      <c r="AB33" s="6" t="inlineStr">
        <is>
          <t>Técnico 03</t>
        </is>
      </c>
      <c r="AC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" s="10">
        <f>IF(tblOrdenes[[#This Row],[orden]]="","",_xlfn.XLOOKUP(tblOrdenes[[#This Row],[id_operacion]],tblEjecucion[id_operacion],tblEjecucion[precio],0))</f>
        <v/>
      </c>
      <c r="AG33" s="10">
        <f>IF(tblOrdenes[[#This Row],[orden]]="","",MAX(0,_xlfn.XLOOKUP(tblOrdenes[[#This Row],[id_operacion]],tblEjecucion[id_operacion],tblEjecucion[costo_plan_total],0)-tblOrdenes[[#This Row],[costo_servicio]]))</f>
        <v/>
      </c>
      <c r="AH33" s="10">
        <f>IF(tblOrdenes[[#This Row],[orden]]="","",tblOrdenes[[#This Row],[costo_servicio]]+tblOrdenes[[#This Row],[costo_materiales]])</f>
        <v/>
      </c>
      <c r="AI33" s="6" t="inlineStr"/>
      <c r="AJ33" s="6" t="inlineStr"/>
      <c r="AK33" s="6" t="inlineStr">
        <is>
          <t>ACT-01.pdf</t>
        </is>
      </c>
      <c r="AL33" s="3">
        <f>IF(tblOrdenes[[#This Row],[link_checklist]]="","",HYPERLINK(p_ruta_base_checklists&amp;tblOrdenes[[#This Row],[link_checklist]],"abrir"))</f>
        <v/>
      </c>
      <c r="AM33" s="6" t="inlineStr"/>
      <c r="AN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Row],[tipo_ot]]="","",_xlfn.XLOOKUP(tblOrdenes[[#This Row],[tipo_ot]],tblTiposOT[codigo],tblTiposOT[clasificacion],"sin_clasificar"))</f>
        <v/>
      </c>
      <c r="T34" s="3">
        <f>IF(tblOrdenes[[#This Row],[centro_costo]]="","",_xlfn.XLOOKUP(tblOrdenes[[#This Row],[centro_costo]],tblCECO[codigo],tblCECO[linea],"(sin catálogo)"))</f>
        <v/>
      </c>
      <c r="U34" s="3">
        <f>IF(tblOrdenes[[#This Row],[centro_costo]]="","",_xlfn.XLOOKUP(tblOrdenes[[#This Row],[centro_costo]],tblCECO[codigo],tblCECO[area],"(sin catálogo)"))</f>
        <v/>
      </c>
      <c r="V34" s="3">
        <f>IF(tblOrdenes[[#This Row],[centro_costo]]="","",_xlfn.XLOOKUP(tblOrdenes[[#This Row],[centro_costo]],tblCECO[codigo],tblCECO[coordinador],"(sin catálogo)"))</f>
        <v/>
      </c>
      <c r="W34" s="3">
        <f>IF(tblOrdenes[[#This Row],[puesto_trabajo]]="","",_xlfn.XLOOKUP(tblOrdenes[[#This Row],[puesto_trabajo]],tblPuestos[codigo],tblPuestos[especialidad],"(sin catálogo)"))</f>
        <v/>
      </c>
      <c r="X34" s="3">
        <f>IF(tblOrdenes[[#This Row],[cod_actividad]]="","",_xlfn.XLOOKUP(tblOrdenes[[#This Row],[cod_actividad]],tblActividades[codigo],tblActividades[descripcion],"(sin catálogo)"))</f>
        <v/>
      </c>
      <c r="Y34" s="12">
        <f>IF(tblOrdenes[[#This Row],[fecha_inicio]]="","",TODAY()-tblOrdenes[[#This Row],[fecha_inicio]])</f>
        <v/>
      </c>
      <c r="Z34" s="3">
        <f>IF(tblOrdenes[[#This Row],[backlog_dias]]="","",IF(tblOrdenes[[#This Row],[backlog_dias]]&lt;0,"FUTURO",IF(tblOrdenes[[#This Row],[backlog_dias]]&gt;p_dias_backlog_max,"BACKLOG","MES CORRIENTE")))</f>
        <v/>
      </c>
      <c r="AA34" s="3">
        <f>IF(tblOrdenes[[#This Row],[backlog_dias]]="",FALSE,AND(tblOrdenes[[#This Row],[backlog_dias]]&gt;p_dias_backlog_min,tblOrdenes[[#This Row],[backlog_dias]]&lt;=p_dias_backlog_max))</f>
        <v/>
      </c>
      <c r="AB34" s="6" t="inlineStr">
        <is>
          <t>Técnico 01</t>
        </is>
      </c>
      <c r="AC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" s="10">
        <f>IF(tblOrdenes[[#This Row],[orden]]="","",_xlfn.XLOOKUP(tblOrdenes[[#This Row],[id_operacion]],tblEjecucion[id_operacion],tblEjecucion[precio],0))</f>
        <v/>
      </c>
      <c r="AG34" s="10">
        <f>IF(tblOrdenes[[#This Row],[orden]]="","",MAX(0,_xlfn.XLOOKUP(tblOrdenes[[#This Row],[id_operacion]],tblEjecucion[id_operacion],tblEjecucion[costo_plan_total],0)-tblOrdenes[[#This Row],[costo_servicio]]))</f>
        <v/>
      </c>
      <c r="AH34" s="10">
        <f>IF(tblOrdenes[[#This Row],[orden]]="","",tblOrdenes[[#This Row],[costo_servicio]]+tblOrdenes[[#This Row],[costo_materiales]])</f>
        <v/>
      </c>
      <c r="AI34" s="6" t="inlineStr"/>
      <c r="AJ34" s="6" t="inlineStr"/>
      <c r="AK34" s="6" t="inlineStr">
        <is>
          <t>ACT-02.pdf</t>
        </is>
      </c>
      <c r="AL34" s="3">
        <f>IF(tblOrdenes[[#This Row],[link_checklist]]="","",HYPERLINK(p_ruta_base_checklists&amp;tblOrdenes[[#This Row],[link_checklist]],"abrir"))</f>
        <v/>
      </c>
      <c r="AM34" s="6" t="inlineStr"/>
      <c r="AN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Row],[tipo_ot]]="","",_xlfn.XLOOKUP(tblOrdenes[[#This Row],[tipo_ot]],tblTiposOT[codigo],tblTiposOT[clasificacion],"sin_clasificar"))</f>
        <v/>
      </c>
      <c r="T35" s="3">
        <f>IF(tblOrdenes[[#This Row],[centro_costo]]="","",_xlfn.XLOOKUP(tblOrdenes[[#This Row],[centro_costo]],tblCECO[codigo],tblCECO[linea],"(sin catálogo)"))</f>
        <v/>
      </c>
      <c r="U35" s="3">
        <f>IF(tblOrdenes[[#This Row],[centro_costo]]="","",_xlfn.XLOOKUP(tblOrdenes[[#This Row],[centro_costo]],tblCECO[codigo],tblCECO[area],"(sin catálogo)"))</f>
        <v/>
      </c>
      <c r="V35" s="3">
        <f>IF(tblOrdenes[[#This Row],[centro_costo]]="","",_xlfn.XLOOKUP(tblOrdenes[[#This Row],[centro_costo]],tblCECO[codigo],tblCECO[coordinador],"(sin catálogo)"))</f>
        <v/>
      </c>
      <c r="W35" s="3">
        <f>IF(tblOrdenes[[#This Row],[puesto_trabajo]]="","",_xlfn.XLOOKUP(tblOrdenes[[#This Row],[puesto_trabajo]],tblPuestos[codigo],tblPuestos[especialidad],"(sin catálogo)"))</f>
        <v/>
      </c>
      <c r="X35" s="3">
        <f>IF(tblOrdenes[[#This Row],[cod_actividad]]="","",_xlfn.XLOOKUP(tblOrdenes[[#This Row],[cod_actividad]],tblActividades[codigo],tblActividades[descripcion],"(sin catálogo)"))</f>
        <v/>
      </c>
      <c r="Y35" s="12">
        <f>IF(tblOrdenes[[#This Row],[fecha_inicio]]="","",TODAY()-tblOrdenes[[#This Row],[fecha_inicio]])</f>
        <v/>
      </c>
      <c r="Z35" s="3">
        <f>IF(tblOrdenes[[#This Row],[backlog_dias]]="","",IF(tblOrdenes[[#This Row],[backlog_dias]]&lt;0,"FUTURO",IF(tblOrdenes[[#This Row],[backlog_dias]]&gt;p_dias_backlog_max,"BACKLOG","MES CORRIENTE")))</f>
        <v/>
      </c>
      <c r="AA35" s="3">
        <f>IF(tblOrdenes[[#This Row],[backlog_dias]]="",FALSE,AND(tblOrdenes[[#This Row],[backlog_dias]]&gt;p_dias_backlog_min,tblOrdenes[[#This Row],[backlog_dias]]&lt;=p_dias_backlog_max))</f>
        <v/>
      </c>
      <c r="AB35" s="6" t="inlineStr">
        <is>
          <t>Técnico 02</t>
        </is>
      </c>
      <c r="AC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" s="10">
        <f>IF(tblOrdenes[[#This Row],[orden]]="","",_xlfn.XLOOKUP(tblOrdenes[[#This Row],[id_operacion]],tblEjecucion[id_operacion],tblEjecucion[precio],0))</f>
        <v/>
      </c>
      <c r="AG35" s="10">
        <f>IF(tblOrdenes[[#This Row],[orden]]="","",MAX(0,_xlfn.XLOOKUP(tblOrdenes[[#This Row],[id_operacion]],tblEjecucion[id_operacion],tblEjecucion[costo_plan_total],0)-tblOrdenes[[#This Row],[costo_servicio]]))</f>
        <v/>
      </c>
      <c r="AH35" s="10">
        <f>IF(tblOrdenes[[#This Row],[orden]]="","",tblOrdenes[[#This Row],[costo_servicio]]+tblOrdenes[[#This Row],[costo_materiales]])</f>
        <v/>
      </c>
      <c r="AI35" s="6" t="inlineStr"/>
      <c r="AJ35" s="6" t="inlineStr"/>
      <c r="AK35" s="6" t="inlineStr">
        <is>
          <t>ACT-04.pdf</t>
        </is>
      </c>
      <c r="AL35" s="3">
        <f>IF(tblOrdenes[[#This Row],[link_checklist]]="","",HYPERLINK(p_ruta_base_checklists&amp;tblOrdenes[[#This Row],[link_checklist]],"abrir"))</f>
        <v/>
      </c>
      <c r="AM35" s="6" t="inlineStr"/>
      <c r="AN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Row],[tipo_ot]]="","",_xlfn.XLOOKUP(tblOrdenes[[#This Row],[tipo_ot]],tblTiposOT[codigo],tblTiposOT[clasificacion],"sin_clasificar"))</f>
        <v/>
      </c>
      <c r="T36" s="3">
        <f>IF(tblOrdenes[[#This Row],[centro_costo]]="","",_xlfn.XLOOKUP(tblOrdenes[[#This Row],[centro_costo]],tblCECO[codigo],tblCECO[linea],"(sin catálogo)"))</f>
        <v/>
      </c>
      <c r="U36" s="3">
        <f>IF(tblOrdenes[[#This Row],[centro_costo]]="","",_xlfn.XLOOKUP(tblOrdenes[[#This Row],[centro_costo]],tblCECO[codigo],tblCECO[area],"(sin catálogo)"))</f>
        <v/>
      </c>
      <c r="V36" s="3">
        <f>IF(tblOrdenes[[#This Row],[centro_costo]]="","",_xlfn.XLOOKUP(tblOrdenes[[#This Row],[centro_costo]],tblCECO[codigo],tblCECO[coordinador],"(sin catálogo)"))</f>
        <v/>
      </c>
      <c r="W36" s="3">
        <f>IF(tblOrdenes[[#This Row],[puesto_trabajo]]="","",_xlfn.XLOOKUP(tblOrdenes[[#This Row],[puesto_trabajo]],tblPuestos[codigo],tblPuestos[especialidad],"(sin catálogo)"))</f>
        <v/>
      </c>
      <c r="X36" s="3">
        <f>IF(tblOrdenes[[#This Row],[cod_actividad]]="","",_xlfn.XLOOKUP(tblOrdenes[[#This Row],[cod_actividad]],tblActividades[codigo],tblActividades[descripcion],"(sin catálogo)"))</f>
        <v/>
      </c>
      <c r="Y36" s="12">
        <f>IF(tblOrdenes[[#This Row],[fecha_inicio]]="","",TODAY()-tblOrdenes[[#This Row],[fecha_inicio]])</f>
        <v/>
      </c>
      <c r="Z36" s="3">
        <f>IF(tblOrdenes[[#This Row],[backlog_dias]]="","",IF(tblOrdenes[[#This Row],[backlog_dias]]&lt;0,"FUTURO",IF(tblOrdenes[[#This Row],[backlog_dias]]&gt;p_dias_backlog_max,"BACKLOG","MES CORRIENTE")))</f>
        <v/>
      </c>
      <c r="AA36" s="3">
        <f>IF(tblOrdenes[[#This Row],[backlog_dias]]="",FALSE,AND(tblOrdenes[[#This Row],[backlog_dias]]&gt;p_dias_backlog_min,tblOrdenes[[#This Row],[backlog_dias]]&lt;=p_dias_backlog_max))</f>
        <v/>
      </c>
      <c r="AB36" s="6" t="inlineStr">
        <is>
          <t>Técnico 03</t>
        </is>
      </c>
      <c r="AC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" s="10">
        <f>IF(tblOrdenes[[#This Row],[orden]]="","",_xlfn.XLOOKUP(tblOrdenes[[#This Row],[id_operacion]],tblEjecucion[id_operacion],tblEjecucion[precio],0))</f>
        <v/>
      </c>
      <c r="AG36" s="10">
        <f>IF(tblOrdenes[[#This Row],[orden]]="","",MAX(0,_xlfn.XLOOKUP(tblOrdenes[[#This Row],[id_operacion]],tblEjecucion[id_operacion],tblEjecucion[costo_plan_total],0)-tblOrdenes[[#This Row],[costo_servicio]]))</f>
        <v/>
      </c>
      <c r="AH36" s="10">
        <f>IF(tblOrdenes[[#This Row],[orden]]="","",tblOrdenes[[#This Row],[costo_servicio]]+tblOrdenes[[#This Row],[costo_materiales]])</f>
        <v/>
      </c>
      <c r="AI36" s="6" t="inlineStr"/>
      <c r="AJ36" s="6" t="inlineStr"/>
      <c r="AK36" s="6" t="inlineStr">
        <is>
          <t>ACT-01.pdf</t>
        </is>
      </c>
      <c r="AL36" s="3">
        <f>IF(tblOrdenes[[#This Row],[link_checklist]]="","",HYPERLINK(p_ruta_base_checklists&amp;tblOrdenes[[#This Row],[link_checklist]],"abrir"))</f>
        <v/>
      </c>
      <c r="AM36" s="6" t="inlineStr"/>
      <c r="AN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Row],[tipo_ot]]="","",_xlfn.XLOOKUP(tblOrdenes[[#This Row],[tipo_ot]],tblTiposOT[codigo],tblTiposOT[clasificacion],"sin_clasificar"))</f>
        <v/>
      </c>
      <c r="T37" s="3">
        <f>IF(tblOrdenes[[#This Row],[centro_costo]]="","",_xlfn.XLOOKUP(tblOrdenes[[#This Row],[centro_costo]],tblCECO[codigo],tblCECO[linea],"(sin catálogo)"))</f>
        <v/>
      </c>
      <c r="U37" s="3">
        <f>IF(tblOrdenes[[#This Row],[centro_costo]]="","",_xlfn.XLOOKUP(tblOrdenes[[#This Row],[centro_costo]],tblCECO[codigo],tblCECO[area],"(sin catálogo)"))</f>
        <v/>
      </c>
      <c r="V37" s="3">
        <f>IF(tblOrdenes[[#This Row],[centro_costo]]="","",_xlfn.XLOOKUP(tblOrdenes[[#This Row],[centro_costo]],tblCECO[codigo],tblCECO[coordinador],"(sin catálogo)"))</f>
        <v/>
      </c>
      <c r="W37" s="3">
        <f>IF(tblOrdenes[[#This Row],[puesto_trabajo]]="","",_xlfn.XLOOKUP(tblOrdenes[[#This Row],[puesto_trabajo]],tblPuestos[codigo],tblPuestos[especialidad],"(sin catálogo)"))</f>
        <v/>
      </c>
      <c r="X37" s="3">
        <f>IF(tblOrdenes[[#This Row],[cod_actividad]]="","",_xlfn.XLOOKUP(tblOrdenes[[#This Row],[cod_actividad]],tblActividades[codigo],tblActividades[descripcion],"(sin catálogo)"))</f>
        <v/>
      </c>
      <c r="Y37" s="12">
        <f>IF(tblOrdenes[[#This Row],[fecha_inicio]]="","",TODAY()-tblOrdenes[[#This Row],[fecha_inicio]])</f>
        <v/>
      </c>
      <c r="Z37" s="3">
        <f>IF(tblOrdenes[[#This Row],[backlog_dias]]="","",IF(tblOrdenes[[#This Row],[backlog_dias]]&lt;0,"FUTURO",IF(tblOrdenes[[#This Row],[backlog_dias]]&gt;p_dias_backlog_max,"BACKLOG","MES CORRIENTE")))</f>
        <v/>
      </c>
      <c r="AA37" s="3">
        <f>IF(tblOrdenes[[#This Row],[backlog_dias]]="",FALSE,AND(tblOrdenes[[#This Row],[backlog_dias]]&gt;p_dias_backlog_min,tblOrdenes[[#This Row],[backlog_dias]]&lt;=p_dias_backlog_max))</f>
        <v/>
      </c>
      <c r="AB37" s="6" t="inlineStr">
        <is>
          <t>Técnico 01</t>
        </is>
      </c>
      <c r="AC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" s="10">
        <f>IF(tblOrdenes[[#This Row],[orden]]="","",_xlfn.XLOOKUP(tblOrdenes[[#This Row],[id_operacion]],tblEjecucion[id_operacion],tblEjecucion[precio],0))</f>
        <v/>
      </c>
      <c r="AG37" s="10">
        <f>IF(tblOrdenes[[#This Row],[orden]]="","",MAX(0,_xlfn.XLOOKUP(tblOrdenes[[#This Row],[id_operacion]],tblEjecucion[id_operacion],tblEjecucion[costo_plan_total],0)-tblOrdenes[[#This Row],[costo_servicio]]))</f>
        <v/>
      </c>
      <c r="AH37" s="10">
        <f>IF(tblOrdenes[[#This Row],[orden]]="","",tblOrdenes[[#This Row],[costo_servicio]]+tblOrdenes[[#This Row],[costo_materiales]])</f>
        <v/>
      </c>
      <c r="AI37" s="6" t="inlineStr"/>
      <c r="AJ37" s="6" t="inlineStr"/>
      <c r="AK37" s="6" t="inlineStr">
        <is>
          <t>ACT-02.pdf</t>
        </is>
      </c>
      <c r="AL37" s="3">
        <f>IF(tblOrdenes[[#This Row],[link_checklist]]="","",HYPERLINK(p_ruta_base_checklists&amp;tblOrdenes[[#This Row],[link_checklist]],"abrir"))</f>
        <v/>
      </c>
      <c r="AM37" s="6" t="inlineStr"/>
      <c r="AN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Row],[tipo_ot]]="","",_xlfn.XLOOKUP(tblOrdenes[[#This Row],[tipo_ot]],tblTiposOT[codigo],tblTiposOT[clasificacion],"sin_clasificar"))</f>
        <v/>
      </c>
      <c r="T38" s="3">
        <f>IF(tblOrdenes[[#This Row],[centro_costo]]="","",_xlfn.XLOOKUP(tblOrdenes[[#This Row],[centro_costo]],tblCECO[codigo],tblCECO[linea],"(sin catálogo)"))</f>
        <v/>
      </c>
      <c r="U38" s="3">
        <f>IF(tblOrdenes[[#This Row],[centro_costo]]="","",_xlfn.XLOOKUP(tblOrdenes[[#This Row],[centro_costo]],tblCECO[codigo],tblCECO[area],"(sin catálogo)"))</f>
        <v/>
      </c>
      <c r="V38" s="3">
        <f>IF(tblOrdenes[[#This Row],[centro_costo]]="","",_xlfn.XLOOKUP(tblOrdenes[[#This Row],[centro_costo]],tblCECO[codigo],tblCECO[coordinador],"(sin catálogo)"))</f>
        <v/>
      </c>
      <c r="W38" s="3">
        <f>IF(tblOrdenes[[#This Row],[puesto_trabajo]]="","",_xlfn.XLOOKUP(tblOrdenes[[#This Row],[puesto_trabajo]],tblPuestos[codigo],tblPuestos[especialidad],"(sin catálogo)"))</f>
        <v/>
      </c>
      <c r="X38" s="3">
        <f>IF(tblOrdenes[[#This Row],[cod_actividad]]="","",_xlfn.XLOOKUP(tblOrdenes[[#This Row],[cod_actividad]],tblActividades[codigo],tblActividades[descripcion],"(sin catálogo)"))</f>
        <v/>
      </c>
      <c r="Y38" s="12">
        <f>IF(tblOrdenes[[#This Row],[fecha_inicio]]="","",TODAY()-tblOrdenes[[#This Row],[fecha_inicio]])</f>
        <v/>
      </c>
      <c r="Z38" s="3">
        <f>IF(tblOrdenes[[#This Row],[backlog_dias]]="","",IF(tblOrdenes[[#This Row],[backlog_dias]]&lt;0,"FUTURO",IF(tblOrdenes[[#This Row],[backlog_dias]]&gt;p_dias_backlog_max,"BACKLOG","MES CORRIENTE")))</f>
        <v/>
      </c>
      <c r="AA38" s="3">
        <f>IF(tblOrdenes[[#This Row],[backlog_dias]]="",FALSE,AND(tblOrdenes[[#This Row],[backlog_dias]]&gt;p_dias_backlog_min,tblOrdenes[[#This Row],[backlog_dias]]&lt;=p_dias_backlog_max))</f>
        <v/>
      </c>
      <c r="AB38" s="6" t="inlineStr">
        <is>
          <t>Técnico 02</t>
        </is>
      </c>
      <c r="AC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" s="10">
        <f>IF(tblOrdenes[[#This Row],[orden]]="","",_xlfn.XLOOKUP(tblOrdenes[[#This Row],[id_operacion]],tblEjecucion[id_operacion],tblEjecucion[precio],0))</f>
        <v/>
      </c>
      <c r="AG38" s="10">
        <f>IF(tblOrdenes[[#This Row],[orden]]="","",MAX(0,_xlfn.XLOOKUP(tblOrdenes[[#This Row],[id_operacion]],tblEjecucion[id_operacion],tblEjecucion[costo_plan_total],0)-tblOrdenes[[#This Row],[costo_servicio]]))</f>
        <v/>
      </c>
      <c r="AH38" s="10">
        <f>IF(tblOrdenes[[#This Row],[orden]]="","",tblOrdenes[[#This Row],[costo_servicio]]+tblOrdenes[[#This Row],[costo_materiales]])</f>
        <v/>
      </c>
      <c r="AI38" s="6" t="inlineStr"/>
      <c r="AJ38" s="6" t="inlineStr"/>
      <c r="AK38" s="6" t="inlineStr">
        <is>
          <t>ACT-04.pdf</t>
        </is>
      </c>
      <c r="AL38" s="3">
        <f>IF(tblOrdenes[[#This Row],[link_checklist]]="","",HYPERLINK(p_ruta_base_checklists&amp;tblOrdenes[[#This Row],[link_checklist]],"abrir"))</f>
        <v/>
      </c>
      <c r="AM38" s="6" t="inlineStr"/>
      <c r="AN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Row],[tipo_ot]]="","",_xlfn.XLOOKUP(tblOrdenes[[#This Row],[tipo_ot]],tblTiposOT[codigo],tblTiposOT[clasificacion],"sin_clasificar"))</f>
        <v/>
      </c>
      <c r="T39" s="3">
        <f>IF(tblOrdenes[[#This Row],[centro_costo]]="","",_xlfn.XLOOKUP(tblOrdenes[[#This Row],[centro_costo]],tblCECO[codigo],tblCECO[linea],"(sin catálogo)"))</f>
        <v/>
      </c>
      <c r="U39" s="3">
        <f>IF(tblOrdenes[[#This Row],[centro_costo]]="","",_xlfn.XLOOKUP(tblOrdenes[[#This Row],[centro_costo]],tblCECO[codigo],tblCECO[area],"(sin catálogo)"))</f>
        <v/>
      </c>
      <c r="V39" s="3">
        <f>IF(tblOrdenes[[#This Row],[centro_costo]]="","",_xlfn.XLOOKUP(tblOrdenes[[#This Row],[centro_costo]],tblCECO[codigo],tblCECO[coordinador],"(sin catálogo)"))</f>
        <v/>
      </c>
      <c r="W39" s="3">
        <f>IF(tblOrdenes[[#This Row],[puesto_trabajo]]="","",_xlfn.XLOOKUP(tblOrdenes[[#This Row],[puesto_trabajo]],tblPuestos[codigo],tblPuestos[especialidad],"(sin catálogo)"))</f>
        <v/>
      </c>
      <c r="X39" s="3">
        <f>IF(tblOrdenes[[#This Row],[cod_actividad]]="","",_xlfn.XLOOKUP(tblOrdenes[[#This Row],[cod_actividad]],tblActividades[codigo],tblActividades[descripcion],"(sin catálogo)"))</f>
        <v/>
      </c>
      <c r="Y39" s="12">
        <f>IF(tblOrdenes[[#This Row],[fecha_inicio]]="","",TODAY()-tblOrdenes[[#This Row],[fecha_inicio]])</f>
        <v/>
      </c>
      <c r="Z39" s="3">
        <f>IF(tblOrdenes[[#This Row],[backlog_dias]]="","",IF(tblOrdenes[[#This Row],[backlog_dias]]&lt;0,"FUTURO",IF(tblOrdenes[[#This Row],[backlog_dias]]&gt;p_dias_backlog_max,"BACKLOG","MES CORRIENTE")))</f>
        <v/>
      </c>
      <c r="AA39" s="3">
        <f>IF(tblOrdenes[[#This Row],[backlog_dias]]="",FALSE,AND(tblOrdenes[[#This Row],[backlog_dias]]&gt;p_dias_backlog_min,tblOrdenes[[#This Row],[backlog_dias]]&lt;=p_dias_backlog_max))</f>
        <v/>
      </c>
      <c r="AB39" s="6" t="inlineStr"/>
      <c r="AC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" s="10">
        <f>IF(tblOrdenes[[#This Row],[orden]]="","",_xlfn.XLOOKUP(tblOrdenes[[#This Row],[id_operacion]],tblEjecucion[id_operacion],tblEjecucion[precio],0))</f>
        <v/>
      </c>
      <c r="AG39" s="10">
        <f>IF(tblOrdenes[[#This Row],[orden]]="","",MAX(0,_xlfn.XLOOKUP(tblOrdenes[[#This Row],[id_operacion]],tblEjecucion[id_operacion],tblEjecucion[costo_plan_total],0)-tblOrdenes[[#This Row],[costo_servicio]]))</f>
        <v/>
      </c>
      <c r="AH39" s="10">
        <f>IF(tblOrdenes[[#This Row],[orden]]="","",tblOrdenes[[#This Row],[costo_servicio]]+tblOrdenes[[#This Row],[costo_materiales]])</f>
        <v/>
      </c>
      <c r="AI39" s="6" t="inlineStr">
        <is>
          <t>PT-CALIENTE</t>
        </is>
      </c>
      <c r="AJ39" s="6" t="inlineStr">
        <is>
          <t>LOTO</t>
        </is>
      </c>
      <c r="AK39" s="6" t="inlineStr"/>
      <c r="AL39" s="3">
        <f>IF(tblOrdenes[[#This Row],[link_checklist]]="","",HYPERLINK(p_ruta_base_checklists&amp;tblOrdenes[[#This Row],[link_checklist]],"abrir"))</f>
        <v/>
      </c>
      <c r="AM39" s="6" t="inlineStr"/>
      <c r="AN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Row],[tipo_ot]]="","",_xlfn.XLOOKUP(tblOrdenes[[#This Row],[tipo_ot]],tblTiposOT[codigo],tblTiposOT[clasificacion],"sin_clasificar"))</f>
        <v/>
      </c>
      <c r="T40" s="3">
        <f>IF(tblOrdenes[[#This Row],[centro_costo]]="","",_xlfn.XLOOKUP(tblOrdenes[[#This Row],[centro_costo]],tblCECO[codigo],tblCECO[linea],"(sin catálogo)"))</f>
        <v/>
      </c>
      <c r="U40" s="3">
        <f>IF(tblOrdenes[[#This Row],[centro_costo]]="","",_xlfn.XLOOKUP(tblOrdenes[[#This Row],[centro_costo]],tblCECO[codigo],tblCECO[area],"(sin catálogo)"))</f>
        <v/>
      </c>
      <c r="V40" s="3">
        <f>IF(tblOrdenes[[#This Row],[centro_costo]]="","",_xlfn.XLOOKUP(tblOrdenes[[#This Row],[centro_costo]],tblCECO[codigo],tblCECO[coordinador],"(sin catálogo)"))</f>
        <v/>
      </c>
      <c r="W40" s="3">
        <f>IF(tblOrdenes[[#This Row],[puesto_trabajo]]="","",_xlfn.XLOOKUP(tblOrdenes[[#This Row],[puesto_trabajo]],tblPuestos[codigo],tblPuestos[especialidad],"(sin catálogo)"))</f>
        <v/>
      </c>
      <c r="X40" s="3">
        <f>IF(tblOrdenes[[#This Row],[cod_actividad]]="","",_xlfn.XLOOKUP(tblOrdenes[[#This Row],[cod_actividad]],tblActividades[codigo],tblActividades[descripcion],"(sin catálogo)"))</f>
        <v/>
      </c>
      <c r="Y40" s="12">
        <f>IF(tblOrdenes[[#This Row],[fecha_inicio]]="","",TODAY()-tblOrdenes[[#This Row],[fecha_inicio]])</f>
        <v/>
      </c>
      <c r="Z40" s="3">
        <f>IF(tblOrdenes[[#This Row],[backlog_dias]]="","",IF(tblOrdenes[[#This Row],[backlog_dias]]&lt;0,"FUTURO",IF(tblOrdenes[[#This Row],[backlog_dias]]&gt;p_dias_backlog_max,"BACKLOG","MES CORRIENTE")))</f>
        <v/>
      </c>
      <c r="AA40" s="3">
        <f>IF(tblOrdenes[[#This Row],[backlog_dias]]="",FALSE,AND(tblOrdenes[[#This Row],[backlog_dias]]&gt;p_dias_backlog_min,tblOrdenes[[#This Row],[backlog_dias]]&lt;=p_dias_backlog_max))</f>
        <v/>
      </c>
      <c r="AB40" s="6" t="inlineStr">
        <is>
          <t>Técnico 01</t>
        </is>
      </c>
      <c r="AC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" s="10">
        <f>IF(tblOrdenes[[#This Row],[orden]]="","",_xlfn.XLOOKUP(tblOrdenes[[#This Row],[id_operacion]],tblEjecucion[id_operacion],tblEjecucion[precio],0))</f>
        <v/>
      </c>
      <c r="AG40" s="10">
        <f>IF(tblOrdenes[[#This Row],[orden]]="","",MAX(0,_xlfn.XLOOKUP(tblOrdenes[[#This Row],[id_operacion]],tblEjecucion[id_operacion],tblEjecucion[costo_plan_total],0)-tblOrdenes[[#This Row],[costo_servicio]]))</f>
        <v/>
      </c>
      <c r="AH40" s="10">
        <f>IF(tblOrdenes[[#This Row],[orden]]="","",tblOrdenes[[#This Row],[costo_servicio]]+tblOrdenes[[#This Row],[costo_materiales]])</f>
        <v/>
      </c>
      <c r="AI40" s="6" t="inlineStr"/>
      <c r="AJ40" s="6" t="inlineStr"/>
      <c r="AK40" s="6" t="inlineStr"/>
      <c r="AL40" s="3">
        <f>IF(tblOrdenes[[#This Row],[link_checklist]]="","",HYPERLINK(p_ruta_base_checklists&amp;tblOrdenes[[#This Row],[link_checklist]],"abrir"))</f>
        <v/>
      </c>
      <c r="AM40" s="6" t="inlineStr"/>
      <c r="AN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Row],[tipo_ot]]="","",_xlfn.XLOOKUP(tblOrdenes[[#This Row],[tipo_ot]],tblTiposOT[codigo],tblTiposOT[clasificacion],"sin_clasificar"))</f>
        <v/>
      </c>
      <c r="T41" s="3">
        <f>IF(tblOrdenes[[#This Row],[centro_costo]]="","",_xlfn.XLOOKUP(tblOrdenes[[#This Row],[centro_costo]],tblCECO[codigo],tblCECO[linea],"(sin catálogo)"))</f>
        <v/>
      </c>
      <c r="U41" s="3">
        <f>IF(tblOrdenes[[#This Row],[centro_costo]]="","",_xlfn.XLOOKUP(tblOrdenes[[#This Row],[centro_costo]],tblCECO[codigo],tblCECO[area],"(sin catálogo)"))</f>
        <v/>
      </c>
      <c r="V41" s="3">
        <f>IF(tblOrdenes[[#This Row],[centro_costo]]="","",_xlfn.XLOOKUP(tblOrdenes[[#This Row],[centro_costo]],tblCECO[codigo],tblCECO[coordinador],"(sin catálogo)"))</f>
        <v/>
      </c>
      <c r="W41" s="3">
        <f>IF(tblOrdenes[[#This Row],[puesto_trabajo]]="","",_xlfn.XLOOKUP(tblOrdenes[[#This Row],[puesto_trabajo]],tblPuestos[codigo],tblPuestos[especialidad],"(sin catálogo)"))</f>
        <v/>
      </c>
      <c r="X41" s="3">
        <f>IF(tblOrdenes[[#This Row],[cod_actividad]]="","",_xlfn.XLOOKUP(tblOrdenes[[#This Row],[cod_actividad]],tblActividades[codigo],tblActividades[descripcion],"(sin catálogo)"))</f>
        <v/>
      </c>
      <c r="Y41" s="12">
        <f>IF(tblOrdenes[[#This Row],[fecha_inicio]]="","",TODAY()-tblOrdenes[[#This Row],[fecha_inicio]])</f>
        <v/>
      </c>
      <c r="Z41" s="3">
        <f>IF(tblOrdenes[[#This Row],[backlog_dias]]="","",IF(tblOrdenes[[#This Row],[backlog_dias]]&lt;0,"FUTURO",IF(tblOrdenes[[#This Row],[backlog_dias]]&gt;p_dias_backlog_max,"BACKLOG","MES CORRIENTE")))</f>
        <v/>
      </c>
      <c r="AA41" s="3">
        <f>IF(tblOrdenes[[#This Row],[backlog_dias]]="",FALSE,AND(tblOrdenes[[#This Row],[backlog_dias]]&gt;p_dias_backlog_min,tblOrdenes[[#This Row],[backlog_dias]]&lt;=p_dias_backlog_max))</f>
        <v/>
      </c>
      <c r="AB41" s="6" t="inlineStr">
        <is>
          <t>Técnico 02</t>
        </is>
      </c>
      <c r="AC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" s="10">
        <f>IF(tblOrdenes[[#This Row],[orden]]="","",_xlfn.XLOOKUP(tblOrdenes[[#This Row],[id_operacion]],tblEjecucion[id_operacion],tblEjecucion[precio],0))</f>
        <v/>
      </c>
      <c r="AG41" s="10">
        <f>IF(tblOrdenes[[#This Row],[orden]]="","",MAX(0,_xlfn.XLOOKUP(tblOrdenes[[#This Row],[id_operacion]],tblEjecucion[id_operacion],tblEjecucion[costo_plan_total],0)-tblOrdenes[[#This Row],[costo_servicio]]))</f>
        <v/>
      </c>
      <c r="AH41" s="10">
        <f>IF(tblOrdenes[[#This Row],[orden]]="","",tblOrdenes[[#This Row],[costo_servicio]]+tblOrdenes[[#This Row],[costo_materiales]])</f>
        <v/>
      </c>
      <c r="AI41" s="6" t="inlineStr"/>
      <c r="AJ41" s="6" t="inlineStr"/>
      <c r="AK41" s="6" t="inlineStr">
        <is>
          <t>ACT-04.pdf</t>
        </is>
      </c>
      <c r="AL41" s="3">
        <f>IF(tblOrdenes[[#This Row],[link_checklist]]="","",HYPERLINK(p_ruta_base_checklists&amp;tblOrdenes[[#This Row],[link_checklist]],"abrir"))</f>
        <v/>
      </c>
      <c r="AM41" s="6" t="inlineStr"/>
      <c r="AN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Row],[tipo_ot]]="","",_xlfn.XLOOKUP(tblOrdenes[[#This Row],[tipo_ot]],tblTiposOT[codigo],tblTiposOT[clasificacion],"sin_clasificar"))</f>
        <v/>
      </c>
      <c r="T42" s="3">
        <f>IF(tblOrdenes[[#This Row],[centro_costo]]="","",_xlfn.XLOOKUP(tblOrdenes[[#This Row],[centro_costo]],tblCECO[codigo],tblCECO[linea],"(sin catálogo)"))</f>
        <v/>
      </c>
      <c r="U42" s="3">
        <f>IF(tblOrdenes[[#This Row],[centro_costo]]="","",_xlfn.XLOOKUP(tblOrdenes[[#This Row],[centro_costo]],tblCECO[codigo],tblCECO[area],"(sin catálogo)"))</f>
        <v/>
      </c>
      <c r="V42" s="3">
        <f>IF(tblOrdenes[[#This Row],[centro_costo]]="","",_xlfn.XLOOKUP(tblOrdenes[[#This Row],[centro_costo]],tblCECO[codigo],tblCECO[coordinador],"(sin catálogo)"))</f>
        <v/>
      </c>
      <c r="W42" s="3">
        <f>IF(tblOrdenes[[#This Row],[puesto_trabajo]]="","",_xlfn.XLOOKUP(tblOrdenes[[#This Row],[puesto_trabajo]],tblPuestos[codigo],tblPuestos[especialidad],"(sin catálogo)"))</f>
        <v/>
      </c>
      <c r="X42" s="3">
        <f>IF(tblOrdenes[[#This Row],[cod_actividad]]="","",_xlfn.XLOOKUP(tblOrdenes[[#This Row],[cod_actividad]],tblActividades[codigo],tblActividades[descripcion],"(sin catálogo)"))</f>
        <v/>
      </c>
      <c r="Y42" s="12">
        <f>IF(tblOrdenes[[#This Row],[fecha_inicio]]="","",TODAY()-tblOrdenes[[#This Row],[fecha_inicio]])</f>
        <v/>
      </c>
      <c r="Z42" s="3">
        <f>IF(tblOrdenes[[#This Row],[backlog_dias]]="","",IF(tblOrdenes[[#This Row],[backlog_dias]]&lt;0,"FUTURO",IF(tblOrdenes[[#This Row],[backlog_dias]]&gt;p_dias_backlog_max,"BACKLOG","MES CORRIENTE")))</f>
        <v/>
      </c>
      <c r="AA42" s="3">
        <f>IF(tblOrdenes[[#This Row],[backlog_dias]]="",FALSE,AND(tblOrdenes[[#This Row],[backlog_dias]]&gt;p_dias_backlog_min,tblOrdenes[[#This Row],[backlog_dias]]&lt;=p_dias_backlog_max))</f>
        <v/>
      </c>
      <c r="AB42" s="6" t="inlineStr">
        <is>
          <t>Técnico 03</t>
        </is>
      </c>
      <c r="AC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" s="10">
        <f>IF(tblOrdenes[[#This Row],[orden]]="","",_xlfn.XLOOKUP(tblOrdenes[[#This Row],[id_operacion]],tblEjecucion[id_operacion],tblEjecucion[precio],0))</f>
        <v/>
      </c>
      <c r="AG42" s="10">
        <f>IF(tblOrdenes[[#This Row],[orden]]="","",MAX(0,_xlfn.XLOOKUP(tblOrdenes[[#This Row],[id_operacion]],tblEjecucion[id_operacion],tblEjecucion[costo_plan_total],0)-tblOrdenes[[#This Row],[costo_servicio]]))</f>
        <v/>
      </c>
      <c r="AH42" s="10">
        <f>IF(tblOrdenes[[#This Row],[orden]]="","",tblOrdenes[[#This Row],[costo_servicio]]+tblOrdenes[[#This Row],[costo_materiales]])</f>
        <v/>
      </c>
      <c r="AI42" s="6" t="inlineStr"/>
      <c r="AJ42" s="6" t="inlineStr"/>
      <c r="AK42" s="6" t="inlineStr">
        <is>
          <t>ACT-01.pdf</t>
        </is>
      </c>
      <c r="AL42" s="3">
        <f>IF(tblOrdenes[[#This Row],[link_checklist]]="","",HYPERLINK(p_ruta_base_checklists&amp;tblOrdenes[[#This Row],[link_checklist]],"abrir"))</f>
        <v/>
      </c>
      <c r="AM42" s="6" t="inlineStr"/>
      <c r="AN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Row],[tipo_ot]]="","",_xlfn.XLOOKUP(tblOrdenes[[#This Row],[tipo_ot]],tblTiposOT[codigo],tblTiposOT[clasificacion],"sin_clasificar"))</f>
        <v/>
      </c>
      <c r="T43" s="3">
        <f>IF(tblOrdenes[[#This Row],[centro_costo]]="","",_xlfn.XLOOKUP(tblOrdenes[[#This Row],[centro_costo]],tblCECO[codigo],tblCECO[linea],"(sin catálogo)"))</f>
        <v/>
      </c>
      <c r="U43" s="3">
        <f>IF(tblOrdenes[[#This Row],[centro_costo]]="","",_xlfn.XLOOKUP(tblOrdenes[[#This Row],[centro_costo]],tblCECO[codigo],tblCECO[area],"(sin catálogo)"))</f>
        <v/>
      </c>
      <c r="V43" s="3">
        <f>IF(tblOrdenes[[#This Row],[centro_costo]]="","",_xlfn.XLOOKUP(tblOrdenes[[#This Row],[centro_costo]],tblCECO[codigo],tblCECO[coordinador],"(sin catálogo)"))</f>
        <v/>
      </c>
      <c r="W43" s="3">
        <f>IF(tblOrdenes[[#This Row],[puesto_trabajo]]="","",_xlfn.XLOOKUP(tblOrdenes[[#This Row],[puesto_trabajo]],tblPuestos[codigo],tblPuestos[especialidad],"(sin catálogo)"))</f>
        <v/>
      </c>
      <c r="X43" s="3">
        <f>IF(tblOrdenes[[#This Row],[cod_actividad]]="","",_xlfn.XLOOKUP(tblOrdenes[[#This Row],[cod_actividad]],tblActividades[codigo],tblActividades[descripcion],"(sin catálogo)"))</f>
        <v/>
      </c>
      <c r="Y43" s="12">
        <f>IF(tblOrdenes[[#This Row],[fecha_inicio]]="","",TODAY()-tblOrdenes[[#This Row],[fecha_inicio]])</f>
        <v/>
      </c>
      <c r="Z43" s="3">
        <f>IF(tblOrdenes[[#This Row],[backlog_dias]]="","",IF(tblOrdenes[[#This Row],[backlog_dias]]&lt;0,"FUTURO",IF(tblOrdenes[[#This Row],[backlog_dias]]&gt;p_dias_backlog_max,"BACKLOG","MES CORRIENTE")))</f>
        <v/>
      </c>
      <c r="AA43" s="3">
        <f>IF(tblOrdenes[[#This Row],[backlog_dias]]="",FALSE,AND(tblOrdenes[[#This Row],[backlog_dias]]&gt;p_dias_backlog_min,tblOrdenes[[#This Row],[backlog_dias]]&lt;=p_dias_backlog_max))</f>
        <v/>
      </c>
      <c r="AB43" s="6" t="inlineStr">
        <is>
          <t>Técnico 04</t>
        </is>
      </c>
      <c r="AC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" s="10">
        <f>IF(tblOrdenes[[#This Row],[orden]]="","",_xlfn.XLOOKUP(tblOrdenes[[#This Row],[id_operacion]],tblEjecucion[id_operacion],tblEjecucion[precio],0))</f>
        <v/>
      </c>
      <c r="AG43" s="10">
        <f>IF(tblOrdenes[[#This Row],[orden]]="","",MAX(0,_xlfn.XLOOKUP(tblOrdenes[[#This Row],[id_operacion]],tblEjecucion[id_operacion],tblEjecucion[costo_plan_total],0)-tblOrdenes[[#This Row],[costo_servicio]]))</f>
        <v/>
      </c>
      <c r="AH43" s="10">
        <f>IF(tblOrdenes[[#This Row],[orden]]="","",tblOrdenes[[#This Row],[costo_servicio]]+tblOrdenes[[#This Row],[costo_materiales]])</f>
        <v/>
      </c>
      <c r="AI43" s="6" t="inlineStr"/>
      <c r="AJ43" s="6" t="inlineStr"/>
      <c r="AK43" s="6" t="inlineStr">
        <is>
          <t>ACT-02.pdf</t>
        </is>
      </c>
      <c r="AL43" s="3">
        <f>IF(tblOrdenes[[#This Row],[link_checklist]]="","",HYPERLINK(p_ruta_base_checklists&amp;tblOrdenes[[#This Row],[link_checklist]],"abrir"))</f>
        <v/>
      </c>
      <c r="AM43" s="6" t="inlineStr"/>
      <c r="AN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Row],[tipo_ot]]="","",_xlfn.XLOOKUP(tblOrdenes[[#This Row],[tipo_ot]],tblTiposOT[codigo],tblTiposOT[clasificacion],"sin_clasificar"))</f>
        <v/>
      </c>
      <c r="T44" s="3">
        <f>IF(tblOrdenes[[#This Row],[centro_costo]]="","",_xlfn.XLOOKUP(tblOrdenes[[#This Row],[centro_costo]],tblCECO[codigo],tblCECO[linea],"(sin catálogo)"))</f>
        <v/>
      </c>
      <c r="U44" s="3">
        <f>IF(tblOrdenes[[#This Row],[centro_costo]]="","",_xlfn.XLOOKUP(tblOrdenes[[#This Row],[centro_costo]],tblCECO[codigo],tblCECO[area],"(sin catálogo)"))</f>
        <v/>
      </c>
      <c r="V44" s="3">
        <f>IF(tblOrdenes[[#This Row],[centro_costo]]="","",_xlfn.XLOOKUP(tblOrdenes[[#This Row],[centro_costo]],tblCECO[codigo],tblCECO[coordinador],"(sin catálogo)"))</f>
        <v/>
      </c>
      <c r="W44" s="3">
        <f>IF(tblOrdenes[[#This Row],[puesto_trabajo]]="","",_xlfn.XLOOKUP(tblOrdenes[[#This Row],[puesto_trabajo]],tblPuestos[codigo],tblPuestos[especialidad],"(sin catálogo)"))</f>
        <v/>
      </c>
      <c r="X44" s="3">
        <f>IF(tblOrdenes[[#This Row],[cod_actividad]]="","",_xlfn.XLOOKUP(tblOrdenes[[#This Row],[cod_actividad]],tblActividades[codigo],tblActividades[descripcion],"(sin catálogo)"))</f>
        <v/>
      </c>
      <c r="Y44" s="12">
        <f>IF(tblOrdenes[[#This Row],[fecha_inicio]]="","",TODAY()-tblOrdenes[[#This Row],[fecha_inicio]])</f>
        <v/>
      </c>
      <c r="Z44" s="3">
        <f>IF(tblOrdenes[[#This Row],[backlog_dias]]="","",IF(tblOrdenes[[#This Row],[backlog_dias]]&lt;0,"FUTURO",IF(tblOrdenes[[#This Row],[backlog_dias]]&gt;p_dias_backlog_max,"BACKLOG","MES CORRIENTE")))</f>
        <v/>
      </c>
      <c r="AA44" s="3">
        <f>IF(tblOrdenes[[#This Row],[backlog_dias]]="",FALSE,AND(tblOrdenes[[#This Row],[backlog_dias]]&gt;p_dias_backlog_min,tblOrdenes[[#This Row],[backlog_dias]]&lt;=p_dias_backlog_max))</f>
        <v/>
      </c>
      <c r="AB44" s="6" t="inlineStr">
        <is>
          <t>Técnico 01</t>
        </is>
      </c>
      <c r="AC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" s="10">
        <f>IF(tblOrdenes[[#This Row],[orden]]="","",_xlfn.XLOOKUP(tblOrdenes[[#This Row],[id_operacion]],tblEjecucion[id_operacion],tblEjecucion[precio],0))</f>
        <v/>
      </c>
      <c r="AG44" s="10">
        <f>IF(tblOrdenes[[#This Row],[orden]]="","",MAX(0,_xlfn.XLOOKUP(tblOrdenes[[#This Row],[id_operacion]],tblEjecucion[id_operacion],tblEjecucion[costo_plan_total],0)-tblOrdenes[[#This Row],[costo_servicio]]))</f>
        <v/>
      </c>
      <c r="AH44" s="10">
        <f>IF(tblOrdenes[[#This Row],[orden]]="","",tblOrdenes[[#This Row],[costo_servicio]]+tblOrdenes[[#This Row],[costo_materiales]])</f>
        <v/>
      </c>
      <c r="AI44" s="6" t="inlineStr"/>
      <c r="AJ44" s="6" t="inlineStr"/>
      <c r="AK44" s="6" t="inlineStr">
        <is>
          <t>ACT-04.pdf</t>
        </is>
      </c>
      <c r="AL44" s="3">
        <f>IF(tblOrdenes[[#This Row],[link_checklist]]="","",HYPERLINK(p_ruta_base_checklists&amp;tblOrdenes[[#This Row],[link_checklist]],"abrir"))</f>
        <v/>
      </c>
      <c r="AM44" s="6" t="inlineStr"/>
      <c r="AN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Row],[tipo_ot]]="","",_xlfn.XLOOKUP(tblOrdenes[[#This Row],[tipo_ot]],tblTiposOT[codigo],tblTiposOT[clasificacion],"sin_clasificar"))</f>
        <v/>
      </c>
      <c r="T45" s="3">
        <f>IF(tblOrdenes[[#This Row],[centro_costo]]="","",_xlfn.XLOOKUP(tblOrdenes[[#This Row],[centro_costo]],tblCECO[codigo],tblCECO[linea],"(sin catálogo)"))</f>
        <v/>
      </c>
      <c r="U45" s="3">
        <f>IF(tblOrdenes[[#This Row],[centro_costo]]="","",_xlfn.XLOOKUP(tblOrdenes[[#This Row],[centro_costo]],tblCECO[codigo],tblCECO[area],"(sin catálogo)"))</f>
        <v/>
      </c>
      <c r="V45" s="3">
        <f>IF(tblOrdenes[[#This Row],[centro_costo]]="","",_xlfn.XLOOKUP(tblOrdenes[[#This Row],[centro_costo]],tblCECO[codigo],tblCECO[coordinador],"(sin catálogo)"))</f>
        <v/>
      </c>
      <c r="W45" s="3">
        <f>IF(tblOrdenes[[#This Row],[puesto_trabajo]]="","",_xlfn.XLOOKUP(tblOrdenes[[#This Row],[puesto_trabajo]],tblPuestos[codigo],tblPuestos[especialidad],"(sin catálogo)"))</f>
        <v/>
      </c>
      <c r="X45" s="3">
        <f>IF(tblOrdenes[[#This Row],[cod_actividad]]="","",_xlfn.XLOOKUP(tblOrdenes[[#This Row],[cod_actividad]],tblActividades[codigo],tblActividades[descripcion],"(sin catálogo)"))</f>
        <v/>
      </c>
      <c r="Y45" s="12">
        <f>IF(tblOrdenes[[#This Row],[fecha_inicio]]="","",TODAY()-tblOrdenes[[#This Row],[fecha_inicio]])</f>
        <v/>
      </c>
      <c r="Z45" s="3">
        <f>IF(tblOrdenes[[#This Row],[backlog_dias]]="","",IF(tblOrdenes[[#This Row],[backlog_dias]]&lt;0,"FUTURO",IF(tblOrdenes[[#This Row],[backlog_dias]]&gt;p_dias_backlog_max,"BACKLOG","MES CORRIENTE")))</f>
        <v/>
      </c>
      <c r="AA45" s="3">
        <f>IF(tblOrdenes[[#This Row],[backlog_dias]]="",FALSE,AND(tblOrdenes[[#This Row],[backlog_dias]]&gt;p_dias_backlog_min,tblOrdenes[[#This Row],[backlog_dias]]&lt;=p_dias_backlog_max))</f>
        <v/>
      </c>
      <c r="AB45" s="6" t="inlineStr">
        <is>
          <t>Técnico 02</t>
        </is>
      </c>
      <c r="AC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" s="10">
        <f>IF(tblOrdenes[[#This Row],[orden]]="","",_xlfn.XLOOKUP(tblOrdenes[[#This Row],[id_operacion]],tblEjecucion[id_operacion],tblEjecucion[precio],0))</f>
        <v/>
      </c>
      <c r="AG45" s="10">
        <f>IF(tblOrdenes[[#This Row],[orden]]="","",MAX(0,_xlfn.XLOOKUP(tblOrdenes[[#This Row],[id_operacion]],tblEjecucion[id_operacion],tblEjecucion[costo_plan_total],0)-tblOrdenes[[#This Row],[costo_servicio]]))</f>
        <v/>
      </c>
      <c r="AH45" s="10">
        <f>IF(tblOrdenes[[#This Row],[orden]]="","",tblOrdenes[[#This Row],[costo_servicio]]+tblOrdenes[[#This Row],[costo_materiales]])</f>
        <v/>
      </c>
      <c r="AI45" s="6" t="inlineStr"/>
      <c r="AJ45" s="6" t="inlineStr"/>
      <c r="AK45" s="6" t="inlineStr">
        <is>
          <t>ACT-01.pdf</t>
        </is>
      </c>
      <c r="AL45" s="3">
        <f>IF(tblOrdenes[[#This Row],[link_checklist]]="","",HYPERLINK(p_ruta_base_checklists&amp;tblOrdenes[[#This Row],[link_checklist]],"abrir"))</f>
        <v/>
      </c>
      <c r="AM45" s="6" t="inlineStr"/>
      <c r="AN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Row],[tipo_ot]]="","",_xlfn.XLOOKUP(tblOrdenes[[#This Row],[tipo_ot]],tblTiposOT[codigo],tblTiposOT[clasificacion],"sin_clasificar"))</f>
        <v/>
      </c>
      <c r="T46" s="3">
        <f>IF(tblOrdenes[[#This Row],[centro_costo]]="","",_xlfn.XLOOKUP(tblOrdenes[[#This Row],[centro_costo]],tblCECO[codigo],tblCECO[linea],"(sin catálogo)"))</f>
        <v/>
      </c>
      <c r="U46" s="3">
        <f>IF(tblOrdenes[[#This Row],[centro_costo]]="","",_xlfn.XLOOKUP(tblOrdenes[[#This Row],[centro_costo]],tblCECO[codigo],tblCECO[area],"(sin catálogo)"))</f>
        <v/>
      </c>
      <c r="V46" s="3">
        <f>IF(tblOrdenes[[#This Row],[centro_costo]]="","",_xlfn.XLOOKUP(tblOrdenes[[#This Row],[centro_costo]],tblCECO[codigo],tblCECO[coordinador],"(sin catálogo)"))</f>
        <v/>
      </c>
      <c r="W46" s="3">
        <f>IF(tblOrdenes[[#This Row],[puesto_trabajo]]="","",_xlfn.XLOOKUP(tblOrdenes[[#This Row],[puesto_trabajo]],tblPuestos[codigo],tblPuestos[especialidad],"(sin catálogo)"))</f>
        <v/>
      </c>
      <c r="X46" s="3">
        <f>IF(tblOrdenes[[#This Row],[cod_actividad]]="","",_xlfn.XLOOKUP(tblOrdenes[[#This Row],[cod_actividad]],tblActividades[codigo],tblActividades[descripcion],"(sin catálogo)"))</f>
        <v/>
      </c>
      <c r="Y46" s="12">
        <f>IF(tblOrdenes[[#This Row],[fecha_inicio]]="","",TODAY()-tblOrdenes[[#This Row],[fecha_inicio]])</f>
        <v/>
      </c>
      <c r="Z46" s="3">
        <f>IF(tblOrdenes[[#This Row],[backlog_dias]]="","",IF(tblOrdenes[[#This Row],[backlog_dias]]&lt;0,"FUTURO",IF(tblOrdenes[[#This Row],[backlog_dias]]&gt;p_dias_backlog_max,"BACKLOG","MES CORRIENTE")))</f>
        <v/>
      </c>
      <c r="AA46" s="3">
        <f>IF(tblOrdenes[[#This Row],[backlog_dias]]="",FALSE,AND(tblOrdenes[[#This Row],[backlog_dias]]&gt;p_dias_backlog_min,tblOrdenes[[#This Row],[backlog_dias]]&lt;=p_dias_backlog_max))</f>
        <v/>
      </c>
      <c r="AB46" s="6" t="inlineStr">
        <is>
          <t>Técnico 03</t>
        </is>
      </c>
      <c r="AC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" s="10">
        <f>IF(tblOrdenes[[#This Row],[orden]]="","",_xlfn.XLOOKUP(tblOrdenes[[#This Row],[id_operacion]],tblEjecucion[id_operacion],tblEjecucion[precio],0))</f>
        <v/>
      </c>
      <c r="AG46" s="10">
        <f>IF(tblOrdenes[[#This Row],[orden]]="","",MAX(0,_xlfn.XLOOKUP(tblOrdenes[[#This Row],[id_operacion]],tblEjecucion[id_operacion],tblEjecucion[costo_plan_total],0)-tblOrdenes[[#This Row],[costo_servicio]]))</f>
        <v/>
      </c>
      <c r="AH46" s="10">
        <f>IF(tblOrdenes[[#This Row],[orden]]="","",tblOrdenes[[#This Row],[costo_servicio]]+tblOrdenes[[#This Row],[costo_materiales]])</f>
        <v/>
      </c>
      <c r="AI46" s="6" t="inlineStr"/>
      <c r="AJ46" s="6" t="inlineStr"/>
      <c r="AK46" s="6" t="inlineStr">
        <is>
          <t>ACT-02.pdf</t>
        </is>
      </c>
      <c r="AL46" s="3">
        <f>IF(tblOrdenes[[#This Row],[link_checklist]]="","",HYPERLINK(p_ruta_base_checklists&amp;tblOrdenes[[#This Row],[link_checklist]],"abrir"))</f>
        <v/>
      </c>
      <c r="AM46" s="6" t="inlineStr"/>
      <c r="AN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Row],[tipo_ot]]="","",_xlfn.XLOOKUP(tblOrdenes[[#This Row],[tipo_ot]],tblTiposOT[codigo],tblTiposOT[clasificacion],"sin_clasificar"))</f>
        <v/>
      </c>
      <c r="T47" s="3">
        <f>IF(tblOrdenes[[#This Row],[centro_costo]]="","",_xlfn.XLOOKUP(tblOrdenes[[#This Row],[centro_costo]],tblCECO[codigo],tblCECO[linea],"(sin catálogo)"))</f>
        <v/>
      </c>
      <c r="U47" s="3">
        <f>IF(tblOrdenes[[#This Row],[centro_costo]]="","",_xlfn.XLOOKUP(tblOrdenes[[#This Row],[centro_costo]],tblCECO[codigo],tblCECO[area],"(sin catálogo)"))</f>
        <v/>
      </c>
      <c r="V47" s="3">
        <f>IF(tblOrdenes[[#This Row],[centro_costo]]="","",_xlfn.XLOOKUP(tblOrdenes[[#This Row],[centro_costo]],tblCECO[codigo],tblCECO[coordinador],"(sin catálogo)"))</f>
        <v/>
      </c>
      <c r="W47" s="3">
        <f>IF(tblOrdenes[[#This Row],[puesto_trabajo]]="","",_xlfn.XLOOKUP(tblOrdenes[[#This Row],[puesto_trabajo]],tblPuestos[codigo],tblPuestos[especialidad],"(sin catálogo)"))</f>
        <v/>
      </c>
      <c r="X47" s="3">
        <f>IF(tblOrdenes[[#This Row],[cod_actividad]]="","",_xlfn.XLOOKUP(tblOrdenes[[#This Row],[cod_actividad]],tblActividades[codigo],tblActividades[descripcion],"(sin catálogo)"))</f>
        <v/>
      </c>
      <c r="Y47" s="12">
        <f>IF(tblOrdenes[[#This Row],[fecha_inicio]]="","",TODAY()-tblOrdenes[[#This Row],[fecha_inicio]])</f>
        <v/>
      </c>
      <c r="Z47" s="3">
        <f>IF(tblOrdenes[[#This Row],[backlog_dias]]="","",IF(tblOrdenes[[#This Row],[backlog_dias]]&lt;0,"FUTURO",IF(tblOrdenes[[#This Row],[backlog_dias]]&gt;p_dias_backlog_max,"BACKLOG","MES CORRIENTE")))</f>
        <v/>
      </c>
      <c r="AA47" s="3">
        <f>IF(tblOrdenes[[#This Row],[backlog_dias]]="",FALSE,AND(tblOrdenes[[#This Row],[backlog_dias]]&gt;p_dias_backlog_min,tblOrdenes[[#This Row],[backlog_dias]]&lt;=p_dias_backlog_max))</f>
        <v/>
      </c>
      <c r="AB47" s="6" t="inlineStr">
        <is>
          <t>Técnico 04</t>
        </is>
      </c>
      <c r="AC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" s="10">
        <f>IF(tblOrdenes[[#This Row],[orden]]="","",_xlfn.XLOOKUP(tblOrdenes[[#This Row],[id_operacion]],tblEjecucion[id_operacion],tblEjecucion[precio],0))</f>
        <v/>
      </c>
      <c r="AG47" s="10">
        <f>IF(tblOrdenes[[#This Row],[orden]]="","",MAX(0,_xlfn.XLOOKUP(tblOrdenes[[#This Row],[id_operacion]],tblEjecucion[id_operacion],tblEjecucion[costo_plan_total],0)-tblOrdenes[[#This Row],[costo_servicio]]))</f>
        <v/>
      </c>
      <c r="AH47" s="10">
        <f>IF(tblOrdenes[[#This Row],[orden]]="","",tblOrdenes[[#This Row],[costo_servicio]]+tblOrdenes[[#This Row],[costo_materiales]])</f>
        <v/>
      </c>
      <c r="AI47" s="6" t="inlineStr"/>
      <c r="AJ47" s="6" t="inlineStr"/>
      <c r="AK47" s="6" t="inlineStr">
        <is>
          <t>ACT-04.pdf</t>
        </is>
      </c>
      <c r="AL47" s="3">
        <f>IF(tblOrdenes[[#This Row],[link_checklist]]="","",HYPERLINK(p_ruta_base_checklists&amp;tblOrdenes[[#This Row],[link_checklist]],"abrir"))</f>
        <v/>
      </c>
      <c r="AM47" s="6" t="inlineStr"/>
      <c r="AN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Row],[tipo_ot]]="","",_xlfn.XLOOKUP(tblOrdenes[[#This Row],[tipo_ot]],tblTiposOT[codigo],tblTiposOT[clasificacion],"sin_clasificar"))</f>
        <v/>
      </c>
      <c r="T48" s="3">
        <f>IF(tblOrdenes[[#This Row],[centro_costo]]="","",_xlfn.XLOOKUP(tblOrdenes[[#This Row],[centro_costo]],tblCECO[codigo],tblCECO[linea],"(sin catálogo)"))</f>
        <v/>
      </c>
      <c r="U48" s="3">
        <f>IF(tblOrdenes[[#This Row],[centro_costo]]="","",_xlfn.XLOOKUP(tblOrdenes[[#This Row],[centro_costo]],tblCECO[codigo],tblCECO[area],"(sin catálogo)"))</f>
        <v/>
      </c>
      <c r="V48" s="3">
        <f>IF(tblOrdenes[[#This Row],[centro_costo]]="","",_xlfn.XLOOKUP(tblOrdenes[[#This Row],[centro_costo]],tblCECO[codigo],tblCECO[coordinador],"(sin catálogo)"))</f>
        <v/>
      </c>
      <c r="W48" s="3">
        <f>IF(tblOrdenes[[#This Row],[puesto_trabajo]]="","",_xlfn.XLOOKUP(tblOrdenes[[#This Row],[puesto_trabajo]],tblPuestos[codigo],tblPuestos[especialidad],"(sin catálogo)"))</f>
        <v/>
      </c>
      <c r="X48" s="3">
        <f>IF(tblOrdenes[[#This Row],[cod_actividad]]="","",_xlfn.XLOOKUP(tblOrdenes[[#This Row],[cod_actividad]],tblActividades[codigo],tblActividades[descripcion],"(sin catálogo)"))</f>
        <v/>
      </c>
      <c r="Y48" s="12">
        <f>IF(tblOrdenes[[#This Row],[fecha_inicio]]="","",TODAY()-tblOrdenes[[#This Row],[fecha_inicio]])</f>
        <v/>
      </c>
      <c r="Z48" s="3">
        <f>IF(tblOrdenes[[#This Row],[backlog_dias]]="","",IF(tblOrdenes[[#This Row],[backlog_dias]]&lt;0,"FUTURO",IF(tblOrdenes[[#This Row],[backlog_dias]]&gt;p_dias_backlog_max,"BACKLOG","MES CORRIENTE")))</f>
        <v/>
      </c>
      <c r="AA48" s="3">
        <f>IF(tblOrdenes[[#This Row],[backlog_dias]]="",FALSE,AND(tblOrdenes[[#This Row],[backlog_dias]]&gt;p_dias_backlog_min,tblOrdenes[[#This Row],[backlog_dias]]&lt;=p_dias_backlog_max))</f>
        <v/>
      </c>
      <c r="AB48" s="6" t="inlineStr">
        <is>
          <t>Técnico 01</t>
        </is>
      </c>
      <c r="AC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" s="10">
        <f>IF(tblOrdenes[[#This Row],[orden]]="","",_xlfn.XLOOKUP(tblOrdenes[[#This Row],[id_operacion]],tblEjecucion[id_operacion],tblEjecucion[precio],0))</f>
        <v/>
      </c>
      <c r="AG48" s="10">
        <f>IF(tblOrdenes[[#This Row],[orden]]="","",MAX(0,_xlfn.XLOOKUP(tblOrdenes[[#This Row],[id_operacion]],tblEjecucion[id_operacion],tblEjecucion[costo_plan_total],0)-tblOrdenes[[#This Row],[costo_servicio]]))</f>
        <v/>
      </c>
      <c r="AH48" s="10">
        <f>IF(tblOrdenes[[#This Row],[orden]]="","",tblOrdenes[[#This Row],[costo_servicio]]+tblOrdenes[[#This Row],[costo_materiales]])</f>
        <v/>
      </c>
      <c r="AI48" s="6" t="inlineStr"/>
      <c r="AJ48" s="6" t="inlineStr"/>
      <c r="AK48" s="6" t="inlineStr">
        <is>
          <t>ACT-01.pdf</t>
        </is>
      </c>
      <c r="AL48" s="3">
        <f>IF(tblOrdenes[[#This Row],[link_checklist]]="","",HYPERLINK(p_ruta_base_checklists&amp;tblOrdenes[[#This Row],[link_checklist]],"abrir"))</f>
        <v/>
      </c>
      <c r="AM48" s="6" t="inlineStr"/>
      <c r="AN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Row],[tipo_ot]]="","",_xlfn.XLOOKUP(tblOrdenes[[#This Row],[tipo_ot]],tblTiposOT[codigo],tblTiposOT[clasificacion],"sin_clasificar"))</f>
        <v/>
      </c>
      <c r="T49" s="3">
        <f>IF(tblOrdenes[[#This Row],[centro_costo]]="","",_xlfn.XLOOKUP(tblOrdenes[[#This Row],[centro_costo]],tblCECO[codigo],tblCECO[linea],"(sin catálogo)"))</f>
        <v/>
      </c>
      <c r="U49" s="3">
        <f>IF(tblOrdenes[[#This Row],[centro_costo]]="","",_xlfn.XLOOKUP(tblOrdenes[[#This Row],[centro_costo]],tblCECO[codigo],tblCECO[area],"(sin catálogo)"))</f>
        <v/>
      </c>
      <c r="V49" s="3">
        <f>IF(tblOrdenes[[#This Row],[centro_costo]]="","",_xlfn.XLOOKUP(tblOrdenes[[#This Row],[centro_costo]],tblCECO[codigo],tblCECO[coordinador],"(sin catálogo)"))</f>
        <v/>
      </c>
      <c r="W49" s="3">
        <f>IF(tblOrdenes[[#This Row],[puesto_trabajo]]="","",_xlfn.XLOOKUP(tblOrdenes[[#This Row],[puesto_trabajo]],tblPuestos[codigo],tblPuestos[especialidad],"(sin catálogo)"))</f>
        <v/>
      </c>
      <c r="X49" s="3">
        <f>IF(tblOrdenes[[#This Row],[cod_actividad]]="","",_xlfn.XLOOKUP(tblOrdenes[[#This Row],[cod_actividad]],tblActividades[codigo],tblActividades[descripcion],"(sin catálogo)"))</f>
        <v/>
      </c>
      <c r="Y49" s="12">
        <f>IF(tblOrdenes[[#This Row],[fecha_inicio]]="","",TODAY()-tblOrdenes[[#This Row],[fecha_inicio]])</f>
        <v/>
      </c>
      <c r="Z49" s="3">
        <f>IF(tblOrdenes[[#This Row],[backlog_dias]]="","",IF(tblOrdenes[[#This Row],[backlog_dias]]&lt;0,"FUTURO",IF(tblOrdenes[[#This Row],[backlog_dias]]&gt;p_dias_backlog_max,"BACKLOG","MES CORRIENTE")))</f>
        <v/>
      </c>
      <c r="AA49" s="3">
        <f>IF(tblOrdenes[[#This Row],[backlog_dias]]="",FALSE,AND(tblOrdenes[[#This Row],[backlog_dias]]&gt;p_dias_backlog_min,tblOrdenes[[#This Row],[backlog_dias]]&lt;=p_dias_backlog_max))</f>
        <v/>
      </c>
      <c r="AB49" s="6" t="inlineStr">
        <is>
          <t>Técnico 02</t>
        </is>
      </c>
      <c r="AC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" s="10">
        <f>IF(tblOrdenes[[#This Row],[orden]]="","",_xlfn.XLOOKUP(tblOrdenes[[#This Row],[id_operacion]],tblEjecucion[id_operacion],tblEjecucion[precio],0))</f>
        <v/>
      </c>
      <c r="AG49" s="10">
        <f>IF(tblOrdenes[[#This Row],[orden]]="","",MAX(0,_xlfn.XLOOKUP(tblOrdenes[[#This Row],[id_operacion]],tblEjecucion[id_operacion],tblEjecucion[costo_plan_total],0)-tblOrdenes[[#This Row],[costo_servicio]]))</f>
        <v/>
      </c>
      <c r="AH49" s="10">
        <f>IF(tblOrdenes[[#This Row],[orden]]="","",tblOrdenes[[#This Row],[costo_servicio]]+tblOrdenes[[#This Row],[costo_materiales]])</f>
        <v/>
      </c>
      <c r="AI49" s="6" t="inlineStr"/>
      <c r="AJ49" s="6" t="inlineStr"/>
      <c r="AK49" s="6" t="inlineStr">
        <is>
          <t>ACT-02.pdf</t>
        </is>
      </c>
      <c r="AL49" s="3">
        <f>IF(tblOrdenes[[#This Row],[link_checklist]]="","",HYPERLINK(p_ruta_base_checklists&amp;tblOrdenes[[#This Row],[link_checklist]],"abrir"))</f>
        <v/>
      </c>
      <c r="AM49" s="6" t="inlineStr"/>
      <c r="AN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Row],[tipo_ot]]="","",_xlfn.XLOOKUP(tblOrdenes[[#This Row],[tipo_ot]],tblTiposOT[codigo],tblTiposOT[clasificacion],"sin_clasificar"))</f>
        <v/>
      </c>
      <c r="T50" s="3">
        <f>IF(tblOrdenes[[#This Row],[centro_costo]]="","",_xlfn.XLOOKUP(tblOrdenes[[#This Row],[centro_costo]],tblCECO[codigo],tblCECO[linea],"(sin catálogo)"))</f>
        <v/>
      </c>
      <c r="U50" s="3">
        <f>IF(tblOrdenes[[#This Row],[centro_costo]]="","",_xlfn.XLOOKUP(tblOrdenes[[#This Row],[centro_costo]],tblCECO[codigo],tblCECO[area],"(sin catálogo)"))</f>
        <v/>
      </c>
      <c r="V50" s="3">
        <f>IF(tblOrdenes[[#This Row],[centro_costo]]="","",_xlfn.XLOOKUP(tblOrdenes[[#This Row],[centro_costo]],tblCECO[codigo],tblCECO[coordinador],"(sin catálogo)"))</f>
        <v/>
      </c>
      <c r="W50" s="3">
        <f>IF(tblOrdenes[[#This Row],[puesto_trabajo]]="","",_xlfn.XLOOKUP(tblOrdenes[[#This Row],[puesto_trabajo]],tblPuestos[codigo],tblPuestos[especialidad],"(sin catálogo)"))</f>
        <v/>
      </c>
      <c r="X50" s="3">
        <f>IF(tblOrdenes[[#This Row],[cod_actividad]]="","",_xlfn.XLOOKUP(tblOrdenes[[#This Row],[cod_actividad]],tblActividades[codigo],tblActividades[descripcion],"(sin catálogo)"))</f>
        <v/>
      </c>
      <c r="Y50" s="12">
        <f>IF(tblOrdenes[[#This Row],[fecha_inicio]]="","",TODAY()-tblOrdenes[[#This Row],[fecha_inicio]])</f>
        <v/>
      </c>
      <c r="Z50" s="3">
        <f>IF(tblOrdenes[[#This Row],[backlog_dias]]="","",IF(tblOrdenes[[#This Row],[backlog_dias]]&lt;0,"FUTURO",IF(tblOrdenes[[#This Row],[backlog_dias]]&gt;p_dias_backlog_max,"BACKLOG","MES CORRIENTE")))</f>
        <v/>
      </c>
      <c r="AA50" s="3">
        <f>IF(tblOrdenes[[#This Row],[backlog_dias]]="",FALSE,AND(tblOrdenes[[#This Row],[backlog_dias]]&gt;p_dias_backlog_min,tblOrdenes[[#This Row],[backlog_dias]]&lt;=p_dias_backlog_max))</f>
        <v/>
      </c>
      <c r="AB50" s="6" t="inlineStr">
        <is>
          <t>Técnico 03</t>
        </is>
      </c>
      <c r="AC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" s="10">
        <f>IF(tblOrdenes[[#This Row],[orden]]="","",_xlfn.XLOOKUP(tblOrdenes[[#This Row],[id_operacion]],tblEjecucion[id_operacion],tblEjecucion[precio],0))</f>
        <v/>
      </c>
      <c r="AG50" s="10">
        <f>IF(tblOrdenes[[#This Row],[orden]]="","",MAX(0,_xlfn.XLOOKUP(tblOrdenes[[#This Row],[id_operacion]],tblEjecucion[id_operacion],tblEjecucion[costo_plan_total],0)-tblOrdenes[[#This Row],[costo_servicio]]))</f>
        <v/>
      </c>
      <c r="AH50" s="10">
        <f>IF(tblOrdenes[[#This Row],[orden]]="","",tblOrdenes[[#This Row],[costo_servicio]]+tblOrdenes[[#This Row],[costo_materiales]])</f>
        <v/>
      </c>
      <c r="AI50" s="6" t="inlineStr"/>
      <c r="AJ50" s="6" t="inlineStr"/>
      <c r="AK50" s="6" t="inlineStr"/>
      <c r="AL50" s="3">
        <f>IF(tblOrdenes[[#This Row],[link_checklist]]="","",HYPERLINK(p_ruta_base_checklists&amp;tblOrdenes[[#This Row],[link_checklist]],"abrir"))</f>
        <v/>
      </c>
      <c r="AM50" s="6" t="inlineStr"/>
      <c r="AN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Row],[tipo_ot]]="","",_xlfn.XLOOKUP(tblOrdenes[[#This Row],[tipo_ot]],tblTiposOT[codigo],tblTiposOT[clasificacion],"sin_clasificar"))</f>
        <v/>
      </c>
      <c r="T51" s="3">
        <f>IF(tblOrdenes[[#This Row],[centro_costo]]="","",_xlfn.XLOOKUP(tblOrdenes[[#This Row],[centro_costo]],tblCECO[codigo],tblCECO[linea],"(sin catálogo)"))</f>
        <v/>
      </c>
      <c r="U51" s="3">
        <f>IF(tblOrdenes[[#This Row],[centro_costo]]="","",_xlfn.XLOOKUP(tblOrdenes[[#This Row],[centro_costo]],tblCECO[codigo],tblCECO[area],"(sin catálogo)"))</f>
        <v/>
      </c>
      <c r="V51" s="3">
        <f>IF(tblOrdenes[[#This Row],[centro_costo]]="","",_xlfn.XLOOKUP(tblOrdenes[[#This Row],[centro_costo]],tblCECO[codigo],tblCECO[coordinador],"(sin catálogo)"))</f>
        <v/>
      </c>
      <c r="W51" s="3">
        <f>IF(tblOrdenes[[#This Row],[puesto_trabajo]]="","",_xlfn.XLOOKUP(tblOrdenes[[#This Row],[puesto_trabajo]],tblPuestos[codigo],tblPuestos[especialidad],"(sin catálogo)"))</f>
        <v/>
      </c>
      <c r="X51" s="3">
        <f>IF(tblOrdenes[[#This Row],[cod_actividad]]="","",_xlfn.XLOOKUP(tblOrdenes[[#This Row],[cod_actividad]],tblActividades[codigo],tblActividades[descripcion],"(sin catálogo)"))</f>
        <v/>
      </c>
      <c r="Y51" s="12">
        <f>IF(tblOrdenes[[#This Row],[fecha_inicio]]="","",TODAY()-tblOrdenes[[#This Row],[fecha_inicio]])</f>
        <v/>
      </c>
      <c r="Z51" s="3">
        <f>IF(tblOrdenes[[#This Row],[backlog_dias]]="","",IF(tblOrdenes[[#This Row],[backlog_dias]]&lt;0,"FUTURO",IF(tblOrdenes[[#This Row],[backlog_dias]]&gt;p_dias_backlog_max,"BACKLOG","MES CORRIENTE")))</f>
        <v/>
      </c>
      <c r="AA51" s="3">
        <f>IF(tblOrdenes[[#This Row],[backlog_dias]]="",FALSE,AND(tblOrdenes[[#This Row],[backlog_dias]]&gt;p_dias_backlog_min,tblOrdenes[[#This Row],[backlog_dias]]&lt;=p_dias_backlog_max))</f>
        <v/>
      </c>
      <c r="AB51" s="6" t="inlineStr"/>
      <c r="AC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" s="10">
        <f>IF(tblOrdenes[[#This Row],[orden]]="","",_xlfn.XLOOKUP(tblOrdenes[[#This Row],[id_operacion]],tblEjecucion[id_operacion],tblEjecucion[precio],0))</f>
        <v/>
      </c>
      <c r="AG51" s="10">
        <f>IF(tblOrdenes[[#This Row],[orden]]="","",MAX(0,_xlfn.XLOOKUP(tblOrdenes[[#This Row],[id_operacion]],tblEjecucion[id_operacion],tblEjecucion[costo_plan_total],0)-tblOrdenes[[#This Row],[costo_servicio]]))</f>
        <v/>
      </c>
      <c r="AH51" s="10">
        <f>IF(tblOrdenes[[#This Row],[orden]]="","",tblOrdenes[[#This Row],[costo_servicio]]+tblOrdenes[[#This Row],[costo_materiales]])</f>
        <v/>
      </c>
      <c r="AI51" s="6" t="inlineStr">
        <is>
          <t>PT-CALIENTE</t>
        </is>
      </c>
      <c r="AJ51" s="6" t="inlineStr">
        <is>
          <t>LOTO</t>
        </is>
      </c>
      <c r="AK51" s="6" t="inlineStr"/>
      <c r="AL51" s="3">
        <f>IF(tblOrdenes[[#This Row],[link_checklist]]="","",HYPERLINK(p_ruta_base_checklists&amp;tblOrdenes[[#This Row],[link_checklist]],"abrir"))</f>
        <v/>
      </c>
      <c r="AM51" s="6" t="inlineStr"/>
      <c r="AN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Row],[tipo_ot]]="","",_xlfn.XLOOKUP(tblOrdenes[[#This Row],[tipo_ot]],tblTiposOT[codigo],tblTiposOT[clasificacion],"sin_clasificar"))</f>
        <v/>
      </c>
      <c r="T52" s="3">
        <f>IF(tblOrdenes[[#This Row],[centro_costo]]="","",_xlfn.XLOOKUP(tblOrdenes[[#This Row],[centro_costo]],tblCECO[codigo],tblCECO[linea],"(sin catálogo)"))</f>
        <v/>
      </c>
      <c r="U52" s="3">
        <f>IF(tblOrdenes[[#This Row],[centro_costo]]="","",_xlfn.XLOOKUP(tblOrdenes[[#This Row],[centro_costo]],tblCECO[codigo],tblCECO[area],"(sin catálogo)"))</f>
        <v/>
      </c>
      <c r="V52" s="3">
        <f>IF(tblOrdenes[[#This Row],[centro_costo]]="","",_xlfn.XLOOKUP(tblOrdenes[[#This Row],[centro_costo]],tblCECO[codigo],tblCECO[coordinador],"(sin catálogo)"))</f>
        <v/>
      </c>
      <c r="W52" s="3">
        <f>IF(tblOrdenes[[#This Row],[puesto_trabajo]]="","",_xlfn.XLOOKUP(tblOrdenes[[#This Row],[puesto_trabajo]],tblPuestos[codigo],tblPuestos[especialidad],"(sin catálogo)"))</f>
        <v/>
      </c>
      <c r="X52" s="3">
        <f>IF(tblOrdenes[[#This Row],[cod_actividad]]="","",_xlfn.XLOOKUP(tblOrdenes[[#This Row],[cod_actividad]],tblActividades[codigo],tblActividades[descripcion],"(sin catálogo)"))</f>
        <v/>
      </c>
      <c r="Y52" s="12">
        <f>IF(tblOrdenes[[#This Row],[fecha_inicio]]="","",TODAY()-tblOrdenes[[#This Row],[fecha_inicio]])</f>
        <v/>
      </c>
      <c r="Z52" s="3">
        <f>IF(tblOrdenes[[#This Row],[backlog_dias]]="","",IF(tblOrdenes[[#This Row],[backlog_dias]]&lt;0,"FUTURO",IF(tblOrdenes[[#This Row],[backlog_dias]]&gt;p_dias_backlog_max,"BACKLOG","MES CORRIENTE")))</f>
        <v/>
      </c>
      <c r="AA52" s="3">
        <f>IF(tblOrdenes[[#This Row],[backlog_dias]]="",FALSE,AND(tblOrdenes[[#This Row],[backlog_dias]]&gt;p_dias_backlog_min,tblOrdenes[[#This Row],[backlog_dias]]&lt;=p_dias_backlog_max))</f>
        <v/>
      </c>
      <c r="AB52" s="6" t="inlineStr">
        <is>
          <t>Técnico 05</t>
        </is>
      </c>
      <c r="AC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" s="10">
        <f>IF(tblOrdenes[[#This Row],[orden]]="","",_xlfn.XLOOKUP(tblOrdenes[[#This Row],[id_operacion]],tblEjecucion[id_operacion],tblEjecucion[precio],0))</f>
        <v/>
      </c>
      <c r="AG52" s="10">
        <f>IF(tblOrdenes[[#This Row],[orden]]="","",MAX(0,_xlfn.XLOOKUP(tblOrdenes[[#This Row],[id_operacion]],tblEjecucion[id_operacion],tblEjecucion[costo_plan_total],0)-tblOrdenes[[#This Row],[costo_servicio]]))</f>
        <v/>
      </c>
      <c r="AH52" s="10">
        <f>IF(tblOrdenes[[#This Row],[orden]]="","",tblOrdenes[[#This Row],[costo_servicio]]+tblOrdenes[[#This Row],[costo_materiales]])</f>
        <v/>
      </c>
      <c r="AI52" s="6" t="inlineStr"/>
      <c r="AJ52" s="6" t="inlineStr"/>
      <c r="AK52" s="6" t="inlineStr">
        <is>
          <t>ACT-02.pdf</t>
        </is>
      </c>
      <c r="AL52" s="3">
        <f>IF(tblOrdenes[[#This Row],[link_checklist]]="","",HYPERLINK(p_ruta_base_checklists&amp;tblOrdenes[[#This Row],[link_checklist]],"abrir"))</f>
        <v/>
      </c>
      <c r="AM52" s="6" t="inlineStr"/>
      <c r="AN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Row],[tipo_ot]]="","",_xlfn.XLOOKUP(tblOrdenes[[#This Row],[tipo_ot]],tblTiposOT[codigo],tblTiposOT[clasificacion],"sin_clasificar"))</f>
        <v/>
      </c>
      <c r="T53" s="3">
        <f>IF(tblOrdenes[[#This Row],[centro_costo]]="","",_xlfn.XLOOKUP(tblOrdenes[[#This Row],[centro_costo]],tblCECO[codigo],tblCECO[linea],"(sin catálogo)"))</f>
        <v/>
      </c>
      <c r="U53" s="3">
        <f>IF(tblOrdenes[[#This Row],[centro_costo]]="","",_xlfn.XLOOKUP(tblOrdenes[[#This Row],[centro_costo]],tblCECO[codigo],tblCECO[area],"(sin catálogo)"))</f>
        <v/>
      </c>
      <c r="V53" s="3">
        <f>IF(tblOrdenes[[#This Row],[centro_costo]]="","",_xlfn.XLOOKUP(tblOrdenes[[#This Row],[centro_costo]],tblCECO[codigo],tblCECO[coordinador],"(sin catálogo)"))</f>
        <v/>
      </c>
      <c r="W53" s="3">
        <f>IF(tblOrdenes[[#This Row],[puesto_trabajo]]="","",_xlfn.XLOOKUP(tblOrdenes[[#This Row],[puesto_trabajo]],tblPuestos[codigo],tblPuestos[especialidad],"(sin catálogo)"))</f>
        <v/>
      </c>
      <c r="X53" s="3">
        <f>IF(tblOrdenes[[#This Row],[cod_actividad]]="","",_xlfn.XLOOKUP(tblOrdenes[[#This Row],[cod_actividad]],tblActividades[codigo],tblActividades[descripcion],"(sin catálogo)"))</f>
        <v/>
      </c>
      <c r="Y53" s="12">
        <f>IF(tblOrdenes[[#This Row],[fecha_inicio]]="","",TODAY()-tblOrdenes[[#This Row],[fecha_inicio]])</f>
        <v/>
      </c>
      <c r="Z53" s="3">
        <f>IF(tblOrdenes[[#This Row],[backlog_dias]]="","",IF(tblOrdenes[[#This Row],[backlog_dias]]&lt;0,"FUTURO",IF(tblOrdenes[[#This Row],[backlog_dias]]&gt;p_dias_backlog_max,"BACKLOG","MES CORRIENTE")))</f>
        <v/>
      </c>
      <c r="AA53" s="3">
        <f>IF(tblOrdenes[[#This Row],[backlog_dias]]="",FALSE,AND(tblOrdenes[[#This Row],[backlog_dias]]&gt;p_dias_backlog_min,tblOrdenes[[#This Row],[backlog_dias]]&lt;=p_dias_backlog_max))</f>
        <v/>
      </c>
      <c r="AB53" s="6" t="inlineStr">
        <is>
          <t>Técnico 06</t>
        </is>
      </c>
      <c r="AC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" s="10">
        <f>IF(tblOrdenes[[#This Row],[orden]]="","",_xlfn.XLOOKUP(tblOrdenes[[#This Row],[id_operacion]],tblEjecucion[id_operacion],tblEjecucion[precio],0))</f>
        <v/>
      </c>
      <c r="AG53" s="10">
        <f>IF(tblOrdenes[[#This Row],[orden]]="","",MAX(0,_xlfn.XLOOKUP(tblOrdenes[[#This Row],[id_operacion]],tblEjecucion[id_operacion],tblEjecucion[costo_plan_total],0)-tblOrdenes[[#This Row],[costo_servicio]]))</f>
        <v/>
      </c>
      <c r="AH53" s="10">
        <f>IF(tblOrdenes[[#This Row],[orden]]="","",tblOrdenes[[#This Row],[costo_servicio]]+tblOrdenes[[#This Row],[costo_materiales]])</f>
        <v/>
      </c>
      <c r="AI53" s="6" t="inlineStr"/>
      <c r="AJ53" s="6" t="inlineStr"/>
      <c r="AK53" s="6" t="inlineStr">
        <is>
          <t>ACT-04.pdf</t>
        </is>
      </c>
      <c r="AL53" s="3">
        <f>IF(tblOrdenes[[#This Row],[link_checklist]]="","",HYPERLINK(p_ruta_base_checklists&amp;tblOrdenes[[#This Row],[link_checklist]],"abrir"))</f>
        <v/>
      </c>
      <c r="AM53" s="6" t="inlineStr"/>
      <c r="AN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Row],[tipo_ot]]="","",_xlfn.XLOOKUP(tblOrdenes[[#This Row],[tipo_ot]],tblTiposOT[codigo],tblTiposOT[clasificacion],"sin_clasificar"))</f>
        <v/>
      </c>
      <c r="T54" s="3">
        <f>IF(tblOrdenes[[#This Row],[centro_costo]]="","",_xlfn.XLOOKUP(tblOrdenes[[#This Row],[centro_costo]],tblCECO[codigo],tblCECO[linea],"(sin catálogo)"))</f>
        <v/>
      </c>
      <c r="U54" s="3">
        <f>IF(tblOrdenes[[#This Row],[centro_costo]]="","",_xlfn.XLOOKUP(tblOrdenes[[#This Row],[centro_costo]],tblCECO[codigo],tblCECO[area],"(sin catálogo)"))</f>
        <v/>
      </c>
      <c r="V54" s="3">
        <f>IF(tblOrdenes[[#This Row],[centro_costo]]="","",_xlfn.XLOOKUP(tblOrdenes[[#This Row],[centro_costo]],tblCECO[codigo],tblCECO[coordinador],"(sin catálogo)"))</f>
        <v/>
      </c>
      <c r="W54" s="3">
        <f>IF(tblOrdenes[[#This Row],[puesto_trabajo]]="","",_xlfn.XLOOKUP(tblOrdenes[[#This Row],[puesto_trabajo]],tblPuestos[codigo],tblPuestos[especialidad],"(sin catálogo)"))</f>
        <v/>
      </c>
      <c r="X54" s="3">
        <f>IF(tblOrdenes[[#This Row],[cod_actividad]]="","",_xlfn.XLOOKUP(tblOrdenes[[#This Row],[cod_actividad]],tblActividades[codigo],tblActividades[descripcion],"(sin catálogo)"))</f>
        <v/>
      </c>
      <c r="Y54" s="12">
        <f>IF(tblOrdenes[[#This Row],[fecha_inicio]]="","",TODAY()-tblOrdenes[[#This Row],[fecha_inicio]])</f>
        <v/>
      </c>
      <c r="Z54" s="3">
        <f>IF(tblOrdenes[[#This Row],[backlog_dias]]="","",IF(tblOrdenes[[#This Row],[backlog_dias]]&lt;0,"FUTURO",IF(tblOrdenes[[#This Row],[backlog_dias]]&gt;p_dias_backlog_max,"BACKLOG","MES CORRIENTE")))</f>
        <v/>
      </c>
      <c r="AA54" s="3">
        <f>IF(tblOrdenes[[#This Row],[backlog_dias]]="",FALSE,AND(tblOrdenes[[#This Row],[backlog_dias]]&gt;p_dias_backlog_min,tblOrdenes[[#This Row],[backlog_dias]]&lt;=p_dias_backlog_max))</f>
        <v/>
      </c>
      <c r="AB54" s="6" t="inlineStr">
        <is>
          <t>Técnico 07</t>
        </is>
      </c>
      <c r="AC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" s="10">
        <f>IF(tblOrdenes[[#This Row],[orden]]="","",_xlfn.XLOOKUP(tblOrdenes[[#This Row],[id_operacion]],tblEjecucion[id_operacion],tblEjecucion[precio],0))</f>
        <v/>
      </c>
      <c r="AG54" s="10">
        <f>IF(tblOrdenes[[#This Row],[orden]]="","",MAX(0,_xlfn.XLOOKUP(tblOrdenes[[#This Row],[id_operacion]],tblEjecucion[id_operacion],tblEjecucion[costo_plan_total],0)-tblOrdenes[[#This Row],[costo_servicio]]))</f>
        <v/>
      </c>
      <c r="AH54" s="10">
        <f>IF(tblOrdenes[[#This Row],[orden]]="","",tblOrdenes[[#This Row],[costo_servicio]]+tblOrdenes[[#This Row],[costo_materiales]])</f>
        <v/>
      </c>
      <c r="AI54" s="6" t="inlineStr"/>
      <c r="AJ54" s="6" t="inlineStr"/>
      <c r="AK54" s="6" t="inlineStr">
        <is>
          <t>ACT-01.pdf</t>
        </is>
      </c>
      <c r="AL54" s="3">
        <f>IF(tblOrdenes[[#This Row],[link_checklist]]="","",HYPERLINK(p_ruta_base_checklists&amp;tblOrdenes[[#This Row],[link_checklist]],"abrir"))</f>
        <v/>
      </c>
      <c r="AM54" s="6" t="inlineStr"/>
      <c r="AN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Row],[tipo_ot]]="","",_xlfn.XLOOKUP(tblOrdenes[[#This Row],[tipo_ot]],tblTiposOT[codigo],tblTiposOT[clasificacion],"sin_clasificar"))</f>
        <v/>
      </c>
      <c r="T55" s="3">
        <f>IF(tblOrdenes[[#This Row],[centro_costo]]="","",_xlfn.XLOOKUP(tblOrdenes[[#This Row],[centro_costo]],tblCECO[codigo],tblCECO[linea],"(sin catálogo)"))</f>
        <v/>
      </c>
      <c r="U55" s="3">
        <f>IF(tblOrdenes[[#This Row],[centro_costo]]="","",_xlfn.XLOOKUP(tblOrdenes[[#This Row],[centro_costo]],tblCECO[codigo],tblCECO[area],"(sin catálogo)"))</f>
        <v/>
      </c>
      <c r="V55" s="3">
        <f>IF(tblOrdenes[[#This Row],[centro_costo]]="","",_xlfn.XLOOKUP(tblOrdenes[[#This Row],[centro_costo]],tblCECO[codigo],tblCECO[coordinador],"(sin catálogo)"))</f>
        <v/>
      </c>
      <c r="W55" s="3">
        <f>IF(tblOrdenes[[#This Row],[puesto_trabajo]]="","",_xlfn.XLOOKUP(tblOrdenes[[#This Row],[puesto_trabajo]],tblPuestos[codigo],tblPuestos[especialidad],"(sin catálogo)"))</f>
        <v/>
      </c>
      <c r="X55" s="3">
        <f>IF(tblOrdenes[[#This Row],[cod_actividad]]="","",_xlfn.XLOOKUP(tblOrdenes[[#This Row],[cod_actividad]],tblActividades[codigo],tblActividades[descripcion],"(sin catálogo)"))</f>
        <v/>
      </c>
      <c r="Y55" s="12">
        <f>IF(tblOrdenes[[#This Row],[fecha_inicio]]="","",TODAY()-tblOrdenes[[#This Row],[fecha_inicio]])</f>
        <v/>
      </c>
      <c r="Z55" s="3">
        <f>IF(tblOrdenes[[#This Row],[backlog_dias]]="","",IF(tblOrdenes[[#This Row],[backlog_dias]]&lt;0,"FUTURO",IF(tblOrdenes[[#This Row],[backlog_dias]]&gt;p_dias_backlog_max,"BACKLOG","MES CORRIENTE")))</f>
        <v/>
      </c>
      <c r="AA55" s="3">
        <f>IF(tblOrdenes[[#This Row],[backlog_dias]]="",FALSE,AND(tblOrdenes[[#This Row],[backlog_dias]]&gt;p_dias_backlog_min,tblOrdenes[[#This Row],[backlog_dias]]&lt;=p_dias_backlog_max))</f>
        <v/>
      </c>
      <c r="AB55" s="6" t="inlineStr">
        <is>
          <t>Técnico 05</t>
        </is>
      </c>
      <c r="AC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" s="10">
        <f>IF(tblOrdenes[[#This Row],[orden]]="","",_xlfn.XLOOKUP(tblOrdenes[[#This Row],[id_operacion]],tblEjecucion[id_operacion],tblEjecucion[precio],0))</f>
        <v/>
      </c>
      <c r="AG55" s="10">
        <f>IF(tblOrdenes[[#This Row],[orden]]="","",MAX(0,_xlfn.XLOOKUP(tblOrdenes[[#This Row],[id_operacion]],tblEjecucion[id_operacion],tblEjecucion[costo_plan_total],0)-tblOrdenes[[#This Row],[costo_servicio]]))</f>
        <v/>
      </c>
      <c r="AH55" s="10">
        <f>IF(tblOrdenes[[#This Row],[orden]]="","",tblOrdenes[[#This Row],[costo_servicio]]+tblOrdenes[[#This Row],[costo_materiales]])</f>
        <v/>
      </c>
      <c r="AI55" s="6" t="inlineStr"/>
      <c r="AJ55" s="6" t="inlineStr"/>
      <c r="AK55" s="6" t="inlineStr">
        <is>
          <t>ACT-02.pdf</t>
        </is>
      </c>
      <c r="AL55" s="3">
        <f>IF(tblOrdenes[[#This Row],[link_checklist]]="","",HYPERLINK(p_ruta_base_checklists&amp;tblOrdenes[[#This Row],[link_checklist]],"abrir"))</f>
        <v/>
      </c>
      <c r="AM55" s="6" t="inlineStr"/>
      <c r="AN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Row],[tipo_ot]]="","",_xlfn.XLOOKUP(tblOrdenes[[#This Row],[tipo_ot]],tblTiposOT[codigo],tblTiposOT[clasificacion],"sin_clasificar"))</f>
        <v/>
      </c>
      <c r="T56" s="3">
        <f>IF(tblOrdenes[[#This Row],[centro_costo]]="","",_xlfn.XLOOKUP(tblOrdenes[[#This Row],[centro_costo]],tblCECO[codigo],tblCECO[linea],"(sin catálogo)"))</f>
        <v/>
      </c>
      <c r="U56" s="3">
        <f>IF(tblOrdenes[[#This Row],[centro_costo]]="","",_xlfn.XLOOKUP(tblOrdenes[[#This Row],[centro_costo]],tblCECO[codigo],tblCECO[area],"(sin catálogo)"))</f>
        <v/>
      </c>
      <c r="V56" s="3">
        <f>IF(tblOrdenes[[#This Row],[centro_costo]]="","",_xlfn.XLOOKUP(tblOrdenes[[#This Row],[centro_costo]],tblCECO[codigo],tblCECO[coordinador],"(sin catálogo)"))</f>
        <v/>
      </c>
      <c r="W56" s="3">
        <f>IF(tblOrdenes[[#This Row],[puesto_trabajo]]="","",_xlfn.XLOOKUP(tblOrdenes[[#This Row],[puesto_trabajo]],tblPuestos[codigo],tblPuestos[especialidad],"(sin catálogo)"))</f>
        <v/>
      </c>
      <c r="X56" s="3">
        <f>IF(tblOrdenes[[#This Row],[cod_actividad]]="","",_xlfn.XLOOKUP(tblOrdenes[[#This Row],[cod_actividad]],tblActividades[codigo],tblActividades[descripcion],"(sin catálogo)"))</f>
        <v/>
      </c>
      <c r="Y56" s="12">
        <f>IF(tblOrdenes[[#This Row],[fecha_inicio]]="","",TODAY()-tblOrdenes[[#This Row],[fecha_inicio]])</f>
        <v/>
      </c>
      <c r="Z56" s="3">
        <f>IF(tblOrdenes[[#This Row],[backlog_dias]]="","",IF(tblOrdenes[[#This Row],[backlog_dias]]&lt;0,"FUTURO",IF(tblOrdenes[[#This Row],[backlog_dias]]&gt;p_dias_backlog_max,"BACKLOG","MES CORRIENTE")))</f>
        <v/>
      </c>
      <c r="AA56" s="3">
        <f>IF(tblOrdenes[[#This Row],[backlog_dias]]="",FALSE,AND(tblOrdenes[[#This Row],[backlog_dias]]&gt;p_dias_backlog_min,tblOrdenes[[#This Row],[backlog_dias]]&lt;=p_dias_backlog_max))</f>
        <v/>
      </c>
      <c r="AB56" s="6" t="inlineStr">
        <is>
          <t>Técnico 06</t>
        </is>
      </c>
      <c r="AC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" s="10">
        <f>IF(tblOrdenes[[#This Row],[orden]]="","",_xlfn.XLOOKUP(tblOrdenes[[#This Row],[id_operacion]],tblEjecucion[id_operacion],tblEjecucion[precio],0))</f>
        <v/>
      </c>
      <c r="AG56" s="10">
        <f>IF(tblOrdenes[[#This Row],[orden]]="","",MAX(0,_xlfn.XLOOKUP(tblOrdenes[[#This Row],[id_operacion]],tblEjecucion[id_operacion],tblEjecucion[costo_plan_total],0)-tblOrdenes[[#This Row],[costo_servicio]]))</f>
        <v/>
      </c>
      <c r="AH56" s="10">
        <f>IF(tblOrdenes[[#This Row],[orden]]="","",tblOrdenes[[#This Row],[costo_servicio]]+tblOrdenes[[#This Row],[costo_materiales]])</f>
        <v/>
      </c>
      <c r="AI56" s="6" t="inlineStr"/>
      <c r="AJ56" s="6" t="inlineStr"/>
      <c r="AK56" s="6" t="inlineStr">
        <is>
          <t>ACT-04.pdf</t>
        </is>
      </c>
      <c r="AL56" s="3">
        <f>IF(tblOrdenes[[#This Row],[link_checklist]]="","",HYPERLINK(p_ruta_base_checklists&amp;tblOrdenes[[#This Row],[link_checklist]],"abrir"))</f>
        <v/>
      </c>
      <c r="AM56" s="6" t="inlineStr"/>
      <c r="AN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Row],[tipo_ot]]="","",_xlfn.XLOOKUP(tblOrdenes[[#This Row],[tipo_ot]],tblTiposOT[codigo],tblTiposOT[clasificacion],"sin_clasificar"))</f>
        <v/>
      </c>
      <c r="T57" s="3">
        <f>IF(tblOrdenes[[#This Row],[centro_costo]]="","",_xlfn.XLOOKUP(tblOrdenes[[#This Row],[centro_costo]],tblCECO[codigo],tblCECO[linea],"(sin catálogo)"))</f>
        <v/>
      </c>
      <c r="U57" s="3">
        <f>IF(tblOrdenes[[#This Row],[centro_costo]]="","",_xlfn.XLOOKUP(tblOrdenes[[#This Row],[centro_costo]],tblCECO[codigo],tblCECO[area],"(sin catálogo)"))</f>
        <v/>
      </c>
      <c r="V57" s="3">
        <f>IF(tblOrdenes[[#This Row],[centro_costo]]="","",_xlfn.XLOOKUP(tblOrdenes[[#This Row],[centro_costo]],tblCECO[codigo],tblCECO[coordinador],"(sin catálogo)"))</f>
        <v/>
      </c>
      <c r="W57" s="3">
        <f>IF(tblOrdenes[[#This Row],[puesto_trabajo]]="","",_xlfn.XLOOKUP(tblOrdenes[[#This Row],[puesto_trabajo]],tblPuestos[codigo],tblPuestos[especialidad],"(sin catálogo)"))</f>
        <v/>
      </c>
      <c r="X57" s="3">
        <f>IF(tblOrdenes[[#This Row],[cod_actividad]]="","",_xlfn.XLOOKUP(tblOrdenes[[#This Row],[cod_actividad]],tblActividades[codigo],tblActividades[descripcion],"(sin catálogo)"))</f>
        <v/>
      </c>
      <c r="Y57" s="12">
        <f>IF(tblOrdenes[[#This Row],[fecha_inicio]]="","",TODAY()-tblOrdenes[[#This Row],[fecha_inicio]])</f>
        <v/>
      </c>
      <c r="Z57" s="3">
        <f>IF(tblOrdenes[[#This Row],[backlog_dias]]="","",IF(tblOrdenes[[#This Row],[backlog_dias]]&lt;0,"FUTURO",IF(tblOrdenes[[#This Row],[backlog_dias]]&gt;p_dias_backlog_max,"BACKLOG","MES CORRIENTE")))</f>
        <v/>
      </c>
      <c r="AA57" s="3">
        <f>IF(tblOrdenes[[#This Row],[backlog_dias]]="",FALSE,AND(tblOrdenes[[#This Row],[backlog_dias]]&gt;p_dias_backlog_min,tblOrdenes[[#This Row],[backlog_dias]]&lt;=p_dias_backlog_max))</f>
        <v/>
      </c>
      <c r="AB57" s="6" t="inlineStr">
        <is>
          <t>Técnico 07</t>
        </is>
      </c>
      <c r="AC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" s="10">
        <f>IF(tblOrdenes[[#This Row],[orden]]="","",_xlfn.XLOOKUP(tblOrdenes[[#This Row],[id_operacion]],tblEjecucion[id_operacion],tblEjecucion[precio],0))</f>
        <v/>
      </c>
      <c r="AG57" s="10">
        <f>IF(tblOrdenes[[#This Row],[orden]]="","",MAX(0,_xlfn.XLOOKUP(tblOrdenes[[#This Row],[id_operacion]],tblEjecucion[id_operacion],tblEjecucion[costo_plan_total],0)-tblOrdenes[[#This Row],[costo_servicio]]))</f>
        <v/>
      </c>
      <c r="AH57" s="10">
        <f>IF(tblOrdenes[[#This Row],[orden]]="","",tblOrdenes[[#This Row],[costo_servicio]]+tblOrdenes[[#This Row],[costo_materiales]])</f>
        <v/>
      </c>
      <c r="AI57" s="6" t="inlineStr"/>
      <c r="AJ57" s="6" t="inlineStr"/>
      <c r="AK57" s="6" t="inlineStr">
        <is>
          <t>ACT-01.pdf</t>
        </is>
      </c>
      <c r="AL57" s="3">
        <f>IF(tblOrdenes[[#This Row],[link_checklist]]="","",HYPERLINK(p_ruta_base_checklists&amp;tblOrdenes[[#This Row],[link_checklist]],"abrir"))</f>
        <v/>
      </c>
      <c r="AM57" s="6" t="inlineStr"/>
      <c r="AN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Row],[tipo_ot]]="","",_xlfn.XLOOKUP(tblOrdenes[[#This Row],[tipo_ot]],tblTiposOT[codigo],tblTiposOT[clasificacion],"sin_clasificar"))</f>
        <v/>
      </c>
      <c r="T58" s="3">
        <f>IF(tblOrdenes[[#This Row],[centro_costo]]="","",_xlfn.XLOOKUP(tblOrdenes[[#This Row],[centro_costo]],tblCECO[codigo],tblCECO[linea],"(sin catálogo)"))</f>
        <v/>
      </c>
      <c r="U58" s="3">
        <f>IF(tblOrdenes[[#This Row],[centro_costo]]="","",_xlfn.XLOOKUP(tblOrdenes[[#This Row],[centro_costo]],tblCECO[codigo],tblCECO[area],"(sin catálogo)"))</f>
        <v/>
      </c>
      <c r="V58" s="3">
        <f>IF(tblOrdenes[[#This Row],[centro_costo]]="","",_xlfn.XLOOKUP(tblOrdenes[[#This Row],[centro_costo]],tblCECO[codigo],tblCECO[coordinador],"(sin catálogo)"))</f>
        <v/>
      </c>
      <c r="W58" s="3">
        <f>IF(tblOrdenes[[#This Row],[puesto_trabajo]]="","",_xlfn.XLOOKUP(tblOrdenes[[#This Row],[puesto_trabajo]],tblPuestos[codigo],tblPuestos[especialidad],"(sin catálogo)"))</f>
        <v/>
      </c>
      <c r="X58" s="3">
        <f>IF(tblOrdenes[[#This Row],[cod_actividad]]="","",_xlfn.XLOOKUP(tblOrdenes[[#This Row],[cod_actividad]],tblActividades[codigo],tblActividades[descripcion],"(sin catálogo)"))</f>
        <v/>
      </c>
      <c r="Y58" s="12">
        <f>IF(tblOrdenes[[#This Row],[fecha_inicio]]="","",TODAY()-tblOrdenes[[#This Row],[fecha_inicio]])</f>
        <v/>
      </c>
      <c r="Z58" s="3">
        <f>IF(tblOrdenes[[#This Row],[backlog_dias]]="","",IF(tblOrdenes[[#This Row],[backlog_dias]]&lt;0,"FUTURO",IF(tblOrdenes[[#This Row],[backlog_dias]]&gt;p_dias_backlog_max,"BACKLOG","MES CORRIENTE")))</f>
        <v/>
      </c>
      <c r="AA58" s="3">
        <f>IF(tblOrdenes[[#This Row],[backlog_dias]]="",FALSE,AND(tblOrdenes[[#This Row],[backlog_dias]]&gt;p_dias_backlog_min,tblOrdenes[[#This Row],[backlog_dias]]&lt;=p_dias_backlog_max))</f>
        <v/>
      </c>
      <c r="AB58" s="6" t="inlineStr">
        <is>
          <t>Técnico 05</t>
        </is>
      </c>
      <c r="AC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" s="10">
        <f>IF(tblOrdenes[[#This Row],[orden]]="","",_xlfn.XLOOKUP(tblOrdenes[[#This Row],[id_operacion]],tblEjecucion[id_operacion],tblEjecucion[precio],0))</f>
        <v/>
      </c>
      <c r="AG58" s="10">
        <f>IF(tblOrdenes[[#This Row],[orden]]="","",MAX(0,_xlfn.XLOOKUP(tblOrdenes[[#This Row],[id_operacion]],tblEjecucion[id_operacion],tblEjecucion[costo_plan_total],0)-tblOrdenes[[#This Row],[costo_servicio]]))</f>
        <v/>
      </c>
      <c r="AH58" s="10">
        <f>IF(tblOrdenes[[#This Row],[orden]]="","",tblOrdenes[[#This Row],[costo_servicio]]+tblOrdenes[[#This Row],[costo_materiales]])</f>
        <v/>
      </c>
      <c r="AI58" s="6" t="inlineStr"/>
      <c r="AJ58" s="6" t="inlineStr"/>
      <c r="AK58" s="6" t="inlineStr">
        <is>
          <t>ACT-02.pdf</t>
        </is>
      </c>
      <c r="AL58" s="3">
        <f>IF(tblOrdenes[[#This Row],[link_checklist]]="","",HYPERLINK(p_ruta_base_checklists&amp;tblOrdenes[[#This Row],[link_checklist]],"abrir"))</f>
        <v/>
      </c>
      <c r="AM58" s="6" t="inlineStr"/>
      <c r="AN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Row],[tipo_ot]]="","",_xlfn.XLOOKUP(tblOrdenes[[#This Row],[tipo_ot]],tblTiposOT[codigo],tblTiposOT[clasificacion],"sin_clasificar"))</f>
        <v/>
      </c>
      <c r="T59" s="3">
        <f>IF(tblOrdenes[[#This Row],[centro_costo]]="","",_xlfn.XLOOKUP(tblOrdenes[[#This Row],[centro_costo]],tblCECO[codigo],tblCECO[linea],"(sin catálogo)"))</f>
        <v/>
      </c>
      <c r="U59" s="3">
        <f>IF(tblOrdenes[[#This Row],[centro_costo]]="","",_xlfn.XLOOKUP(tblOrdenes[[#This Row],[centro_costo]],tblCECO[codigo],tblCECO[area],"(sin catálogo)"))</f>
        <v/>
      </c>
      <c r="V59" s="3">
        <f>IF(tblOrdenes[[#This Row],[centro_costo]]="","",_xlfn.XLOOKUP(tblOrdenes[[#This Row],[centro_costo]],tblCECO[codigo],tblCECO[coordinador],"(sin catálogo)"))</f>
        <v/>
      </c>
      <c r="W59" s="3">
        <f>IF(tblOrdenes[[#This Row],[puesto_trabajo]]="","",_xlfn.XLOOKUP(tblOrdenes[[#This Row],[puesto_trabajo]],tblPuestos[codigo],tblPuestos[especialidad],"(sin catálogo)"))</f>
        <v/>
      </c>
      <c r="X59" s="3">
        <f>IF(tblOrdenes[[#This Row],[cod_actividad]]="","",_xlfn.XLOOKUP(tblOrdenes[[#This Row],[cod_actividad]],tblActividades[codigo],tblActividades[descripcion],"(sin catálogo)"))</f>
        <v/>
      </c>
      <c r="Y59" s="12">
        <f>IF(tblOrdenes[[#This Row],[fecha_inicio]]="","",TODAY()-tblOrdenes[[#This Row],[fecha_inicio]])</f>
        <v/>
      </c>
      <c r="Z59" s="3">
        <f>IF(tblOrdenes[[#This Row],[backlog_dias]]="","",IF(tblOrdenes[[#This Row],[backlog_dias]]&lt;0,"FUTURO",IF(tblOrdenes[[#This Row],[backlog_dias]]&gt;p_dias_backlog_max,"BACKLOG","MES CORRIENTE")))</f>
        <v/>
      </c>
      <c r="AA59" s="3">
        <f>IF(tblOrdenes[[#This Row],[backlog_dias]]="",FALSE,AND(tblOrdenes[[#This Row],[backlog_dias]]&gt;p_dias_backlog_min,tblOrdenes[[#This Row],[backlog_dias]]&lt;=p_dias_backlog_max))</f>
        <v/>
      </c>
      <c r="AB59" s="6" t="inlineStr">
        <is>
          <t>Técnico 06</t>
        </is>
      </c>
      <c r="AC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" s="10">
        <f>IF(tblOrdenes[[#This Row],[orden]]="","",_xlfn.XLOOKUP(tblOrdenes[[#This Row],[id_operacion]],tblEjecucion[id_operacion],tblEjecucion[precio],0))</f>
        <v/>
      </c>
      <c r="AG59" s="10">
        <f>IF(tblOrdenes[[#This Row],[orden]]="","",MAX(0,_xlfn.XLOOKUP(tblOrdenes[[#This Row],[id_operacion]],tblEjecucion[id_operacion],tblEjecucion[costo_plan_total],0)-tblOrdenes[[#This Row],[costo_servicio]]))</f>
        <v/>
      </c>
      <c r="AH59" s="10">
        <f>IF(tblOrdenes[[#This Row],[orden]]="","",tblOrdenes[[#This Row],[costo_servicio]]+tblOrdenes[[#This Row],[costo_materiales]])</f>
        <v/>
      </c>
      <c r="AI59" s="6" t="inlineStr"/>
      <c r="AJ59" s="6" t="inlineStr"/>
      <c r="AK59" s="6" t="inlineStr">
        <is>
          <t>ACT-04.pdf</t>
        </is>
      </c>
      <c r="AL59" s="3">
        <f>IF(tblOrdenes[[#This Row],[link_checklist]]="","",HYPERLINK(p_ruta_base_checklists&amp;tblOrdenes[[#This Row],[link_checklist]],"abrir"))</f>
        <v/>
      </c>
      <c r="AM59" s="6" t="inlineStr"/>
      <c r="AN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Row],[tipo_ot]]="","",_xlfn.XLOOKUP(tblOrdenes[[#This Row],[tipo_ot]],tblTiposOT[codigo],tblTiposOT[clasificacion],"sin_clasificar"))</f>
        <v/>
      </c>
      <c r="T60" s="3">
        <f>IF(tblOrdenes[[#This Row],[centro_costo]]="","",_xlfn.XLOOKUP(tblOrdenes[[#This Row],[centro_costo]],tblCECO[codigo],tblCECO[linea],"(sin catálogo)"))</f>
        <v/>
      </c>
      <c r="U60" s="3">
        <f>IF(tblOrdenes[[#This Row],[centro_costo]]="","",_xlfn.XLOOKUP(tblOrdenes[[#This Row],[centro_costo]],tblCECO[codigo],tblCECO[area],"(sin catálogo)"))</f>
        <v/>
      </c>
      <c r="V60" s="3">
        <f>IF(tblOrdenes[[#This Row],[centro_costo]]="","",_xlfn.XLOOKUP(tblOrdenes[[#This Row],[centro_costo]],tblCECO[codigo],tblCECO[coordinador],"(sin catálogo)"))</f>
        <v/>
      </c>
      <c r="W60" s="3">
        <f>IF(tblOrdenes[[#This Row],[puesto_trabajo]]="","",_xlfn.XLOOKUP(tblOrdenes[[#This Row],[puesto_trabajo]],tblPuestos[codigo],tblPuestos[especialidad],"(sin catálogo)"))</f>
        <v/>
      </c>
      <c r="X60" s="3">
        <f>IF(tblOrdenes[[#This Row],[cod_actividad]]="","",_xlfn.XLOOKUP(tblOrdenes[[#This Row],[cod_actividad]],tblActividades[codigo],tblActividades[descripcion],"(sin catálogo)"))</f>
        <v/>
      </c>
      <c r="Y60" s="12">
        <f>IF(tblOrdenes[[#This Row],[fecha_inicio]]="","",TODAY()-tblOrdenes[[#This Row],[fecha_inicio]])</f>
        <v/>
      </c>
      <c r="Z60" s="3">
        <f>IF(tblOrdenes[[#This Row],[backlog_dias]]="","",IF(tblOrdenes[[#This Row],[backlog_dias]]&lt;0,"FUTURO",IF(tblOrdenes[[#This Row],[backlog_dias]]&gt;p_dias_backlog_max,"BACKLOG","MES CORRIENTE")))</f>
        <v/>
      </c>
      <c r="AA60" s="3">
        <f>IF(tblOrdenes[[#This Row],[backlog_dias]]="",FALSE,AND(tblOrdenes[[#This Row],[backlog_dias]]&gt;p_dias_backlog_min,tblOrdenes[[#This Row],[backlog_dias]]&lt;=p_dias_backlog_max))</f>
        <v/>
      </c>
      <c r="AB60" s="6" t="inlineStr">
        <is>
          <t>Técnico 07</t>
        </is>
      </c>
      <c r="AC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" s="10">
        <f>IF(tblOrdenes[[#This Row],[orden]]="","",_xlfn.XLOOKUP(tblOrdenes[[#This Row],[id_operacion]],tblEjecucion[id_operacion],tblEjecucion[precio],0))</f>
        <v/>
      </c>
      <c r="AG60" s="10">
        <f>IF(tblOrdenes[[#This Row],[orden]]="","",MAX(0,_xlfn.XLOOKUP(tblOrdenes[[#This Row],[id_operacion]],tblEjecucion[id_operacion],tblEjecucion[costo_plan_total],0)-tblOrdenes[[#This Row],[costo_servicio]]))</f>
        <v/>
      </c>
      <c r="AH60" s="10">
        <f>IF(tblOrdenes[[#This Row],[orden]]="","",tblOrdenes[[#This Row],[costo_servicio]]+tblOrdenes[[#This Row],[costo_materiales]])</f>
        <v/>
      </c>
      <c r="AI60" s="6" t="inlineStr"/>
      <c r="AJ60" s="6" t="inlineStr"/>
      <c r="AK60" s="6" t="inlineStr"/>
      <c r="AL60" s="3">
        <f>IF(tblOrdenes[[#This Row],[link_checklist]]="","",HYPERLINK(p_ruta_base_checklists&amp;tblOrdenes[[#This Row],[link_checklist]],"abrir"))</f>
        <v/>
      </c>
      <c r="AM60" s="6" t="inlineStr"/>
      <c r="AN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Row],[tipo_ot]]="","",_xlfn.XLOOKUP(tblOrdenes[[#This Row],[tipo_ot]],tblTiposOT[codigo],tblTiposOT[clasificacion],"sin_clasificar"))</f>
        <v/>
      </c>
      <c r="T61" s="3">
        <f>IF(tblOrdenes[[#This Row],[centro_costo]]="","",_xlfn.XLOOKUP(tblOrdenes[[#This Row],[centro_costo]],tblCECO[codigo],tblCECO[linea],"(sin catálogo)"))</f>
        <v/>
      </c>
      <c r="U61" s="3">
        <f>IF(tblOrdenes[[#This Row],[centro_costo]]="","",_xlfn.XLOOKUP(tblOrdenes[[#This Row],[centro_costo]],tblCECO[codigo],tblCECO[area],"(sin catálogo)"))</f>
        <v/>
      </c>
      <c r="V61" s="3">
        <f>IF(tblOrdenes[[#This Row],[centro_costo]]="","",_xlfn.XLOOKUP(tblOrdenes[[#This Row],[centro_costo]],tblCECO[codigo],tblCECO[coordinador],"(sin catálogo)"))</f>
        <v/>
      </c>
      <c r="W61" s="3">
        <f>IF(tblOrdenes[[#This Row],[puesto_trabajo]]="","",_xlfn.XLOOKUP(tblOrdenes[[#This Row],[puesto_trabajo]],tblPuestos[codigo],tblPuestos[especialidad],"(sin catálogo)"))</f>
        <v/>
      </c>
      <c r="X61" s="3">
        <f>IF(tblOrdenes[[#This Row],[cod_actividad]]="","",_xlfn.XLOOKUP(tblOrdenes[[#This Row],[cod_actividad]],tblActividades[codigo],tblActividades[descripcion],"(sin catálogo)"))</f>
        <v/>
      </c>
      <c r="Y61" s="12">
        <f>IF(tblOrdenes[[#This Row],[fecha_inicio]]="","",TODAY()-tblOrdenes[[#This Row],[fecha_inicio]])</f>
        <v/>
      </c>
      <c r="Z61" s="3">
        <f>IF(tblOrdenes[[#This Row],[backlog_dias]]="","",IF(tblOrdenes[[#This Row],[backlog_dias]]&lt;0,"FUTURO",IF(tblOrdenes[[#This Row],[backlog_dias]]&gt;p_dias_backlog_max,"BACKLOG","MES CORRIENTE")))</f>
        <v/>
      </c>
      <c r="AA61" s="3">
        <f>IF(tblOrdenes[[#This Row],[backlog_dias]]="",FALSE,AND(tblOrdenes[[#This Row],[backlog_dias]]&gt;p_dias_backlog_min,tblOrdenes[[#This Row],[backlog_dias]]&lt;=p_dias_backlog_max))</f>
        <v/>
      </c>
      <c r="AB61" s="6" t="inlineStr">
        <is>
          <t>Técnico 05</t>
        </is>
      </c>
      <c r="AC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" s="10">
        <f>IF(tblOrdenes[[#This Row],[orden]]="","",_xlfn.XLOOKUP(tblOrdenes[[#This Row],[id_operacion]],tblEjecucion[id_operacion],tblEjecucion[precio],0))</f>
        <v/>
      </c>
      <c r="AG61" s="10">
        <f>IF(tblOrdenes[[#This Row],[orden]]="","",MAX(0,_xlfn.XLOOKUP(tblOrdenes[[#This Row],[id_operacion]],tblEjecucion[id_operacion],tblEjecucion[costo_plan_total],0)-tblOrdenes[[#This Row],[costo_servicio]]))</f>
        <v/>
      </c>
      <c r="AH61" s="10">
        <f>IF(tblOrdenes[[#This Row],[orden]]="","",tblOrdenes[[#This Row],[costo_servicio]]+tblOrdenes[[#This Row],[costo_materiales]])</f>
        <v/>
      </c>
      <c r="AI61" s="6" t="inlineStr"/>
      <c r="AJ61" s="6" t="inlineStr"/>
      <c r="AK61" s="6" t="inlineStr"/>
      <c r="AL61" s="3">
        <f>IF(tblOrdenes[[#This Row],[link_checklist]]="","",HYPERLINK(p_ruta_base_checklists&amp;tblOrdenes[[#This Row],[link_checklist]],"abrir"))</f>
        <v/>
      </c>
      <c r="AM61" s="6" t="inlineStr"/>
      <c r="AN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Row],[tipo_ot]]="","",_xlfn.XLOOKUP(tblOrdenes[[#This Row],[tipo_ot]],tblTiposOT[codigo],tblTiposOT[clasificacion],"sin_clasificar"))</f>
        <v/>
      </c>
      <c r="T62" s="3">
        <f>IF(tblOrdenes[[#This Row],[centro_costo]]="","",_xlfn.XLOOKUP(tblOrdenes[[#This Row],[centro_costo]],tblCECO[codigo],tblCECO[linea],"(sin catálogo)"))</f>
        <v/>
      </c>
      <c r="U62" s="3">
        <f>IF(tblOrdenes[[#This Row],[centro_costo]]="","",_xlfn.XLOOKUP(tblOrdenes[[#This Row],[centro_costo]],tblCECO[codigo],tblCECO[area],"(sin catálogo)"))</f>
        <v/>
      </c>
      <c r="V62" s="3">
        <f>IF(tblOrdenes[[#This Row],[centro_costo]]="","",_xlfn.XLOOKUP(tblOrdenes[[#This Row],[centro_costo]],tblCECO[codigo],tblCECO[coordinador],"(sin catálogo)"))</f>
        <v/>
      </c>
      <c r="W62" s="3">
        <f>IF(tblOrdenes[[#This Row],[puesto_trabajo]]="","",_xlfn.XLOOKUP(tblOrdenes[[#This Row],[puesto_trabajo]],tblPuestos[codigo],tblPuestos[especialidad],"(sin catálogo)"))</f>
        <v/>
      </c>
      <c r="X62" s="3">
        <f>IF(tblOrdenes[[#This Row],[cod_actividad]]="","",_xlfn.XLOOKUP(tblOrdenes[[#This Row],[cod_actividad]],tblActividades[codigo],tblActividades[descripcion],"(sin catálogo)"))</f>
        <v/>
      </c>
      <c r="Y62" s="12">
        <f>IF(tblOrdenes[[#This Row],[fecha_inicio]]="","",TODAY()-tblOrdenes[[#This Row],[fecha_inicio]])</f>
        <v/>
      </c>
      <c r="Z62" s="3">
        <f>IF(tblOrdenes[[#This Row],[backlog_dias]]="","",IF(tblOrdenes[[#This Row],[backlog_dias]]&lt;0,"FUTURO",IF(tblOrdenes[[#This Row],[backlog_dias]]&gt;p_dias_backlog_max,"BACKLOG","MES CORRIENTE")))</f>
        <v/>
      </c>
      <c r="AA62" s="3">
        <f>IF(tblOrdenes[[#This Row],[backlog_dias]]="",FALSE,AND(tblOrdenes[[#This Row],[backlog_dias]]&gt;p_dias_backlog_min,tblOrdenes[[#This Row],[backlog_dias]]&lt;=p_dias_backlog_max))</f>
        <v/>
      </c>
      <c r="AB62" s="6" t="inlineStr">
        <is>
          <t>Técnico 06</t>
        </is>
      </c>
      <c r="AC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" s="10">
        <f>IF(tblOrdenes[[#This Row],[orden]]="","",_xlfn.XLOOKUP(tblOrdenes[[#This Row],[id_operacion]],tblEjecucion[id_operacion],tblEjecucion[precio],0))</f>
        <v/>
      </c>
      <c r="AG62" s="10">
        <f>IF(tblOrdenes[[#This Row],[orden]]="","",MAX(0,_xlfn.XLOOKUP(tblOrdenes[[#This Row],[id_operacion]],tblEjecucion[id_operacion],tblEjecucion[costo_plan_total],0)-tblOrdenes[[#This Row],[costo_servicio]]))</f>
        <v/>
      </c>
      <c r="AH62" s="10">
        <f>IF(tblOrdenes[[#This Row],[orden]]="","",tblOrdenes[[#This Row],[costo_servicio]]+tblOrdenes[[#This Row],[costo_materiales]])</f>
        <v/>
      </c>
      <c r="AI62" s="6" t="inlineStr"/>
      <c r="AJ62" s="6" t="inlineStr"/>
      <c r="AK62" s="6" t="inlineStr">
        <is>
          <t>ACT-04.pdf</t>
        </is>
      </c>
      <c r="AL62" s="3">
        <f>IF(tblOrdenes[[#This Row],[link_checklist]]="","",HYPERLINK(p_ruta_base_checklists&amp;tblOrdenes[[#This Row],[link_checklist]],"abrir"))</f>
        <v/>
      </c>
      <c r="AM62" s="6" t="inlineStr"/>
      <c r="AN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Row],[tipo_ot]]="","",_xlfn.XLOOKUP(tblOrdenes[[#This Row],[tipo_ot]],tblTiposOT[codigo],tblTiposOT[clasificacion],"sin_clasificar"))</f>
        <v/>
      </c>
      <c r="T63" s="3">
        <f>IF(tblOrdenes[[#This Row],[centro_costo]]="","",_xlfn.XLOOKUP(tblOrdenes[[#This Row],[centro_costo]],tblCECO[codigo],tblCECO[linea],"(sin catálogo)"))</f>
        <v/>
      </c>
      <c r="U63" s="3">
        <f>IF(tblOrdenes[[#This Row],[centro_costo]]="","",_xlfn.XLOOKUP(tblOrdenes[[#This Row],[centro_costo]],tblCECO[codigo],tblCECO[area],"(sin catálogo)"))</f>
        <v/>
      </c>
      <c r="V63" s="3">
        <f>IF(tblOrdenes[[#This Row],[centro_costo]]="","",_xlfn.XLOOKUP(tblOrdenes[[#This Row],[centro_costo]],tblCECO[codigo],tblCECO[coordinador],"(sin catálogo)"))</f>
        <v/>
      </c>
      <c r="W63" s="3">
        <f>IF(tblOrdenes[[#This Row],[puesto_trabajo]]="","",_xlfn.XLOOKUP(tblOrdenes[[#This Row],[puesto_trabajo]],tblPuestos[codigo],tblPuestos[especialidad],"(sin catálogo)"))</f>
        <v/>
      </c>
      <c r="X63" s="3">
        <f>IF(tblOrdenes[[#This Row],[cod_actividad]]="","",_xlfn.XLOOKUP(tblOrdenes[[#This Row],[cod_actividad]],tblActividades[codigo],tblActividades[descripcion],"(sin catálogo)"))</f>
        <v/>
      </c>
      <c r="Y63" s="12">
        <f>IF(tblOrdenes[[#This Row],[fecha_inicio]]="","",TODAY()-tblOrdenes[[#This Row],[fecha_inicio]])</f>
        <v/>
      </c>
      <c r="Z63" s="3">
        <f>IF(tblOrdenes[[#This Row],[backlog_dias]]="","",IF(tblOrdenes[[#This Row],[backlog_dias]]&lt;0,"FUTURO",IF(tblOrdenes[[#This Row],[backlog_dias]]&gt;p_dias_backlog_max,"BACKLOG","MES CORRIENTE")))</f>
        <v/>
      </c>
      <c r="AA63" s="3">
        <f>IF(tblOrdenes[[#This Row],[backlog_dias]]="",FALSE,AND(tblOrdenes[[#This Row],[backlog_dias]]&gt;p_dias_backlog_min,tblOrdenes[[#This Row],[backlog_dias]]&lt;=p_dias_backlog_max))</f>
        <v/>
      </c>
      <c r="AB63" s="6" t="inlineStr"/>
      <c r="AC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" s="10">
        <f>IF(tblOrdenes[[#This Row],[orden]]="","",_xlfn.XLOOKUP(tblOrdenes[[#This Row],[id_operacion]],tblEjecucion[id_operacion],tblEjecucion[precio],0))</f>
        <v/>
      </c>
      <c r="AG63" s="10">
        <f>IF(tblOrdenes[[#This Row],[orden]]="","",MAX(0,_xlfn.XLOOKUP(tblOrdenes[[#This Row],[id_operacion]],tblEjecucion[id_operacion],tblEjecucion[costo_plan_total],0)-tblOrdenes[[#This Row],[costo_servicio]]))</f>
        <v/>
      </c>
      <c r="AH63" s="10">
        <f>IF(tblOrdenes[[#This Row],[orden]]="","",tblOrdenes[[#This Row],[costo_servicio]]+tblOrdenes[[#This Row],[costo_materiales]])</f>
        <v/>
      </c>
      <c r="AI63" s="6" t="inlineStr"/>
      <c r="AJ63" s="6" t="inlineStr"/>
      <c r="AK63" s="6" t="inlineStr">
        <is>
          <t>ACT-01.pdf</t>
        </is>
      </c>
      <c r="AL63" s="3">
        <f>IF(tblOrdenes[[#This Row],[link_checklist]]="","",HYPERLINK(p_ruta_base_checklists&amp;tblOrdenes[[#This Row],[link_checklist]],"abrir"))</f>
        <v/>
      </c>
      <c r="AM63" s="6" t="inlineStr"/>
      <c r="AN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Row],[tipo_ot]]="","",_xlfn.XLOOKUP(tblOrdenes[[#This Row],[tipo_ot]],tblTiposOT[codigo],tblTiposOT[clasificacion],"sin_clasificar"))</f>
        <v/>
      </c>
      <c r="T64" s="3">
        <f>IF(tblOrdenes[[#This Row],[centro_costo]]="","",_xlfn.XLOOKUP(tblOrdenes[[#This Row],[centro_costo]],tblCECO[codigo],tblCECO[linea],"(sin catálogo)"))</f>
        <v/>
      </c>
      <c r="U64" s="3">
        <f>IF(tblOrdenes[[#This Row],[centro_costo]]="","",_xlfn.XLOOKUP(tblOrdenes[[#This Row],[centro_costo]],tblCECO[codigo],tblCECO[area],"(sin catálogo)"))</f>
        <v/>
      </c>
      <c r="V64" s="3">
        <f>IF(tblOrdenes[[#This Row],[centro_costo]]="","",_xlfn.XLOOKUP(tblOrdenes[[#This Row],[centro_costo]],tblCECO[codigo],tblCECO[coordinador],"(sin catálogo)"))</f>
        <v/>
      </c>
      <c r="W64" s="3">
        <f>IF(tblOrdenes[[#This Row],[puesto_trabajo]]="","",_xlfn.XLOOKUP(tblOrdenes[[#This Row],[puesto_trabajo]],tblPuestos[codigo],tblPuestos[especialidad],"(sin catálogo)"))</f>
        <v/>
      </c>
      <c r="X64" s="3">
        <f>IF(tblOrdenes[[#This Row],[cod_actividad]]="","",_xlfn.XLOOKUP(tblOrdenes[[#This Row],[cod_actividad]],tblActividades[codigo],tblActividades[descripcion],"(sin catálogo)"))</f>
        <v/>
      </c>
      <c r="Y64" s="12">
        <f>IF(tblOrdenes[[#This Row],[fecha_inicio]]="","",TODAY()-tblOrdenes[[#This Row],[fecha_inicio]])</f>
        <v/>
      </c>
      <c r="Z64" s="3">
        <f>IF(tblOrdenes[[#This Row],[backlog_dias]]="","",IF(tblOrdenes[[#This Row],[backlog_dias]]&lt;0,"FUTURO",IF(tblOrdenes[[#This Row],[backlog_dias]]&gt;p_dias_backlog_max,"BACKLOG","MES CORRIENTE")))</f>
        <v/>
      </c>
      <c r="AA64" s="3">
        <f>IF(tblOrdenes[[#This Row],[backlog_dias]]="",FALSE,AND(tblOrdenes[[#This Row],[backlog_dias]]&gt;p_dias_backlog_min,tblOrdenes[[#This Row],[backlog_dias]]&lt;=p_dias_backlog_max))</f>
        <v/>
      </c>
      <c r="AB64" s="6" t="inlineStr">
        <is>
          <t>Técnico 05</t>
        </is>
      </c>
      <c r="AC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" s="10">
        <f>IF(tblOrdenes[[#This Row],[orden]]="","",_xlfn.XLOOKUP(tblOrdenes[[#This Row],[id_operacion]],tblEjecucion[id_operacion],tblEjecucion[precio],0))</f>
        <v/>
      </c>
      <c r="AG64" s="10">
        <f>IF(tblOrdenes[[#This Row],[orden]]="","",MAX(0,_xlfn.XLOOKUP(tblOrdenes[[#This Row],[id_operacion]],tblEjecucion[id_operacion],tblEjecucion[costo_plan_total],0)-tblOrdenes[[#This Row],[costo_servicio]]))</f>
        <v/>
      </c>
      <c r="AH64" s="10">
        <f>IF(tblOrdenes[[#This Row],[orden]]="","",tblOrdenes[[#This Row],[costo_servicio]]+tblOrdenes[[#This Row],[costo_materiales]])</f>
        <v/>
      </c>
      <c r="AI64" s="6" t="inlineStr"/>
      <c r="AJ64" s="6" t="inlineStr"/>
      <c r="AK64" s="6" t="inlineStr">
        <is>
          <t>ACT-02.pdf</t>
        </is>
      </c>
      <c r="AL64" s="3">
        <f>IF(tblOrdenes[[#This Row],[link_checklist]]="","",HYPERLINK(p_ruta_base_checklists&amp;tblOrdenes[[#This Row],[link_checklist]],"abrir"))</f>
        <v/>
      </c>
      <c r="AM64" s="6" t="inlineStr">
        <is>
          <t>Ajuste 6 → 4 h en hoja AJUSTES</t>
        </is>
      </c>
      <c r="AN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Row],[tipo_ot]]="","",_xlfn.XLOOKUP(tblOrdenes[[#This Row],[tipo_ot]],tblTiposOT[codigo],tblTiposOT[clasificacion],"sin_clasificar"))</f>
        <v/>
      </c>
      <c r="T65" s="3">
        <f>IF(tblOrdenes[[#This Row],[centro_costo]]="","",_xlfn.XLOOKUP(tblOrdenes[[#This Row],[centro_costo]],tblCECO[codigo],tblCECO[linea],"(sin catálogo)"))</f>
        <v/>
      </c>
      <c r="U65" s="3">
        <f>IF(tblOrdenes[[#This Row],[centro_costo]]="","",_xlfn.XLOOKUP(tblOrdenes[[#This Row],[centro_costo]],tblCECO[codigo],tblCECO[area],"(sin catálogo)"))</f>
        <v/>
      </c>
      <c r="V65" s="3">
        <f>IF(tblOrdenes[[#This Row],[centro_costo]]="","",_xlfn.XLOOKUP(tblOrdenes[[#This Row],[centro_costo]],tblCECO[codigo],tblCECO[coordinador],"(sin catálogo)"))</f>
        <v/>
      </c>
      <c r="W65" s="3">
        <f>IF(tblOrdenes[[#This Row],[puesto_trabajo]]="","",_xlfn.XLOOKUP(tblOrdenes[[#This Row],[puesto_trabajo]],tblPuestos[codigo],tblPuestos[especialidad],"(sin catálogo)"))</f>
        <v/>
      </c>
      <c r="X65" s="3">
        <f>IF(tblOrdenes[[#This Row],[cod_actividad]]="","",_xlfn.XLOOKUP(tblOrdenes[[#This Row],[cod_actividad]],tblActividades[codigo],tblActividades[descripcion],"(sin catálogo)"))</f>
        <v/>
      </c>
      <c r="Y65" s="12">
        <f>IF(tblOrdenes[[#This Row],[fecha_inicio]]="","",TODAY()-tblOrdenes[[#This Row],[fecha_inicio]])</f>
        <v/>
      </c>
      <c r="Z65" s="3">
        <f>IF(tblOrdenes[[#This Row],[backlog_dias]]="","",IF(tblOrdenes[[#This Row],[backlog_dias]]&lt;0,"FUTURO",IF(tblOrdenes[[#This Row],[backlog_dias]]&gt;p_dias_backlog_max,"BACKLOG","MES CORRIENTE")))</f>
        <v/>
      </c>
      <c r="AA65" s="3">
        <f>IF(tblOrdenes[[#This Row],[backlog_dias]]="",FALSE,AND(tblOrdenes[[#This Row],[backlog_dias]]&gt;p_dias_backlog_min,tblOrdenes[[#This Row],[backlog_dias]]&lt;=p_dias_backlog_max))</f>
        <v/>
      </c>
      <c r="AB65" s="6" t="inlineStr">
        <is>
          <t>Técnico 06</t>
        </is>
      </c>
      <c r="AC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" s="10">
        <f>IF(tblOrdenes[[#This Row],[orden]]="","",_xlfn.XLOOKUP(tblOrdenes[[#This Row],[id_operacion]],tblEjecucion[id_operacion],tblEjecucion[precio],0))</f>
        <v/>
      </c>
      <c r="AG65" s="10">
        <f>IF(tblOrdenes[[#This Row],[orden]]="","",MAX(0,_xlfn.XLOOKUP(tblOrdenes[[#This Row],[id_operacion]],tblEjecucion[id_operacion],tblEjecucion[costo_plan_total],0)-tblOrdenes[[#This Row],[costo_servicio]]))</f>
        <v/>
      </c>
      <c r="AH65" s="10">
        <f>IF(tblOrdenes[[#This Row],[orden]]="","",tblOrdenes[[#This Row],[costo_servicio]]+tblOrdenes[[#This Row],[costo_materiales]])</f>
        <v/>
      </c>
      <c r="AI65" s="6" t="inlineStr"/>
      <c r="AJ65" s="6" t="inlineStr"/>
      <c r="AK65" s="6" t="inlineStr">
        <is>
          <t>ACT-04.pdf</t>
        </is>
      </c>
      <c r="AL65" s="3">
        <f>IF(tblOrdenes[[#This Row],[link_checklist]]="","",HYPERLINK(p_ruta_base_checklists&amp;tblOrdenes[[#This Row],[link_checklist]],"abrir"))</f>
        <v/>
      </c>
      <c r="AM65" s="6" t="inlineStr"/>
      <c r="AN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Row],[tipo_ot]]="","",_xlfn.XLOOKUP(tblOrdenes[[#This Row],[tipo_ot]],tblTiposOT[codigo],tblTiposOT[clasificacion],"sin_clasificar"))</f>
        <v/>
      </c>
      <c r="T66" s="3">
        <f>IF(tblOrdenes[[#This Row],[centro_costo]]="","",_xlfn.XLOOKUP(tblOrdenes[[#This Row],[centro_costo]],tblCECO[codigo],tblCECO[linea],"(sin catálogo)"))</f>
        <v/>
      </c>
      <c r="U66" s="3">
        <f>IF(tblOrdenes[[#This Row],[centro_costo]]="","",_xlfn.XLOOKUP(tblOrdenes[[#This Row],[centro_costo]],tblCECO[codigo],tblCECO[area],"(sin catálogo)"))</f>
        <v/>
      </c>
      <c r="V66" s="3">
        <f>IF(tblOrdenes[[#This Row],[centro_costo]]="","",_xlfn.XLOOKUP(tblOrdenes[[#This Row],[centro_costo]],tblCECO[codigo],tblCECO[coordinador],"(sin catálogo)"))</f>
        <v/>
      </c>
      <c r="W66" s="3">
        <f>IF(tblOrdenes[[#This Row],[puesto_trabajo]]="","",_xlfn.XLOOKUP(tblOrdenes[[#This Row],[puesto_trabajo]],tblPuestos[codigo],tblPuestos[especialidad],"(sin catálogo)"))</f>
        <v/>
      </c>
      <c r="X66" s="3">
        <f>IF(tblOrdenes[[#This Row],[cod_actividad]]="","",_xlfn.XLOOKUP(tblOrdenes[[#This Row],[cod_actividad]],tblActividades[codigo],tblActividades[descripcion],"(sin catálogo)"))</f>
        <v/>
      </c>
      <c r="Y66" s="12">
        <f>IF(tblOrdenes[[#This Row],[fecha_inicio]]="","",TODAY()-tblOrdenes[[#This Row],[fecha_inicio]])</f>
        <v/>
      </c>
      <c r="Z66" s="3">
        <f>IF(tblOrdenes[[#This Row],[backlog_dias]]="","",IF(tblOrdenes[[#This Row],[backlog_dias]]&lt;0,"FUTURO",IF(tblOrdenes[[#This Row],[backlog_dias]]&gt;p_dias_backlog_max,"BACKLOG","MES CORRIENTE")))</f>
        <v/>
      </c>
      <c r="AA66" s="3">
        <f>IF(tblOrdenes[[#This Row],[backlog_dias]]="",FALSE,AND(tblOrdenes[[#This Row],[backlog_dias]]&gt;p_dias_backlog_min,tblOrdenes[[#This Row],[backlog_dias]]&lt;=p_dias_backlog_max))</f>
        <v/>
      </c>
      <c r="AB66" s="6" t="inlineStr">
        <is>
          <t>Técnico 07</t>
        </is>
      </c>
      <c r="AC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" s="10">
        <f>IF(tblOrdenes[[#This Row],[orden]]="","",_xlfn.XLOOKUP(tblOrdenes[[#This Row],[id_operacion]],tblEjecucion[id_operacion],tblEjecucion[precio],0))</f>
        <v/>
      </c>
      <c r="AG66" s="10">
        <f>IF(tblOrdenes[[#This Row],[orden]]="","",MAX(0,_xlfn.XLOOKUP(tblOrdenes[[#This Row],[id_operacion]],tblEjecucion[id_operacion],tblEjecucion[costo_plan_total],0)-tblOrdenes[[#This Row],[costo_servicio]]))</f>
        <v/>
      </c>
      <c r="AH66" s="10">
        <f>IF(tblOrdenes[[#This Row],[orden]]="","",tblOrdenes[[#This Row],[costo_servicio]]+tblOrdenes[[#This Row],[costo_materiales]])</f>
        <v/>
      </c>
      <c r="AI66" s="6" t="inlineStr"/>
      <c r="AJ66" s="6" t="inlineStr"/>
      <c r="AK66" s="6" t="inlineStr">
        <is>
          <t>ACT-01.pdf</t>
        </is>
      </c>
      <c r="AL66" s="3">
        <f>IF(tblOrdenes[[#This Row],[link_checklist]]="","",HYPERLINK(p_ruta_base_checklists&amp;tblOrdenes[[#This Row],[link_checklist]],"abrir"))</f>
        <v/>
      </c>
      <c r="AM66" s="6" t="inlineStr"/>
      <c r="AN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Row],[tipo_ot]]="","",_xlfn.XLOOKUP(tblOrdenes[[#This Row],[tipo_ot]],tblTiposOT[codigo],tblTiposOT[clasificacion],"sin_clasificar"))</f>
        <v/>
      </c>
      <c r="T67" s="3">
        <f>IF(tblOrdenes[[#This Row],[centro_costo]]="","",_xlfn.XLOOKUP(tblOrdenes[[#This Row],[centro_costo]],tblCECO[codigo],tblCECO[linea],"(sin catálogo)"))</f>
        <v/>
      </c>
      <c r="U67" s="3">
        <f>IF(tblOrdenes[[#This Row],[centro_costo]]="","",_xlfn.XLOOKUP(tblOrdenes[[#This Row],[centro_costo]],tblCECO[codigo],tblCECO[area],"(sin catálogo)"))</f>
        <v/>
      </c>
      <c r="V67" s="3">
        <f>IF(tblOrdenes[[#This Row],[centro_costo]]="","",_xlfn.XLOOKUP(tblOrdenes[[#This Row],[centro_costo]],tblCECO[codigo],tblCECO[coordinador],"(sin catálogo)"))</f>
        <v/>
      </c>
      <c r="W67" s="3">
        <f>IF(tblOrdenes[[#This Row],[puesto_trabajo]]="","",_xlfn.XLOOKUP(tblOrdenes[[#This Row],[puesto_trabajo]],tblPuestos[codigo],tblPuestos[especialidad],"(sin catálogo)"))</f>
        <v/>
      </c>
      <c r="X67" s="3">
        <f>IF(tblOrdenes[[#This Row],[cod_actividad]]="","",_xlfn.XLOOKUP(tblOrdenes[[#This Row],[cod_actividad]],tblActividades[codigo],tblActividades[descripcion],"(sin catálogo)"))</f>
        <v/>
      </c>
      <c r="Y67" s="12">
        <f>IF(tblOrdenes[[#This Row],[fecha_inicio]]="","",TODAY()-tblOrdenes[[#This Row],[fecha_inicio]])</f>
        <v/>
      </c>
      <c r="Z67" s="3">
        <f>IF(tblOrdenes[[#This Row],[backlog_dias]]="","",IF(tblOrdenes[[#This Row],[backlog_dias]]&lt;0,"FUTURO",IF(tblOrdenes[[#This Row],[backlog_dias]]&gt;p_dias_backlog_max,"BACKLOG","MES CORRIENTE")))</f>
        <v/>
      </c>
      <c r="AA67" s="3">
        <f>IF(tblOrdenes[[#This Row],[backlog_dias]]="",FALSE,AND(tblOrdenes[[#This Row],[backlog_dias]]&gt;p_dias_backlog_min,tblOrdenes[[#This Row],[backlog_dias]]&lt;=p_dias_backlog_max))</f>
        <v/>
      </c>
      <c r="AB67" s="6" t="inlineStr">
        <is>
          <t>Técnico 05</t>
        </is>
      </c>
      <c r="AC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" s="10">
        <f>IF(tblOrdenes[[#This Row],[orden]]="","",_xlfn.XLOOKUP(tblOrdenes[[#This Row],[id_operacion]],tblEjecucion[id_operacion],tblEjecucion[precio],0))</f>
        <v/>
      </c>
      <c r="AG67" s="10">
        <f>IF(tblOrdenes[[#This Row],[orden]]="","",MAX(0,_xlfn.XLOOKUP(tblOrdenes[[#This Row],[id_operacion]],tblEjecucion[id_operacion],tblEjecucion[costo_plan_total],0)-tblOrdenes[[#This Row],[costo_servicio]]))</f>
        <v/>
      </c>
      <c r="AH67" s="10">
        <f>IF(tblOrdenes[[#This Row],[orden]]="","",tblOrdenes[[#This Row],[costo_servicio]]+tblOrdenes[[#This Row],[costo_materiales]])</f>
        <v/>
      </c>
      <c r="AI67" s="6" t="inlineStr"/>
      <c r="AJ67" s="6" t="inlineStr"/>
      <c r="AK67" s="6" t="inlineStr">
        <is>
          <t>ACT-02.pdf</t>
        </is>
      </c>
      <c r="AL67" s="3">
        <f>IF(tblOrdenes[[#This Row],[link_checklist]]="","",HYPERLINK(p_ruta_base_checklists&amp;tblOrdenes[[#This Row],[link_checklist]],"abrir"))</f>
        <v/>
      </c>
      <c r="AM67" s="6" t="inlineStr"/>
      <c r="AN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Row],[tipo_ot]]="","",_xlfn.XLOOKUP(tblOrdenes[[#This Row],[tipo_ot]],tblTiposOT[codigo],tblTiposOT[clasificacion],"sin_clasificar"))</f>
        <v/>
      </c>
      <c r="T68" s="3">
        <f>IF(tblOrdenes[[#This Row],[centro_costo]]="","",_xlfn.XLOOKUP(tblOrdenes[[#This Row],[centro_costo]],tblCECO[codigo],tblCECO[linea],"(sin catálogo)"))</f>
        <v/>
      </c>
      <c r="U68" s="3">
        <f>IF(tblOrdenes[[#This Row],[centro_costo]]="","",_xlfn.XLOOKUP(tblOrdenes[[#This Row],[centro_costo]],tblCECO[codigo],tblCECO[area],"(sin catálogo)"))</f>
        <v/>
      </c>
      <c r="V68" s="3">
        <f>IF(tblOrdenes[[#This Row],[centro_costo]]="","",_xlfn.XLOOKUP(tblOrdenes[[#This Row],[centro_costo]],tblCECO[codigo],tblCECO[coordinador],"(sin catálogo)"))</f>
        <v/>
      </c>
      <c r="W68" s="3">
        <f>IF(tblOrdenes[[#This Row],[puesto_trabajo]]="","",_xlfn.XLOOKUP(tblOrdenes[[#This Row],[puesto_trabajo]],tblPuestos[codigo],tblPuestos[especialidad],"(sin catálogo)"))</f>
        <v/>
      </c>
      <c r="X68" s="3">
        <f>IF(tblOrdenes[[#This Row],[cod_actividad]]="","",_xlfn.XLOOKUP(tblOrdenes[[#This Row],[cod_actividad]],tblActividades[codigo],tblActividades[descripcion],"(sin catálogo)"))</f>
        <v/>
      </c>
      <c r="Y68" s="12">
        <f>IF(tblOrdenes[[#This Row],[fecha_inicio]]="","",TODAY()-tblOrdenes[[#This Row],[fecha_inicio]])</f>
        <v/>
      </c>
      <c r="Z68" s="3">
        <f>IF(tblOrdenes[[#This Row],[backlog_dias]]="","",IF(tblOrdenes[[#This Row],[backlog_dias]]&lt;0,"FUTURO",IF(tblOrdenes[[#This Row],[backlog_dias]]&gt;p_dias_backlog_max,"BACKLOG","MES CORRIENTE")))</f>
        <v/>
      </c>
      <c r="AA68" s="3">
        <f>IF(tblOrdenes[[#This Row],[backlog_dias]]="",FALSE,AND(tblOrdenes[[#This Row],[backlog_dias]]&gt;p_dias_backlog_min,tblOrdenes[[#This Row],[backlog_dias]]&lt;=p_dias_backlog_max))</f>
        <v/>
      </c>
      <c r="AB68" s="6" t="inlineStr">
        <is>
          <t>Técnico 06</t>
        </is>
      </c>
      <c r="AC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" s="10">
        <f>IF(tblOrdenes[[#This Row],[orden]]="","",_xlfn.XLOOKUP(tblOrdenes[[#This Row],[id_operacion]],tblEjecucion[id_operacion],tblEjecucion[precio],0))</f>
        <v/>
      </c>
      <c r="AG68" s="10">
        <f>IF(tblOrdenes[[#This Row],[orden]]="","",MAX(0,_xlfn.XLOOKUP(tblOrdenes[[#This Row],[id_operacion]],tblEjecucion[id_operacion],tblEjecucion[costo_plan_total],0)-tblOrdenes[[#This Row],[costo_servicio]]))</f>
        <v/>
      </c>
      <c r="AH68" s="10">
        <f>IF(tblOrdenes[[#This Row],[orden]]="","",tblOrdenes[[#This Row],[costo_servicio]]+tblOrdenes[[#This Row],[costo_materiales]])</f>
        <v/>
      </c>
      <c r="AI68" s="6" t="inlineStr"/>
      <c r="AJ68" s="6" t="inlineStr"/>
      <c r="AK68" s="6" t="inlineStr">
        <is>
          <t>ACT-04.pdf</t>
        </is>
      </c>
      <c r="AL68" s="3">
        <f>IF(tblOrdenes[[#This Row],[link_checklist]]="","",HYPERLINK(p_ruta_base_checklists&amp;tblOrdenes[[#This Row],[link_checklist]],"abrir"))</f>
        <v/>
      </c>
      <c r="AM68" s="6" t="inlineStr"/>
      <c r="AN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Row],[tipo_ot]]="","",_xlfn.XLOOKUP(tblOrdenes[[#This Row],[tipo_ot]],tblTiposOT[codigo],tblTiposOT[clasificacion],"sin_clasificar"))</f>
        <v/>
      </c>
      <c r="T69" s="3">
        <f>IF(tblOrdenes[[#This Row],[centro_costo]]="","",_xlfn.XLOOKUP(tblOrdenes[[#This Row],[centro_costo]],tblCECO[codigo],tblCECO[linea],"(sin catálogo)"))</f>
        <v/>
      </c>
      <c r="U69" s="3">
        <f>IF(tblOrdenes[[#This Row],[centro_costo]]="","",_xlfn.XLOOKUP(tblOrdenes[[#This Row],[centro_costo]],tblCECO[codigo],tblCECO[area],"(sin catálogo)"))</f>
        <v/>
      </c>
      <c r="V69" s="3">
        <f>IF(tblOrdenes[[#This Row],[centro_costo]]="","",_xlfn.XLOOKUP(tblOrdenes[[#This Row],[centro_costo]],tblCECO[codigo],tblCECO[coordinador],"(sin catálogo)"))</f>
        <v/>
      </c>
      <c r="W69" s="3">
        <f>IF(tblOrdenes[[#This Row],[puesto_trabajo]]="","",_xlfn.XLOOKUP(tblOrdenes[[#This Row],[puesto_trabajo]],tblPuestos[codigo],tblPuestos[especialidad],"(sin catálogo)"))</f>
        <v/>
      </c>
      <c r="X69" s="3">
        <f>IF(tblOrdenes[[#This Row],[cod_actividad]]="","",_xlfn.XLOOKUP(tblOrdenes[[#This Row],[cod_actividad]],tblActividades[codigo],tblActividades[descripcion],"(sin catálogo)"))</f>
        <v/>
      </c>
      <c r="Y69" s="12">
        <f>IF(tblOrdenes[[#This Row],[fecha_inicio]]="","",TODAY()-tblOrdenes[[#This Row],[fecha_inicio]])</f>
        <v/>
      </c>
      <c r="Z69" s="3">
        <f>IF(tblOrdenes[[#This Row],[backlog_dias]]="","",IF(tblOrdenes[[#This Row],[backlog_dias]]&lt;0,"FUTURO",IF(tblOrdenes[[#This Row],[backlog_dias]]&gt;p_dias_backlog_max,"BACKLOG","MES CORRIENTE")))</f>
        <v/>
      </c>
      <c r="AA69" s="3">
        <f>IF(tblOrdenes[[#This Row],[backlog_dias]]="",FALSE,AND(tblOrdenes[[#This Row],[backlog_dias]]&gt;p_dias_backlog_min,tblOrdenes[[#This Row],[backlog_dias]]&lt;=p_dias_backlog_max))</f>
        <v/>
      </c>
      <c r="AB69" s="6" t="inlineStr">
        <is>
          <t>Técnico 07</t>
        </is>
      </c>
      <c r="AC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" s="10">
        <f>IF(tblOrdenes[[#This Row],[orden]]="","",_xlfn.XLOOKUP(tblOrdenes[[#This Row],[id_operacion]],tblEjecucion[id_operacion],tblEjecucion[precio],0))</f>
        <v/>
      </c>
      <c r="AG69" s="10">
        <f>IF(tblOrdenes[[#This Row],[orden]]="","",MAX(0,_xlfn.XLOOKUP(tblOrdenes[[#This Row],[id_operacion]],tblEjecucion[id_operacion],tblEjecucion[costo_plan_total],0)-tblOrdenes[[#This Row],[costo_servicio]]))</f>
        <v/>
      </c>
      <c r="AH69" s="10">
        <f>IF(tblOrdenes[[#This Row],[orden]]="","",tblOrdenes[[#This Row],[costo_servicio]]+tblOrdenes[[#This Row],[costo_materiales]])</f>
        <v/>
      </c>
      <c r="AI69" s="6" t="inlineStr"/>
      <c r="AJ69" s="6" t="inlineStr"/>
      <c r="AK69" s="6" t="inlineStr">
        <is>
          <t>ACT-01.pdf</t>
        </is>
      </c>
      <c r="AL69" s="3">
        <f>IF(tblOrdenes[[#This Row],[link_checklist]]="","",HYPERLINK(p_ruta_base_checklists&amp;tblOrdenes[[#This Row],[link_checklist]],"abrir"))</f>
        <v/>
      </c>
      <c r="AM69" s="6" t="inlineStr"/>
      <c r="AN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Row],[tipo_ot]]="","",_xlfn.XLOOKUP(tblOrdenes[[#This Row],[tipo_ot]],tblTiposOT[codigo],tblTiposOT[clasificacion],"sin_clasificar"))</f>
        <v/>
      </c>
      <c r="T70" s="3">
        <f>IF(tblOrdenes[[#This Row],[centro_costo]]="","",_xlfn.XLOOKUP(tblOrdenes[[#This Row],[centro_costo]],tblCECO[codigo],tblCECO[linea],"(sin catálogo)"))</f>
        <v/>
      </c>
      <c r="U70" s="3">
        <f>IF(tblOrdenes[[#This Row],[centro_costo]]="","",_xlfn.XLOOKUP(tblOrdenes[[#This Row],[centro_costo]],tblCECO[codigo],tblCECO[area],"(sin catálogo)"))</f>
        <v/>
      </c>
      <c r="V70" s="3">
        <f>IF(tblOrdenes[[#This Row],[centro_costo]]="","",_xlfn.XLOOKUP(tblOrdenes[[#This Row],[centro_costo]],tblCECO[codigo],tblCECO[coordinador],"(sin catálogo)"))</f>
        <v/>
      </c>
      <c r="W70" s="3">
        <f>IF(tblOrdenes[[#This Row],[puesto_trabajo]]="","",_xlfn.XLOOKUP(tblOrdenes[[#This Row],[puesto_trabajo]],tblPuestos[codigo],tblPuestos[especialidad],"(sin catálogo)"))</f>
        <v/>
      </c>
      <c r="X70" s="3">
        <f>IF(tblOrdenes[[#This Row],[cod_actividad]]="","",_xlfn.XLOOKUP(tblOrdenes[[#This Row],[cod_actividad]],tblActividades[codigo],tblActividades[descripcion],"(sin catálogo)"))</f>
        <v/>
      </c>
      <c r="Y70" s="12">
        <f>IF(tblOrdenes[[#This Row],[fecha_inicio]]="","",TODAY()-tblOrdenes[[#This Row],[fecha_inicio]])</f>
        <v/>
      </c>
      <c r="Z70" s="3">
        <f>IF(tblOrdenes[[#This Row],[backlog_dias]]="","",IF(tblOrdenes[[#This Row],[backlog_dias]]&lt;0,"FUTURO",IF(tblOrdenes[[#This Row],[backlog_dias]]&gt;p_dias_backlog_max,"BACKLOG","MES CORRIENTE")))</f>
        <v/>
      </c>
      <c r="AA70" s="3">
        <f>IF(tblOrdenes[[#This Row],[backlog_dias]]="",FALSE,AND(tblOrdenes[[#This Row],[backlog_dias]]&gt;p_dias_backlog_min,tblOrdenes[[#This Row],[backlog_dias]]&lt;=p_dias_backlog_max))</f>
        <v/>
      </c>
      <c r="AB70" s="6" t="inlineStr">
        <is>
          <t>Técnico 05</t>
        </is>
      </c>
      <c r="AC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" s="10">
        <f>IF(tblOrdenes[[#This Row],[orden]]="","",_xlfn.XLOOKUP(tblOrdenes[[#This Row],[id_operacion]],tblEjecucion[id_operacion],tblEjecucion[precio],0))</f>
        <v/>
      </c>
      <c r="AG70" s="10">
        <f>IF(tblOrdenes[[#This Row],[orden]]="","",MAX(0,_xlfn.XLOOKUP(tblOrdenes[[#This Row],[id_operacion]],tblEjecucion[id_operacion],tblEjecucion[costo_plan_total],0)-tblOrdenes[[#This Row],[costo_servicio]]))</f>
        <v/>
      </c>
      <c r="AH70" s="10">
        <f>IF(tblOrdenes[[#This Row],[orden]]="","",tblOrdenes[[#This Row],[costo_servicio]]+tblOrdenes[[#This Row],[costo_materiales]])</f>
        <v/>
      </c>
      <c r="AI70" s="6" t="inlineStr"/>
      <c r="AJ70" s="6" t="inlineStr"/>
      <c r="AK70" s="6" t="inlineStr"/>
      <c r="AL70" s="3">
        <f>IF(tblOrdenes[[#This Row],[link_checklist]]="","",HYPERLINK(p_ruta_base_checklists&amp;tblOrdenes[[#This Row],[link_checklist]],"abrir"))</f>
        <v/>
      </c>
      <c r="AM70" s="6" t="inlineStr"/>
      <c r="AN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Row],[tipo_ot]]="","",_xlfn.XLOOKUP(tblOrdenes[[#This Row],[tipo_ot]],tblTiposOT[codigo],tblTiposOT[clasificacion],"sin_clasificar"))</f>
        <v/>
      </c>
      <c r="T71" s="3">
        <f>IF(tblOrdenes[[#This Row],[centro_costo]]="","",_xlfn.XLOOKUP(tblOrdenes[[#This Row],[centro_costo]],tblCECO[codigo],tblCECO[linea],"(sin catálogo)"))</f>
        <v/>
      </c>
      <c r="U71" s="3">
        <f>IF(tblOrdenes[[#This Row],[centro_costo]]="","",_xlfn.XLOOKUP(tblOrdenes[[#This Row],[centro_costo]],tblCECO[codigo],tblCECO[area],"(sin catálogo)"))</f>
        <v/>
      </c>
      <c r="V71" s="3">
        <f>IF(tblOrdenes[[#This Row],[centro_costo]]="","",_xlfn.XLOOKUP(tblOrdenes[[#This Row],[centro_costo]],tblCECO[codigo],tblCECO[coordinador],"(sin catálogo)"))</f>
        <v/>
      </c>
      <c r="W71" s="3">
        <f>IF(tblOrdenes[[#This Row],[puesto_trabajo]]="","",_xlfn.XLOOKUP(tblOrdenes[[#This Row],[puesto_trabajo]],tblPuestos[codigo],tblPuestos[especialidad],"(sin catálogo)"))</f>
        <v/>
      </c>
      <c r="X71" s="3">
        <f>IF(tblOrdenes[[#This Row],[cod_actividad]]="","",_xlfn.XLOOKUP(tblOrdenes[[#This Row],[cod_actividad]],tblActividades[codigo],tblActividades[descripcion],"(sin catálogo)"))</f>
        <v/>
      </c>
      <c r="Y71" s="12">
        <f>IF(tblOrdenes[[#This Row],[fecha_inicio]]="","",TODAY()-tblOrdenes[[#This Row],[fecha_inicio]])</f>
        <v/>
      </c>
      <c r="Z71" s="3">
        <f>IF(tblOrdenes[[#This Row],[backlog_dias]]="","",IF(tblOrdenes[[#This Row],[backlog_dias]]&lt;0,"FUTURO",IF(tblOrdenes[[#This Row],[backlog_dias]]&gt;p_dias_backlog_max,"BACKLOG","MES CORRIENTE")))</f>
        <v/>
      </c>
      <c r="AA71" s="3">
        <f>IF(tblOrdenes[[#This Row],[backlog_dias]]="",FALSE,AND(tblOrdenes[[#This Row],[backlog_dias]]&gt;p_dias_backlog_min,tblOrdenes[[#This Row],[backlog_dias]]&lt;=p_dias_backlog_max))</f>
        <v/>
      </c>
      <c r="AB71" s="6" t="inlineStr">
        <is>
          <t>Técnico 06</t>
        </is>
      </c>
      <c r="AC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" s="10">
        <f>IF(tblOrdenes[[#This Row],[orden]]="","",_xlfn.XLOOKUP(tblOrdenes[[#This Row],[id_operacion]],tblEjecucion[id_operacion],tblEjecucion[precio],0))</f>
        <v/>
      </c>
      <c r="AG71" s="10">
        <f>IF(tblOrdenes[[#This Row],[orden]]="","",MAX(0,_xlfn.XLOOKUP(tblOrdenes[[#This Row],[id_operacion]],tblEjecucion[id_operacion],tblEjecucion[costo_plan_total],0)-tblOrdenes[[#This Row],[costo_servicio]]))</f>
        <v/>
      </c>
      <c r="AH71" s="10">
        <f>IF(tblOrdenes[[#This Row],[orden]]="","",tblOrdenes[[#This Row],[costo_servicio]]+tblOrdenes[[#This Row],[costo_materiales]])</f>
        <v/>
      </c>
      <c r="AI71" s="6" t="inlineStr">
        <is>
          <t>PT-CALIENTE</t>
        </is>
      </c>
      <c r="AJ71" s="6" t="inlineStr">
        <is>
          <t>LOTO</t>
        </is>
      </c>
      <c r="AK71" s="6" t="inlineStr"/>
      <c r="AL71" s="3">
        <f>IF(tblOrdenes[[#This Row],[link_checklist]]="","",HYPERLINK(p_ruta_base_checklists&amp;tblOrdenes[[#This Row],[link_checklist]],"abrir"))</f>
        <v/>
      </c>
      <c r="AM71" s="6" t="inlineStr"/>
      <c r="AN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Row],[tipo_ot]]="","",_xlfn.XLOOKUP(tblOrdenes[[#This Row],[tipo_ot]],tblTiposOT[codigo],tblTiposOT[clasificacion],"sin_clasificar"))</f>
        <v/>
      </c>
      <c r="T72" s="3">
        <f>IF(tblOrdenes[[#This Row],[centro_costo]]="","",_xlfn.XLOOKUP(tblOrdenes[[#This Row],[centro_costo]],tblCECO[codigo],tblCECO[linea],"(sin catálogo)"))</f>
        <v/>
      </c>
      <c r="U72" s="3">
        <f>IF(tblOrdenes[[#This Row],[centro_costo]]="","",_xlfn.XLOOKUP(tblOrdenes[[#This Row],[centro_costo]],tblCECO[codigo],tblCECO[area],"(sin catálogo)"))</f>
        <v/>
      </c>
      <c r="V72" s="3">
        <f>IF(tblOrdenes[[#This Row],[centro_costo]]="","",_xlfn.XLOOKUP(tblOrdenes[[#This Row],[centro_costo]],tblCECO[codigo],tblCECO[coordinador],"(sin catálogo)"))</f>
        <v/>
      </c>
      <c r="W72" s="3">
        <f>IF(tblOrdenes[[#This Row],[puesto_trabajo]]="","",_xlfn.XLOOKUP(tblOrdenes[[#This Row],[puesto_trabajo]],tblPuestos[codigo],tblPuestos[especialidad],"(sin catálogo)"))</f>
        <v/>
      </c>
      <c r="X72" s="3">
        <f>IF(tblOrdenes[[#This Row],[cod_actividad]]="","",_xlfn.XLOOKUP(tblOrdenes[[#This Row],[cod_actividad]],tblActividades[codigo],tblActividades[descripcion],"(sin catálogo)"))</f>
        <v/>
      </c>
      <c r="Y72" s="12">
        <f>IF(tblOrdenes[[#This Row],[fecha_inicio]]="","",TODAY()-tblOrdenes[[#This Row],[fecha_inicio]])</f>
        <v/>
      </c>
      <c r="Z72" s="3">
        <f>IF(tblOrdenes[[#This Row],[backlog_dias]]="","",IF(tblOrdenes[[#This Row],[backlog_dias]]&lt;0,"FUTURO",IF(tblOrdenes[[#This Row],[backlog_dias]]&gt;p_dias_backlog_max,"BACKLOG","MES CORRIENTE")))</f>
        <v/>
      </c>
      <c r="AA72" s="3">
        <f>IF(tblOrdenes[[#This Row],[backlog_dias]]="",FALSE,AND(tblOrdenes[[#This Row],[backlog_dias]]&gt;p_dias_backlog_min,tblOrdenes[[#This Row],[backlog_dias]]&lt;=p_dias_backlog_max))</f>
        <v/>
      </c>
      <c r="AB72" s="6" t="inlineStr">
        <is>
          <t>Técnico 07</t>
        </is>
      </c>
      <c r="AC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" s="10">
        <f>IF(tblOrdenes[[#This Row],[orden]]="","",_xlfn.XLOOKUP(tblOrdenes[[#This Row],[id_operacion]],tblEjecucion[id_operacion],tblEjecucion[precio],0))</f>
        <v/>
      </c>
      <c r="AG72" s="10">
        <f>IF(tblOrdenes[[#This Row],[orden]]="","",MAX(0,_xlfn.XLOOKUP(tblOrdenes[[#This Row],[id_operacion]],tblEjecucion[id_operacion],tblEjecucion[costo_plan_total],0)-tblOrdenes[[#This Row],[costo_servicio]]))</f>
        <v/>
      </c>
      <c r="AH72" s="10">
        <f>IF(tblOrdenes[[#This Row],[orden]]="","",tblOrdenes[[#This Row],[costo_servicio]]+tblOrdenes[[#This Row],[costo_materiales]])</f>
        <v/>
      </c>
      <c r="AI72" s="6" t="inlineStr"/>
      <c r="AJ72" s="6" t="inlineStr"/>
      <c r="AK72" s="6" t="inlineStr">
        <is>
          <t>ACT-01.pdf</t>
        </is>
      </c>
      <c r="AL72" s="3">
        <f>IF(tblOrdenes[[#This Row],[link_checklist]]="","",HYPERLINK(p_ruta_base_checklists&amp;tblOrdenes[[#This Row],[link_checklist]],"abrir"))</f>
        <v/>
      </c>
      <c r="AM72" s="6" t="inlineStr"/>
      <c r="AN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Row],[tipo_ot]]="","",_xlfn.XLOOKUP(tblOrdenes[[#This Row],[tipo_ot]],tblTiposOT[codigo],tblTiposOT[clasificacion],"sin_clasificar"))</f>
        <v/>
      </c>
      <c r="T73" s="3">
        <f>IF(tblOrdenes[[#This Row],[centro_costo]]="","",_xlfn.XLOOKUP(tblOrdenes[[#This Row],[centro_costo]],tblCECO[codigo],tblCECO[linea],"(sin catálogo)"))</f>
        <v/>
      </c>
      <c r="U73" s="3">
        <f>IF(tblOrdenes[[#This Row],[centro_costo]]="","",_xlfn.XLOOKUP(tblOrdenes[[#This Row],[centro_costo]],tblCECO[codigo],tblCECO[area],"(sin catálogo)"))</f>
        <v/>
      </c>
      <c r="V73" s="3">
        <f>IF(tblOrdenes[[#This Row],[centro_costo]]="","",_xlfn.XLOOKUP(tblOrdenes[[#This Row],[centro_costo]],tblCECO[codigo],tblCECO[coordinador],"(sin catálogo)"))</f>
        <v/>
      </c>
      <c r="W73" s="3">
        <f>IF(tblOrdenes[[#This Row],[puesto_trabajo]]="","",_xlfn.XLOOKUP(tblOrdenes[[#This Row],[puesto_trabajo]],tblPuestos[codigo],tblPuestos[especialidad],"(sin catálogo)"))</f>
        <v/>
      </c>
      <c r="X73" s="3">
        <f>IF(tblOrdenes[[#This Row],[cod_actividad]]="","",_xlfn.XLOOKUP(tblOrdenes[[#This Row],[cod_actividad]],tblActividades[codigo],tblActividades[descripcion],"(sin catálogo)"))</f>
        <v/>
      </c>
      <c r="Y73" s="12">
        <f>IF(tblOrdenes[[#This Row],[fecha_inicio]]="","",TODAY()-tblOrdenes[[#This Row],[fecha_inicio]])</f>
        <v/>
      </c>
      <c r="Z73" s="3">
        <f>IF(tblOrdenes[[#This Row],[backlog_dias]]="","",IF(tblOrdenes[[#This Row],[backlog_dias]]&lt;0,"FUTURO",IF(tblOrdenes[[#This Row],[backlog_dias]]&gt;p_dias_backlog_max,"BACKLOG","MES CORRIENTE")))</f>
        <v/>
      </c>
      <c r="AA73" s="3">
        <f>IF(tblOrdenes[[#This Row],[backlog_dias]]="",FALSE,AND(tblOrdenes[[#This Row],[backlog_dias]]&gt;p_dias_backlog_min,tblOrdenes[[#This Row],[backlog_dias]]&lt;=p_dias_backlog_max))</f>
        <v/>
      </c>
      <c r="AB73" s="6" t="inlineStr">
        <is>
          <t>Técnico 05</t>
        </is>
      </c>
      <c r="AC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" s="10">
        <f>IF(tblOrdenes[[#This Row],[orden]]="","",_xlfn.XLOOKUP(tblOrdenes[[#This Row],[id_operacion]],tblEjecucion[id_operacion],tblEjecucion[precio],0))</f>
        <v/>
      </c>
      <c r="AG73" s="10">
        <f>IF(tblOrdenes[[#This Row],[orden]]="","",MAX(0,_xlfn.XLOOKUP(tblOrdenes[[#This Row],[id_operacion]],tblEjecucion[id_operacion],tblEjecucion[costo_plan_total],0)-tblOrdenes[[#This Row],[costo_servicio]]))</f>
        <v/>
      </c>
      <c r="AH73" s="10">
        <f>IF(tblOrdenes[[#This Row],[orden]]="","",tblOrdenes[[#This Row],[costo_servicio]]+tblOrdenes[[#This Row],[costo_materiales]])</f>
        <v/>
      </c>
      <c r="AI73" s="6" t="inlineStr"/>
      <c r="AJ73" s="6" t="inlineStr"/>
      <c r="AK73" s="6" t="inlineStr">
        <is>
          <t>ACT-02.pdf</t>
        </is>
      </c>
      <c r="AL73" s="3">
        <f>IF(tblOrdenes[[#This Row],[link_checklist]]="","",HYPERLINK(p_ruta_base_checklists&amp;tblOrdenes[[#This Row],[link_checklist]],"abrir"))</f>
        <v/>
      </c>
      <c r="AM73" s="6" t="inlineStr"/>
      <c r="AN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Row],[tipo_ot]]="","",_xlfn.XLOOKUP(tblOrdenes[[#This Row],[tipo_ot]],tblTiposOT[codigo],tblTiposOT[clasificacion],"sin_clasificar"))</f>
        <v/>
      </c>
      <c r="T74" s="3">
        <f>IF(tblOrdenes[[#This Row],[centro_costo]]="","",_xlfn.XLOOKUP(tblOrdenes[[#This Row],[centro_costo]],tblCECO[codigo],tblCECO[linea],"(sin catálogo)"))</f>
        <v/>
      </c>
      <c r="U74" s="3">
        <f>IF(tblOrdenes[[#This Row],[centro_costo]]="","",_xlfn.XLOOKUP(tblOrdenes[[#This Row],[centro_costo]],tblCECO[codigo],tblCECO[area],"(sin catálogo)"))</f>
        <v/>
      </c>
      <c r="V74" s="3">
        <f>IF(tblOrdenes[[#This Row],[centro_costo]]="","",_xlfn.XLOOKUP(tblOrdenes[[#This Row],[centro_costo]],tblCECO[codigo],tblCECO[coordinador],"(sin catálogo)"))</f>
        <v/>
      </c>
      <c r="W74" s="3">
        <f>IF(tblOrdenes[[#This Row],[puesto_trabajo]]="","",_xlfn.XLOOKUP(tblOrdenes[[#This Row],[puesto_trabajo]],tblPuestos[codigo],tblPuestos[especialidad],"(sin catálogo)"))</f>
        <v/>
      </c>
      <c r="X74" s="3">
        <f>IF(tblOrdenes[[#This Row],[cod_actividad]]="","",_xlfn.XLOOKUP(tblOrdenes[[#This Row],[cod_actividad]],tblActividades[codigo],tblActividades[descripcion],"(sin catálogo)"))</f>
        <v/>
      </c>
      <c r="Y74" s="12">
        <f>IF(tblOrdenes[[#This Row],[fecha_inicio]]="","",TODAY()-tblOrdenes[[#This Row],[fecha_inicio]])</f>
        <v/>
      </c>
      <c r="Z74" s="3">
        <f>IF(tblOrdenes[[#This Row],[backlog_dias]]="","",IF(tblOrdenes[[#This Row],[backlog_dias]]&lt;0,"FUTURO",IF(tblOrdenes[[#This Row],[backlog_dias]]&gt;p_dias_backlog_max,"BACKLOG","MES CORRIENTE")))</f>
        <v/>
      </c>
      <c r="AA74" s="3">
        <f>IF(tblOrdenes[[#This Row],[backlog_dias]]="",FALSE,AND(tblOrdenes[[#This Row],[backlog_dias]]&gt;p_dias_backlog_min,tblOrdenes[[#This Row],[backlog_dias]]&lt;=p_dias_backlog_max))</f>
        <v/>
      </c>
      <c r="AB74" s="6" t="inlineStr">
        <is>
          <t>Técnico 06</t>
        </is>
      </c>
      <c r="AC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" s="10">
        <f>IF(tblOrdenes[[#This Row],[orden]]="","",_xlfn.XLOOKUP(tblOrdenes[[#This Row],[id_operacion]],tblEjecucion[id_operacion],tblEjecucion[precio],0))</f>
        <v/>
      </c>
      <c r="AG74" s="10">
        <f>IF(tblOrdenes[[#This Row],[orden]]="","",MAX(0,_xlfn.XLOOKUP(tblOrdenes[[#This Row],[id_operacion]],tblEjecucion[id_operacion],tblEjecucion[costo_plan_total],0)-tblOrdenes[[#This Row],[costo_servicio]]))</f>
        <v/>
      </c>
      <c r="AH74" s="10">
        <f>IF(tblOrdenes[[#This Row],[orden]]="","",tblOrdenes[[#This Row],[costo_servicio]]+tblOrdenes[[#This Row],[costo_materiales]])</f>
        <v/>
      </c>
      <c r="AI74" s="6" t="inlineStr"/>
      <c r="AJ74" s="6" t="inlineStr"/>
      <c r="AK74" s="6" t="inlineStr">
        <is>
          <t>ACT-04.pdf</t>
        </is>
      </c>
      <c r="AL74" s="3">
        <f>IF(tblOrdenes[[#This Row],[link_checklist]]="","",HYPERLINK(p_ruta_base_checklists&amp;tblOrdenes[[#This Row],[link_checklist]],"abrir"))</f>
        <v/>
      </c>
      <c r="AM74" s="6" t="inlineStr"/>
      <c r="AN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Row],[tipo_ot]]="","",_xlfn.XLOOKUP(tblOrdenes[[#This Row],[tipo_ot]],tblTiposOT[codigo],tblTiposOT[clasificacion],"sin_clasificar"))</f>
        <v/>
      </c>
      <c r="T75" s="3">
        <f>IF(tblOrdenes[[#This Row],[centro_costo]]="","",_xlfn.XLOOKUP(tblOrdenes[[#This Row],[centro_costo]],tblCECO[codigo],tblCECO[linea],"(sin catálogo)"))</f>
        <v/>
      </c>
      <c r="U75" s="3">
        <f>IF(tblOrdenes[[#This Row],[centro_costo]]="","",_xlfn.XLOOKUP(tblOrdenes[[#This Row],[centro_costo]],tblCECO[codigo],tblCECO[area],"(sin catálogo)"))</f>
        <v/>
      </c>
      <c r="V75" s="3">
        <f>IF(tblOrdenes[[#This Row],[centro_costo]]="","",_xlfn.XLOOKUP(tblOrdenes[[#This Row],[centro_costo]],tblCECO[codigo],tblCECO[coordinador],"(sin catálogo)"))</f>
        <v/>
      </c>
      <c r="W75" s="3">
        <f>IF(tblOrdenes[[#This Row],[puesto_trabajo]]="","",_xlfn.XLOOKUP(tblOrdenes[[#This Row],[puesto_trabajo]],tblPuestos[codigo],tblPuestos[especialidad],"(sin catálogo)"))</f>
        <v/>
      </c>
      <c r="X75" s="3">
        <f>IF(tblOrdenes[[#This Row],[cod_actividad]]="","",_xlfn.XLOOKUP(tblOrdenes[[#This Row],[cod_actividad]],tblActividades[codigo],tblActividades[descripcion],"(sin catálogo)"))</f>
        <v/>
      </c>
      <c r="Y75" s="12">
        <f>IF(tblOrdenes[[#This Row],[fecha_inicio]]="","",TODAY()-tblOrdenes[[#This Row],[fecha_inicio]])</f>
        <v/>
      </c>
      <c r="Z75" s="3">
        <f>IF(tblOrdenes[[#This Row],[backlog_dias]]="","",IF(tblOrdenes[[#This Row],[backlog_dias]]&lt;0,"FUTURO",IF(tblOrdenes[[#This Row],[backlog_dias]]&gt;p_dias_backlog_max,"BACKLOG","MES CORRIENTE")))</f>
        <v/>
      </c>
      <c r="AA75" s="3">
        <f>IF(tblOrdenes[[#This Row],[backlog_dias]]="",FALSE,AND(tblOrdenes[[#This Row],[backlog_dias]]&gt;p_dias_backlog_min,tblOrdenes[[#This Row],[backlog_dias]]&lt;=p_dias_backlog_max))</f>
        <v/>
      </c>
      <c r="AB75" s="6" t="inlineStr"/>
      <c r="AC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" s="10">
        <f>IF(tblOrdenes[[#This Row],[orden]]="","",_xlfn.XLOOKUP(tblOrdenes[[#This Row],[id_operacion]],tblEjecucion[id_operacion],tblEjecucion[precio],0))</f>
        <v/>
      </c>
      <c r="AG75" s="10">
        <f>IF(tblOrdenes[[#This Row],[orden]]="","",MAX(0,_xlfn.XLOOKUP(tblOrdenes[[#This Row],[id_operacion]],tblEjecucion[id_operacion],tblEjecucion[costo_plan_total],0)-tblOrdenes[[#This Row],[costo_servicio]]))</f>
        <v/>
      </c>
      <c r="AH75" s="10">
        <f>IF(tblOrdenes[[#This Row],[orden]]="","",tblOrdenes[[#This Row],[costo_servicio]]+tblOrdenes[[#This Row],[costo_materiales]])</f>
        <v/>
      </c>
      <c r="AI75" s="6" t="inlineStr"/>
      <c r="AJ75" s="6" t="inlineStr"/>
      <c r="AK75" s="6" t="inlineStr">
        <is>
          <t>ACT-01.pdf</t>
        </is>
      </c>
      <c r="AL75" s="3">
        <f>IF(tblOrdenes[[#This Row],[link_checklist]]="","",HYPERLINK(p_ruta_base_checklists&amp;tblOrdenes[[#This Row],[link_checklist]],"abrir"))</f>
        <v/>
      </c>
      <c r="AM75" s="6" t="inlineStr"/>
      <c r="AN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Row],[tipo_ot]]="","",_xlfn.XLOOKUP(tblOrdenes[[#This Row],[tipo_ot]],tblTiposOT[codigo],tblTiposOT[clasificacion],"sin_clasificar"))</f>
        <v/>
      </c>
      <c r="T76" s="3">
        <f>IF(tblOrdenes[[#This Row],[centro_costo]]="","",_xlfn.XLOOKUP(tblOrdenes[[#This Row],[centro_costo]],tblCECO[codigo],tblCECO[linea],"(sin catálogo)"))</f>
        <v/>
      </c>
      <c r="U76" s="3">
        <f>IF(tblOrdenes[[#This Row],[centro_costo]]="","",_xlfn.XLOOKUP(tblOrdenes[[#This Row],[centro_costo]],tblCECO[codigo],tblCECO[area],"(sin catálogo)"))</f>
        <v/>
      </c>
      <c r="V76" s="3">
        <f>IF(tblOrdenes[[#This Row],[centro_costo]]="","",_xlfn.XLOOKUP(tblOrdenes[[#This Row],[centro_costo]],tblCECO[codigo],tblCECO[coordinador],"(sin catálogo)"))</f>
        <v/>
      </c>
      <c r="W76" s="3">
        <f>IF(tblOrdenes[[#This Row],[puesto_trabajo]]="","",_xlfn.XLOOKUP(tblOrdenes[[#This Row],[puesto_trabajo]],tblPuestos[codigo],tblPuestos[especialidad],"(sin catálogo)"))</f>
        <v/>
      </c>
      <c r="X76" s="3">
        <f>IF(tblOrdenes[[#This Row],[cod_actividad]]="","",_xlfn.XLOOKUP(tblOrdenes[[#This Row],[cod_actividad]],tblActividades[codigo],tblActividades[descripcion],"(sin catálogo)"))</f>
        <v/>
      </c>
      <c r="Y76" s="12">
        <f>IF(tblOrdenes[[#This Row],[fecha_inicio]]="","",TODAY()-tblOrdenes[[#This Row],[fecha_inicio]])</f>
        <v/>
      </c>
      <c r="Z76" s="3">
        <f>IF(tblOrdenes[[#This Row],[backlog_dias]]="","",IF(tblOrdenes[[#This Row],[backlog_dias]]&lt;0,"FUTURO",IF(tblOrdenes[[#This Row],[backlog_dias]]&gt;p_dias_backlog_max,"BACKLOG","MES CORRIENTE")))</f>
        <v/>
      </c>
      <c r="AA76" s="3">
        <f>IF(tblOrdenes[[#This Row],[backlog_dias]]="",FALSE,AND(tblOrdenes[[#This Row],[backlog_dias]]&gt;p_dias_backlog_min,tblOrdenes[[#This Row],[backlog_dias]]&lt;=p_dias_backlog_max))</f>
        <v/>
      </c>
      <c r="AB76" s="6" t="inlineStr">
        <is>
          <t>Técnico 05</t>
        </is>
      </c>
      <c r="AC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" s="10">
        <f>IF(tblOrdenes[[#This Row],[orden]]="","",_xlfn.XLOOKUP(tblOrdenes[[#This Row],[id_operacion]],tblEjecucion[id_operacion],tblEjecucion[precio],0))</f>
        <v/>
      </c>
      <c r="AG76" s="10">
        <f>IF(tblOrdenes[[#This Row],[orden]]="","",MAX(0,_xlfn.XLOOKUP(tblOrdenes[[#This Row],[id_operacion]],tblEjecucion[id_operacion],tblEjecucion[costo_plan_total],0)-tblOrdenes[[#This Row],[costo_servicio]]))</f>
        <v/>
      </c>
      <c r="AH76" s="10">
        <f>IF(tblOrdenes[[#This Row],[orden]]="","",tblOrdenes[[#This Row],[costo_servicio]]+tblOrdenes[[#This Row],[costo_materiales]])</f>
        <v/>
      </c>
      <c r="AI76" s="6" t="inlineStr"/>
      <c r="AJ76" s="6" t="inlineStr"/>
      <c r="AK76" s="6" t="inlineStr">
        <is>
          <t>ACT-02.pdf</t>
        </is>
      </c>
      <c r="AL76" s="3">
        <f>IF(tblOrdenes[[#This Row],[link_checklist]]="","",HYPERLINK(p_ruta_base_checklists&amp;tblOrdenes[[#This Row],[link_checklist]],"abrir"))</f>
        <v/>
      </c>
      <c r="AM76" s="6" t="inlineStr"/>
      <c r="AN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Row],[tipo_ot]]="","",_xlfn.XLOOKUP(tblOrdenes[[#This Row],[tipo_ot]],tblTiposOT[codigo],tblTiposOT[clasificacion],"sin_clasificar"))</f>
        <v/>
      </c>
      <c r="T77" s="3">
        <f>IF(tblOrdenes[[#This Row],[centro_costo]]="","",_xlfn.XLOOKUP(tblOrdenes[[#This Row],[centro_costo]],tblCECO[codigo],tblCECO[linea],"(sin catálogo)"))</f>
        <v/>
      </c>
      <c r="U77" s="3">
        <f>IF(tblOrdenes[[#This Row],[centro_costo]]="","",_xlfn.XLOOKUP(tblOrdenes[[#This Row],[centro_costo]],tblCECO[codigo],tblCECO[area],"(sin catálogo)"))</f>
        <v/>
      </c>
      <c r="V77" s="3">
        <f>IF(tblOrdenes[[#This Row],[centro_costo]]="","",_xlfn.XLOOKUP(tblOrdenes[[#This Row],[centro_costo]],tblCECO[codigo],tblCECO[coordinador],"(sin catálogo)"))</f>
        <v/>
      </c>
      <c r="W77" s="3">
        <f>IF(tblOrdenes[[#This Row],[puesto_trabajo]]="","",_xlfn.XLOOKUP(tblOrdenes[[#This Row],[puesto_trabajo]],tblPuestos[codigo],tblPuestos[especialidad],"(sin catálogo)"))</f>
        <v/>
      </c>
      <c r="X77" s="3">
        <f>IF(tblOrdenes[[#This Row],[cod_actividad]]="","",_xlfn.XLOOKUP(tblOrdenes[[#This Row],[cod_actividad]],tblActividades[codigo],tblActividades[descripcion],"(sin catálogo)"))</f>
        <v/>
      </c>
      <c r="Y77" s="12">
        <f>IF(tblOrdenes[[#This Row],[fecha_inicio]]="","",TODAY()-tblOrdenes[[#This Row],[fecha_inicio]])</f>
        <v/>
      </c>
      <c r="Z77" s="3">
        <f>IF(tblOrdenes[[#This Row],[backlog_dias]]="","",IF(tblOrdenes[[#This Row],[backlog_dias]]&lt;0,"FUTURO",IF(tblOrdenes[[#This Row],[backlog_dias]]&gt;p_dias_backlog_max,"BACKLOG","MES CORRIENTE")))</f>
        <v/>
      </c>
      <c r="AA77" s="3">
        <f>IF(tblOrdenes[[#This Row],[backlog_dias]]="",FALSE,AND(tblOrdenes[[#This Row],[backlog_dias]]&gt;p_dias_backlog_min,tblOrdenes[[#This Row],[backlog_dias]]&lt;=p_dias_backlog_max))</f>
        <v/>
      </c>
      <c r="AB77" s="6" t="inlineStr">
        <is>
          <t>Técnico 06</t>
        </is>
      </c>
      <c r="AC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" s="10">
        <f>IF(tblOrdenes[[#This Row],[orden]]="","",_xlfn.XLOOKUP(tblOrdenes[[#This Row],[id_operacion]],tblEjecucion[id_operacion],tblEjecucion[precio],0))</f>
        <v/>
      </c>
      <c r="AG77" s="10">
        <f>IF(tblOrdenes[[#This Row],[orden]]="","",MAX(0,_xlfn.XLOOKUP(tblOrdenes[[#This Row],[id_operacion]],tblEjecucion[id_operacion],tblEjecucion[costo_plan_total],0)-tblOrdenes[[#This Row],[costo_servicio]]))</f>
        <v/>
      </c>
      <c r="AH77" s="10">
        <f>IF(tblOrdenes[[#This Row],[orden]]="","",tblOrdenes[[#This Row],[costo_servicio]]+tblOrdenes[[#This Row],[costo_materiales]])</f>
        <v/>
      </c>
      <c r="AI77" s="6" t="inlineStr"/>
      <c r="AJ77" s="6" t="inlineStr"/>
      <c r="AK77" s="6" t="inlineStr">
        <is>
          <t>ACT-04.pdf</t>
        </is>
      </c>
      <c r="AL77" s="3">
        <f>IF(tblOrdenes[[#This Row],[link_checklist]]="","",HYPERLINK(p_ruta_base_checklists&amp;tblOrdenes[[#This Row],[link_checklist]],"abrir"))</f>
        <v/>
      </c>
      <c r="AM77" s="6" t="inlineStr"/>
      <c r="AN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Row],[tipo_ot]]="","",_xlfn.XLOOKUP(tblOrdenes[[#This Row],[tipo_ot]],tblTiposOT[codigo],tblTiposOT[clasificacion],"sin_clasificar"))</f>
        <v/>
      </c>
      <c r="T78" s="3">
        <f>IF(tblOrdenes[[#This Row],[centro_costo]]="","",_xlfn.XLOOKUP(tblOrdenes[[#This Row],[centro_costo]],tblCECO[codigo],tblCECO[linea],"(sin catálogo)"))</f>
        <v/>
      </c>
      <c r="U78" s="3">
        <f>IF(tblOrdenes[[#This Row],[centro_costo]]="","",_xlfn.XLOOKUP(tblOrdenes[[#This Row],[centro_costo]],tblCECO[codigo],tblCECO[area],"(sin catálogo)"))</f>
        <v/>
      </c>
      <c r="V78" s="3">
        <f>IF(tblOrdenes[[#This Row],[centro_costo]]="","",_xlfn.XLOOKUP(tblOrdenes[[#This Row],[centro_costo]],tblCECO[codigo],tblCECO[coordinador],"(sin catálogo)"))</f>
        <v/>
      </c>
      <c r="W78" s="3">
        <f>IF(tblOrdenes[[#This Row],[puesto_trabajo]]="","",_xlfn.XLOOKUP(tblOrdenes[[#This Row],[puesto_trabajo]],tblPuestos[codigo],tblPuestos[especialidad],"(sin catálogo)"))</f>
        <v/>
      </c>
      <c r="X78" s="3">
        <f>IF(tblOrdenes[[#This Row],[cod_actividad]]="","",_xlfn.XLOOKUP(tblOrdenes[[#This Row],[cod_actividad]],tblActividades[codigo],tblActividades[descripcion],"(sin catálogo)"))</f>
        <v/>
      </c>
      <c r="Y78" s="12">
        <f>IF(tblOrdenes[[#This Row],[fecha_inicio]]="","",TODAY()-tblOrdenes[[#This Row],[fecha_inicio]])</f>
        <v/>
      </c>
      <c r="Z78" s="3">
        <f>IF(tblOrdenes[[#This Row],[backlog_dias]]="","",IF(tblOrdenes[[#This Row],[backlog_dias]]&lt;0,"FUTURO",IF(tblOrdenes[[#This Row],[backlog_dias]]&gt;p_dias_backlog_max,"BACKLOG","MES CORRIENTE")))</f>
        <v/>
      </c>
      <c r="AA78" s="3">
        <f>IF(tblOrdenes[[#This Row],[backlog_dias]]="",FALSE,AND(tblOrdenes[[#This Row],[backlog_dias]]&gt;p_dias_backlog_min,tblOrdenes[[#This Row],[backlog_dias]]&lt;=p_dias_backlog_max))</f>
        <v/>
      </c>
      <c r="AB78" s="6" t="inlineStr">
        <is>
          <t>Técnico 07</t>
        </is>
      </c>
      <c r="AC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" s="10">
        <f>IF(tblOrdenes[[#This Row],[orden]]="","",_xlfn.XLOOKUP(tblOrdenes[[#This Row],[id_operacion]],tblEjecucion[id_operacion],tblEjecucion[precio],0))</f>
        <v/>
      </c>
      <c r="AG78" s="10">
        <f>IF(tblOrdenes[[#This Row],[orden]]="","",MAX(0,_xlfn.XLOOKUP(tblOrdenes[[#This Row],[id_operacion]],tblEjecucion[id_operacion],tblEjecucion[costo_plan_total],0)-tblOrdenes[[#This Row],[costo_servicio]]))</f>
        <v/>
      </c>
      <c r="AH78" s="10">
        <f>IF(tblOrdenes[[#This Row],[orden]]="","",tblOrdenes[[#This Row],[costo_servicio]]+tblOrdenes[[#This Row],[costo_materiales]])</f>
        <v/>
      </c>
      <c r="AI78" s="6" t="inlineStr"/>
      <c r="AJ78" s="6" t="inlineStr"/>
      <c r="AK78" s="6" t="inlineStr">
        <is>
          <t>ACT-01.pdf</t>
        </is>
      </c>
      <c r="AL78" s="3">
        <f>IF(tblOrdenes[[#This Row],[link_checklist]]="","",HYPERLINK(p_ruta_base_checklists&amp;tblOrdenes[[#This Row],[link_checklist]],"abrir"))</f>
        <v/>
      </c>
      <c r="AM78" s="6" t="inlineStr"/>
      <c r="AN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Row],[tipo_ot]]="","",_xlfn.XLOOKUP(tblOrdenes[[#This Row],[tipo_ot]],tblTiposOT[codigo],tblTiposOT[clasificacion],"sin_clasificar"))</f>
        <v/>
      </c>
      <c r="T79" s="3">
        <f>IF(tblOrdenes[[#This Row],[centro_costo]]="","",_xlfn.XLOOKUP(tblOrdenes[[#This Row],[centro_costo]],tblCECO[codigo],tblCECO[linea],"(sin catálogo)"))</f>
        <v/>
      </c>
      <c r="U79" s="3">
        <f>IF(tblOrdenes[[#This Row],[centro_costo]]="","",_xlfn.XLOOKUP(tblOrdenes[[#This Row],[centro_costo]],tblCECO[codigo],tblCECO[area],"(sin catálogo)"))</f>
        <v/>
      </c>
      <c r="V79" s="3">
        <f>IF(tblOrdenes[[#This Row],[centro_costo]]="","",_xlfn.XLOOKUP(tblOrdenes[[#This Row],[centro_costo]],tblCECO[codigo],tblCECO[coordinador],"(sin catálogo)"))</f>
        <v/>
      </c>
      <c r="W79" s="3">
        <f>IF(tblOrdenes[[#This Row],[puesto_trabajo]]="","",_xlfn.XLOOKUP(tblOrdenes[[#This Row],[puesto_trabajo]],tblPuestos[codigo],tblPuestos[especialidad],"(sin catálogo)"))</f>
        <v/>
      </c>
      <c r="X79" s="3">
        <f>IF(tblOrdenes[[#This Row],[cod_actividad]]="","",_xlfn.XLOOKUP(tblOrdenes[[#This Row],[cod_actividad]],tblActividades[codigo],tblActividades[descripcion],"(sin catálogo)"))</f>
        <v/>
      </c>
      <c r="Y79" s="12">
        <f>IF(tblOrdenes[[#This Row],[fecha_inicio]]="","",TODAY()-tblOrdenes[[#This Row],[fecha_inicio]])</f>
        <v/>
      </c>
      <c r="Z79" s="3">
        <f>IF(tblOrdenes[[#This Row],[backlog_dias]]="","",IF(tblOrdenes[[#This Row],[backlog_dias]]&lt;0,"FUTURO",IF(tblOrdenes[[#This Row],[backlog_dias]]&gt;p_dias_backlog_max,"BACKLOG","MES CORRIENTE")))</f>
        <v/>
      </c>
      <c r="AA79" s="3">
        <f>IF(tblOrdenes[[#This Row],[backlog_dias]]="",FALSE,AND(tblOrdenes[[#This Row],[backlog_dias]]&gt;p_dias_backlog_min,tblOrdenes[[#This Row],[backlog_dias]]&lt;=p_dias_backlog_max))</f>
        <v/>
      </c>
      <c r="AB79" s="6" t="inlineStr">
        <is>
          <t>Técnico 05</t>
        </is>
      </c>
      <c r="AC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" s="10">
        <f>IF(tblOrdenes[[#This Row],[orden]]="","",_xlfn.XLOOKUP(tblOrdenes[[#This Row],[id_operacion]],tblEjecucion[id_operacion],tblEjecucion[precio],0))</f>
        <v/>
      </c>
      <c r="AG79" s="10">
        <f>IF(tblOrdenes[[#This Row],[orden]]="","",MAX(0,_xlfn.XLOOKUP(tblOrdenes[[#This Row],[id_operacion]],tblEjecucion[id_operacion],tblEjecucion[costo_plan_total],0)-tblOrdenes[[#This Row],[costo_servicio]]))</f>
        <v/>
      </c>
      <c r="AH79" s="10">
        <f>IF(tblOrdenes[[#This Row],[orden]]="","",tblOrdenes[[#This Row],[costo_servicio]]+tblOrdenes[[#This Row],[costo_materiales]])</f>
        <v/>
      </c>
      <c r="AI79" s="6" t="inlineStr"/>
      <c r="AJ79" s="6" t="inlineStr"/>
      <c r="AK79" s="6" t="inlineStr">
        <is>
          <t>ACT-02.pdf</t>
        </is>
      </c>
      <c r="AL79" s="3">
        <f>IF(tblOrdenes[[#This Row],[link_checklist]]="","",HYPERLINK(p_ruta_base_checklists&amp;tblOrdenes[[#This Row],[link_checklist]],"abrir"))</f>
        <v/>
      </c>
      <c r="AM79" s="6" t="inlineStr"/>
      <c r="AN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Row],[tipo_ot]]="","",_xlfn.XLOOKUP(tblOrdenes[[#This Row],[tipo_ot]],tblTiposOT[codigo],tblTiposOT[clasificacion],"sin_clasificar"))</f>
        <v/>
      </c>
      <c r="T80" s="3">
        <f>IF(tblOrdenes[[#This Row],[centro_costo]]="","",_xlfn.XLOOKUP(tblOrdenes[[#This Row],[centro_costo]],tblCECO[codigo],tblCECO[linea],"(sin catálogo)"))</f>
        <v/>
      </c>
      <c r="U80" s="3">
        <f>IF(tblOrdenes[[#This Row],[centro_costo]]="","",_xlfn.XLOOKUP(tblOrdenes[[#This Row],[centro_costo]],tblCECO[codigo],tblCECO[area],"(sin catálogo)"))</f>
        <v/>
      </c>
      <c r="V80" s="3">
        <f>IF(tblOrdenes[[#This Row],[centro_costo]]="","",_xlfn.XLOOKUP(tblOrdenes[[#This Row],[centro_costo]],tblCECO[codigo],tblCECO[coordinador],"(sin catálogo)"))</f>
        <v/>
      </c>
      <c r="W80" s="3">
        <f>IF(tblOrdenes[[#This Row],[puesto_trabajo]]="","",_xlfn.XLOOKUP(tblOrdenes[[#This Row],[puesto_trabajo]],tblPuestos[codigo],tblPuestos[especialidad],"(sin catálogo)"))</f>
        <v/>
      </c>
      <c r="X80" s="3">
        <f>IF(tblOrdenes[[#This Row],[cod_actividad]]="","",_xlfn.XLOOKUP(tblOrdenes[[#This Row],[cod_actividad]],tblActividades[codigo],tblActividades[descripcion],"(sin catálogo)"))</f>
        <v/>
      </c>
      <c r="Y80" s="12">
        <f>IF(tblOrdenes[[#This Row],[fecha_inicio]]="","",TODAY()-tblOrdenes[[#This Row],[fecha_inicio]])</f>
        <v/>
      </c>
      <c r="Z80" s="3">
        <f>IF(tblOrdenes[[#This Row],[backlog_dias]]="","",IF(tblOrdenes[[#This Row],[backlog_dias]]&lt;0,"FUTURO",IF(tblOrdenes[[#This Row],[backlog_dias]]&gt;p_dias_backlog_max,"BACKLOG","MES CORRIENTE")))</f>
        <v/>
      </c>
      <c r="AA80" s="3">
        <f>IF(tblOrdenes[[#This Row],[backlog_dias]]="",FALSE,AND(tblOrdenes[[#This Row],[backlog_dias]]&gt;p_dias_backlog_min,tblOrdenes[[#This Row],[backlog_dias]]&lt;=p_dias_backlog_max))</f>
        <v/>
      </c>
      <c r="AB80" s="6" t="inlineStr">
        <is>
          <t>Técnico 06</t>
        </is>
      </c>
      <c r="AC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" s="10">
        <f>IF(tblOrdenes[[#This Row],[orden]]="","",_xlfn.XLOOKUP(tblOrdenes[[#This Row],[id_operacion]],tblEjecucion[id_operacion],tblEjecucion[precio],0))</f>
        <v/>
      </c>
      <c r="AG80" s="10">
        <f>IF(tblOrdenes[[#This Row],[orden]]="","",MAX(0,_xlfn.XLOOKUP(tblOrdenes[[#This Row],[id_operacion]],tblEjecucion[id_operacion],tblEjecucion[costo_plan_total],0)-tblOrdenes[[#This Row],[costo_servicio]]))</f>
        <v/>
      </c>
      <c r="AH80" s="10">
        <f>IF(tblOrdenes[[#This Row],[orden]]="","",tblOrdenes[[#This Row],[costo_servicio]]+tblOrdenes[[#This Row],[costo_materiales]])</f>
        <v/>
      </c>
      <c r="AI80" s="6" t="inlineStr"/>
      <c r="AJ80" s="6" t="inlineStr"/>
      <c r="AK80" s="6" t="inlineStr"/>
      <c r="AL80" s="3">
        <f>IF(tblOrdenes[[#This Row],[link_checklist]]="","",HYPERLINK(p_ruta_base_checklists&amp;tblOrdenes[[#This Row],[link_checklist]],"abrir"))</f>
        <v/>
      </c>
      <c r="AM80" s="6" t="inlineStr"/>
      <c r="AN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Row],[tipo_ot]]="","",_xlfn.XLOOKUP(tblOrdenes[[#This Row],[tipo_ot]],tblTiposOT[codigo],tblTiposOT[clasificacion],"sin_clasificar"))</f>
        <v/>
      </c>
      <c r="T81" s="3">
        <f>IF(tblOrdenes[[#This Row],[centro_costo]]="","",_xlfn.XLOOKUP(tblOrdenes[[#This Row],[centro_costo]],tblCECO[codigo],tblCECO[linea],"(sin catálogo)"))</f>
        <v/>
      </c>
      <c r="U81" s="3">
        <f>IF(tblOrdenes[[#This Row],[centro_costo]]="","",_xlfn.XLOOKUP(tblOrdenes[[#This Row],[centro_costo]],tblCECO[codigo],tblCECO[area],"(sin catálogo)"))</f>
        <v/>
      </c>
      <c r="V81" s="3">
        <f>IF(tblOrdenes[[#This Row],[centro_costo]]="","",_xlfn.XLOOKUP(tblOrdenes[[#This Row],[centro_costo]],tblCECO[codigo],tblCECO[coordinador],"(sin catálogo)"))</f>
        <v/>
      </c>
      <c r="W81" s="3">
        <f>IF(tblOrdenes[[#This Row],[puesto_trabajo]]="","",_xlfn.XLOOKUP(tblOrdenes[[#This Row],[puesto_trabajo]],tblPuestos[codigo],tblPuestos[especialidad],"(sin catálogo)"))</f>
        <v/>
      </c>
      <c r="X81" s="3">
        <f>IF(tblOrdenes[[#This Row],[cod_actividad]]="","",_xlfn.XLOOKUP(tblOrdenes[[#This Row],[cod_actividad]],tblActividades[codigo],tblActividades[descripcion],"(sin catálogo)"))</f>
        <v/>
      </c>
      <c r="Y81" s="12">
        <f>IF(tblOrdenes[[#This Row],[fecha_inicio]]="","",TODAY()-tblOrdenes[[#This Row],[fecha_inicio]])</f>
        <v/>
      </c>
      <c r="Z81" s="3">
        <f>IF(tblOrdenes[[#This Row],[backlog_dias]]="","",IF(tblOrdenes[[#This Row],[backlog_dias]]&lt;0,"FUTURO",IF(tblOrdenes[[#This Row],[backlog_dias]]&gt;p_dias_backlog_max,"BACKLOG","MES CORRIENTE")))</f>
        <v/>
      </c>
      <c r="AA81" s="3">
        <f>IF(tblOrdenes[[#This Row],[backlog_dias]]="",FALSE,AND(tblOrdenes[[#This Row],[backlog_dias]]&gt;p_dias_backlog_min,tblOrdenes[[#This Row],[backlog_dias]]&lt;=p_dias_backlog_max))</f>
        <v/>
      </c>
      <c r="AB81" s="6" t="inlineStr">
        <is>
          <t>Técnico 07</t>
        </is>
      </c>
      <c r="AC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" s="10">
        <f>IF(tblOrdenes[[#This Row],[orden]]="","",_xlfn.XLOOKUP(tblOrdenes[[#This Row],[id_operacion]],tblEjecucion[id_operacion],tblEjecucion[precio],0))</f>
        <v/>
      </c>
      <c r="AG81" s="10">
        <f>IF(tblOrdenes[[#This Row],[orden]]="","",MAX(0,_xlfn.XLOOKUP(tblOrdenes[[#This Row],[id_operacion]],tblEjecucion[id_operacion],tblEjecucion[costo_plan_total],0)-tblOrdenes[[#This Row],[costo_servicio]]))</f>
        <v/>
      </c>
      <c r="AH81" s="10">
        <f>IF(tblOrdenes[[#This Row],[orden]]="","",tblOrdenes[[#This Row],[costo_servicio]]+tblOrdenes[[#This Row],[costo_materiales]])</f>
        <v/>
      </c>
      <c r="AI81" s="6" t="inlineStr"/>
      <c r="AJ81" s="6" t="inlineStr"/>
      <c r="AK81" s="6" t="inlineStr">
        <is>
          <t>ACT-01.pdf</t>
        </is>
      </c>
      <c r="AL81" s="3">
        <f>IF(tblOrdenes[[#This Row],[link_checklist]]="","",HYPERLINK(p_ruta_base_checklists&amp;tblOrdenes[[#This Row],[link_checklist]],"abrir"))</f>
        <v/>
      </c>
      <c r="AM81" s="6" t="inlineStr"/>
      <c r="AN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Row],[tipo_ot]]="","",_xlfn.XLOOKUP(tblOrdenes[[#This Row],[tipo_ot]],tblTiposOT[codigo],tblTiposOT[clasificacion],"sin_clasificar"))</f>
        <v/>
      </c>
      <c r="T82" s="3">
        <f>IF(tblOrdenes[[#This Row],[centro_costo]]="","",_xlfn.XLOOKUP(tblOrdenes[[#This Row],[centro_costo]],tblCECO[codigo],tblCECO[linea],"(sin catálogo)"))</f>
        <v/>
      </c>
      <c r="U82" s="3">
        <f>IF(tblOrdenes[[#This Row],[centro_costo]]="","",_xlfn.XLOOKUP(tblOrdenes[[#This Row],[centro_costo]],tblCECO[codigo],tblCECO[area],"(sin catálogo)"))</f>
        <v/>
      </c>
      <c r="V82" s="3">
        <f>IF(tblOrdenes[[#This Row],[centro_costo]]="","",_xlfn.XLOOKUP(tblOrdenes[[#This Row],[centro_costo]],tblCECO[codigo],tblCECO[coordinador],"(sin catálogo)"))</f>
        <v/>
      </c>
      <c r="W82" s="3">
        <f>IF(tblOrdenes[[#This Row],[puesto_trabajo]]="","",_xlfn.XLOOKUP(tblOrdenes[[#This Row],[puesto_trabajo]],tblPuestos[codigo],tblPuestos[especialidad],"(sin catálogo)"))</f>
        <v/>
      </c>
      <c r="X82" s="3">
        <f>IF(tblOrdenes[[#This Row],[cod_actividad]]="","",_xlfn.XLOOKUP(tblOrdenes[[#This Row],[cod_actividad]],tblActividades[codigo],tblActividades[descripcion],"(sin catálogo)"))</f>
        <v/>
      </c>
      <c r="Y82" s="12">
        <f>IF(tblOrdenes[[#This Row],[fecha_inicio]]="","",TODAY()-tblOrdenes[[#This Row],[fecha_inicio]])</f>
        <v/>
      </c>
      <c r="Z82" s="3">
        <f>IF(tblOrdenes[[#This Row],[backlog_dias]]="","",IF(tblOrdenes[[#This Row],[backlog_dias]]&lt;0,"FUTURO",IF(tblOrdenes[[#This Row],[backlog_dias]]&gt;p_dias_backlog_max,"BACKLOG","MES CORRIENTE")))</f>
        <v/>
      </c>
      <c r="AA82" s="3">
        <f>IF(tblOrdenes[[#This Row],[backlog_dias]]="",FALSE,AND(tblOrdenes[[#This Row],[backlog_dias]]&gt;p_dias_backlog_min,tblOrdenes[[#This Row],[backlog_dias]]&lt;=p_dias_backlog_max))</f>
        <v/>
      </c>
      <c r="AB82" s="6" t="inlineStr">
        <is>
          <t>Técnico 05</t>
        </is>
      </c>
      <c r="AC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" s="10">
        <f>IF(tblOrdenes[[#This Row],[orden]]="","",_xlfn.XLOOKUP(tblOrdenes[[#This Row],[id_operacion]],tblEjecucion[id_operacion],tblEjecucion[precio],0))</f>
        <v/>
      </c>
      <c r="AG82" s="10">
        <f>IF(tblOrdenes[[#This Row],[orden]]="","",MAX(0,_xlfn.XLOOKUP(tblOrdenes[[#This Row],[id_operacion]],tblEjecucion[id_operacion],tblEjecucion[costo_plan_total],0)-tblOrdenes[[#This Row],[costo_servicio]]))</f>
        <v/>
      </c>
      <c r="AH82" s="10">
        <f>IF(tblOrdenes[[#This Row],[orden]]="","",tblOrdenes[[#This Row],[costo_servicio]]+tblOrdenes[[#This Row],[costo_materiales]])</f>
        <v/>
      </c>
      <c r="AI82" s="6" t="inlineStr"/>
      <c r="AJ82" s="6" t="inlineStr"/>
      <c r="AK82" s="6" t="inlineStr">
        <is>
          <t>ACT-02.pdf</t>
        </is>
      </c>
      <c r="AL82" s="3">
        <f>IF(tblOrdenes[[#This Row],[link_checklist]]="","",HYPERLINK(p_ruta_base_checklists&amp;tblOrdenes[[#This Row],[link_checklist]],"abrir"))</f>
        <v/>
      </c>
      <c r="AM82" s="6" t="inlineStr"/>
      <c r="AN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Row],[tipo_ot]]="","",_xlfn.XLOOKUP(tblOrdenes[[#This Row],[tipo_ot]],tblTiposOT[codigo],tblTiposOT[clasificacion],"sin_clasificar"))</f>
        <v/>
      </c>
      <c r="T83" s="3">
        <f>IF(tblOrdenes[[#This Row],[centro_costo]]="","",_xlfn.XLOOKUP(tblOrdenes[[#This Row],[centro_costo]],tblCECO[codigo],tblCECO[linea],"(sin catálogo)"))</f>
        <v/>
      </c>
      <c r="U83" s="3">
        <f>IF(tblOrdenes[[#This Row],[centro_costo]]="","",_xlfn.XLOOKUP(tblOrdenes[[#This Row],[centro_costo]],tblCECO[codigo],tblCECO[area],"(sin catálogo)"))</f>
        <v/>
      </c>
      <c r="V83" s="3">
        <f>IF(tblOrdenes[[#This Row],[centro_costo]]="","",_xlfn.XLOOKUP(tblOrdenes[[#This Row],[centro_costo]],tblCECO[codigo],tblCECO[coordinador],"(sin catálogo)"))</f>
        <v/>
      </c>
      <c r="W83" s="3">
        <f>IF(tblOrdenes[[#This Row],[puesto_trabajo]]="","",_xlfn.XLOOKUP(tblOrdenes[[#This Row],[puesto_trabajo]],tblPuestos[codigo],tblPuestos[especialidad],"(sin catálogo)"))</f>
        <v/>
      </c>
      <c r="X83" s="3">
        <f>IF(tblOrdenes[[#This Row],[cod_actividad]]="","",_xlfn.XLOOKUP(tblOrdenes[[#This Row],[cod_actividad]],tblActividades[codigo],tblActividades[descripcion],"(sin catálogo)"))</f>
        <v/>
      </c>
      <c r="Y83" s="12">
        <f>IF(tblOrdenes[[#This Row],[fecha_inicio]]="","",TODAY()-tblOrdenes[[#This Row],[fecha_inicio]])</f>
        <v/>
      </c>
      <c r="Z83" s="3">
        <f>IF(tblOrdenes[[#This Row],[backlog_dias]]="","",IF(tblOrdenes[[#This Row],[backlog_dias]]&lt;0,"FUTURO",IF(tblOrdenes[[#This Row],[backlog_dias]]&gt;p_dias_backlog_max,"BACKLOG","MES CORRIENTE")))</f>
        <v/>
      </c>
      <c r="AA83" s="3">
        <f>IF(tblOrdenes[[#This Row],[backlog_dias]]="",FALSE,AND(tblOrdenes[[#This Row],[backlog_dias]]&gt;p_dias_backlog_min,tblOrdenes[[#This Row],[backlog_dias]]&lt;=p_dias_backlog_max))</f>
        <v/>
      </c>
      <c r="AB83" s="6" t="inlineStr">
        <is>
          <t>Técnico 06</t>
        </is>
      </c>
      <c r="AC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" s="10">
        <f>IF(tblOrdenes[[#This Row],[orden]]="","",_xlfn.XLOOKUP(tblOrdenes[[#This Row],[id_operacion]],tblEjecucion[id_operacion],tblEjecucion[precio],0))</f>
        <v/>
      </c>
      <c r="AG83" s="10">
        <f>IF(tblOrdenes[[#This Row],[orden]]="","",MAX(0,_xlfn.XLOOKUP(tblOrdenes[[#This Row],[id_operacion]],tblEjecucion[id_operacion],tblEjecucion[costo_plan_total],0)-tblOrdenes[[#This Row],[costo_servicio]]))</f>
        <v/>
      </c>
      <c r="AH83" s="10">
        <f>IF(tblOrdenes[[#This Row],[orden]]="","",tblOrdenes[[#This Row],[costo_servicio]]+tblOrdenes[[#This Row],[costo_materiales]])</f>
        <v/>
      </c>
      <c r="AI83" s="6" t="inlineStr"/>
      <c r="AJ83" s="6" t="inlineStr"/>
      <c r="AK83" s="6" t="inlineStr">
        <is>
          <t>ACT-04.pdf</t>
        </is>
      </c>
      <c r="AL83" s="3">
        <f>IF(tblOrdenes[[#This Row],[link_checklist]]="","",HYPERLINK(p_ruta_base_checklists&amp;tblOrdenes[[#This Row],[link_checklist]],"abrir"))</f>
        <v/>
      </c>
      <c r="AM83" s="6" t="inlineStr"/>
      <c r="AN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Row],[tipo_ot]]="","",_xlfn.XLOOKUP(tblOrdenes[[#This Row],[tipo_ot]],tblTiposOT[codigo],tblTiposOT[clasificacion],"sin_clasificar"))</f>
        <v/>
      </c>
      <c r="T84" s="3">
        <f>IF(tblOrdenes[[#This Row],[centro_costo]]="","",_xlfn.XLOOKUP(tblOrdenes[[#This Row],[centro_costo]],tblCECO[codigo],tblCECO[linea],"(sin catálogo)"))</f>
        <v/>
      </c>
      <c r="U84" s="3">
        <f>IF(tblOrdenes[[#This Row],[centro_costo]]="","",_xlfn.XLOOKUP(tblOrdenes[[#This Row],[centro_costo]],tblCECO[codigo],tblCECO[area],"(sin catálogo)"))</f>
        <v/>
      </c>
      <c r="V84" s="3">
        <f>IF(tblOrdenes[[#This Row],[centro_costo]]="","",_xlfn.XLOOKUP(tblOrdenes[[#This Row],[centro_costo]],tblCECO[codigo],tblCECO[coordinador],"(sin catálogo)"))</f>
        <v/>
      </c>
      <c r="W84" s="3">
        <f>IF(tblOrdenes[[#This Row],[puesto_trabajo]]="","",_xlfn.XLOOKUP(tblOrdenes[[#This Row],[puesto_trabajo]],tblPuestos[codigo],tblPuestos[especialidad],"(sin catálogo)"))</f>
        <v/>
      </c>
      <c r="X84" s="3">
        <f>IF(tblOrdenes[[#This Row],[cod_actividad]]="","",_xlfn.XLOOKUP(tblOrdenes[[#This Row],[cod_actividad]],tblActividades[codigo],tblActividades[descripcion],"(sin catálogo)"))</f>
        <v/>
      </c>
      <c r="Y84" s="12">
        <f>IF(tblOrdenes[[#This Row],[fecha_inicio]]="","",TODAY()-tblOrdenes[[#This Row],[fecha_inicio]])</f>
        <v/>
      </c>
      <c r="Z84" s="3">
        <f>IF(tblOrdenes[[#This Row],[backlog_dias]]="","",IF(tblOrdenes[[#This Row],[backlog_dias]]&lt;0,"FUTURO",IF(tblOrdenes[[#This Row],[backlog_dias]]&gt;p_dias_backlog_max,"BACKLOG","MES CORRIENTE")))</f>
        <v/>
      </c>
      <c r="AA84" s="3">
        <f>IF(tblOrdenes[[#This Row],[backlog_dias]]="",FALSE,AND(tblOrdenes[[#This Row],[backlog_dias]]&gt;p_dias_backlog_min,tblOrdenes[[#This Row],[backlog_dias]]&lt;=p_dias_backlog_max))</f>
        <v/>
      </c>
      <c r="AB84" s="6" t="inlineStr">
        <is>
          <t>Técnico 07</t>
        </is>
      </c>
      <c r="AC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" s="10">
        <f>IF(tblOrdenes[[#This Row],[orden]]="","",_xlfn.XLOOKUP(tblOrdenes[[#This Row],[id_operacion]],tblEjecucion[id_operacion],tblEjecucion[precio],0))</f>
        <v/>
      </c>
      <c r="AG84" s="10">
        <f>IF(tblOrdenes[[#This Row],[orden]]="","",MAX(0,_xlfn.XLOOKUP(tblOrdenes[[#This Row],[id_operacion]],tblEjecucion[id_operacion],tblEjecucion[costo_plan_total],0)-tblOrdenes[[#This Row],[costo_servicio]]))</f>
        <v/>
      </c>
      <c r="AH84" s="10">
        <f>IF(tblOrdenes[[#This Row],[orden]]="","",tblOrdenes[[#This Row],[costo_servicio]]+tblOrdenes[[#This Row],[costo_materiales]])</f>
        <v/>
      </c>
      <c r="AI84" s="6" t="inlineStr"/>
      <c r="AJ84" s="6" t="inlineStr"/>
      <c r="AK84" s="6" t="inlineStr">
        <is>
          <t>ACT-01.pdf</t>
        </is>
      </c>
      <c r="AL84" s="3">
        <f>IF(tblOrdenes[[#This Row],[link_checklist]]="","",HYPERLINK(p_ruta_base_checklists&amp;tblOrdenes[[#This Row],[link_checklist]],"abrir"))</f>
        <v/>
      </c>
      <c r="AM84" s="6" t="inlineStr"/>
      <c r="AN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Row],[tipo_ot]]="","",_xlfn.XLOOKUP(tblOrdenes[[#This Row],[tipo_ot]],tblTiposOT[codigo],tblTiposOT[clasificacion],"sin_clasificar"))</f>
        <v/>
      </c>
      <c r="T85" s="3">
        <f>IF(tblOrdenes[[#This Row],[centro_costo]]="","",_xlfn.XLOOKUP(tblOrdenes[[#This Row],[centro_costo]],tblCECO[codigo],tblCECO[linea],"(sin catálogo)"))</f>
        <v/>
      </c>
      <c r="U85" s="3">
        <f>IF(tblOrdenes[[#This Row],[centro_costo]]="","",_xlfn.XLOOKUP(tblOrdenes[[#This Row],[centro_costo]],tblCECO[codigo],tblCECO[area],"(sin catálogo)"))</f>
        <v/>
      </c>
      <c r="V85" s="3">
        <f>IF(tblOrdenes[[#This Row],[centro_costo]]="","",_xlfn.XLOOKUP(tblOrdenes[[#This Row],[centro_costo]],tblCECO[codigo],tblCECO[coordinador],"(sin catálogo)"))</f>
        <v/>
      </c>
      <c r="W85" s="3">
        <f>IF(tblOrdenes[[#This Row],[puesto_trabajo]]="","",_xlfn.XLOOKUP(tblOrdenes[[#This Row],[puesto_trabajo]],tblPuestos[codigo],tblPuestos[especialidad],"(sin catálogo)"))</f>
        <v/>
      </c>
      <c r="X85" s="3">
        <f>IF(tblOrdenes[[#This Row],[cod_actividad]]="","",_xlfn.XLOOKUP(tblOrdenes[[#This Row],[cod_actividad]],tblActividades[codigo],tblActividades[descripcion],"(sin catálogo)"))</f>
        <v/>
      </c>
      <c r="Y85" s="12">
        <f>IF(tblOrdenes[[#This Row],[fecha_inicio]]="","",TODAY()-tblOrdenes[[#This Row],[fecha_inicio]])</f>
        <v/>
      </c>
      <c r="Z85" s="3">
        <f>IF(tblOrdenes[[#This Row],[backlog_dias]]="","",IF(tblOrdenes[[#This Row],[backlog_dias]]&lt;0,"FUTURO",IF(tblOrdenes[[#This Row],[backlog_dias]]&gt;p_dias_backlog_max,"BACKLOG","MES CORRIENTE")))</f>
        <v/>
      </c>
      <c r="AA85" s="3">
        <f>IF(tblOrdenes[[#This Row],[backlog_dias]]="",FALSE,AND(tblOrdenes[[#This Row],[backlog_dias]]&gt;p_dias_backlog_min,tblOrdenes[[#This Row],[backlog_dias]]&lt;=p_dias_backlog_max))</f>
        <v/>
      </c>
      <c r="AB85" s="6" t="inlineStr">
        <is>
          <t>Técnico 05</t>
        </is>
      </c>
      <c r="AC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" s="10">
        <f>IF(tblOrdenes[[#This Row],[orden]]="","",_xlfn.XLOOKUP(tblOrdenes[[#This Row],[id_operacion]],tblEjecucion[id_operacion],tblEjecucion[precio],0))</f>
        <v/>
      </c>
      <c r="AG85" s="10">
        <f>IF(tblOrdenes[[#This Row],[orden]]="","",MAX(0,_xlfn.XLOOKUP(tblOrdenes[[#This Row],[id_operacion]],tblEjecucion[id_operacion],tblEjecucion[costo_plan_total],0)-tblOrdenes[[#This Row],[costo_servicio]]))</f>
        <v/>
      </c>
      <c r="AH85" s="10">
        <f>IF(tblOrdenes[[#This Row],[orden]]="","",tblOrdenes[[#This Row],[costo_servicio]]+tblOrdenes[[#This Row],[costo_materiales]])</f>
        <v/>
      </c>
      <c r="AI85" s="6" t="inlineStr"/>
      <c r="AJ85" s="6" t="inlineStr"/>
      <c r="AK85" s="6" t="inlineStr">
        <is>
          <t>ACT-02.pdf</t>
        </is>
      </c>
      <c r="AL85" s="3">
        <f>IF(tblOrdenes[[#This Row],[link_checklist]]="","",HYPERLINK(p_ruta_base_checklists&amp;tblOrdenes[[#This Row],[link_checklist]],"abrir"))</f>
        <v/>
      </c>
      <c r="AM85" s="6" t="inlineStr"/>
      <c r="AN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Row],[tipo_ot]]="","",_xlfn.XLOOKUP(tblOrdenes[[#This Row],[tipo_ot]],tblTiposOT[codigo],tblTiposOT[clasificacion],"sin_clasificar"))</f>
        <v/>
      </c>
      <c r="T86" s="3">
        <f>IF(tblOrdenes[[#This Row],[centro_costo]]="","",_xlfn.XLOOKUP(tblOrdenes[[#This Row],[centro_costo]],tblCECO[codigo],tblCECO[linea],"(sin catálogo)"))</f>
        <v/>
      </c>
      <c r="U86" s="3">
        <f>IF(tblOrdenes[[#This Row],[centro_costo]]="","",_xlfn.XLOOKUP(tblOrdenes[[#This Row],[centro_costo]],tblCECO[codigo],tblCECO[area],"(sin catálogo)"))</f>
        <v/>
      </c>
      <c r="V86" s="3">
        <f>IF(tblOrdenes[[#This Row],[centro_costo]]="","",_xlfn.XLOOKUP(tblOrdenes[[#This Row],[centro_costo]],tblCECO[codigo],tblCECO[coordinador],"(sin catálogo)"))</f>
        <v/>
      </c>
      <c r="W86" s="3">
        <f>IF(tblOrdenes[[#This Row],[puesto_trabajo]]="","",_xlfn.XLOOKUP(tblOrdenes[[#This Row],[puesto_trabajo]],tblPuestos[codigo],tblPuestos[especialidad],"(sin catálogo)"))</f>
        <v/>
      </c>
      <c r="X86" s="3">
        <f>IF(tblOrdenes[[#This Row],[cod_actividad]]="","",_xlfn.XLOOKUP(tblOrdenes[[#This Row],[cod_actividad]],tblActividades[codigo],tblActividades[descripcion],"(sin catálogo)"))</f>
        <v/>
      </c>
      <c r="Y86" s="12">
        <f>IF(tblOrdenes[[#This Row],[fecha_inicio]]="","",TODAY()-tblOrdenes[[#This Row],[fecha_inicio]])</f>
        <v/>
      </c>
      <c r="Z86" s="3">
        <f>IF(tblOrdenes[[#This Row],[backlog_dias]]="","",IF(tblOrdenes[[#This Row],[backlog_dias]]&lt;0,"FUTURO",IF(tblOrdenes[[#This Row],[backlog_dias]]&gt;p_dias_backlog_max,"BACKLOG","MES CORRIENTE")))</f>
        <v/>
      </c>
      <c r="AA86" s="3">
        <f>IF(tblOrdenes[[#This Row],[backlog_dias]]="",FALSE,AND(tblOrdenes[[#This Row],[backlog_dias]]&gt;p_dias_backlog_min,tblOrdenes[[#This Row],[backlog_dias]]&lt;=p_dias_backlog_max))</f>
        <v/>
      </c>
      <c r="AB86" s="6" t="inlineStr">
        <is>
          <t>Técnico 06</t>
        </is>
      </c>
      <c r="AC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" s="10">
        <f>IF(tblOrdenes[[#This Row],[orden]]="","",_xlfn.XLOOKUP(tblOrdenes[[#This Row],[id_operacion]],tblEjecucion[id_operacion],tblEjecucion[precio],0))</f>
        <v/>
      </c>
      <c r="AG86" s="10">
        <f>IF(tblOrdenes[[#This Row],[orden]]="","",MAX(0,_xlfn.XLOOKUP(tblOrdenes[[#This Row],[id_operacion]],tblEjecucion[id_operacion],tblEjecucion[costo_plan_total],0)-tblOrdenes[[#This Row],[costo_servicio]]))</f>
        <v/>
      </c>
      <c r="AH86" s="10">
        <f>IF(tblOrdenes[[#This Row],[orden]]="","",tblOrdenes[[#This Row],[costo_servicio]]+tblOrdenes[[#This Row],[costo_materiales]])</f>
        <v/>
      </c>
      <c r="AI86" s="6" t="inlineStr"/>
      <c r="AJ86" s="6" t="inlineStr"/>
      <c r="AK86" s="6" t="inlineStr">
        <is>
          <t>ACT-04.pdf</t>
        </is>
      </c>
      <c r="AL86" s="3">
        <f>IF(tblOrdenes[[#This Row],[link_checklist]]="","",HYPERLINK(p_ruta_base_checklists&amp;tblOrdenes[[#This Row],[link_checklist]],"abrir"))</f>
        <v/>
      </c>
      <c r="AM86" s="6" t="inlineStr"/>
      <c r="AN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Row],[tipo_ot]]="","",_xlfn.XLOOKUP(tblOrdenes[[#This Row],[tipo_ot]],tblTiposOT[codigo],tblTiposOT[clasificacion],"sin_clasificar"))</f>
        <v/>
      </c>
      <c r="T87" s="3">
        <f>IF(tblOrdenes[[#This Row],[centro_costo]]="","",_xlfn.XLOOKUP(tblOrdenes[[#This Row],[centro_costo]],tblCECO[codigo],tblCECO[linea],"(sin catálogo)"))</f>
        <v/>
      </c>
      <c r="U87" s="3">
        <f>IF(tblOrdenes[[#This Row],[centro_costo]]="","",_xlfn.XLOOKUP(tblOrdenes[[#This Row],[centro_costo]],tblCECO[codigo],tblCECO[area],"(sin catálogo)"))</f>
        <v/>
      </c>
      <c r="V87" s="3">
        <f>IF(tblOrdenes[[#This Row],[centro_costo]]="","",_xlfn.XLOOKUP(tblOrdenes[[#This Row],[centro_costo]],tblCECO[codigo],tblCECO[coordinador],"(sin catálogo)"))</f>
        <v/>
      </c>
      <c r="W87" s="3">
        <f>IF(tblOrdenes[[#This Row],[puesto_trabajo]]="","",_xlfn.XLOOKUP(tblOrdenes[[#This Row],[puesto_trabajo]],tblPuestos[codigo],tblPuestos[especialidad],"(sin catálogo)"))</f>
        <v/>
      </c>
      <c r="X87" s="3">
        <f>IF(tblOrdenes[[#This Row],[cod_actividad]]="","",_xlfn.XLOOKUP(tblOrdenes[[#This Row],[cod_actividad]],tblActividades[codigo],tblActividades[descripcion],"(sin catálogo)"))</f>
        <v/>
      </c>
      <c r="Y87" s="12">
        <f>IF(tblOrdenes[[#This Row],[fecha_inicio]]="","",TODAY()-tblOrdenes[[#This Row],[fecha_inicio]])</f>
        <v/>
      </c>
      <c r="Z87" s="3">
        <f>IF(tblOrdenes[[#This Row],[backlog_dias]]="","",IF(tblOrdenes[[#This Row],[backlog_dias]]&lt;0,"FUTURO",IF(tblOrdenes[[#This Row],[backlog_dias]]&gt;p_dias_backlog_max,"BACKLOG","MES CORRIENTE")))</f>
        <v/>
      </c>
      <c r="AA87" s="3">
        <f>IF(tblOrdenes[[#This Row],[backlog_dias]]="",FALSE,AND(tblOrdenes[[#This Row],[backlog_dias]]&gt;p_dias_backlog_min,tblOrdenes[[#This Row],[backlog_dias]]&lt;=p_dias_backlog_max))</f>
        <v/>
      </c>
      <c r="AB87" s="6" t="inlineStr"/>
      <c r="AC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" s="10">
        <f>IF(tblOrdenes[[#This Row],[orden]]="","",_xlfn.XLOOKUP(tblOrdenes[[#This Row],[id_operacion]],tblEjecucion[id_operacion],tblEjecucion[precio],0))</f>
        <v/>
      </c>
      <c r="AG87" s="10">
        <f>IF(tblOrdenes[[#This Row],[orden]]="","",MAX(0,_xlfn.XLOOKUP(tblOrdenes[[#This Row],[id_operacion]],tblEjecucion[id_operacion],tblEjecucion[costo_plan_total],0)-tblOrdenes[[#This Row],[costo_servicio]]))</f>
        <v/>
      </c>
      <c r="AH87" s="10">
        <f>IF(tblOrdenes[[#This Row],[orden]]="","",tblOrdenes[[#This Row],[costo_servicio]]+tblOrdenes[[#This Row],[costo_materiales]])</f>
        <v/>
      </c>
      <c r="AI87" s="6" t="inlineStr">
        <is>
          <t>PT-CALIENTE</t>
        </is>
      </c>
      <c r="AJ87" s="6" t="inlineStr">
        <is>
          <t>LOTO</t>
        </is>
      </c>
      <c r="AK87" s="6" t="inlineStr"/>
      <c r="AL87" s="3">
        <f>IF(tblOrdenes[[#This Row],[link_checklist]]="","",HYPERLINK(p_ruta_base_checklists&amp;tblOrdenes[[#This Row],[link_checklist]],"abrir"))</f>
        <v/>
      </c>
      <c r="AM87" s="6" t="inlineStr"/>
      <c r="AN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Row],[tipo_ot]]="","",_xlfn.XLOOKUP(tblOrdenes[[#This Row],[tipo_ot]],tblTiposOT[codigo],tblTiposOT[clasificacion],"sin_clasificar"))</f>
        <v/>
      </c>
      <c r="T88" s="3">
        <f>IF(tblOrdenes[[#This Row],[centro_costo]]="","",_xlfn.XLOOKUP(tblOrdenes[[#This Row],[centro_costo]],tblCECO[codigo],tblCECO[linea],"(sin catálogo)"))</f>
        <v/>
      </c>
      <c r="U88" s="3">
        <f>IF(tblOrdenes[[#This Row],[centro_costo]]="","",_xlfn.XLOOKUP(tblOrdenes[[#This Row],[centro_costo]],tblCECO[codigo],tblCECO[area],"(sin catálogo)"))</f>
        <v/>
      </c>
      <c r="V88" s="3">
        <f>IF(tblOrdenes[[#This Row],[centro_costo]]="","",_xlfn.XLOOKUP(tblOrdenes[[#This Row],[centro_costo]],tblCECO[codigo],tblCECO[coordinador],"(sin catálogo)"))</f>
        <v/>
      </c>
      <c r="W88" s="3">
        <f>IF(tblOrdenes[[#This Row],[puesto_trabajo]]="","",_xlfn.XLOOKUP(tblOrdenes[[#This Row],[puesto_trabajo]],tblPuestos[codigo],tblPuestos[especialidad],"(sin catálogo)"))</f>
        <v/>
      </c>
      <c r="X88" s="3">
        <f>IF(tblOrdenes[[#This Row],[cod_actividad]]="","",_xlfn.XLOOKUP(tblOrdenes[[#This Row],[cod_actividad]],tblActividades[codigo],tblActividades[descripcion],"(sin catálogo)"))</f>
        <v/>
      </c>
      <c r="Y88" s="12">
        <f>IF(tblOrdenes[[#This Row],[fecha_inicio]]="","",TODAY()-tblOrdenes[[#This Row],[fecha_inicio]])</f>
        <v/>
      </c>
      <c r="Z88" s="3">
        <f>IF(tblOrdenes[[#This Row],[backlog_dias]]="","",IF(tblOrdenes[[#This Row],[backlog_dias]]&lt;0,"FUTURO",IF(tblOrdenes[[#This Row],[backlog_dias]]&gt;p_dias_backlog_max,"BACKLOG","MES CORRIENTE")))</f>
        <v/>
      </c>
      <c r="AA88" s="3">
        <f>IF(tblOrdenes[[#This Row],[backlog_dias]]="",FALSE,AND(tblOrdenes[[#This Row],[backlog_dias]]&gt;p_dias_backlog_min,tblOrdenes[[#This Row],[backlog_dias]]&lt;=p_dias_backlog_max))</f>
        <v/>
      </c>
      <c r="AB88" s="6" t="inlineStr">
        <is>
          <t>Técnico 08</t>
        </is>
      </c>
      <c r="AC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" s="10">
        <f>IF(tblOrdenes[[#This Row],[orden]]="","",_xlfn.XLOOKUP(tblOrdenes[[#This Row],[id_operacion]],tblEjecucion[id_operacion],tblEjecucion[precio],0))</f>
        <v/>
      </c>
      <c r="AG88" s="10">
        <f>IF(tblOrdenes[[#This Row],[orden]]="","",MAX(0,_xlfn.XLOOKUP(tblOrdenes[[#This Row],[id_operacion]],tblEjecucion[id_operacion],tblEjecucion[costo_plan_total],0)-tblOrdenes[[#This Row],[costo_servicio]]))</f>
        <v/>
      </c>
      <c r="AH88" s="10">
        <f>IF(tblOrdenes[[#This Row],[orden]]="","",tblOrdenes[[#This Row],[costo_servicio]]+tblOrdenes[[#This Row],[costo_materiales]])</f>
        <v/>
      </c>
      <c r="AI88" s="6" t="inlineStr"/>
      <c r="AJ88" s="6" t="inlineStr"/>
      <c r="AK88" s="6" t="inlineStr">
        <is>
          <t>ACT-02.pdf</t>
        </is>
      </c>
      <c r="AL88" s="3">
        <f>IF(tblOrdenes[[#This Row],[link_checklist]]="","",HYPERLINK(p_ruta_base_checklists&amp;tblOrdenes[[#This Row],[link_checklist]],"abrir"))</f>
        <v/>
      </c>
      <c r="AM88" s="6" t="inlineStr"/>
      <c r="AN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Row],[tipo_ot]]="","",_xlfn.XLOOKUP(tblOrdenes[[#This Row],[tipo_ot]],tblTiposOT[codigo],tblTiposOT[clasificacion],"sin_clasificar"))</f>
        <v/>
      </c>
      <c r="T89" s="3">
        <f>IF(tblOrdenes[[#This Row],[centro_costo]]="","",_xlfn.XLOOKUP(tblOrdenes[[#This Row],[centro_costo]],tblCECO[codigo],tblCECO[linea],"(sin catálogo)"))</f>
        <v/>
      </c>
      <c r="U89" s="3">
        <f>IF(tblOrdenes[[#This Row],[centro_costo]]="","",_xlfn.XLOOKUP(tblOrdenes[[#This Row],[centro_costo]],tblCECO[codigo],tblCECO[area],"(sin catálogo)"))</f>
        <v/>
      </c>
      <c r="V89" s="3">
        <f>IF(tblOrdenes[[#This Row],[centro_costo]]="","",_xlfn.XLOOKUP(tblOrdenes[[#This Row],[centro_costo]],tblCECO[codigo],tblCECO[coordinador],"(sin catálogo)"))</f>
        <v/>
      </c>
      <c r="W89" s="3">
        <f>IF(tblOrdenes[[#This Row],[puesto_trabajo]]="","",_xlfn.XLOOKUP(tblOrdenes[[#This Row],[puesto_trabajo]],tblPuestos[codigo],tblPuestos[especialidad],"(sin catálogo)"))</f>
        <v/>
      </c>
      <c r="X89" s="3">
        <f>IF(tblOrdenes[[#This Row],[cod_actividad]]="","",_xlfn.XLOOKUP(tblOrdenes[[#This Row],[cod_actividad]],tblActividades[codigo],tblActividades[descripcion],"(sin catálogo)"))</f>
        <v/>
      </c>
      <c r="Y89" s="12">
        <f>IF(tblOrdenes[[#This Row],[fecha_inicio]]="","",TODAY()-tblOrdenes[[#This Row],[fecha_inicio]])</f>
        <v/>
      </c>
      <c r="Z89" s="3">
        <f>IF(tblOrdenes[[#This Row],[backlog_dias]]="","",IF(tblOrdenes[[#This Row],[backlog_dias]]&lt;0,"FUTURO",IF(tblOrdenes[[#This Row],[backlog_dias]]&gt;p_dias_backlog_max,"BACKLOG","MES CORRIENTE")))</f>
        <v/>
      </c>
      <c r="AA89" s="3">
        <f>IF(tblOrdenes[[#This Row],[backlog_dias]]="",FALSE,AND(tblOrdenes[[#This Row],[backlog_dias]]&gt;p_dias_backlog_min,tblOrdenes[[#This Row],[backlog_dias]]&lt;=p_dias_backlog_max))</f>
        <v/>
      </c>
      <c r="AB89" s="6" t="inlineStr">
        <is>
          <t>Técnico 09</t>
        </is>
      </c>
      <c r="AC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" s="10">
        <f>IF(tblOrdenes[[#This Row],[orden]]="","",_xlfn.XLOOKUP(tblOrdenes[[#This Row],[id_operacion]],tblEjecucion[id_operacion],tblEjecucion[precio],0))</f>
        <v/>
      </c>
      <c r="AG89" s="10">
        <f>IF(tblOrdenes[[#This Row],[orden]]="","",MAX(0,_xlfn.XLOOKUP(tblOrdenes[[#This Row],[id_operacion]],tblEjecucion[id_operacion],tblEjecucion[costo_plan_total],0)-tblOrdenes[[#This Row],[costo_servicio]]))</f>
        <v/>
      </c>
      <c r="AH89" s="10">
        <f>IF(tblOrdenes[[#This Row],[orden]]="","",tblOrdenes[[#This Row],[costo_servicio]]+tblOrdenes[[#This Row],[costo_materiales]])</f>
        <v/>
      </c>
      <c r="AI89" s="6" t="inlineStr"/>
      <c r="AJ89" s="6" t="inlineStr"/>
      <c r="AK89" s="6" t="inlineStr">
        <is>
          <t>ACT-04.pdf</t>
        </is>
      </c>
      <c r="AL89" s="3">
        <f>IF(tblOrdenes[[#This Row],[link_checklist]]="","",HYPERLINK(p_ruta_base_checklists&amp;tblOrdenes[[#This Row],[link_checklist]],"abrir"))</f>
        <v/>
      </c>
      <c r="AM89" s="6" t="inlineStr"/>
      <c r="AN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Row],[tipo_ot]]="","",_xlfn.XLOOKUP(tblOrdenes[[#This Row],[tipo_ot]],tblTiposOT[codigo],tblTiposOT[clasificacion],"sin_clasificar"))</f>
        <v/>
      </c>
      <c r="T90" s="3">
        <f>IF(tblOrdenes[[#This Row],[centro_costo]]="","",_xlfn.XLOOKUP(tblOrdenes[[#This Row],[centro_costo]],tblCECO[codigo],tblCECO[linea],"(sin catálogo)"))</f>
        <v/>
      </c>
      <c r="U90" s="3">
        <f>IF(tblOrdenes[[#This Row],[centro_costo]]="","",_xlfn.XLOOKUP(tblOrdenes[[#This Row],[centro_costo]],tblCECO[codigo],tblCECO[area],"(sin catálogo)"))</f>
        <v/>
      </c>
      <c r="V90" s="3">
        <f>IF(tblOrdenes[[#This Row],[centro_costo]]="","",_xlfn.XLOOKUP(tblOrdenes[[#This Row],[centro_costo]],tblCECO[codigo],tblCECO[coordinador],"(sin catálogo)"))</f>
        <v/>
      </c>
      <c r="W90" s="3">
        <f>IF(tblOrdenes[[#This Row],[puesto_trabajo]]="","",_xlfn.XLOOKUP(tblOrdenes[[#This Row],[puesto_trabajo]],tblPuestos[codigo],tblPuestos[especialidad],"(sin catálogo)"))</f>
        <v/>
      </c>
      <c r="X90" s="3">
        <f>IF(tblOrdenes[[#This Row],[cod_actividad]]="","",_xlfn.XLOOKUP(tblOrdenes[[#This Row],[cod_actividad]],tblActividades[codigo],tblActividades[descripcion],"(sin catálogo)"))</f>
        <v/>
      </c>
      <c r="Y90" s="12">
        <f>IF(tblOrdenes[[#This Row],[fecha_inicio]]="","",TODAY()-tblOrdenes[[#This Row],[fecha_inicio]])</f>
        <v/>
      </c>
      <c r="Z90" s="3">
        <f>IF(tblOrdenes[[#This Row],[backlog_dias]]="","",IF(tblOrdenes[[#This Row],[backlog_dias]]&lt;0,"FUTURO",IF(tblOrdenes[[#This Row],[backlog_dias]]&gt;p_dias_backlog_max,"BACKLOG","MES CORRIENTE")))</f>
        <v/>
      </c>
      <c r="AA90" s="3">
        <f>IF(tblOrdenes[[#This Row],[backlog_dias]]="",FALSE,AND(tblOrdenes[[#This Row],[backlog_dias]]&gt;p_dias_backlog_min,tblOrdenes[[#This Row],[backlog_dias]]&lt;=p_dias_backlog_max))</f>
        <v/>
      </c>
      <c r="AB90" s="6" t="inlineStr">
        <is>
          <t>Técnico 08</t>
        </is>
      </c>
      <c r="AC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" s="10">
        <f>IF(tblOrdenes[[#This Row],[orden]]="","",_xlfn.XLOOKUP(tblOrdenes[[#This Row],[id_operacion]],tblEjecucion[id_operacion],tblEjecucion[precio],0))</f>
        <v/>
      </c>
      <c r="AG90" s="10">
        <f>IF(tblOrdenes[[#This Row],[orden]]="","",MAX(0,_xlfn.XLOOKUP(tblOrdenes[[#This Row],[id_operacion]],tblEjecucion[id_operacion],tblEjecucion[costo_plan_total],0)-tblOrdenes[[#This Row],[costo_servicio]]))</f>
        <v/>
      </c>
      <c r="AH90" s="10">
        <f>IF(tblOrdenes[[#This Row],[orden]]="","",tblOrdenes[[#This Row],[costo_servicio]]+tblOrdenes[[#This Row],[costo_materiales]])</f>
        <v/>
      </c>
      <c r="AI90" s="6" t="inlineStr"/>
      <c r="AJ90" s="6" t="inlineStr"/>
      <c r="AK90" s="6" t="inlineStr">
        <is>
          <t>ACT-01.pdf</t>
        </is>
      </c>
      <c r="AL90" s="3">
        <f>IF(tblOrdenes[[#This Row],[link_checklist]]="","",HYPERLINK(p_ruta_base_checklists&amp;tblOrdenes[[#This Row],[link_checklist]],"abrir"))</f>
        <v/>
      </c>
      <c r="AM90" s="6" t="inlineStr"/>
      <c r="AN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Row],[tipo_ot]]="","",_xlfn.XLOOKUP(tblOrdenes[[#This Row],[tipo_ot]],tblTiposOT[codigo],tblTiposOT[clasificacion],"sin_clasificar"))</f>
        <v/>
      </c>
      <c r="T91" s="3">
        <f>IF(tblOrdenes[[#This Row],[centro_costo]]="","",_xlfn.XLOOKUP(tblOrdenes[[#This Row],[centro_costo]],tblCECO[codigo],tblCECO[linea],"(sin catálogo)"))</f>
        <v/>
      </c>
      <c r="U91" s="3">
        <f>IF(tblOrdenes[[#This Row],[centro_costo]]="","",_xlfn.XLOOKUP(tblOrdenes[[#This Row],[centro_costo]],tblCECO[codigo],tblCECO[area],"(sin catálogo)"))</f>
        <v/>
      </c>
      <c r="V91" s="3">
        <f>IF(tblOrdenes[[#This Row],[centro_costo]]="","",_xlfn.XLOOKUP(tblOrdenes[[#This Row],[centro_costo]],tblCECO[codigo],tblCECO[coordinador],"(sin catálogo)"))</f>
        <v/>
      </c>
      <c r="W91" s="3">
        <f>IF(tblOrdenes[[#This Row],[puesto_trabajo]]="","",_xlfn.XLOOKUP(tblOrdenes[[#This Row],[puesto_trabajo]],tblPuestos[codigo],tblPuestos[especialidad],"(sin catálogo)"))</f>
        <v/>
      </c>
      <c r="X91" s="3">
        <f>IF(tblOrdenes[[#This Row],[cod_actividad]]="","",_xlfn.XLOOKUP(tblOrdenes[[#This Row],[cod_actividad]],tblActividades[codigo],tblActividades[descripcion],"(sin catálogo)"))</f>
        <v/>
      </c>
      <c r="Y91" s="12">
        <f>IF(tblOrdenes[[#This Row],[fecha_inicio]]="","",TODAY()-tblOrdenes[[#This Row],[fecha_inicio]])</f>
        <v/>
      </c>
      <c r="Z91" s="3">
        <f>IF(tblOrdenes[[#This Row],[backlog_dias]]="","",IF(tblOrdenes[[#This Row],[backlog_dias]]&lt;0,"FUTURO",IF(tblOrdenes[[#This Row],[backlog_dias]]&gt;p_dias_backlog_max,"BACKLOG","MES CORRIENTE")))</f>
        <v/>
      </c>
      <c r="AA91" s="3">
        <f>IF(tblOrdenes[[#This Row],[backlog_dias]]="",FALSE,AND(tblOrdenes[[#This Row],[backlog_dias]]&gt;p_dias_backlog_min,tblOrdenes[[#This Row],[backlog_dias]]&lt;=p_dias_backlog_max))</f>
        <v/>
      </c>
      <c r="AB91" s="6" t="inlineStr">
        <is>
          <t>Técnico 09</t>
        </is>
      </c>
      <c r="AC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" s="10">
        <f>IF(tblOrdenes[[#This Row],[orden]]="","",_xlfn.XLOOKUP(tblOrdenes[[#This Row],[id_operacion]],tblEjecucion[id_operacion],tblEjecucion[precio],0))</f>
        <v/>
      </c>
      <c r="AG91" s="10">
        <f>IF(tblOrdenes[[#This Row],[orden]]="","",MAX(0,_xlfn.XLOOKUP(tblOrdenes[[#This Row],[id_operacion]],tblEjecucion[id_operacion],tblEjecucion[costo_plan_total],0)-tblOrdenes[[#This Row],[costo_servicio]]))</f>
        <v/>
      </c>
      <c r="AH91" s="10">
        <f>IF(tblOrdenes[[#This Row],[orden]]="","",tblOrdenes[[#This Row],[costo_servicio]]+tblOrdenes[[#This Row],[costo_materiales]])</f>
        <v/>
      </c>
      <c r="AI91" s="6" t="inlineStr"/>
      <c r="AJ91" s="6" t="inlineStr"/>
      <c r="AK91" s="6" t="inlineStr">
        <is>
          <t>ACT-02.pdf</t>
        </is>
      </c>
      <c r="AL91" s="3">
        <f>IF(tblOrdenes[[#This Row],[link_checklist]]="","",HYPERLINK(p_ruta_base_checklists&amp;tblOrdenes[[#This Row],[link_checklist]],"abrir"))</f>
        <v/>
      </c>
      <c r="AM91" s="6" t="inlineStr"/>
      <c r="AN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Row],[tipo_ot]]="","",_xlfn.XLOOKUP(tblOrdenes[[#This Row],[tipo_ot]],tblTiposOT[codigo],tblTiposOT[clasificacion],"sin_clasificar"))</f>
        <v/>
      </c>
      <c r="T92" s="3">
        <f>IF(tblOrdenes[[#This Row],[centro_costo]]="","",_xlfn.XLOOKUP(tblOrdenes[[#This Row],[centro_costo]],tblCECO[codigo],tblCECO[linea],"(sin catálogo)"))</f>
        <v/>
      </c>
      <c r="U92" s="3">
        <f>IF(tblOrdenes[[#This Row],[centro_costo]]="","",_xlfn.XLOOKUP(tblOrdenes[[#This Row],[centro_costo]],tblCECO[codigo],tblCECO[area],"(sin catálogo)"))</f>
        <v/>
      </c>
      <c r="V92" s="3">
        <f>IF(tblOrdenes[[#This Row],[centro_costo]]="","",_xlfn.XLOOKUP(tblOrdenes[[#This Row],[centro_costo]],tblCECO[codigo],tblCECO[coordinador],"(sin catálogo)"))</f>
        <v/>
      </c>
      <c r="W92" s="3">
        <f>IF(tblOrdenes[[#This Row],[puesto_trabajo]]="","",_xlfn.XLOOKUP(tblOrdenes[[#This Row],[puesto_trabajo]],tblPuestos[codigo],tblPuestos[especialidad],"(sin catálogo)"))</f>
        <v/>
      </c>
      <c r="X92" s="3">
        <f>IF(tblOrdenes[[#This Row],[cod_actividad]]="","",_xlfn.XLOOKUP(tblOrdenes[[#This Row],[cod_actividad]],tblActividades[codigo],tblActividades[descripcion],"(sin catálogo)"))</f>
        <v/>
      </c>
      <c r="Y92" s="12">
        <f>IF(tblOrdenes[[#This Row],[fecha_inicio]]="","",TODAY()-tblOrdenes[[#This Row],[fecha_inicio]])</f>
        <v/>
      </c>
      <c r="Z92" s="3">
        <f>IF(tblOrdenes[[#This Row],[backlog_dias]]="","",IF(tblOrdenes[[#This Row],[backlog_dias]]&lt;0,"FUTURO",IF(tblOrdenes[[#This Row],[backlog_dias]]&gt;p_dias_backlog_max,"BACKLOG","MES CORRIENTE")))</f>
        <v/>
      </c>
      <c r="AA92" s="3">
        <f>IF(tblOrdenes[[#This Row],[backlog_dias]]="",FALSE,AND(tblOrdenes[[#This Row],[backlog_dias]]&gt;p_dias_backlog_min,tblOrdenes[[#This Row],[backlog_dias]]&lt;=p_dias_backlog_max))</f>
        <v/>
      </c>
      <c r="AB92" s="6" t="inlineStr">
        <is>
          <t>Técnico 08</t>
        </is>
      </c>
      <c r="AC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" s="10">
        <f>IF(tblOrdenes[[#This Row],[orden]]="","",_xlfn.XLOOKUP(tblOrdenes[[#This Row],[id_operacion]],tblEjecucion[id_operacion],tblEjecucion[precio],0))</f>
        <v/>
      </c>
      <c r="AG92" s="10">
        <f>IF(tblOrdenes[[#This Row],[orden]]="","",MAX(0,_xlfn.XLOOKUP(tblOrdenes[[#This Row],[id_operacion]],tblEjecucion[id_operacion],tblEjecucion[costo_plan_total],0)-tblOrdenes[[#This Row],[costo_servicio]]))</f>
        <v/>
      </c>
      <c r="AH92" s="10">
        <f>IF(tblOrdenes[[#This Row],[orden]]="","",tblOrdenes[[#This Row],[costo_servicio]]+tblOrdenes[[#This Row],[costo_materiales]])</f>
        <v/>
      </c>
      <c r="AI92" s="6" t="inlineStr"/>
      <c r="AJ92" s="6" t="inlineStr"/>
      <c r="AK92" s="6" t="inlineStr">
        <is>
          <t>ACT-04.pdf</t>
        </is>
      </c>
      <c r="AL92" s="3">
        <f>IF(tblOrdenes[[#This Row],[link_checklist]]="","",HYPERLINK(p_ruta_base_checklists&amp;tblOrdenes[[#This Row],[link_checklist]],"abrir"))</f>
        <v/>
      </c>
      <c r="AM92" s="6" t="inlineStr"/>
      <c r="AN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Row],[tipo_ot]]="","",_xlfn.XLOOKUP(tblOrdenes[[#This Row],[tipo_ot]],tblTiposOT[codigo],tblTiposOT[clasificacion],"sin_clasificar"))</f>
        <v/>
      </c>
      <c r="T93" s="3">
        <f>IF(tblOrdenes[[#This Row],[centro_costo]]="","",_xlfn.XLOOKUP(tblOrdenes[[#This Row],[centro_costo]],tblCECO[codigo],tblCECO[linea],"(sin catálogo)"))</f>
        <v/>
      </c>
      <c r="U93" s="3">
        <f>IF(tblOrdenes[[#This Row],[centro_costo]]="","",_xlfn.XLOOKUP(tblOrdenes[[#This Row],[centro_costo]],tblCECO[codigo],tblCECO[area],"(sin catálogo)"))</f>
        <v/>
      </c>
      <c r="V93" s="3">
        <f>IF(tblOrdenes[[#This Row],[centro_costo]]="","",_xlfn.XLOOKUP(tblOrdenes[[#This Row],[centro_costo]],tblCECO[codigo],tblCECO[coordinador],"(sin catálogo)"))</f>
        <v/>
      </c>
      <c r="W93" s="3">
        <f>IF(tblOrdenes[[#This Row],[puesto_trabajo]]="","",_xlfn.XLOOKUP(tblOrdenes[[#This Row],[puesto_trabajo]],tblPuestos[codigo],tblPuestos[especialidad],"(sin catálogo)"))</f>
        <v/>
      </c>
      <c r="X93" s="3">
        <f>IF(tblOrdenes[[#This Row],[cod_actividad]]="","",_xlfn.XLOOKUP(tblOrdenes[[#This Row],[cod_actividad]],tblActividades[codigo],tblActividades[descripcion],"(sin catálogo)"))</f>
        <v/>
      </c>
      <c r="Y93" s="12">
        <f>IF(tblOrdenes[[#This Row],[fecha_inicio]]="","",TODAY()-tblOrdenes[[#This Row],[fecha_inicio]])</f>
        <v/>
      </c>
      <c r="Z93" s="3">
        <f>IF(tblOrdenes[[#This Row],[backlog_dias]]="","",IF(tblOrdenes[[#This Row],[backlog_dias]]&lt;0,"FUTURO",IF(tblOrdenes[[#This Row],[backlog_dias]]&gt;p_dias_backlog_max,"BACKLOG","MES CORRIENTE")))</f>
        <v/>
      </c>
      <c r="AA93" s="3">
        <f>IF(tblOrdenes[[#This Row],[backlog_dias]]="",FALSE,AND(tblOrdenes[[#This Row],[backlog_dias]]&gt;p_dias_backlog_min,tblOrdenes[[#This Row],[backlog_dias]]&lt;=p_dias_backlog_max))</f>
        <v/>
      </c>
      <c r="AB93" s="6" t="inlineStr">
        <is>
          <t>Técnico 09</t>
        </is>
      </c>
      <c r="AC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" s="10">
        <f>IF(tblOrdenes[[#This Row],[orden]]="","",_xlfn.XLOOKUP(tblOrdenes[[#This Row],[id_operacion]],tblEjecucion[id_operacion],tblEjecucion[precio],0))</f>
        <v/>
      </c>
      <c r="AG93" s="10">
        <f>IF(tblOrdenes[[#This Row],[orden]]="","",MAX(0,_xlfn.XLOOKUP(tblOrdenes[[#This Row],[id_operacion]],tblEjecucion[id_operacion],tblEjecucion[costo_plan_total],0)-tblOrdenes[[#This Row],[costo_servicio]]))</f>
        <v/>
      </c>
      <c r="AH93" s="10">
        <f>IF(tblOrdenes[[#This Row],[orden]]="","",tblOrdenes[[#This Row],[costo_servicio]]+tblOrdenes[[#This Row],[costo_materiales]])</f>
        <v/>
      </c>
      <c r="AI93" s="6" t="inlineStr"/>
      <c r="AJ93" s="6" t="inlineStr"/>
      <c r="AK93" s="6" t="inlineStr"/>
      <c r="AL93" s="3">
        <f>IF(tblOrdenes[[#This Row],[link_checklist]]="","",HYPERLINK(p_ruta_base_checklists&amp;tblOrdenes[[#This Row],[link_checklist]],"abrir"))</f>
        <v/>
      </c>
      <c r="AM93" s="6" t="inlineStr"/>
      <c r="AN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Row],[tipo_ot]]="","",_xlfn.XLOOKUP(tblOrdenes[[#This Row],[tipo_ot]],tblTiposOT[codigo],tblTiposOT[clasificacion],"sin_clasificar"))</f>
        <v/>
      </c>
      <c r="T94" s="3">
        <f>IF(tblOrdenes[[#This Row],[centro_costo]]="","",_xlfn.XLOOKUP(tblOrdenes[[#This Row],[centro_costo]],tblCECO[codigo],tblCECO[linea],"(sin catálogo)"))</f>
        <v/>
      </c>
      <c r="U94" s="3">
        <f>IF(tblOrdenes[[#This Row],[centro_costo]]="","",_xlfn.XLOOKUP(tblOrdenes[[#This Row],[centro_costo]],tblCECO[codigo],tblCECO[area],"(sin catálogo)"))</f>
        <v/>
      </c>
      <c r="V94" s="3">
        <f>IF(tblOrdenes[[#This Row],[centro_costo]]="","",_xlfn.XLOOKUP(tblOrdenes[[#This Row],[centro_costo]],tblCECO[codigo],tblCECO[coordinador],"(sin catálogo)"))</f>
        <v/>
      </c>
      <c r="W94" s="3">
        <f>IF(tblOrdenes[[#This Row],[puesto_trabajo]]="","",_xlfn.XLOOKUP(tblOrdenes[[#This Row],[puesto_trabajo]],tblPuestos[codigo],tblPuestos[especialidad],"(sin catálogo)"))</f>
        <v/>
      </c>
      <c r="X94" s="3">
        <f>IF(tblOrdenes[[#This Row],[cod_actividad]]="","",_xlfn.XLOOKUP(tblOrdenes[[#This Row],[cod_actividad]],tblActividades[codigo],tblActividades[descripcion],"(sin catálogo)"))</f>
        <v/>
      </c>
      <c r="Y94" s="12">
        <f>IF(tblOrdenes[[#This Row],[fecha_inicio]]="","",TODAY()-tblOrdenes[[#This Row],[fecha_inicio]])</f>
        <v/>
      </c>
      <c r="Z94" s="3">
        <f>IF(tblOrdenes[[#This Row],[backlog_dias]]="","",IF(tblOrdenes[[#This Row],[backlog_dias]]&lt;0,"FUTURO",IF(tblOrdenes[[#This Row],[backlog_dias]]&gt;p_dias_backlog_max,"BACKLOG","MES CORRIENTE")))</f>
        <v/>
      </c>
      <c r="AA94" s="3">
        <f>IF(tblOrdenes[[#This Row],[backlog_dias]]="",FALSE,AND(tblOrdenes[[#This Row],[backlog_dias]]&gt;p_dias_backlog_min,tblOrdenes[[#This Row],[backlog_dias]]&lt;=p_dias_backlog_max))</f>
        <v/>
      </c>
      <c r="AB94" s="6" t="inlineStr">
        <is>
          <t>Técnico 08</t>
        </is>
      </c>
      <c r="AC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" s="10">
        <f>IF(tblOrdenes[[#This Row],[orden]]="","",_xlfn.XLOOKUP(tblOrdenes[[#This Row],[id_operacion]],tblEjecucion[id_operacion],tblEjecucion[precio],0))</f>
        <v/>
      </c>
      <c r="AG94" s="10">
        <f>IF(tblOrdenes[[#This Row],[orden]]="","",MAX(0,_xlfn.XLOOKUP(tblOrdenes[[#This Row],[id_operacion]],tblEjecucion[id_operacion],tblEjecucion[costo_plan_total],0)-tblOrdenes[[#This Row],[costo_servicio]]))</f>
        <v/>
      </c>
      <c r="AH94" s="10">
        <f>IF(tblOrdenes[[#This Row],[orden]]="","",tblOrdenes[[#This Row],[costo_servicio]]+tblOrdenes[[#This Row],[costo_materiales]])</f>
        <v/>
      </c>
      <c r="AI94" s="6" t="inlineStr"/>
      <c r="AJ94" s="6" t="inlineStr"/>
      <c r="AK94" s="6" t="inlineStr">
        <is>
          <t>ACT-02.pdf</t>
        </is>
      </c>
      <c r="AL94" s="3">
        <f>IF(tblOrdenes[[#This Row],[link_checklist]]="","",HYPERLINK(p_ruta_base_checklists&amp;tblOrdenes[[#This Row],[link_checklist]],"abrir"))</f>
        <v/>
      </c>
      <c r="AM94" s="6" t="inlineStr"/>
      <c r="AN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Row],[tipo_ot]]="","",_xlfn.XLOOKUP(tblOrdenes[[#This Row],[tipo_ot]],tblTiposOT[codigo],tblTiposOT[clasificacion],"sin_clasificar"))</f>
        <v/>
      </c>
      <c r="T95" s="3">
        <f>IF(tblOrdenes[[#This Row],[centro_costo]]="","",_xlfn.XLOOKUP(tblOrdenes[[#This Row],[centro_costo]],tblCECO[codigo],tblCECO[linea],"(sin catálogo)"))</f>
        <v/>
      </c>
      <c r="U95" s="3">
        <f>IF(tblOrdenes[[#This Row],[centro_costo]]="","",_xlfn.XLOOKUP(tblOrdenes[[#This Row],[centro_costo]],tblCECO[codigo],tblCECO[area],"(sin catálogo)"))</f>
        <v/>
      </c>
      <c r="V95" s="3">
        <f>IF(tblOrdenes[[#This Row],[centro_costo]]="","",_xlfn.XLOOKUP(tblOrdenes[[#This Row],[centro_costo]],tblCECO[codigo],tblCECO[coordinador],"(sin catálogo)"))</f>
        <v/>
      </c>
      <c r="W95" s="3">
        <f>IF(tblOrdenes[[#This Row],[puesto_trabajo]]="","",_xlfn.XLOOKUP(tblOrdenes[[#This Row],[puesto_trabajo]],tblPuestos[codigo],tblPuestos[especialidad],"(sin catálogo)"))</f>
        <v/>
      </c>
      <c r="X95" s="3">
        <f>IF(tblOrdenes[[#This Row],[cod_actividad]]="","",_xlfn.XLOOKUP(tblOrdenes[[#This Row],[cod_actividad]],tblActividades[codigo],tblActividades[descripcion],"(sin catálogo)"))</f>
        <v/>
      </c>
      <c r="Y95" s="12">
        <f>IF(tblOrdenes[[#This Row],[fecha_inicio]]="","",TODAY()-tblOrdenes[[#This Row],[fecha_inicio]])</f>
        <v/>
      </c>
      <c r="Z95" s="3">
        <f>IF(tblOrdenes[[#This Row],[backlog_dias]]="","",IF(tblOrdenes[[#This Row],[backlog_dias]]&lt;0,"FUTURO",IF(tblOrdenes[[#This Row],[backlog_dias]]&gt;p_dias_backlog_max,"BACKLOG","MES CORRIENTE")))</f>
        <v/>
      </c>
      <c r="AA95" s="3">
        <f>IF(tblOrdenes[[#This Row],[backlog_dias]]="",FALSE,AND(tblOrdenes[[#This Row],[backlog_dias]]&gt;p_dias_backlog_min,tblOrdenes[[#This Row],[backlog_dias]]&lt;=p_dias_backlog_max))</f>
        <v/>
      </c>
      <c r="AB95" s="6" t="inlineStr">
        <is>
          <t>Técnico 09</t>
        </is>
      </c>
      <c r="AC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" s="10">
        <f>IF(tblOrdenes[[#This Row],[orden]]="","",_xlfn.XLOOKUP(tblOrdenes[[#This Row],[id_operacion]],tblEjecucion[id_operacion],tblEjecucion[precio],0))</f>
        <v/>
      </c>
      <c r="AG95" s="10">
        <f>IF(tblOrdenes[[#This Row],[orden]]="","",MAX(0,_xlfn.XLOOKUP(tblOrdenes[[#This Row],[id_operacion]],tblEjecucion[id_operacion],tblEjecucion[costo_plan_total],0)-tblOrdenes[[#This Row],[costo_servicio]]))</f>
        <v/>
      </c>
      <c r="AH95" s="10">
        <f>IF(tblOrdenes[[#This Row],[orden]]="","",tblOrdenes[[#This Row],[costo_servicio]]+tblOrdenes[[#This Row],[costo_materiales]])</f>
        <v/>
      </c>
      <c r="AI95" s="6" t="inlineStr"/>
      <c r="AJ95" s="6" t="inlineStr"/>
      <c r="AK95" s="6" t="inlineStr">
        <is>
          <t>ACT-04.pdf</t>
        </is>
      </c>
      <c r="AL95" s="3">
        <f>IF(tblOrdenes[[#This Row],[link_checklist]]="","",HYPERLINK(p_ruta_base_checklists&amp;tblOrdenes[[#This Row],[link_checklist]],"abrir"))</f>
        <v/>
      </c>
      <c r="AM95" s="6" t="inlineStr"/>
      <c r="AN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Row],[tipo_ot]]="","",_xlfn.XLOOKUP(tblOrdenes[[#This Row],[tipo_ot]],tblTiposOT[codigo],tblTiposOT[clasificacion],"sin_clasificar"))</f>
        <v/>
      </c>
      <c r="T96" s="3">
        <f>IF(tblOrdenes[[#This Row],[centro_costo]]="","",_xlfn.XLOOKUP(tblOrdenes[[#This Row],[centro_costo]],tblCECO[codigo],tblCECO[linea],"(sin catálogo)"))</f>
        <v/>
      </c>
      <c r="U96" s="3">
        <f>IF(tblOrdenes[[#This Row],[centro_costo]]="","",_xlfn.XLOOKUP(tblOrdenes[[#This Row],[centro_costo]],tblCECO[codigo],tblCECO[area],"(sin catálogo)"))</f>
        <v/>
      </c>
      <c r="V96" s="3">
        <f>IF(tblOrdenes[[#This Row],[centro_costo]]="","",_xlfn.XLOOKUP(tblOrdenes[[#This Row],[centro_costo]],tblCECO[codigo],tblCECO[coordinador],"(sin catálogo)"))</f>
        <v/>
      </c>
      <c r="W96" s="3">
        <f>IF(tblOrdenes[[#This Row],[puesto_trabajo]]="","",_xlfn.XLOOKUP(tblOrdenes[[#This Row],[puesto_trabajo]],tblPuestos[codigo],tblPuestos[especialidad],"(sin catálogo)"))</f>
        <v/>
      </c>
      <c r="X96" s="3">
        <f>IF(tblOrdenes[[#This Row],[cod_actividad]]="","",_xlfn.XLOOKUP(tblOrdenes[[#This Row],[cod_actividad]],tblActividades[codigo],tblActividades[descripcion],"(sin catálogo)"))</f>
        <v/>
      </c>
      <c r="Y96" s="12">
        <f>IF(tblOrdenes[[#This Row],[fecha_inicio]]="","",TODAY()-tblOrdenes[[#This Row],[fecha_inicio]])</f>
        <v/>
      </c>
      <c r="Z96" s="3">
        <f>IF(tblOrdenes[[#This Row],[backlog_dias]]="","",IF(tblOrdenes[[#This Row],[backlog_dias]]&lt;0,"FUTURO",IF(tblOrdenes[[#This Row],[backlog_dias]]&gt;p_dias_backlog_max,"BACKLOG","MES CORRIENTE")))</f>
        <v/>
      </c>
      <c r="AA96" s="3">
        <f>IF(tblOrdenes[[#This Row],[backlog_dias]]="",FALSE,AND(tblOrdenes[[#This Row],[backlog_dias]]&gt;p_dias_backlog_min,tblOrdenes[[#This Row],[backlog_dias]]&lt;=p_dias_backlog_max))</f>
        <v/>
      </c>
      <c r="AB96" s="6" t="inlineStr">
        <is>
          <t>Técnico 08</t>
        </is>
      </c>
      <c r="AC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" s="10">
        <f>IF(tblOrdenes[[#This Row],[orden]]="","",_xlfn.XLOOKUP(tblOrdenes[[#This Row],[id_operacion]],tblEjecucion[id_operacion],tblEjecucion[precio],0))</f>
        <v/>
      </c>
      <c r="AG96" s="10">
        <f>IF(tblOrdenes[[#This Row],[orden]]="","",MAX(0,_xlfn.XLOOKUP(tblOrdenes[[#This Row],[id_operacion]],tblEjecucion[id_operacion],tblEjecucion[costo_plan_total],0)-tblOrdenes[[#This Row],[costo_servicio]]))</f>
        <v/>
      </c>
      <c r="AH96" s="10">
        <f>IF(tblOrdenes[[#This Row],[orden]]="","",tblOrdenes[[#This Row],[costo_servicio]]+tblOrdenes[[#This Row],[costo_materiales]])</f>
        <v/>
      </c>
      <c r="AI96" s="6" t="inlineStr"/>
      <c r="AJ96" s="6" t="inlineStr"/>
      <c r="AK96" s="6" t="inlineStr">
        <is>
          <t>ACT-01.pdf</t>
        </is>
      </c>
      <c r="AL96" s="3">
        <f>IF(tblOrdenes[[#This Row],[link_checklist]]="","",HYPERLINK(p_ruta_base_checklists&amp;tblOrdenes[[#This Row],[link_checklist]],"abrir"))</f>
        <v/>
      </c>
      <c r="AM96" s="6" t="inlineStr"/>
      <c r="AN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Row],[tipo_ot]]="","",_xlfn.XLOOKUP(tblOrdenes[[#This Row],[tipo_ot]],tblTiposOT[codigo],tblTiposOT[clasificacion],"sin_clasificar"))</f>
        <v/>
      </c>
      <c r="T97" s="3">
        <f>IF(tblOrdenes[[#This Row],[centro_costo]]="","",_xlfn.XLOOKUP(tblOrdenes[[#This Row],[centro_costo]],tblCECO[codigo],tblCECO[linea],"(sin catálogo)"))</f>
        <v/>
      </c>
      <c r="U97" s="3">
        <f>IF(tblOrdenes[[#This Row],[centro_costo]]="","",_xlfn.XLOOKUP(tblOrdenes[[#This Row],[centro_costo]],tblCECO[codigo],tblCECO[area],"(sin catálogo)"))</f>
        <v/>
      </c>
      <c r="V97" s="3">
        <f>IF(tblOrdenes[[#This Row],[centro_costo]]="","",_xlfn.XLOOKUP(tblOrdenes[[#This Row],[centro_costo]],tblCECO[codigo],tblCECO[coordinador],"(sin catálogo)"))</f>
        <v/>
      </c>
      <c r="W97" s="3">
        <f>IF(tblOrdenes[[#This Row],[puesto_trabajo]]="","",_xlfn.XLOOKUP(tblOrdenes[[#This Row],[puesto_trabajo]],tblPuestos[codigo],tblPuestos[especialidad],"(sin catálogo)"))</f>
        <v/>
      </c>
      <c r="X97" s="3">
        <f>IF(tblOrdenes[[#This Row],[cod_actividad]]="","",_xlfn.XLOOKUP(tblOrdenes[[#This Row],[cod_actividad]],tblActividades[codigo],tblActividades[descripcion],"(sin catálogo)"))</f>
        <v/>
      </c>
      <c r="Y97" s="12">
        <f>IF(tblOrdenes[[#This Row],[fecha_inicio]]="","",TODAY()-tblOrdenes[[#This Row],[fecha_inicio]])</f>
        <v/>
      </c>
      <c r="Z97" s="3">
        <f>IF(tblOrdenes[[#This Row],[backlog_dias]]="","",IF(tblOrdenes[[#This Row],[backlog_dias]]&lt;0,"FUTURO",IF(tblOrdenes[[#This Row],[backlog_dias]]&gt;p_dias_backlog_max,"BACKLOG","MES CORRIENTE")))</f>
        <v/>
      </c>
      <c r="AA97" s="3">
        <f>IF(tblOrdenes[[#This Row],[backlog_dias]]="",FALSE,AND(tblOrdenes[[#This Row],[backlog_dias]]&gt;p_dias_backlog_min,tblOrdenes[[#This Row],[backlog_dias]]&lt;=p_dias_backlog_max))</f>
        <v/>
      </c>
      <c r="AB97" s="6" t="inlineStr">
        <is>
          <t>Técnico 09</t>
        </is>
      </c>
      <c r="AC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" s="10">
        <f>IF(tblOrdenes[[#This Row],[orden]]="","",_xlfn.XLOOKUP(tblOrdenes[[#This Row],[id_operacion]],tblEjecucion[id_operacion],tblEjecucion[precio],0))</f>
        <v/>
      </c>
      <c r="AG97" s="10">
        <f>IF(tblOrdenes[[#This Row],[orden]]="","",MAX(0,_xlfn.XLOOKUP(tblOrdenes[[#This Row],[id_operacion]],tblEjecucion[id_operacion],tblEjecucion[costo_plan_total],0)-tblOrdenes[[#This Row],[costo_servicio]]))</f>
        <v/>
      </c>
      <c r="AH97" s="10">
        <f>IF(tblOrdenes[[#This Row],[orden]]="","",tblOrdenes[[#This Row],[costo_servicio]]+tblOrdenes[[#This Row],[costo_materiales]])</f>
        <v/>
      </c>
      <c r="AI97" s="6" t="inlineStr"/>
      <c r="AJ97" s="6" t="inlineStr"/>
      <c r="AK97" s="6" t="inlineStr">
        <is>
          <t>ACT-02.pdf</t>
        </is>
      </c>
      <c r="AL97" s="3">
        <f>IF(tblOrdenes[[#This Row],[link_checklist]]="","",HYPERLINK(p_ruta_base_checklists&amp;tblOrdenes[[#This Row],[link_checklist]],"abrir"))</f>
        <v/>
      </c>
      <c r="AM97" s="6" t="inlineStr"/>
      <c r="AN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Row],[tipo_ot]]="","",_xlfn.XLOOKUP(tblOrdenes[[#This Row],[tipo_ot]],tblTiposOT[codigo],tblTiposOT[clasificacion],"sin_clasificar"))</f>
        <v/>
      </c>
      <c r="T98" s="3">
        <f>IF(tblOrdenes[[#This Row],[centro_costo]]="","",_xlfn.XLOOKUP(tblOrdenes[[#This Row],[centro_costo]],tblCECO[codigo],tblCECO[linea],"(sin catálogo)"))</f>
        <v/>
      </c>
      <c r="U98" s="3">
        <f>IF(tblOrdenes[[#This Row],[centro_costo]]="","",_xlfn.XLOOKUP(tblOrdenes[[#This Row],[centro_costo]],tblCECO[codigo],tblCECO[area],"(sin catálogo)"))</f>
        <v/>
      </c>
      <c r="V98" s="3">
        <f>IF(tblOrdenes[[#This Row],[centro_costo]]="","",_xlfn.XLOOKUP(tblOrdenes[[#This Row],[centro_costo]],tblCECO[codigo],tblCECO[coordinador],"(sin catálogo)"))</f>
        <v/>
      </c>
      <c r="W98" s="3">
        <f>IF(tblOrdenes[[#This Row],[puesto_trabajo]]="","",_xlfn.XLOOKUP(tblOrdenes[[#This Row],[puesto_trabajo]],tblPuestos[codigo],tblPuestos[especialidad],"(sin catálogo)"))</f>
        <v/>
      </c>
      <c r="X98" s="3">
        <f>IF(tblOrdenes[[#This Row],[cod_actividad]]="","",_xlfn.XLOOKUP(tblOrdenes[[#This Row],[cod_actividad]],tblActividades[codigo],tblActividades[descripcion],"(sin catálogo)"))</f>
        <v/>
      </c>
      <c r="Y98" s="12">
        <f>IF(tblOrdenes[[#This Row],[fecha_inicio]]="","",TODAY()-tblOrdenes[[#This Row],[fecha_inicio]])</f>
        <v/>
      </c>
      <c r="Z98" s="3">
        <f>IF(tblOrdenes[[#This Row],[backlog_dias]]="","",IF(tblOrdenes[[#This Row],[backlog_dias]]&lt;0,"FUTURO",IF(tblOrdenes[[#This Row],[backlog_dias]]&gt;p_dias_backlog_max,"BACKLOG","MES CORRIENTE")))</f>
        <v/>
      </c>
      <c r="AA98" s="3">
        <f>IF(tblOrdenes[[#This Row],[backlog_dias]]="",FALSE,AND(tblOrdenes[[#This Row],[backlog_dias]]&gt;p_dias_backlog_min,tblOrdenes[[#This Row],[backlog_dias]]&lt;=p_dias_backlog_max))</f>
        <v/>
      </c>
      <c r="AB98" s="6" t="inlineStr">
        <is>
          <t>Técnico 08</t>
        </is>
      </c>
      <c r="AC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" s="10">
        <f>IF(tblOrdenes[[#This Row],[orden]]="","",_xlfn.XLOOKUP(tblOrdenes[[#This Row],[id_operacion]],tblEjecucion[id_operacion],tblEjecucion[precio],0))</f>
        <v/>
      </c>
      <c r="AG98" s="10">
        <f>IF(tblOrdenes[[#This Row],[orden]]="","",MAX(0,_xlfn.XLOOKUP(tblOrdenes[[#This Row],[id_operacion]],tblEjecucion[id_operacion],tblEjecucion[costo_plan_total],0)-tblOrdenes[[#This Row],[costo_servicio]]))</f>
        <v/>
      </c>
      <c r="AH98" s="10">
        <f>IF(tblOrdenes[[#This Row],[orden]]="","",tblOrdenes[[#This Row],[costo_servicio]]+tblOrdenes[[#This Row],[costo_materiales]])</f>
        <v/>
      </c>
      <c r="AI98" s="6" t="inlineStr"/>
      <c r="AJ98" s="6" t="inlineStr"/>
      <c r="AK98" s="6" t="inlineStr">
        <is>
          <t>ACT-04.pdf</t>
        </is>
      </c>
      <c r="AL98" s="3">
        <f>IF(tblOrdenes[[#This Row],[link_checklist]]="","",HYPERLINK(p_ruta_base_checklists&amp;tblOrdenes[[#This Row],[link_checklist]],"abrir"))</f>
        <v/>
      </c>
      <c r="AM98" s="6" t="inlineStr"/>
      <c r="AN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Row],[tipo_ot]]="","",_xlfn.XLOOKUP(tblOrdenes[[#This Row],[tipo_ot]],tblTiposOT[codigo],tblTiposOT[clasificacion],"sin_clasificar"))</f>
        <v/>
      </c>
      <c r="T99" s="3">
        <f>IF(tblOrdenes[[#This Row],[centro_costo]]="","",_xlfn.XLOOKUP(tblOrdenes[[#This Row],[centro_costo]],tblCECO[codigo],tblCECO[linea],"(sin catálogo)"))</f>
        <v/>
      </c>
      <c r="U99" s="3">
        <f>IF(tblOrdenes[[#This Row],[centro_costo]]="","",_xlfn.XLOOKUP(tblOrdenes[[#This Row],[centro_costo]],tblCECO[codigo],tblCECO[area],"(sin catálogo)"))</f>
        <v/>
      </c>
      <c r="V99" s="3">
        <f>IF(tblOrdenes[[#This Row],[centro_costo]]="","",_xlfn.XLOOKUP(tblOrdenes[[#This Row],[centro_costo]],tblCECO[codigo],tblCECO[coordinador],"(sin catálogo)"))</f>
        <v/>
      </c>
      <c r="W99" s="3">
        <f>IF(tblOrdenes[[#This Row],[puesto_trabajo]]="","",_xlfn.XLOOKUP(tblOrdenes[[#This Row],[puesto_trabajo]],tblPuestos[codigo],tblPuestos[especialidad],"(sin catálogo)"))</f>
        <v/>
      </c>
      <c r="X99" s="3">
        <f>IF(tblOrdenes[[#This Row],[cod_actividad]]="","",_xlfn.XLOOKUP(tblOrdenes[[#This Row],[cod_actividad]],tblActividades[codigo],tblActividades[descripcion],"(sin catálogo)"))</f>
        <v/>
      </c>
      <c r="Y99" s="12">
        <f>IF(tblOrdenes[[#This Row],[fecha_inicio]]="","",TODAY()-tblOrdenes[[#This Row],[fecha_inicio]])</f>
        <v/>
      </c>
      <c r="Z99" s="3">
        <f>IF(tblOrdenes[[#This Row],[backlog_dias]]="","",IF(tblOrdenes[[#This Row],[backlog_dias]]&lt;0,"FUTURO",IF(tblOrdenes[[#This Row],[backlog_dias]]&gt;p_dias_backlog_max,"BACKLOG","MES CORRIENTE")))</f>
        <v/>
      </c>
      <c r="AA99" s="3">
        <f>IF(tblOrdenes[[#This Row],[backlog_dias]]="",FALSE,AND(tblOrdenes[[#This Row],[backlog_dias]]&gt;p_dias_backlog_min,tblOrdenes[[#This Row],[backlog_dias]]&lt;=p_dias_backlog_max))</f>
        <v/>
      </c>
      <c r="AB99" s="6" t="inlineStr"/>
      <c r="AC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" s="10">
        <f>IF(tblOrdenes[[#This Row],[orden]]="","",_xlfn.XLOOKUP(tblOrdenes[[#This Row],[id_operacion]],tblEjecucion[id_operacion],tblEjecucion[precio],0))</f>
        <v/>
      </c>
      <c r="AG99" s="10">
        <f>IF(tblOrdenes[[#This Row],[orden]]="","",MAX(0,_xlfn.XLOOKUP(tblOrdenes[[#This Row],[id_operacion]],tblEjecucion[id_operacion],tblEjecucion[costo_plan_total],0)-tblOrdenes[[#This Row],[costo_servicio]]))</f>
        <v/>
      </c>
      <c r="AH99" s="10">
        <f>IF(tblOrdenes[[#This Row],[orden]]="","",tblOrdenes[[#This Row],[costo_servicio]]+tblOrdenes[[#This Row],[costo_materiales]])</f>
        <v/>
      </c>
      <c r="AI99" s="6" t="inlineStr">
        <is>
          <t>PT-CALIENTE</t>
        </is>
      </c>
      <c r="AJ99" s="6" t="inlineStr">
        <is>
          <t>LOTO</t>
        </is>
      </c>
      <c r="AK99" s="6" t="inlineStr"/>
      <c r="AL99" s="3">
        <f>IF(tblOrdenes[[#This Row],[link_checklist]]="","",HYPERLINK(p_ruta_base_checklists&amp;tblOrdenes[[#This Row],[link_checklist]],"abrir"))</f>
        <v/>
      </c>
      <c r="AM99" s="6" t="inlineStr"/>
      <c r="AN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Row],[tipo_ot]]="","",_xlfn.XLOOKUP(tblOrdenes[[#This Row],[tipo_ot]],tblTiposOT[codigo],tblTiposOT[clasificacion],"sin_clasificar"))</f>
        <v/>
      </c>
      <c r="T100" s="3">
        <f>IF(tblOrdenes[[#This Row],[centro_costo]]="","",_xlfn.XLOOKUP(tblOrdenes[[#This Row],[centro_costo]],tblCECO[codigo],tblCECO[linea],"(sin catálogo)"))</f>
        <v/>
      </c>
      <c r="U100" s="3">
        <f>IF(tblOrdenes[[#This Row],[centro_costo]]="","",_xlfn.XLOOKUP(tblOrdenes[[#This Row],[centro_costo]],tblCECO[codigo],tblCECO[area],"(sin catálogo)"))</f>
        <v/>
      </c>
      <c r="V100" s="3">
        <f>IF(tblOrdenes[[#This Row],[centro_costo]]="","",_xlfn.XLOOKUP(tblOrdenes[[#This Row],[centro_costo]],tblCECO[codigo],tblCECO[coordinador],"(sin catálogo)"))</f>
        <v/>
      </c>
      <c r="W100" s="3">
        <f>IF(tblOrdenes[[#This Row],[puesto_trabajo]]="","",_xlfn.XLOOKUP(tblOrdenes[[#This Row],[puesto_trabajo]],tblPuestos[codigo],tblPuestos[especialidad],"(sin catálogo)"))</f>
        <v/>
      </c>
      <c r="X100" s="3">
        <f>IF(tblOrdenes[[#This Row],[cod_actividad]]="","",_xlfn.XLOOKUP(tblOrdenes[[#This Row],[cod_actividad]],tblActividades[codigo],tblActividades[descripcion],"(sin catálogo)"))</f>
        <v/>
      </c>
      <c r="Y100" s="12">
        <f>IF(tblOrdenes[[#This Row],[fecha_inicio]]="","",TODAY()-tblOrdenes[[#This Row],[fecha_inicio]])</f>
        <v/>
      </c>
      <c r="Z100" s="3">
        <f>IF(tblOrdenes[[#This Row],[backlog_dias]]="","",IF(tblOrdenes[[#This Row],[backlog_dias]]&lt;0,"FUTURO",IF(tblOrdenes[[#This Row],[backlog_dias]]&gt;p_dias_backlog_max,"BACKLOG","MES CORRIENTE")))</f>
        <v/>
      </c>
      <c r="AA100" s="3">
        <f>IF(tblOrdenes[[#This Row],[backlog_dias]]="",FALSE,AND(tblOrdenes[[#This Row],[backlog_dias]]&gt;p_dias_backlog_min,tblOrdenes[[#This Row],[backlog_dias]]&lt;=p_dias_backlog_max))</f>
        <v/>
      </c>
      <c r="AB100" s="6" t="inlineStr">
        <is>
          <t>Técnico 08</t>
        </is>
      </c>
      <c r="AC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" s="10">
        <f>IF(tblOrdenes[[#This Row],[orden]]="","",_xlfn.XLOOKUP(tblOrdenes[[#This Row],[id_operacion]],tblEjecucion[id_operacion],tblEjecucion[precio],0))</f>
        <v/>
      </c>
      <c r="AG100" s="10">
        <f>IF(tblOrdenes[[#This Row],[orden]]="","",MAX(0,_xlfn.XLOOKUP(tblOrdenes[[#This Row],[id_operacion]],tblEjecucion[id_operacion],tblEjecucion[costo_plan_total],0)-tblOrdenes[[#This Row],[costo_servicio]]))</f>
        <v/>
      </c>
      <c r="AH100" s="10">
        <f>IF(tblOrdenes[[#This Row],[orden]]="","",tblOrdenes[[#This Row],[costo_servicio]]+tblOrdenes[[#This Row],[costo_materiales]])</f>
        <v/>
      </c>
      <c r="AI100" s="6" t="inlineStr"/>
      <c r="AJ100" s="6" t="inlineStr"/>
      <c r="AK100" s="6" t="inlineStr">
        <is>
          <t>ACT-02.pdf</t>
        </is>
      </c>
      <c r="AL100" s="3">
        <f>IF(tblOrdenes[[#This Row],[link_checklist]]="","",HYPERLINK(p_ruta_base_checklists&amp;tblOrdenes[[#This Row],[link_checklist]],"abrir"))</f>
        <v/>
      </c>
      <c r="AM100" s="6" t="inlineStr"/>
      <c r="AN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Row],[tipo_ot]]="","",_xlfn.XLOOKUP(tblOrdenes[[#This Row],[tipo_ot]],tblTiposOT[codigo],tblTiposOT[clasificacion],"sin_clasificar"))</f>
        <v/>
      </c>
      <c r="T101" s="3">
        <f>IF(tblOrdenes[[#This Row],[centro_costo]]="","",_xlfn.XLOOKUP(tblOrdenes[[#This Row],[centro_costo]],tblCECO[codigo],tblCECO[linea],"(sin catálogo)"))</f>
        <v/>
      </c>
      <c r="U101" s="3">
        <f>IF(tblOrdenes[[#This Row],[centro_costo]]="","",_xlfn.XLOOKUP(tblOrdenes[[#This Row],[centro_costo]],tblCECO[codigo],tblCECO[area],"(sin catálogo)"))</f>
        <v/>
      </c>
      <c r="V101" s="3">
        <f>IF(tblOrdenes[[#This Row],[centro_costo]]="","",_xlfn.XLOOKUP(tblOrdenes[[#This Row],[centro_costo]],tblCECO[codigo],tblCECO[coordinador],"(sin catálogo)"))</f>
        <v/>
      </c>
      <c r="W101" s="3">
        <f>IF(tblOrdenes[[#This Row],[puesto_trabajo]]="","",_xlfn.XLOOKUP(tblOrdenes[[#This Row],[puesto_trabajo]],tblPuestos[codigo],tblPuestos[especialidad],"(sin catálogo)"))</f>
        <v/>
      </c>
      <c r="X101" s="3">
        <f>IF(tblOrdenes[[#This Row],[cod_actividad]]="","",_xlfn.XLOOKUP(tblOrdenes[[#This Row],[cod_actividad]],tblActividades[codigo],tblActividades[descripcion],"(sin catálogo)"))</f>
        <v/>
      </c>
      <c r="Y101" s="12">
        <f>IF(tblOrdenes[[#This Row],[fecha_inicio]]="","",TODAY()-tblOrdenes[[#This Row],[fecha_inicio]])</f>
        <v/>
      </c>
      <c r="Z101" s="3">
        <f>IF(tblOrdenes[[#This Row],[backlog_dias]]="","",IF(tblOrdenes[[#This Row],[backlog_dias]]&lt;0,"FUTURO",IF(tblOrdenes[[#This Row],[backlog_dias]]&gt;p_dias_backlog_max,"BACKLOG","MES CORRIENTE")))</f>
        <v/>
      </c>
      <c r="AA101" s="3">
        <f>IF(tblOrdenes[[#This Row],[backlog_dias]]="",FALSE,AND(tblOrdenes[[#This Row],[backlog_dias]]&gt;p_dias_backlog_min,tblOrdenes[[#This Row],[backlog_dias]]&lt;=p_dias_backlog_max))</f>
        <v/>
      </c>
      <c r="AB101" s="6" t="inlineStr">
        <is>
          <t>Técnico 09</t>
        </is>
      </c>
      <c r="AC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" s="10">
        <f>IF(tblOrdenes[[#This Row],[orden]]="","",_xlfn.XLOOKUP(tblOrdenes[[#This Row],[id_operacion]],tblEjecucion[id_operacion],tblEjecucion[precio],0))</f>
        <v/>
      </c>
      <c r="AG101" s="10">
        <f>IF(tblOrdenes[[#This Row],[orden]]="","",MAX(0,_xlfn.XLOOKUP(tblOrdenes[[#This Row],[id_operacion]],tblEjecucion[id_operacion],tblEjecucion[costo_plan_total],0)-tblOrdenes[[#This Row],[costo_servicio]]))</f>
        <v/>
      </c>
      <c r="AH101" s="10">
        <f>IF(tblOrdenes[[#This Row],[orden]]="","",tblOrdenes[[#This Row],[costo_servicio]]+tblOrdenes[[#This Row],[costo_materiales]])</f>
        <v/>
      </c>
      <c r="AI101" s="6" t="inlineStr"/>
      <c r="AJ101" s="6" t="inlineStr"/>
      <c r="AK101" s="6" t="inlineStr">
        <is>
          <t>ACT-04.pdf</t>
        </is>
      </c>
      <c r="AL101" s="3">
        <f>IF(tblOrdenes[[#This Row],[link_checklist]]="","",HYPERLINK(p_ruta_base_checklists&amp;tblOrdenes[[#This Row],[link_checklist]],"abrir"))</f>
        <v/>
      </c>
      <c r="AM101" s="6" t="inlineStr"/>
      <c r="AN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Row],[tipo_ot]]="","",_xlfn.XLOOKUP(tblOrdenes[[#This Row],[tipo_ot]],tblTiposOT[codigo],tblTiposOT[clasificacion],"sin_clasificar"))</f>
        <v/>
      </c>
      <c r="T102" s="3">
        <f>IF(tblOrdenes[[#This Row],[centro_costo]]="","",_xlfn.XLOOKUP(tblOrdenes[[#This Row],[centro_costo]],tblCECO[codigo],tblCECO[linea],"(sin catálogo)"))</f>
        <v/>
      </c>
      <c r="U102" s="3">
        <f>IF(tblOrdenes[[#This Row],[centro_costo]]="","",_xlfn.XLOOKUP(tblOrdenes[[#This Row],[centro_costo]],tblCECO[codigo],tblCECO[area],"(sin catálogo)"))</f>
        <v/>
      </c>
      <c r="V102" s="3">
        <f>IF(tblOrdenes[[#This Row],[centro_costo]]="","",_xlfn.XLOOKUP(tblOrdenes[[#This Row],[centro_costo]],tblCECO[codigo],tblCECO[coordinador],"(sin catálogo)"))</f>
        <v/>
      </c>
      <c r="W102" s="3">
        <f>IF(tblOrdenes[[#This Row],[puesto_trabajo]]="","",_xlfn.XLOOKUP(tblOrdenes[[#This Row],[puesto_trabajo]],tblPuestos[codigo],tblPuestos[especialidad],"(sin catálogo)"))</f>
        <v/>
      </c>
      <c r="X102" s="3">
        <f>IF(tblOrdenes[[#This Row],[cod_actividad]]="","",_xlfn.XLOOKUP(tblOrdenes[[#This Row],[cod_actividad]],tblActividades[codigo],tblActividades[descripcion],"(sin catálogo)"))</f>
        <v/>
      </c>
      <c r="Y102" s="12">
        <f>IF(tblOrdenes[[#This Row],[fecha_inicio]]="","",TODAY()-tblOrdenes[[#This Row],[fecha_inicio]])</f>
        <v/>
      </c>
      <c r="Z102" s="3">
        <f>IF(tblOrdenes[[#This Row],[backlog_dias]]="","",IF(tblOrdenes[[#This Row],[backlog_dias]]&lt;0,"FUTURO",IF(tblOrdenes[[#This Row],[backlog_dias]]&gt;p_dias_backlog_max,"BACKLOG","MES CORRIENTE")))</f>
        <v/>
      </c>
      <c r="AA102" s="3">
        <f>IF(tblOrdenes[[#This Row],[backlog_dias]]="",FALSE,AND(tblOrdenes[[#This Row],[backlog_dias]]&gt;p_dias_backlog_min,tblOrdenes[[#This Row],[backlog_dias]]&lt;=p_dias_backlog_max))</f>
        <v/>
      </c>
      <c r="AB102" s="6" t="inlineStr">
        <is>
          <t>Técnico 08</t>
        </is>
      </c>
      <c r="AC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" s="10">
        <f>IF(tblOrdenes[[#This Row],[orden]]="","",_xlfn.XLOOKUP(tblOrdenes[[#This Row],[id_operacion]],tblEjecucion[id_operacion],tblEjecucion[precio],0))</f>
        <v/>
      </c>
      <c r="AG102" s="10">
        <f>IF(tblOrdenes[[#This Row],[orden]]="","",MAX(0,_xlfn.XLOOKUP(tblOrdenes[[#This Row],[id_operacion]],tblEjecucion[id_operacion],tblEjecucion[costo_plan_total],0)-tblOrdenes[[#This Row],[costo_servicio]]))</f>
        <v/>
      </c>
      <c r="AH102" s="10">
        <f>IF(tblOrdenes[[#This Row],[orden]]="","",tblOrdenes[[#This Row],[costo_servicio]]+tblOrdenes[[#This Row],[costo_materiales]])</f>
        <v/>
      </c>
      <c r="AI102" s="6" t="inlineStr"/>
      <c r="AJ102" s="6" t="inlineStr"/>
      <c r="AK102" s="6" t="inlineStr">
        <is>
          <t>ACT-01.pdf</t>
        </is>
      </c>
      <c r="AL102" s="3">
        <f>IF(tblOrdenes[[#This Row],[link_checklist]]="","",HYPERLINK(p_ruta_base_checklists&amp;tblOrdenes[[#This Row],[link_checklist]],"abrir"))</f>
        <v/>
      </c>
      <c r="AM102" s="6" t="inlineStr"/>
      <c r="AN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Row],[tipo_ot]]="","",_xlfn.XLOOKUP(tblOrdenes[[#This Row],[tipo_ot]],tblTiposOT[codigo],tblTiposOT[clasificacion],"sin_clasificar"))</f>
        <v/>
      </c>
      <c r="T103" s="3">
        <f>IF(tblOrdenes[[#This Row],[centro_costo]]="","",_xlfn.XLOOKUP(tblOrdenes[[#This Row],[centro_costo]],tblCECO[codigo],tblCECO[linea],"(sin catálogo)"))</f>
        <v/>
      </c>
      <c r="U103" s="3">
        <f>IF(tblOrdenes[[#This Row],[centro_costo]]="","",_xlfn.XLOOKUP(tblOrdenes[[#This Row],[centro_costo]],tblCECO[codigo],tblCECO[area],"(sin catálogo)"))</f>
        <v/>
      </c>
      <c r="V103" s="3">
        <f>IF(tblOrdenes[[#This Row],[centro_costo]]="","",_xlfn.XLOOKUP(tblOrdenes[[#This Row],[centro_costo]],tblCECO[codigo],tblCECO[coordinador],"(sin catálogo)"))</f>
        <v/>
      </c>
      <c r="W103" s="3">
        <f>IF(tblOrdenes[[#This Row],[puesto_trabajo]]="","",_xlfn.XLOOKUP(tblOrdenes[[#This Row],[puesto_trabajo]],tblPuestos[codigo],tblPuestos[especialidad],"(sin catálogo)"))</f>
        <v/>
      </c>
      <c r="X103" s="3">
        <f>IF(tblOrdenes[[#This Row],[cod_actividad]]="","",_xlfn.XLOOKUP(tblOrdenes[[#This Row],[cod_actividad]],tblActividades[codigo],tblActividades[descripcion],"(sin catálogo)"))</f>
        <v/>
      </c>
      <c r="Y103" s="12">
        <f>IF(tblOrdenes[[#This Row],[fecha_inicio]]="","",TODAY()-tblOrdenes[[#This Row],[fecha_inicio]])</f>
        <v/>
      </c>
      <c r="Z103" s="3">
        <f>IF(tblOrdenes[[#This Row],[backlog_dias]]="","",IF(tblOrdenes[[#This Row],[backlog_dias]]&lt;0,"FUTURO",IF(tblOrdenes[[#This Row],[backlog_dias]]&gt;p_dias_backlog_max,"BACKLOG","MES CORRIENTE")))</f>
        <v/>
      </c>
      <c r="AA103" s="3">
        <f>IF(tblOrdenes[[#This Row],[backlog_dias]]="",FALSE,AND(tblOrdenes[[#This Row],[backlog_dias]]&gt;p_dias_backlog_min,tblOrdenes[[#This Row],[backlog_dias]]&lt;=p_dias_backlog_max))</f>
        <v/>
      </c>
      <c r="AB103" s="6" t="inlineStr">
        <is>
          <t>Técnico 09</t>
        </is>
      </c>
      <c r="AC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" s="10">
        <f>IF(tblOrdenes[[#This Row],[orden]]="","",_xlfn.XLOOKUP(tblOrdenes[[#This Row],[id_operacion]],tblEjecucion[id_operacion],tblEjecucion[precio],0))</f>
        <v/>
      </c>
      <c r="AG103" s="10">
        <f>IF(tblOrdenes[[#This Row],[orden]]="","",MAX(0,_xlfn.XLOOKUP(tblOrdenes[[#This Row],[id_operacion]],tblEjecucion[id_operacion],tblEjecucion[costo_plan_total],0)-tblOrdenes[[#This Row],[costo_servicio]]))</f>
        <v/>
      </c>
      <c r="AH103" s="10">
        <f>IF(tblOrdenes[[#This Row],[orden]]="","",tblOrdenes[[#This Row],[costo_servicio]]+tblOrdenes[[#This Row],[costo_materiales]])</f>
        <v/>
      </c>
      <c r="AI103" s="6" t="inlineStr"/>
      <c r="AJ103" s="6" t="inlineStr"/>
      <c r="AK103" s="6" t="inlineStr">
        <is>
          <t>ACT-02.pdf</t>
        </is>
      </c>
      <c r="AL103" s="3">
        <f>IF(tblOrdenes[[#This Row],[link_checklist]]="","",HYPERLINK(p_ruta_base_checklists&amp;tblOrdenes[[#This Row],[link_checklist]],"abrir"))</f>
        <v/>
      </c>
      <c r="AM103" s="6" t="inlineStr"/>
      <c r="AN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Row],[tipo_ot]]="","",_xlfn.XLOOKUP(tblOrdenes[[#This Row],[tipo_ot]],tblTiposOT[codigo],tblTiposOT[clasificacion],"sin_clasificar"))</f>
        <v/>
      </c>
      <c r="T104" s="3">
        <f>IF(tblOrdenes[[#This Row],[centro_costo]]="","",_xlfn.XLOOKUP(tblOrdenes[[#This Row],[centro_costo]],tblCECO[codigo],tblCECO[linea],"(sin catálogo)"))</f>
        <v/>
      </c>
      <c r="U104" s="3">
        <f>IF(tblOrdenes[[#This Row],[centro_costo]]="","",_xlfn.XLOOKUP(tblOrdenes[[#This Row],[centro_costo]],tblCECO[codigo],tblCECO[area],"(sin catálogo)"))</f>
        <v/>
      </c>
      <c r="V104" s="3">
        <f>IF(tblOrdenes[[#This Row],[centro_costo]]="","",_xlfn.XLOOKUP(tblOrdenes[[#This Row],[centro_costo]],tblCECO[codigo],tblCECO[coordinador],"(sin catálogo)"))</f>
        <v/>
      </c>
      <c r="W104" s="3">
        <f>IF(tblOrdenes[[#This Row],[puesto_trabajo]]="","",_xlfn.XLOOKUP(tblOrdenes[[#This Row],[puesto_trabajo]],tblPuestos[codigo],tblPuestos[especialidad],"(sin catálogo)"))</f>
        <v/>
      </c>
      <c r="X104" s="3">
        <f>IF(tblOrdenes[[#This Row],[cod_actividad]]="","",_xlfn.XLOOKUP(tblOrdenes[[#This Row],[cod_actividad]],tblActividades[codigo],tblActividades[descripcion],"(sin catálogo)"))</f>
        <v/>
      </c>
      <c r="Y104" s="12">
        <f>IF(tblOrdenes[[#This Row],[fecha_inicio]]="","",TODAY()-tblOrdenes[[#This Row],[fecha_inicio]])</f>
        <v/>
      </c>
      <c r="Z104" s="3">
        <f>IF(tblOrdenes[[#This Row],[backlog_dias]]="","",IF(tblOrdenes[[#This Row],[backlog_dias]]&lt;0,"FUTURO",IF(tblOrdenes[[#This Row],[backlog_dias]]&gt;p_dias_backlog_max,"BACKLOG","MES CORRIENTE")))</f>
        <v/>
      </c>
      <c r="AA104" s="3">
        <f>IF(tblOrdenes[[#This Row],[backlog_dias]]="",FALSE,AND(tblOrdenes[[#This Row],[backlog_dias]]&gt;p_dias_backlog_min,tblOrdenes[[#This Row],[backlog_dias]]&lt;=p_dias_backlog_max))</f>
        <v/>
      </c>
      <c r="AB104" s="6" t="inlineStr">
        <is>
          <t>Técnico 08</t>
        </is>
      </c>
      <c r="AC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" s="10">
        <f>IF(tblOrdenes[[#This Row],[orden]]="","",_xlfn.XLOOKUP(tblOrdenes[[#This Row],[id_operacion]],tblEjecucion[id_operacion],tblEjecucion[precio],0))</f>
        <v/>
      </c>
      <c r="AG104" s="10">
        <f>IF(tblOrdenes[[#This Row],[orden]]="","",MAX(0,_xlfn.XLOOKUP(tblOrdenes[[#This Row],[id_operacion]],tblEjecucion[id_operacion],tblEjecucion[costo_plan_total],0)-tblOrdenes[[#This Row],[costo_servicio]]))</f>
        <v/>
      </c>
      <c r="AH104" s="10">
        <f>IF(tblOrdenes[[#This Row],[orden]]="","",tblOrdenes[[#This Row],[costo_servicio]]+tblOrdenes[[#This Row],[costo_materiales]])</f>
        <v/>
      </c>
      <c r="AI104" s="6" t="inlineStr"/>
      <c r="AJ104" s="6" t="inlineStr"/>
      <c r="AK104" s="6" t="inlineStr"/>
      <c r="AL104" s="3">
        <f>IF(tblOrdenes[[#This Row],[link_checklist]]="","",HYPERLINK(p_ruta_base_checklists&amp;tblOrdenes[[#This Row],[link_checklist]],"abrir"))</f>
        <v/>
      </c>
      <c r="AM104" s="6" t="inlineStr"/>
      <c r="AN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Row],[tipo_ot]]="","",_xlfn.XLOOKUP(tblOrdenes[[#This Row],[tipo_ot]],tblTiposOT[codigo],tblTiposOT[clasificacion],"sin_clasificar"))</f>
        <v/>
      </c>
      <c r="T105" s="3">
        <f>IF(tblOrdenes[[#This Row],[centro_costo]]="","",_xlfn.XLOOKUP(tblOrdenes[[#This Row],[centro_costo]],tblCECO[codigo],tblCECO[linea],"(sin catálogo)"))</f>
        <v/>
      </c>
      <c r="U105" s="3">
        <f>IF(tblOrdenes[[#This Row],[centro_costo]]="","",_xlfn.XLOOKUP(tblOrdenes[[#This Row],[centro_costo]],tblCECO[codigo],tblCECO[area],"(sin catálogo)"))</f>
        <v/>
      </c>
      <c r="V105" s="3">
        <f>IF(tblOrdenes[[#This Row],[centro_costo]]="","",_xlfn.XLOOKUP(tblOrdenes[[#This Row],[centro_costo]],tblCECO[codigo],tblCECO[coordinador],"(sin catálogo)"))</f>
        <v/>
      </c>
      <c r="W105" s="3">
        <f>IF(tblOrdenes[[#This Row],[puesto_trabajo]]="","",_xlfn.XLOOKUP(tblOrdenes[[#This Row],[puesto_trabajo]],tblPuestos[codigo],tblPuestos[especialidad],"(sin catálogo)"))</f>
        <v/>
      </c>
      <c r="X105" s="3">
        <f>IF(tblOrdenes[[#This Row],[cod_actividad]]="","",_xlfn.XLOOKUP(tblOrdenes[[#This Row],[cod_actividad]],tblActividades[codigo],tblActividades[descripcion],"(sin catálogo)"))</f>
        <v/>
      </c>
      <c r="Y105" s="12">
        <f>IF(tblOrdenes[[#This Row],[fecha_inicio]]="","",TODAY()-tblOrdenes[[#This Row],[fecha_inicio]])</f>
        <v/>
      </c>
      <c r="Z105" s="3">
        <f>IF(tblOrdenes[[#This Row],[backlog_dias]]="","",IF(tblOrdenes[[#This Row],[backlog_dias]]&lt;0,"FUTURO",IF(tblOrdenes[[#This Row],[backlog_dias]]&gt;p_dias_backlog_max,"BACKLOG","MES CORRIENTE")))</f>
        <v/>
      </c>
      <c r="AA105" s="3">
        <f>IF(tblOrdenes[[#This Row],[backlog_dias]]="",FALSE,AND(tblOrdenes[[#This Row],[backlog_dias]]&gt;p_dias_backlog_min,tblOrdenes[[#This Row],[backlog_dias]]&lt;=p_dias_backlog_max))</f>
        <v/>
      </c>
      <c r="AB105" s="6" t="inlineStr">
        <is>
          <t>Técnico 09</t>
        </is>
      </c>
      <c r="AC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" s="10">
        <f>IF(tblOrdenes[[#This Row],[orden]]="","",_xlfn.XLOOKUP(tblOrdenes[[#This Row],[id_operacion]],tblEjecucion[id_operacion],tblEjecucion[precio],0))</f>
        <v/>
      </c>
      <c r="AG105" s="10">
        <f>IF(tblOrdenes[[#This Row],[orden]]="","",MAX(0,_xlfn.XLOOKUP(tblOrdenes[[#This Row],[id_operacion]],tblEjecucion[id_operacion],tblEjecucion[costo_plan_total],0)-tblOrdenes[[#This Row],[costo_servicio]]))</f>
        <v/>
      </c>
      <c r="AH105" s="10">
        <f>IF(tblOrdenes[[#This Row],[orden]]="","",tblOrdenes[[#This Row],[costo_servicio]]+tblOrdenes[[#This Row],[costo_materiales]])</f>
        <v/>
      </c>
      <c r="AI105" s="6" t="inlineStr"/>
      <c r="AJ105" s="6" t="inlineStr"/>
      <c r="AK105" s="6" t="inlineStr">
        <is>
          <t>ACT-01.pdf</t>
        </is>
      </c>
      <c r="AL105" s="3">
        <f>IF(tblOrdenes[[#This Row],[link_checklist]]="","",HYPERLINK(p_ruta_base_checklists&amp;tblOrdenes[[#This Row],[link_checklist]],"abrir"))</f>
        <v/>
      </c>
      <c r="AM105" s="6" t="inlineStr"/>
      <c r="AN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Row],[tipo_ot]]="","",_xlfn.XLOOKUP(tblOrdenes[[#This Row],[tipo_ot]],tblTiposOT[codigo],tblTiposOT[clasificacion],"sin_clasificar"))</f>
        <v/>
      </c>
      <c r="T106" s="3">
        <f>IF(tblOrdenes[[#This Row],[centro_costo]]="","",_xlfn.XLOOKUP(tblOrdenes[[#This Row],[centro_costo]],tblCECO[codigo],tblCECO[linea],"(sin catálogo)"))</f>
        <v/>
      </c>
      <c r="U106" s="3">
        <f>IF(tblOrdenes[[#This Row],[centro_costo]]="","",_xlfn.XLOOKUP(tblOrdenes[[#This Row],[centro_costo]],tblCECO[codigo],tblCECO[area],"(sin catálogo)"))</f>
        <v/>
      </c>
      <c r="V106" s="3">
        <f>IF(tblOrdenes[[#This Row],[centro_costo]]="","",_xlfn.XLOOKUP(tblOrdenes[[#This Row],[centro_costo]],tblCECO[codigo],tblCECO[coordinador],"(sin catálogo)"))</f>
        <v/>
      </c>
      <c r="W106" s="3">
        <f>IF(tblOrdenes[[#This Row],[puesto_trabajo]]="","",_xlfn.XLOOKUP(tblOrdenes[[#This Row],[puesto_trabajo]],tblPuestos[codigo],tblPuestos[especialidad],"(sin catálogo)"))</f>
        <v/>
      </c>
      <c r="X106" s="3">
        <f>IF(tblOrdenes[[#This Row],[cod_actividad]]="","",_xlfn.XLOOKUP(tblOrdenes[[#This Row],[cod_actividad]],tblActividades[codigo],tblActividades[descripcion],"(sin catálogo)"))</f>
        <v/>
      </c>
      <c r="Y106" s="12">
        <f>IF(tblOrdenes[[#This Row],[fecha_inicio]]="","",TODAY()-tblOrdenes[[#This Row],[fecha_inicio]])</f>
        <v/>
      </c>
      <c r="Z106" s="3">
        <f>IF(tblOrdenes[[#This Row],[backlog_dias]]="","",IF(tblOrdenes[[#This Row],[backlog_dias]]&lt;0,"FUTURO",IF(tblOrdenes[[#This Row],[backlog_dias]]&gt;p_dias_backlog_max,"BACKLOG","MES CORRIENTE")))</f>
        <v/>
      </c>
      <c r="AA106" s="3">
        <f>IF(tblOrdenes[[#This Row],[backlog_dias]]="",FALSE,AND(tblOrdenes[[#This Row],[backlog_dias]]&gt;p_dias_backlog_min,tblOrdenes[[#This Row],[backlog_dias]]&lt;=p_dias_backlog_max))</f>
        <v/>
      </c>
      <c r="AB106" s="6" t="inlineStr">
        <is>
          <t>Técnico 08</t>
        </is>
      </c>
      <c r="AC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" s="10">
        <f>IF(tblOrdenes[[#This Row],[orden]]="","",_xlfn.XLOOKUP(tblOrdenes[[#This Row],[id_operacion]],tblEjecucion[id_operacion],tblEjecucion[precio],0))</f>
        <v/>
      </c>
      <c r="AG106" s="10">
        <f>IF(tblOrdenes[[#This Row],[orden]]="","",MAX(0,_xlfn.XLOOKUP(tblOrdenes[[#This Row],[id_operacion]],tblEjecucion[id_operacion],tblEjecucion[costo_plan_total],0)-tblOrdenes[[#This Row],[costo_servicio]]))</f>
        <v/>
      </c>
      <c r="AH106" s="10">
        <f>IF(tblOrdenes[[#This Row],[orden]]="","",tblOrdenes[[#This Row],[costo_servicio]]+tblOrdenes[[#This Row],[costo_materiales]])</f>
        <v/>
      </c>
      <c r="AI106" s="6" t="inlineStr"/>
      <c r="AJ106" s="6" t="inlineStr"/>
      <c r="AK106" s="6" t="inlineStr">
        <is>
          <t>ACT-02.pdf</t>
        </is>
      </c>
      <c r="AL106" s="3">
        <f>IF(tblOrdenes[[#This Row],[link_checklist]]="","",HYPERLINK(p_ruta_base_checklists&amp;tblOrdenes[[#This Row],[link_checklist]],"abrir"))</f>
        <v/>
      </c>
      <c r="AM106" s="6" t="inlineStr"/>
      <c r="AN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Row],[tipo_ot]]="","",_xlfn.XLOOKUP(tblOrdenes[[#This Row],[tipo_ot]],tblTiposOT[codigo],tblTiposOT[clasificacion],"sin_clasificar"))</f>
        <v/>
      </c>
      <c r="T107" s="3">
        <f>IF(tblOrdenes[[#This Row],[centro_costo]]="","",_xlfn.XLOOKUP(tblOrdenes[[#This Row],[centro_costo]],tblCECO[codigo],tblCECO[linea],"(sin catálogo)"))</f>
        <v/>
      </c>
      <c r="U107" s="3">
        <f>IF(tblOrdenes[[#This Row],[centro_costo]]="","",_xlfn.XLOOKUP(tblOrdenes[[#This Row],[centro_costo]],tblCECO[codigo],tblCECO[area],"(sin catálogo)"))</f>
        <v/>
      </c>
      <c r="V107" s="3">
        <f>IF(tblOrdenes[[#This Row],[centro_costo]]="","",_xlfn.XLOOKUP(tblOrdenes[[#This Row],[centro_costo]],tblCECO[codigo],tblCECO[coordinador],"(sin catálogo)"))</f>
        <v/>
      </c>
      <c r="W107" s="3">
        <f>IF(tblOrdenes[[#This Row],[puesto_trabajo]]="","",_xlfn.XLOOKUP(tblOrdenes[[#This Row],[puesto_trabajo]],tblPuestos[codigo],tblPuestos[especialidad],"(sin catálogo)"))</f>
        <v/>
      </c>
      <c r="X107" s="3">
        <f>IF(tblOrdenes[[#This Row],[cod_actividad]]="","",_xlfn.XLOOKUP(tblOrdenes[[#This Row],[cod_actividad]],tblActividades[codigo],tblActividades[descripcion],"(sin catálogo)"))</f>
        <v/>
      </c>
      <c r="Y107" s="12">
        <f>IF(tblOrdenes[[#This Row],[fecha_inicio]]="","",TODAY()-tblOrdenes[[#This Row],[fecha_inicio]])</f>
        <v/>
      </c>
      <c r="Z107" s="3">
        <f>IF(tblOrdenes[[#This Row],[backlog_dias]]="","",IF(tblOrdenes[[#This Row],[backlog_dias]]&lt;0,"FUTURO",IF(tblOrdenes[[#This Row],[backlog_dias]]&gt;p_dias_backlog_max,"BACKLOG","MES CORRIENTE")))</f>
        <v/>
      </c>
      <c r="AA107" s="3">
        <f>IF(tblOrdenes[[#This Row],[backlog_dias]]="",FALSE,AND(tblOrdenes[[#This Row],[backlog_dias]]&gt;p_dias_backlog_min,tblOrdenes[[#This Row],[backlog_dias]]&lt;=p_dias_backlog_max))</f>
        <v/>
      </c>
      <c r="AB107" s="6" t="inlineStr">
        <is>
          <t>Técnico 09</t>
        </is>
      </c>
      <c r="AC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" s="10">
        <f>IF(tblOrdenes[[#This Row],[orden]]="","",_xlfn.XLOOKUP(tblOrdenes[[#This Row],[id_operacion]],tblEjecucion[id_operacion],tblEjecucion[precio],0))</f>
        <v/>
      </c>
      <c r="AG107" s="10">
        <f>IF(tblOrdenes[[#This Row],[orden]]="","",MAX(0,_xlfn.XLOOKUP(tblOrdenes[[#This Row],[id_operacion]],tblEjecucion[id_operacion],tblEjecucion[costo_plan_total],0)-tblOrdenes[[#This Row],[costo_servicio]]))</f>
        <v/>
      </c>
      <c r="AH107" s="10">
        <f>IF(tblOrdenes[[#This Row],[orden]]="","",tblOrdenes[[#This Row],[costo_servicio]]+tblOrdenes[[#This Row],[costo_materiales]])</f>
        <v/>
      </c>
      <c r="AI107" s="6" t="inlineStr"/>
      <c r="AJ107" s="6" t="inlineStr"/>
      <c r="AK107" s="6" t="inlineStr">
        <is>
          <t>ACT-04.pdf</t>
        </is>
      </c>
      <c r="AL107" s="3">
        <f>IF(tblOrdenes[[#This Row],[link_checklist]]="","",HYPERLINK(p_ruta_base_checklists&amp;tblOrdenes[[#This Row],[link_checklist]],"abrir"))</f>
        <v/>
      </c>
      <c r="AM107" s="6" t="inlineStr"/>
      <c r="AN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Row],[tipo_ot]]="","",_xlfn.XLOOKUP(tblOrdenes[[#This Row],[tipo_ot]],tblTiposOT[codigo],tblTiposOT[clasificacion],"sin_clasificar"))</f>
        <v/>
      </c>
      <c r="T108" s="3">
        <f>IF(tblOrdenes[[#This Row],[centro_costo]]="","",_xlfn.XLOOKUP(tblOrdenes[[#This Row],[centro_costo]],tblCECO[codigo],tblCECO[linea],"(sin catálogo)"))</f>
        <v/>
      </c>
      <c r="U108" s="3">
        <f>IF(tblOrdenes[[#This Row],[centro_costo]]="","",_xlfn.XLOOKUP(tblOrdenes[[#This Row],[centro_costo]],tblCECO[codigo],tblCECO[area],"(sin catálogo)"))</f>
        <v/>
      </c>
      <c r="V108" s="3">
        <f>IF(tblOrdenes[[#This Row],[centro_costo]]="","",_xlfn.XLOOKUP(tblOrdenes[[#This Row],[centro_costo]],tblCECO[codigo],tblCECO[coordinador],"(sin catálogo)"))</f>
        <v/>
      </c>
      <c r="W108" s="3">
        <f>IF(tblOrdenes[[#This Row],[puesto_trabajo]]="","",_xlfn.XLOOKUP(tblOrdenes[[#This Row],[puesto_trabajo]],tblPuestos[codigo],tblPuestos[especialidad],"(sin catálogo)"))</f>
        <v/>
      </c>
      <c r="X108" s="3">
        <f>IF(tblOrdenes[[#This Row],[cod_actividad]]="","",_xlfn.XLOOKUP(tblOrdenes[[#This Row],[cod_actividad]],tblActividades[codigo],tblActividades[descripcion],"(sin catálogo)"))</f>
        <v/>
      </c>
      <c r="Y108" s="12">
        <f>IF(tblOrdenes[[#This Row],[fecha_inicio]]="","",TODAY()-tblOrdenes[[#This Row],[fecha_inicio]])</f>
        <v/>
      </c>
      <c r="Z108" s="3">
        <f>IF(tblOrdenes[[#This Row],[backlog_dias]]="","",IF(tblOrdenes[[#This Row],[backlog_dias]]&lt;0,"FUTURO",IF(tblOrdenes[[#This Row],[backlog_dias]]&gt;p_dias_backlog_max,"BACKLOG","MES CORRIENTE")))</f>
        <v/>
      </c>
      <c r="AA108" s="3">
        <f>IF(tblOrdenes[[#This Row],[backlog_dias]]="",FALSE,AND(tblOrdenes[[#This Row],[backlog_dias]]&gt;p_dias_backlog_min,tblOrdenes[[#This Row],[backlog_dias]]&lt;=p_dias_backlog_max))</f>
        <v/>
      </c>
      <c r="AB108" s="6" t="inlineStr">
        <is>
          <t>Técnico 08</t>
        </is>
      </c>
      <c r="AC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" s="10">
        <f>IF(tblOrdenes[[#This Row],[orden]]="","",_xlfn.XLOOKUP(tblOrdenes[[#This Row],[id_operacion]],tblEjecucion[id_operacion],tblEjecucion[precio],0))</f>
        <v/>
      </c>
      <c r="AG108" s="10">
        <f>IF(tblOrdenes[[#This Row],[orden]]="","",MAX(0,_xlfn.XLOOKUP(tblOrdenes[[#This Row],[id_operacion]],tblEjecucion[id_operacion],tblEjecucion[costo_plan_total],0)-tblOrdenes[[#This Row],[costo_servicio]]))</f>
        <v/>
      </c>
      <c r="AH108" s="10">
        <f>IF(tblOrdenes[[#This Row],[orden]]="","",tblOrdenes[[#This Row],[costo_servicio]]+tblOrdenes[[#This Row],[costo_materiales]])</f>
        <v/>
      </c>
      <c r="AI108" s="6" t="inlineStr"/>
      <c r="AJ108" s="6" t="inlineStr"/>
      <c r="AK108" s="6" t="inlineStr">
        <is>
          <t>ACT-01.pdf</t>
        </is>
      </c>
      <c r="AL108" s="3">
        <f>IF(tblOrdenes[[#This Row],[link_checklist]]="","",HYPERLINK(p_ruta_base_checklists&amp;tblOrdenes[[#This Row],[link_checklist]],"abrir"))</f>
        <v/>
      </c>
      <c r="AM108" s="6" t="inlineStr"/>
      <c r="AN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Row],[tipo_ot]]="","",_xlfn.XLOOKUP(tblOrdenes[[#This Row],[tipo_ot]],tblTiposOT[codigo],tblTiposOT[clasificacion],"sin_clasificar"))</f>
        <v/>
      </c>
      <c r="T109" s="3">
        <f>IF(tblOrdenes[[#This Row],[centro_costo]]="","",_xlfn.XLOOKUP(tblOrdenes[[#This Row],[centro_costo]],tblCECO[codigo],tblCECO[linea],"(sin catálogo)"))</f>
        <v/>
      </c>
      <c r="U109" s="3">
        <f>IF(tblOrdenes[[#This Row],[centro_costo]]="","",_xlfn.XLOOKUP(tblOrdenes[[#This Row],[centro_costo]],tblCECO[codigo],tblCECO[area],"(sin catálogo)"))</f>
        <v/>
      </c>
      <c r="V109" s="3">
        <f>IF(tblOrdenes[[#This Row],[centro_costo]]="","",_xlfn.XLOOKUP(tblOrdenes[[#This Row],[centro_costo]],tblCECO[codigo],tblCECO[coordinador],"(sin catálogo)"))</f>
        <v/>
      </c>
      <c r="W109" s="3">
        <f>IF(tblOrdenes[[#This Row],[puesto_trabajo]]="","",_xlfn.XLOOKUP(tblOrdenes[[#This Row],[puesto_trabajo]],tblPuestos[codigo],tblPuestos[especialidad],"(sin catálogo)"))</f>
        <v/>
      </c>
      <c r="X109" s="3">
        <f>IF(tblOrdenes[[#This Row],[cod_actividad]]="","",_xlfn.XLOOKUP(tblOrdenes[[#This Row],[cod_actividad]],tblActividades[codigo],tblActividades[descripcion],"(sin catálogo)"))</f>
        <v/>
      </c>
      <c r="Y109" s="12">
        <f>IF(tblOrdenes[[#This Row],[fecha_inicio]]="","",TODAY()-tblOrdenes[[#This Row],[fecha_inicio]])</f>
        <v/>
      </c>
      <c r="Z109" s="3">
        <f>IF(tblOrdenes[[#This Row],[backlog_dias]]="","",IF(tblOrdenes[[#This Row],[backlog_dias]]&lt;0,"FUTURO",IF(tblOrdenes[[#This Row],[backlog_dias]]&gt;p_dias_backlog_max,"BACKLOG","MES CORRIENTE")))</f>
        <v/>
      </c>
      <c r="AA109" s="3">
        <f>IF(tblOrdenes[[#This Row],[backlog_dias]]="",FALSE,AND(tblOrdenes[[#This Row],[backlog_dias]]&gt;p_dias_backlog_min,tblOrdenes[[#This Row],[backlog_dias]]&lt;=p_dias_backlog_max))</f>
        <v/>
      </c>
      <c r="AB109" s="6" t="inlineStr">
        <is>
          <t>Técnico 09</t>
        </is>
      </c>
      <c r="AC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" s="10">
        <f>IF(tblOrdenes[[#This Row],[orden]]="","",_xlfn.XLOOKUP(tblOrdenes[[#This Row],[id_operacion]],tblEjecucion[id_operacion],tblEjecucion[precio],0))</f>
        <v/>
      </c>
      <c r="AG109" s="10">
        <f>IF(tblOrdenes[[#This Row],[orden]]="","",MAX(0,_xlfn.XLOOKUP(tblOrdenes[[#This Row],[id_operacion]],tblEjecucion[id_operacion],tblEjecucion[costo_plan_total],0)-tblOrdenes[[#This Row],[costo_servicio]]))</f>
        <v/>
      </c>
      <c r="AH109" s="10">
        <f>IF(tblOrdenes[[#This Row],[orden]]="","",tblOrdenes[[#This Row],[costo_servicio]]+tblOrdenes[[#This Row],[costo_materiales]])</f>
        <v/>
      </c>
      <c r="AI109" s="6" t="inlineStr"/>
      <c r="AJ109" s="6" t="inlineStr"/>
      <c r="AK109" s="6" t="inlineStr"/>
      <c r="AL109" s="3">
        <f>IF(tblOrdenes[[#This Row],[link_checklist]]="","",HYPERLINK(p_ruta_base_checklists&amp;tblOrdenes[[#This Row],[link_checklist]],"abrir"))</f>
        <v/>
      </c>
      <c r="AM109" s="6" t="inlineStr"/>
      <c r="AN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Row],[tipo_ot]]="","",_xlfn.XLOOKUP(tblOrdenes[[#This Row],[tipo_ot]],tblTiposOT[codigo],tblTiposOT[clasificacion],"sin_clasificar"))</f>
        <v/>
      </c>
      <c r="T110" s="3">
        <f>IF(tblOrdenes[[#This Row],[centro_costo]]="","",_xlfn.XLOOKUP(tblOrdenes[[#This Row],[centro_costo]],tblCECO[codigo],tblCECO[linea],"(sin catálogo)"))</f>
        <v/>
      </c>
      <c r="U110" s="3">
        <f>IF(tblOrdenes[[#This Row],[centro_costo]]="","",_xlfn.XLOOKUP(tblOrdenes[[#This Row],[centro_costo]],tblCECO[codigo],tblCECO[area],"(sin catálogo)"))</f>
        <v/>
      </c>
      <c r="V110" s="3">
        <f>IF(tblOrdenes[[#This Row],[centro_costo]]="","",_xlfn.XLOOKUP(tblOrdenes[[#This Row],[centro_costo]],tblCECO[codigo],tblCECO[coordinador],"(sin catálogo)"))</f>
        <v/>
      </c>
      <c r="W110" s="3">
        <f>IF(tblOrdenes[[#This Row],[puesto_trabajo]]="","",_xlfn.XLOOKUP(tblOrdenes[[#This Row],[puesto_trabajo]],tblPuestos[codigo],tblPuestos[especialidad],"(sin catálogo)"))</f>
        <v/>
      </c>
      <c r="X110" s="3">
        <f>IF(tblOrdenes[[#This Row],[cod_actividad]]="","",_xlfn.XLOOKUP(tblOrdenes[[#This Row],[cod_actividad]],tblActividades[codigo],tblActividades[descripcion],"(sin catálogo)"))</f>
        <v/>
      </c>
      <c r="Y110" s="12">
        <f>IF(tblOrdenes[[#This Row],[fecha_inicio]]="","",TODAY()-tblOrdenes[[#This Row],[fecha_inicio]])</f>
        <v/>
      </c>
      <c r="Z110" s="3">
        <f>IF(tblOrdenes[[#This Row],[backlog_dias]]="","",IF(tblOrdenes[[#This Row],[backlog_dias]]&lt;0,"FUTURO",IF(tblOrdenes[[#This Row],[backlog_dias]]&gt;p_dias_backlog_max,"BACKLOG","MES CORRIENTE")))</f>
        <v/>
      </c>
      <c r="AA110" s="3">
        <f>IF(tblOrdenes[[#This Row],[backlog_dias]]="",FALSE,AND(tblOrdenes[[#This Row],[backlog_dias]]&gt;p_dias_backlog_min,tblOrdenes[[#This Row],[backlog_dias]]&lt;=p_dias_backlog_max))</f>
        <v/>
      </c>
      <c r="AB110" s="6" t="inlineStr">
        <is>
          <t>Técnico 11</t>
        </is>
      </c>
      <c r="AC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" s="10">
        <f>IF(tblOrdenes[[#This Row],[orden]]="","",_xlfn.XLOOKUP(tblOrdenes[[#This Row],[id_operacion]],tblEjecucion[id_operacion],tblEjecucion[precio],0))</f>
        <v/>
      </c>
      <c r="AG110" s="10">
        <f>IF(tblOrdenes[[#This Row],[orden]]="","",MAX(0,_xlfn.XLOOKUP(tblOrdenes[[#This Row],[id_operacion]],tblEjecucion[id_operacion],tblEjecucion[costo_plan_total],0)-tblOrdenes[[#This Row],[costo_servicio]]))</f>
        <v/>
      </c>
      <c r="AH110" s="10">
        <f>IF(tblOrdenes[[#This Row],[orden]]="","",tblOrdenes[[#This Row],[costo_servicio]]+tblOrdenes[[#This Row],[costo_materiales]])</f>
        <v/>
      </c>
      <c r="AI110" s="6" t="inlineStr"/>
      <c r="AJ110" s="6" t="inlineStr"/>
      <c r="AK110" s="6" t="inlineStr">
        <is>
          <t>ACT-04.pdf</t>
        </is>
      </c>
      <c r="AL110" s="3">
        <f>IF(tblOrdenes[[#This Row],[link_checklist]]="","",HYPERLINK(p_ruta_base_checklists&amp;tblOrdenes[[#This Row],[link_checklist]],"abrir"))</f>
        <v/>
      </c>
      <c r="AM110" s="6" t="inlineStr"/>
      <c r="AN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Row],[tipo_ot]]="","",_xlfn.XLOOKUP(tblOrdenes[[#This Row],[tipo_ot]],tblTiposOT[codigo],tblTiposOT[clasificacion],"sin_clasificar"))</f>
        <v/>
      </c>
      <c r="T111" s="3">
        <f>IF(tblOrdenes[[#This Row],[centro_costo]]="","",_xlfn.XLOOKUP(tblOrdenes[[#This Row],[centro_costo]],tblCECO[codigo],tblCECO[linea],"(sin catálogo)"))</f>
        <v/>
      </c>
      <c r="U111" s="3">
        <f>IF(tblOrdenes[[#This Row],[centro_costo]]="","",_xlfn.XLOOKUP(tblOrdenes[[#This Row],[centro_costo]],tblCECO[codigo],tblCECO[area],"(sin catálogo)"))</f>
        <v/>
      </c>
      <c r="V111" s="3">
        <f>IF(tblOrdenes[[#This Row],[centro_costo]]="","",_xlfn.XLOOKUP(tblOrdenes[[#This Row],[centro_costo]],tblCECO[codigo],tblCECO[coordinador],"(sin catálogo)"))</f>
        <v/>
      </c>
      <c r="W111" s="3">
        <f>IF(tblOrdenes[[#This Row],[puesto_trabajo]]="","",_xlfn.XLOOKUP(tblOrdenes[[#This Row],[puesto_trabajo]],tblPuestos[codigo],tblPuestos[especialidad],"(sin catálogo)"))</f>
        <v/>
      </c>
      <c r="X111" s="3">
        <f>IF(tblOrdenes[[#This Row],[cod_actividad]]="","",_xlfn.XLOOKUP(tblOrdenes[[#This Row],[cod_actividad]],tblActividades[codigo],tblActividades[descripcion],"(sin catálogo)"))</f>
        <v/>
      </c>
      <c r="Y111" s="12">
        <f>IF(tblOrdenes[[#This Row],[fecha_inicio]]="","",TODAY()-tblOrdenes[[#This Row],[fecha_inicio]])</f>
        <v/>
      </c>
      <c r="Z111" s="3">
        <f>IF(tblOrdenes[[#This Row],[backlog_dias]]="","",IF(tblOrdenes[[#This Row],[backlog_dias]]&lt;0,"FUTURO",IF(tblOrdenes[[#This Row],[backlog_dias]]&gt;p_dias_backlog_max,"BACKLOG","MES CORRIENTE")))</f>
        <v/>
      </c>
      <c r="AA111" s="3">
        <f>IF(tblOrdenes[[#This Row],[backlog_dias]]="",FALSE,AND(tblOrdenes[[#This Row],[backlog_dias]]&gt;p_dias_backlog_min,tblOrdenes[[#This Row],[backlog_dias]]&lt;=p_dias_backlog_max))</f>
        <v/>
      </c>
      <c r="AB111" s="6" t="inlineStr"/>
      <c r="AC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" s="10">
        <f>IF(tblOrdenes[[#This Row],[orden]]="","",_xlfn.XLOOKUP(tblOrdenes[[#This Row],[id_operacion]],tblEjecucion[id_operacion],tblEjecucion[precio],0))</f>
        <v/>
      </c>
      <c r="AG111" s="10">
        <f>IF(tblOrdenes[[#This Row],[orden]]="","",MAX(0,_xlfn.XLOOKUP(tblOrdenes[[#This Row],[id_operacion]],tblEjecucion[id_operacion],tblEjecucion[costo_plan_total],0)-tblOrdenes[[#This Row],[costo_servicio]]))</f>
        <v/>
      </c>
      <c r="AH111" s="10">
        <f>IF(tblOrdenes[[#This Row],[orden]]="","",tblOrdenes[[#This Row],[costo_servicio]]+tblOrdenes[[#This Row],[costo_materiales]])</f>
        <v/>
      </c>
      <c r="AI111" s="6" t="inlineStr"/>
      <c r="AJ111" s="6" t="inlineStr"/>
      <c r="AK111" s="6" t="inlineStr">
        <is>
          <t>ACT-01.pdf</t>
        </is>
      </c>
      <c r="AL111" s="3">
        <f>IF(tblOrdenes[[#This Row],[link_checklist]]="","",HYPERLINK(p_ruta_base_checklists&amp;tblOrdenes[[#This Row],[link_checklist]],"abrir"))</f>
        <v/>
      </c>
      <c r="AM111" s="6" t="inlineStr"/>
      <c r="AN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Row],[tipo_ot]]="","",_xlfn.XLOOKUP(tblOrdenes[[#This Row],[tipo_ot]],tblTiposOT[codigo],tblTiposOT[clasificacion],"sin_clasificar"))</f>
        <v/>
      </c>
      <c r="T112" s="3">
        <f>IF(tblOrdenes[[#This Row],[centro_costo]]="","",_xlfn.XLOOKUP(tblOrdenes[[#This Row],[centro_costo]],tblCECO[codigo],tblCECO[linea],"(sin catálogo)"))</f>
        <v/>
      </c>
      <c r="U112" s="3">
        <f>IF(tblOrdenes[[#This Row],[centro_costo]]="","",_xlfn.XLOOKUP(tblOrdenes[[#This Row],[centro_costo]],tblCECO[codigo],tblCECO[area],"(sin catálogo)"))</f>
        <v/>
      </c>
      <c r="V112" s="3">
        <f>IF(tblOrdenes[[#This Row],[centro_costo]]="","",_xlfn.XLOOKUP(tblOrdenes[[#This Row],[centro_costo]],tblCECO[codigo],tblCECO[coordinador],"(sin catálogo)"))</f>
        <v/>
      </c>
      <c r="W112" s="3">
        <f>IF(tblOrdenes[[#This Row],[puesto_trabajo]]="","",_xlfn.XLOOKUP(tblOrdenes[[#This Row],[puesto_trabajo]],tblPuestos[codigo],tblPuestos[especialidad],"(sin catálogo)"))</f>
        <v/>
      </c>
      <c r="X112" s="3">
        <f>IF(tblOrdenes[[#This Row],[cod_actividad]]="","",_xlfn.XLOOKUP(tblOrdenes[[#This Row],[cod_actividad]],tblActividades[codigo],tblActividades[descripcion],"(sin catálogo)"))</f>
        <v/>
      </c>
      <c r="Y112" s="12">
        <f>IF(tblOrdenes[[#This Row],[fecha_inicio]]="","",TODAY()-tblOrdenes[[#This Row],[fecha_inicio]])</f>
        <v/>
      </c>
      <c r="Z112" s="3">
        <f>IF(tblOrdenes[[#This Row],[backlog_dias]]="","",IF(tblOrdenes[[#This Row],[backlog_dias]]&lt;0,"FUTURO",IF(tblOrdenes[[#This Row],[backlog_dias]]&gt;p_dias_backlog_max,"BACKLOG","MES CORRIENTE")))</f>
        <v/>
      </c>
      <c r="AA112" s="3">
        <f>IF(tblOrdenes[[#This Row],[backlog_dias]]="",FALSE,AND(tblOrdenes[[#This Row],[backlog_dias]]&gt;p_dias_backlog_min,tblOrdenes[[#This Row],[backlog_dias]]&lt;=p_dias_backlog_max))</f>
        <v/>
      </c>
      <c r="AB112" s="6" t="inlineStr">
        <is>
          <t>Técnico 10</t>
        </is>
      </c>
      <c r="AC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" s="10">
        <f>IF(tblOrdenes[[#This Row],[orden]]="","",_xlfn.XLOOKUP(tblOrdenes[[#This Row],[id_operacion]],tblEjecucion[id_operacion],tblEjecucion[precio],0))</f>
        <v/>
      </c>
      <c r="AG112" s="10">
        <f>IF(tblOrdenes[[#This Row],[orden]]="","",MAX(0,_xlfn.XLOOKUP(tblOrdenes[[#This Row],[id_operacion]],tblEjecucion[id_operacion],tblEjecucion[costo_plan_total],0)-tblOrdenes[[#This Row],[costo_servicio]]))</f>
        <v/>
      </c>
      <c r="AH112" s="10">
        <f>IF(tblOrdenes[[#This Row],[orden]]="","",tblOrdenes[[#This Row],[costo_servicio]]+tblOrdenes[[#This Row],[costo_materiales]])</f>
        <v/>
      </c>
      <c r="AI112" s="6" t="inlineStr"/>
      <c r="AJ112" s="6" t="inlineStr"/>
      <c r="AK112" s="6" t="inlineStr">
        <is>
          <t>ACT-02.pdf</t>
        </is>
      </c>
      <c r="AL112" s="3">
        <f>IF(tblOrdenes[[#This Row],[link_checklist]]="","",HYPERLINK(p_ruta_base_checklists&amp;tblOrdenes[[#This Row],[link_checklist]],"abrir"))</f>
        <v/>
      </c>
      <c r="AM112" s="6" t="inlineStr"/>
      <c r="AN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Row],[tipo_ot]]="","",_xlfn.XLOOKUP(tblOrdenes[[#This Row],[tipo_ot]],tblTiposOT[codigo],tblTiposOT[clasificacion],"sin_clasificar"))</f>
        <v/>
      </c>
      <c r="T113" s="3">
        <f>IF(tblOrdenes[[#This Row],[centro_costo]]="","",_xlfn.XLOOKUP(tblOrdenes[[#This Row],[centro_costo]],tblCECO[codigo],tblCECO[linea],"(sin catálogo)"))</f>
        <v/>
      </c>
      <c r="U113" s="3">
        <f>IF(tblOrdenes[[#This Row],[centro_costo]]="","",_xlfn.XLOOKUP(tblOrdenes[[#This Row],[centro_costo]],tblCECO[codigo],tblCECO[area],"(sin catálogo)"))</f>
        <v/>
      </c>
      <c r="V113" s="3">
        <f>IF(tblOrdenes[[#This Row],[centro_costo]]="","",_xlfn.XLOOKUP(tblOrdenes[[#This Row],[centro_costo]],tblCECO[codigo],tblCECO[coordinador],"(sin catálogo)"))</f>
        <v/>
      </c>
      <c r="W113" s="3">
        <f>IF(tblOrdenes[[#This Row],[puesto_trabajo]]="","",_xlfn.XLOOKUP(tblOrdenes[[#This Row],[puesto_trabajo]],tblPuestos[codigo],tblPuestos[especialidad],"(sin catálogo)"))</f>
        <v/>
      </c>
      <c r="X113" s="3">
        <f>IF(tblOrdenes[[#This Row],[cod_actividad]]="","",_xlfn.XLOOKUP(tblOrdenes[[#This Row],[cod_actividad]],tblActividades[codigo],tblActividades[descripcion],"(sin catálogo)"))</f>
        <v/>
      </c>
      <c r="Y113" s="12">
        <f>IF(tblOrdenes[[#This Row],[fecha_inicio]]="","",TODAY()-tblOrdenes[[#This Row],[fecha_inicio]])</f>
        <v/>
      </c>
      <c r="Z113" s="3">
        <f>IF(tblOrdenes[[#This Row],[backlog_dias]]="","",IF(tblOrdenes[[#This Row],[backlog_dias]]&lt;0,"FUTURO",IF(tblOrdenes[[#This Row],[backlog_dias]]&gt;p_dias_backlog_max,"BACKLOG","MES CORRIENTE")))</f>
        <v/>
      </c>
      <c r="AA113" s="3">
        <f>IF(tblOrdenes[[#This Row],[backlog_dias]]="",FALSE,AND(tblOrdenes[[#This Row],[backlog_dias]]&gt;p_dias_backlog_min,tblOrdenes[[#This Row],[backlog_dias]]&lt;=p_dias_backlog_max))</f>
        <v/>
      </c>
      <c r="AB113" s="6" t="inlineStr">
        <is>
          <t>Técnico 11</t>
        </is>
      </c>
      <c r="AC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" s="10">
        <f>IF(tblOrdenes[[#This Row],[orden]]="","",_xlfn.XLOOKUP(tblOrdenes[[#This Row],[id_operacion]],tblEjecucion[id_operacion],tblEjecucion[precio],0))</f>
        <v/>
      </c>
      <c r="AG113" s="10">
        <f>IF(tblOrdenes[[#This Row],[orden]]="","",MAX(0,_xlfn.XLOOKUP(tblOrdenes[[#This Row],[id_operacion]],tblEjecucion[id_operacion],tblEjecucion[costo_plan_total],0)-tblOrdenes[[#This Row],[costo_servicio]]))</f>
        <v/>
      </c>
      <c r="AH113" s="10">
        <f>IF(tblOrdenes[[#This Row],[orden]]="","",tblOrdenes[[#This Row],[costo_servicio]]+tblOrdenes[[#This Row],[costo_materiales]])</f>
        <v/>
      </c>
      <c r="AI113" s="6" t="inlineStr"/>
      <c r="AJ113" s="6" t="inlineStr"/>
      <c r="AK113" s="6" t="inlineStr">
        <is>
          <t>ACT-04.pdf</t>
        </is>
      </c>
      <c r="AL113" s="3">
        <f>IF(tblOrdenes[[#This Row],[link_checklist]]="","",HYPERLINK(p_ruta_base_checklists&amp;tblOrdenes[[#This Row],[link_checklist]],"abrir"))</f>
        <v/>
      </c>
      <c r="AM113" s="6" t="inlineStr"/>
      <c r="AN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Row],[tipo_ot]]="","",_xlfn.XLOOKUP(tblOrdenes[[#This Row],[tipo_ot]],tblTiposOT[codigo],tblTiposOT[clasificacion],"sin_clasificar"))</f>
        <v/>
      </c>
      <c r="T114" s="3">
        <f>IF(tblOrdenes[[#This Row],[centro_costo]]="","",_xlfn.XLOOKUP(tblOrdenes[[#This Row],[centro_costo]],tblCECO[codigo],tblCECO[linea],"(sin catálogo)"))</f>
        <v/>
      </c>
      <c r="U114" s="3">
        <f>IF(tblOrdenes[[#This Row],[centro_costo]]="","",_xlfn.XLOOKUP(tblOrdenes[[#This Row],[centro_costo]],tblCECO[codigo],tblCECO[area],"(sin catálogo)"))</f>
        <v/>
      </c>
      <c r="V114" s="3">
        <f>IF(tblOrdenes[[#This Row],[centro_costo]]="","",_xlfn.XLOOKUP(tblOrdenes[[#This Row],[centro_costo]],tblCECO[codigo],tblCECO[coordinador],"(sin catálogo)"))</f>
        <v/>
      </c>
      <c r="W114" s="3">
        <f>IF(tblOrdenes[[#This Row],[puesto_trabajo]]="","",_xlfn.XLOOKUP(tblOrdenes[[#This Row],[puesto_trabajo]],tblPuestos[codigo],tblPuestos[especialidad],"(sin catálogo)"))</f>
        <v/>
      </c>
      <c r="X114" s="3">
        <f>IF(tblOrdenes[[#This Row],[cod_actividad]]="","",_xlfn.XLOOKUP(tblOrdenes[[#This Row],[cod_actividad]],tblActividades[codigo],tblActividades[descripcion],"(sin catálogo)"))</f>
        <v/>
      </c>
      <c r="Y114" s="12">
        <f>IF(tblOrdenes[[#This Row],[fecha_inicio]]="","",TODAY()-tblOrdenes[[#This Row],[fecha_inicio]])</f>
        <v/>
      </c>
      <c r="Z114" s="3">
        <f>IF(tblOrdenes[[#This Row],[backlog_dias]]="","",IF(tblOrdenes[[#This Row],[backlog_dias]]&lt;0,"FUTURO",IF(tblOrdenes[[#This Row],[backlog_dias]]&gt;p_dias_backlog_max,"BACKLOG","MES CORRIENTE")))</f>
        <v/>
      </c>
      <c r="AA114" s="3">
        <f>IF(tblOrdenes[[#This Row],[backlog_dias]]="",FALSE,AND(tblOrdenes[[#This Row],[backlog_dias]]&gt;p_dias_backlog_min,tblOrdenes[[#This Row],[backlog_dias]]&lt;=p_dias_backlog_max))</f>
        <v/>
      </c>
      <c r="AB114" s="6" t="inlineStr">
        <is>
          <t>Técnico 12</t>
        </is>
      </c>
      <c r="AC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" s="10">
        <f>IF(tblOrdenes[[#This Row],[orden]]="","",_xlfn.XLOOKUP(tblOrdenes[[#This Row],[id_operacion]],tblEjecucion[id_operacion],tblEjecucion[precio],0))</f>
        <v/>
      </c>
      <c r="AG114" s="10">
        <f>IF(tblOrdenes[[#This Row],[orden]]="","",MAX(0,_xlfn.XLOOKUP(tblOrdenes[[#This Row],[id_operacion]],tblEjecucion[id_operacion],tblEjecucion[costo_plan_total],0)-tblOrdenes[[#This Row],[costo_servicio]]))</f>
        <v/>
      </c>
      <c r="AH114" s="10">
        <f>IF(tblOrdenes[[#This Row],[orden]]="","",tblOrdenes[[#This Row],[costo_servicio]]+tblOrdenes[[#This Row],[costo_materiales]])</f>
        <v/>
      </c>
      <c r="AI114" s="6" t="inlineStr"/>
      <c r="AJ114" s="6" t="inlineStr"/>
      <c r="AK114" s="6" t="inlineStr"/>
      <c r="AL114" s="3">
        <f>IF(tblOrdenes[[#This Row],[link_checklist]]="","",HYPERLINK(p_ruta_base_checklists&amp;tblOrdenes[[#This Row],[link_checklist]],"abrir"))</f>
        <v/>
      </c>
      <c r="AM114" s="6" t="inlineStr"/>
      <c r="AN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Row],[tipo_ot]]="","",_xlfn.XLOOKUP(tblOrdenes[[#This Row],[tipo_ot]],tblTiposOT[codigo],tblTiposOT[clasificacion],"sin_clasificar"))</f>
        <v/>
      </c>
      <c r="T115" s="3">
        <f>IF(tblOrdenes[[#This Row],[centro_costo]]="","",_xlfn.XLOOKUP(tblOrdenes[[#This Row],[centro_costo]],tblCECO[codigo],tblCECO[linea],"(sin catálogo)"))</f>
        <v/>
      </c>
      <c r="U115" s="3">
        <f>IF(tblOrdenes[[#This Row],[centro_costo]]="","",_xlfn.XLOOKUP(tblOrdenes[[#This Row],[centro_costo]],tblCECO[codigo],tblCECO[area],"(sin catálogo)"))</f>
        <v/>
      </c>
      <c r="V115" s="3">
        <f>IF(tblOrdenes[[#This Row],[centro_costo]]="","",_xlfn.XLOOKUP(tblOrdenes[[#This Row],[centro_costo]],tblCECO[codigo],tblCECO[coordinador],"(sin catálogo)"))</f>
        <v/>
      </c>
      <c r="W115" s="3">
        <f>IF(tblOrdenes[[#This Row],[puesto_trabajo]]="","",_xlfn.XLOOKUP(tblOrdenes[[#This Row],[puesto_trabajo]],tblPuestos[codigo],tblPuestos[especialidad],"(sin catálogo)"))</f>
        <v/>
      </c>
      <c r="X115" s="3">
        <f>IF(tblOrdenes[[#This Row],[cod_actividad]]="","",_xlfn.XLOOKUP(tblOrdenes[[#This Row],[cod_actividad]],tblActividades[codigo],tblActividades[descripcion],"(sin catálogo)"))</f>
        <v/>
      </c>
      <c r="Y115" s="12">
        <f>IF(tblOrdenes[[#This Row],[fecha_inicio]]="","",TODAY()-tblOrdenes[[#This Row],[fecha_inicio]])</f>
        <v/>
      </c>
      <c r="Z115" s="3">
        <f>IF(tblOrdenes[[#This Row],[backlog_dias]]="","",IF(tblOrdenes[[#This Row],[backlog_dias]]&lt;0,"FUTURO",IF(tblOrdenes[[#This Row],[backlog_dias]]&gt;p_dias_backlog_max,"BACKLOG","MES CORRIENTE")))</f>
        <v/>
      </c>
      <c r="AA115" s="3">
        <f>IF(tblOrdenes[[#This Row],[backlog_dias]]="",FALSE,AND(tblOrdenes[[#This Row],[backlog_dias]]&gt;p_dias_backlog_min,tblOrdenes[[#This Row],[backlog_dias]]&lt;=p_dias_backlog_max))</f>
        <v/>
      </c>
      <c r="AB115" s="6" t="inlineStr">
        <is>
          <t>Técnico 10</t>
        </is>
      </c>
      <c r="AC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" s="10">
        <f>IF(tblOrdenes[[#This Row],[orden]]="","",_xlfn.XLOOKUP(tblOrdenes[[#This Row],[id_operacion]],tblEjecucion[id_operacion],tblEjecucion[precio],0))</f>
        <v/>
      </c>
      <c r="AG115" s="10">
        <f>IF(tblOrdenes[[#This Row],[orden]]="","",MAX(0,_xlfn.XLOOKUP(tblOrdenes[[#This Row],[id_operacion]],tblEjecucion[id_operacion],tblEjecucion[costo_plan_total],0)-tblOrdenes[[#This Row],[costo_servicio]]))</f>
        <v/>
      </c>
      <c r="AH115" s="10">
        <f>IF(tblOrdenes[[#This Row],[orden]]="","",tblOrdenes[[#This Row],[costo_servicio]]+tblOrdenes[[#This Row],[costo_materiales]])</f>
        <v/>
      </c>
      <c r="AI115" s="6" t="inlineStr"/>
      <c r="AJ115" s="6" t="inlineStr"/>
      <c r="AK115" s="6" t="inlineStr">
        <is>
          <t>ACT-02.pdf</t>
        </is>
      </c>
      <c r="AL115" s="3">
        <f>IF(tblOrdenes[[#This Row],[link_checklist]]="","",HYPERLINK(p_ruta_base_checklists&amp;tblOrdenes[[#This Row],[link_checklist]],"abrir"))</f>
        <v/>
      </c>
      <c r="AM115" s="6" t="inlineStr"/>
      <c r="AN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Row],[tipo_ot]]="","",_xlfn.XLOOKUP(tblOrdenes[[#This Row],[tipo_ot]],tblTiposOT[codigo],tblTiposOT[clasificacion],"sin_clasificar"))</f>
        <v/>
      </c>
      <c r="T116" s="3">
        <f>IF(tblOrdenes[[#This Row],[centro_costo]]="","",_xlfn.XLOOKUP(tblOrdenes[[#This Row],[centro_costo]],tblCECO[codigo],tblCECO[linea],"(sin catálogo)"))</f>
        <v/>
      </c>
      <c r="U116" s="3">
        <f>IF(tblOrdenes[[#This Row],[centro_costo]]="","",_xlfn.XLOOKUP(tblOrdenes[[#This Row],[centro_costo]],tblCECO[codigo],tblCECO[area],"(sin catálogo)"))</f>
        <v/>
      </c>
      <c r="V116" s="3">
        <f>IF(tblOrdenes[[#This Row],[centro_costo]]="","",_xlfn.XLOOKUP(tblOrdenes[[#This Row],[centro_costo]],tblCECO[codigo],tblCECO[coordinador],"(sin catálogo)"))</f>
        <v/>
      </c>
      <c r="W116" s="3">
        <f>IF(tblOrdenes[[#This Row],[puesto_trabajo]]="","",_xlfn.XLOOKUP(tblOrdenes[[#This Row],[puesto_trabajo]],tblPuestos[codigo],tblPuestos[especialidad],"(sin catálogo)"))</f>
        <v/>
      </c>
      <c r="X116" s="3">
        <f>IF(tblOrdenes[[#This Row],[cod_actividad]]="","",_xlfn.XLOOKUP(tblOrdenes[[#This Row],[cod_actividad]],tblActividades[codigo],tblActividades[descripcion],"(sin catálogo)"))</f>
        <v/>
      </c>
      <c r="Y116" s="12">
        <f>IF(tblOrdenes[[#This Row],[fecha_inicio]]="","",TODAY()-tblOrdenes[[#This Row],[fecha_inicio]])</f>
        <v/>
      </c>
      <c r="Z116" s="3">
        <f>IF(tblOrdenes[[#This Row],[backlog_dias]]="","",IF(tblOrdenes[[#This Row],[backlog_dias]]&lt;0,"FUTURO",IF(tblOrdenes[[#This Row],[backlog_dias]]&gt;p_dias_backlog_max,"BACKLOG","MES CORRIENTE")))</f>
        <v/>
      </c>
      <c r="AA116" s="3">
        <f>IF(tblOrdenes[[#This Row],[backlog_dias]]="",FALSE,AND(tblOrdenes[[#This Row],[backlog_dias]]&gt;p_dias_backlog_min,tblOrdenes[[#This Row],[backlog_dias]]&lt;=p_dias_backlog_max))</f>
        <v/>
      </c>
      <c r="AB116" s="6" t="inlineStr">
        <is>
          <t>Técnico 11</t>
        </is>
      </c>
      <c r="AC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" s="10">
        <f>IF(tblOrdenes[[#This Row],[orden]]="","",_xlfn.XLOOKUP(tblOrdenes[[#This Row],[id_operacion]],tblEjecucion[id_operacion],tblEjecucion[precio],0))</f>
        <v/>
      </c>
      <c r="AG116" s="10">
        <f>IF(tblOrdenes[[#This Row],[orden]]="","",MAX(0,_xlfn.XLOOKUP(tblOrdenes[[#This Row],[id_operacion]],tblEjecucion[id_operacion],tblEjecucion[costo_plan_total],0)-tblOrdenes[[#This Row],[costo_servicio]]))</f>
        <v/>
      </c>
      <c r="AH116" s="10">
        <f>IF(tblOrdenes[[#This Row],[orden]]="","",tblOrdenes[[#This Row],[costo_servicio]]+tblOrdenes[[#This Row],[costo_materiales]])</f>
        <v/>
      </c>
      <c r="AI116" s="6" t="inlineStr"/>
      <c r="AJ116" s="6" t="inlineStr"/>
      <c r="AK116" s="6" t="inlineStr">
        <is>
          <t>ACT-04.pdf</t>
        </is>
      </c>
      <c r="AL116" s="3">
        <f>IF(tblOrdenes[[#This Row],[link_checklist]]="","",HYPERLINK(p_ruta_base_checklists&amp;tblOrdenes[[#This Row],[link_checklist]],"abrir"))</f>
        <v/>
      </c>
      <c r="AM116" s="6" t="inlineStr"/>
      <c r="AN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Row],[tipo_ot]]="","",_xlfn.XLOOKUP(tblOrdenes[[#This Row],[tipo_ot]],tblTiposOT[codigo],tblTiposOT[clasificacion],"sin_clasificar"))</f>
        <v/>
      </c>
      <c r="T117" s="3">
        <f>IF(tblOrdenes[[#This Row],[centro_costo]]="","",_xlfn.XLOOKUP(tblOrdenes[[#This Row],[centro_costo]],tblCECO[codigo],tblCECO[linea],"(sin catálogo)"))</f>
        <v/>
      </c>
      <c r="U117" s="3">
        <f>IF(tblOrdenes[[#This Row],[centro_costo]]="","",_xlfn.XLOOKUP(tblOrdenes[[#This Row],[centro_costo]],tblCECO[codigo],tblCECO[area],"(sin catálogo)"))</f>
        <v/>
      </c>
      <c r="V117" s="3">
        <f>IF(tblOrdenes[[#This Row],[centro_costo]]="","",_xlfn.XLOOKUP(tblOrdenes[[#This Row],[centro_costo]],tblCECO[codigo],tblCECO[coordinador],"(sin catálogo)"))</f>
        <v/>
      </c>
      <c r="W117" s="3">
        <f>IF(tblOrdenes[[#This Row],[puesto_trabajo]]="","",_xlfn.XLOOKUP(tblOrdenes[[#This Row],[puesto_trabajo]],tblPuestos[codigo],tblPuestos[especialidad],"(sin catálogo)"))</f>
        <v/>
      </c>
      <c r="X117" s="3">
        <f>IF(tblOrdenes[[#This Row],[cod_actividad]]="","",_xlfn.XLOOKUP(tblOrdenes[[#This Row],[cod_actividad]],tblActividades[codigo],tblActividades[descripcion],"(sin catálogo)"))</f>
        <v/>
      </c>
      <c r="Y117" s="12">
        <f>IF(tblOrdenes[[#This Row],[fecha_inicio]]="","",TODAY()-tblOrdenes[[#This Row],[fecha_inicio]])</f>
        <v/>
      </c>
      <c r="Z117" s="3">
        <f>IF(tblOrdenes[[#This Row],[backlog_dias]]="","",IF(tblOrdenes[[#This Row],[backlog_dias]]&lt;0,"FUTURO",IF(tblOrdenes[[#This Row],[backlog_dias]]&gt;p_dias_backlog_max,"BACKLOG","MES CORRIENTE")))</f>
        <v/>
      </c>
      <c r="AA117" s="3">
        <f>IF(tblOrdenes[[#This Row],[backlog_dias]]="",FALSE,AND(tblOrdenes[[#This Row],[backlog_dias]]&gt;p_dias_backlog_min,tblOrdenes[[#This Row],[backlog_dias]]&lt;=p_dias_backlog_max))</f>
        <v/>
      </c>
      <c r="AB117" s="6" t="inlineStr">
        <is>
          <t>Técnico 12</t>
        </is>
      </c>
      <c r="AC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" s="10">
        <f>IF(tblOrdenes[[#This Row],[orden]]="","",_xlfn.XLOOKUP(tblOrdenes[[#This Row],[id_operacion]],tblEjecucion[id_operacion],tblEjecucion[precio],0))</f>
        <v/>
      </c>
      <c r="AG117" s="10">
        <f>IF(tblOrdenes[[#This Row],[orden]]="","",MAX(0,_xlfn.XLOOKUP(tblOrdenes[[#This Row],[id_operacion]],tblEjecucion[id_operacion],tblEjecucion[costo_plan_total],0)-tblOrdenes[[#This Row],[costo_servicio]]))</f>
        <v/>
      </c>
      <c r="AH117" s="10">
        <f>IF(tblOrdenes[[#This Row],[orden]]="","",tblOrdenes[[#This Row],[costo_servicio]]+tblOrdenes[[#This Row],[costo_materiales]])</f>
        <v/>
      </c>
      <c r="AI117" s="6" t="inlineStr"/>
      <c r="AJ117" s="6" t="inlineStr"/>
      <c r="AK117" s="6" t="inlineStr">
        <is>
          <t>ACT-01.pdf</t>
        </is>
      </c>
      <c r="AL117" s="3">
        <f>IF(tblOrdenes[[#This Row],[link_checklist]]="","",HYPERLINK(p_ruta_base_checklists&amp;tblOrdenes[[#This Row],[link_checklist]],"abrir"))</f>
        <v/>
      </c>
      <c r="AM117" s="6" t="inlineStr"/>
      <c r="AN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Row],[tipo_ot]]="","",_xlfn.XLOOKUP(tblOrdenes[[#This Row],[tipo_ot]],tblTiposOT[codigo],tblTiposOT[clasificacion],"sin_clasificar"))</f>
        <v/>
      </c>
      <c r="T118" s="3">
        <f>IF(tblOrdenes[[#This Row],[centro_costo]]="","",_xlfn.XLOOKUP(tblOrdenes[[#This Row],[centro_costo]],tblCECO[codigo],tblCECO[linea],"(sin catálogo)"))</f>
        <v/>
      </c>
      <c r="U118" s="3">
        <f>IF(tblOrdenes[[#This Row],[centro_costo]]="","",_xlfn.XLOOKUP(tblOrdenes[[#This Row],[centro_costo]],tblCECO[codigo],tblCECO[area],"(sin catálogo)"))</f>
        <v/>
      </c>
      <c r="V118" s="3">
        <f>IF(tblOrdenes[[#This Row],[centro_costo]]="","",_xlfn.XLOOKUP(tblOrdenes[[#This Row],[centro_costo]],tblCECO[codigo],tblCECO[coordinador],"(sin catálogo)"))</f>
        <v/>
      </c>
      <c r="W118" s="3">
        <f>IF(tblOrdenes[[#This Row],[puesto_trabajo]]="","",_xlfn.XLOOKUP(tblOrdenes[[#This Row],[puesto_trabajo]],tblPuestos[codigo],tblPuestos[especialidad],"(sin catálogo)"))</f>
        <v/>
      </c>
      <c r="X118" s="3">
        <f>IF(tblOrdenes[[#This Row],[cod_actividad]]="","",_xlfn.XLOOKUP(tblOrdenes[[#This Row],[cod_actividad]],tblActividades[codigo],tblActividades[descripcion],"(sin catálogo)"))</f>
        <v/>
      </c>
      <c r="Y118" s="12">
        <f>IF(tblOrdenes[[#This Row],[fecha_inicio]]="","",TODAY()-tblOrdenes[[#This Row],[fecha_inicio]])</f>
        <v/>
      </c>
      <c r="Z118" s="3">
        <f>IF(tblOrdenes[[#This Row],[backlog_dias]]="","",IF(tblOrdenes[[#This Row],[backlog_dias]]&lt;0,"FUTURO",IF(tblOrdenes[[#This Row],[backlog_dias]]&gt;p_dias_backlog_max,"BACKLOG","MES CORRIENTE")))</f>
        <v/>
      </c>
      <c r="AA118" s="3">
        <f>IF(tblOrdenes[[#This Row],[backlog_dias]]="",FALSE,AND(tblOrdenes[[#This Row],[backlog_dias]]&gt;p_dias_backlog_min,tblOrdenes[[#This Row],[backlog_dias]]&lt;=p_dias_backlog_max))</f>
        <v/>
      </c>
      <c r="AB118" s="6" t="inlineStr">
        <is>
          <t>Técnico 10</t>
        </is>
      </c>
      <c r="AC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" s="10">
        <f>IF(tblOrdenes[[#This Row],[orden]]="","",_xlfn.XLOOKUP(tblOrdenes[[#This Row],[id_operacion]],tblEjecucion[id_operacion],tblEjecucion[precio],0))</f>
        <v/>
      </c>
      <c r="AG118" s="10">
        <f>IF(tblOrdenes[[#This Row],[orden]]="","",MAX(0,_xlfn.XLOOKUP(tblOrdenes[[#This Row],[id_operacion]],tblEjecucion[id_operacion],tblEjecucion[costo_plan_total],0)-tblOrdenes[[#This Row],[costo_servicio]]))</f>
        <v/>
      </c>
      <c r="AH118" s="10">
        <f>IF(tblOrdenes[[#This Row],[orden]]="","",tblOrdenes[[#This Row],[costo_servicio]]+tblOrdenes[[#This Row],[costo_materiales]])</f>
        <v/>
      </c>
      <c r="AI118" s="6" t="inlineStr"/>
      <c r="AJ118" s="6" t="inlineStr"/>
      <c r="AK118" s="6" t="inlineStr">
        <is>
          <t>ACT-02.pdf</t>
        </is>
      </c>
      <c r="AL118" s="3">
        <f>IF(tblOrdenes[[#This Row],[link_checklist]]="","",HYPERLINK(p_ruta_base_checklists&amp;tblOrdenes[[#This Row],[link_checklist]],"abrir"))</f>
        <v/>
      </c>
      <c r="AM118" s="6" t="inlineStr"/>
      <c r="AN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Row],[tipo_ot]]="","",_xlfn.XLOOKUP(tblOrdenes[[#This Row],[tipo_ot]],tblTiposOT[codigo],tblTiposOT[clasificacion],"sin_clasificar"))</f>
        <v/>
      </c>
      <c r="T119" s="3">
        <f>IF(tblOrdenes[[#This Row],[centro_costo]]="","",_xlfn.XLOOKUP(tblOrdenes[[#This Row],[centro_costo]],tblCECO[codigo],tblCECO[linea],"(sin catálogo)"))</f>
        <v/>
      </c>
      <c r="U119" s="3">
        <f>IF(tblOrdenes[[#This Row],[centro_costo]]="","",_xlfn.XLOOKUP(tblOrdenes[[#This Row],[centro_costo]],tblCECO[codigo],tblCECO[area],"(sin catálogo)"))</f>
        <v/>
      </c>
      <c r="V119" s="3">
        <f>IF(tblOrdenes[[#This Row],[centro_costo]]="","",_xlfn.XLOOKUP(tblOrdenes[[#This Row],[centro_costo]],tblCECO[codigo],tblCECO[coordinador],"(sin catálogo)"))</f>
        <v/>
      </c>
      <c r="W119" s="3">
        <f>IF(tblOrdenes[[#This Row],[puesto_trabajo]]="","",_xlfn.XLOOKUP(tblOrdenes[[#This Row],[puesto_trabajo]],tblPuestos[codigo],tblPuestos[especialidad],"(sin catálogo)"))</f>
        <v/>
      </c>
      <c r="X119" s="3">
        <f>IF(tblOrdenes[[#This Row],[cod_actividad]]="","",_xlfn.XLOOKUP(tblOrdenes[[#This Row],[cod_actividad]],tblActividades[codigo],tblActividades[descripcion],"(sin catálogo)"))</f>
        <v/>
      </c>
      <c r="Y119" s="12">
        <f>IF(tblOrdenes[[#This Row],[fecha_inicio]]="","",TODAY()-tblOrdenes[[#This Row],[fecha_inicio]])</f>
        <v/>
      </c>
      <c r="Z119" s="3">
        <f>IF(tblOrdenes[[#This Row],[backlog_dias]]="","",IF(tblOrdenes[[#This Row],[backlog_dias]]&lt;0,"FUTURO",IF(tblOrdenes[[#This Row],[backlog_dias]]&gt;p_dias_backlog_max,"BACKLOG","MES CORRIENTE")))</f>
        <v/>
      </c>
      <c r="AA119" s="3">
        <f>IF(tblOrdenes[[#This Row],[backlog_dias]]="",FALSE,AND(tblOrdenes[[#This Row],[backlog_dias]]&gt;p_dias_backlog_min,tblOrdenes[[#This Row],[backlog_dias]]&lt;=p_dias_backlog_max))</f>
        <v/>
      </c>
      <c r="AB119" s="6" t="inlineStr">
        <is>
          <t>Técnico 11</t>
        </is>
      </c>
      <c r="AC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" s="10">
        <f>IF(tblOrdenes[[#This Row],[orden]]="","",_xlfn.XLOOKUP(tblOrdenes[[#This Row],[id_operacion]],tblEjecucion[id_operacion],tblEjecucion[precio],0))</f>
        <v/>
      </c>
      <c r="AG119" s="10">
        <f>IF(tblOrdenes[[#This Row],[orden]]="","",MAX(0,_xlfn.XLOOKUP(tblOrdenes[[#This Row],[id_operacion]],tblEjecucion[id_operacion],tblEjecucion[costo_plan_total],0)-tblOrdenes[[#This Row],[costo_servicio]]))</f>
        <v/>
      </c>
      <c r="AH119" s="10">
        <f>IF(tblOrdenes[[#This Row],[orden]]="","",tblOrdenes[[#This Row],[costo_servicio]]+tblOrdenes[[#This Row],[costo_materiales]])</f>
        <v/>
      </c>
      <c r="AI119" s="6" t="inlineStr"/>
      <c r="AJ119" s="6" t="inlineStr"/>
      <c r="AK119" s="6" t="inlineStr">
        <is>
          <t>ACT-04.pdf</t>
        </is>
      </c>
      <c r="AL119" s="3">
        <f>IF(tblOrdenes[[#This Row],[link_checklist]]="","",HYPERLINK(p_ruta_base_checklists&amp;tblOrdenes[[#This Row],[link_checklist]],"abrir"))</f>
        <v/>
      </c>
      <c r="AM119" s="6" t="inlineStr"/>
      <c r="AN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Row],[tipo_ot]]="","",_xlfn.XLOOKUP(tblOrdenes[[#This Row],[tipo_ot]],tblTiposOT[codigo],tblTiposOT[clasificacion],"sin_clasificar"))</f>
        <v/>
      </c>
      <c r="T120" s="3">
        <f>IF(tblOrdenes[[#This Row],[centro_costo]]="","",_xlfn.XLOOKUP(tblOrdenes[[#This Row],[centro_costo]],tblCECO[codigo],tblCECO[linea],"(sin catálogo)"))</f>
        <v/>
      </c>
      <c r="U120" s="3">
        <f>IF(tblOrdenes[[#This Row],[centro_costo]]="","",_xlfn.XLOOKUP(tblOrdenes[[#This Row],[centro_costo]],tblCECO[codigo],tblCECO[area],"(sin catálogo)"))</f>
        <v/>
      </c>
      <c r="V120" s="3">
        <f>IF(tblOrdenes[[#This Row],[centro_costo]]="","",_xlfn.XLOOKUP(tblOrdenes[[#This Row],[centro_costo]],tblCECO[codigo],tblCECO[coordinador],"(sin catálogo)"))</f>
        <v/>
      </c>
      <c r="W120" s="3">
        <f>IF(tblOrdenes[[#This Row],[puesto_trabajo]]="","",_xlfn.XLOOKUP(tblOrdenes[[#This Row],[puesto_trabajo]],tblPuestos[codigo],tblPuestos[especialidad],"(sin catálogo)"))</f>
        <v/>
      </c>
      <c r="X120" s="3">
        <f>IF(tblOrdenes[[#This Row],[cod_actividad]]="","",_xlfn.XLOOKUP(tblOrdenes[[#This Row],[cod_actividad]],tblActividades[codigo],tblActividades[descripcion],"(sin catálogo)"))</f>
        <v/>
      </c>
      <c r="Y120" s="12">
        <f>IF(tblOrdenes[[#This Row],[fecha_inicio]]="","",TODAY()-tblOrdenes[[#This Row],[fecha_inicio]])</f>
        <v/>
      </c>
      <c r="Z120" s="3">
        <f>IF(tblOrdenes[[#This Row],[backlog_dias]]="","",IF(tblOrdenes[[#This Row],[backlog_dias]]&lt;0,"FUTURO",IF(tblOrdenes[[#This Row],[backlog_dias]]&gt;p_dias_backlog_max,"BACKLOG","MES CORRIENTE")))</f>
        <v/>
      </c>
      <c r="AA120" s="3">
        <f>IF(tblOrdenes[[#This Row],[backlog_dias]]="",FALSE,AND(tblOrdenes[[#This Row],[backlog_dias]]&gt;p_dias_backlog_min,tblOrdenes[[#This Row],[backlog_dias]]&lt;=p_dias_backlog_max))</f>
        <v/>
      </c>
      <c r="AB120" s="6" t="inlineStr">
        <is>
          <t>Técnico 12</t>
        </is>
      </c>
      <c r="AC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" s="10">
        <f>IF(tblOrdenes[[#This Row],[orden]]="","",_xlfn.XLOOKUP(tblOrdenes[[#This Row],[id_operacion]],tblEjecucion[id_operacion],tblEjecucion[precio],0))</f>
        <v/>
      </c>
      <c r="AG120" s="10">
        <f>IF(tblOrdenes[[#This Row],[orden]]="","",MAX(0,_xlfn.XLOOKUP(tblOrdenes[[#This Row],[id_operacion]],tblEjecucion[id_operacion],tblEjecucion[costo_plan_total],0)-tblOrdenes[[#This Row],[costo_servicio]]))</f>
        <v/>
      </c>
      <c r="AH120" s="10">
        <f>IF(tblOrdenes[[#This Row],[orden]]="","",tblOrdenes[[#This Row],[costo_servicio]]+tblOrdenes[[#This Row],[costo_materiales]])</f>
        <v/>
      </c>
      <c r="AI120" s="6" t="inlineStr"/>
      <c r="AJ120" s="6" t="inlineStr"/>
      <c r="AK120" s="6" t="inlineStr"/>
      <c r="AL120" s="3">
        <f>IF(tblOrdenes[[#This Row],[link_checklist]]="","",HYPERLINK(p_ruta_base_checklists&amp;tblOrdenes[[#This Row],[link_checklist]],"abrir"))</f>
        <v/>
      </c>
      <c r="AM120" s="6" t="inlineStr"/>
      <c r="AN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Row],[tipo_ot]]="","",_xlfn.XLOOKUP(tblOrdenes[[#This Row],[tipo_ot]],tblTiposOT[codigo],tblTiposOT[clasificacion],"sin_clasificar"))</f>
        <v/>
      </c>
      <c r="T121" s="3">
        <f>IF(tblOrdenes[[#This Row],[centro_costo]]="","",_xlfn.XLOOKUP(tblOrdenes[[#This Row],[centro_costo]],tblCECO[codigo],tblCECO[linea],"(sin catálogo)"))</f>
        <v/>
      </c>
      <c r="U121" s="3">
        <f>IF(tblOrdenes[[#This Row],[centro_costo]]="","",_xlfn.XLOOKUP(tblOrdenes[[#This Row],[centro_costo]],tblCECO[codigo],tblCECO[area],"(sin catálogo)"))</f>
        <v/>
      </c>
      <c r="V121" s="3">
        <f>IF(tblOrdenes[[#This Row],[centro_costo]]="","",_xlfn.XLOOKUP(tblOrdenes[[#This Row],[centro_costo]],tblCECO[codigo],tblCECO[coordinador],"(sin catálogo)"))</f>
        <v/>
      </c>
      <c r="W121" s="3">
        <f>IF(tblOrdenes[[#This Row],[puesto_trabajo]]="","",_xlfn.XLOOKUP(tblOrdenes[[#This Row],[puesto_trabajo]],tblPuestos[codigo],tblPuestos[especialidad],"(sin catálogo)"))</f>
        <v/>
      </c>
      <c r="X121" s="3">
        <f>IF(tblOrdenes[[#This Row],[cod_actividad]]="","",_xlfn.XLOOKUP(tblOrdenes[[#This Row],[cod_actividad]],tblActividades[codigo],tblActividades[descripcion],"(sin catálogo)"))</f>
        <v/>
      </c>
      <c r="Y121" s="12">
        <f>IF(tblOrdenes[[#This Row],[fecha_inicio]]="","",TODAY()-tblOrdenes[[#This Row],[fecha_inicio]])</f>
        <v/>
      </c>
      <c r="Z121" s="3">
        <f>IF(tblOrdenes[[#This Row],[backlog_dias]]="","",IF(tblOrdenes[[#This Row],[backlog_dias]]&lt;0,"FUTURO",IF(tblOrdenes[[#This Row],[backlog_dias]]&gt;p_dias_backlog_max,"BACKLOG","MES CORRIENTE")))</f>
        <v/>
      </c>
      <c r="AA121" s="3">
        <f>IF(tblOrdenes[[#This Row],[backlog_dias]]="",FALSE,AND(tblOrdenes[[#This Row],[backlog_dias]]&gt;p_dias_backlog_min,tblOrdenes[[#This Row],[backlog_dias]]&lt;=p_dias_backlog_max))</f>
        <v/>
      </c>
      <c r="AB121" s="6" t="inlineStr">
        <is>
          <t>Técnico 10</t>
        </is>
      </c>
      <c r="AC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1" s="10">
        <f>IF(tblOrdenes[[#This Row],[orden]]="","",_xlfn.XLOOKUP(tblOrdenes[[#This Row],[id_operacion]],tblEjecucion[id_operacion],tblEjecucion[precio],0))</f>
        <v/>
      </c>
      <c r="AG121" s="10">
        <f>IF(tblOrdenes[[#This Row],[orden]]="","",MAX(0,_xlfn.XLOOKUP(tblOrdenes[[#This Row],[id_operacion]],tblEjecucion[id_operacion],tblEjecucion[costo_plan_total],0)-tblOrdenes[[#This Row],[costo_servicio]]))</f>
        <v/>
      </c>
      <c r="AH121" s="10">
        <f>IF(tblOrdenes[[#This Row],[orden]]="","",tblOrdenes[[#This Row],[costo_servicio]]+tblOrdenes[[#This Row],[costo_materiales]])</f>
        <v/>
      </c>
      <c r="AI121" s="6" t="inlineStr"/>
      <c r="AJ121" s="6" t="inlineStr"/>
      <c r="AK121" s="6" t="inlineStr">
        <is>
          <t>ACT-02.pdf</t>
        </is>
      </c>
      <c r="AL121" s="3">
        <f>IF(tblOrdenes[[#This Row],[link_checklist]]="","",HYPERLINK(p_ruta_base_checklists&amp;tblOrdenes[[#This Row],[link_checklist]],"abrir"))</f>
        <v/>
      </c>
      <c r="AM121" s="6" t="inlineStr"/>
      <c r="AN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Row],[tipo_ot]]="","",_xlfn.XLOOKUP(tblOrdenes[[#This Row],[tipo_ot]],tblTiposOT[codigo],tblTiposOT[clasificacion],"sin_clasificar"))</f>
        <v/>
      </c>
      <c r="T122" s="3">
        <f>IF(tblOrdenes[[#This Row],[centro_costo]]="","",_xlfn.XLOOKUP(tblOrdenes[[#This Row],[centro_costo]],tblCECO[codigo],tblCECO[linea],"(sin catálogo)"))</f>
        <v/>
      </c>
      <c r="U122" s="3">
        <f>IF(tblOrdenes[[#This Row],[centro_costo]]="","",_xlfn.XLOOKUP(tblOrdenes[[#This Row],[centro_costo]],tblCECO[codigo],tblCECO[area],"(sin catálogo)"))</f>
        <v/>
      </c>
      <c r="V122" s="3">
        <f>IF(tblOrdenes[[#This Row],[centro_costo]]="","",_xlfn.XLOOKUP(tblOrdenes[[#This Row],[centro_costo]],tblCECO[codigo],tblCECO[coordinador],"(sin catálogo)"))</f>
        <v/>
      </c>
      <c r="W122" s="3">
        <f>IF(tblOrdenes[[#This Row],[puesto_trabajo]]="","",_xlfn.XLOOKUP(tblOrdenes[[#This Row],[puesto_trabajo]],tblPuestos[codigo],tblPuestos[especialidad],"(sin catálogo)"))</f>
        <v/>
      </c>
      <c r="X122" s="3">
        <f>IF(tblOrdenes[[#This Row],[cod_actividad]]="","",_xlfn.XLOOKUP(tblOrdenes[[#This Row],[cod_actividad]],tblActividades[codigo],tblActividades[descripcion],"(sin catálogo)"))</f>
        <v/>
      </c>
      <c r="Y122" s="12">
        <f>IF(tblOrdenes[[#This Row],[fecha_inicio]]="","",TODAY()-tblOrdenes[[#This Row],[fecha_inicio]])</f>
        <v/>
      </c>
      <c r="Z122" s="3">
        <f>IF(tblOrdenes[[#This Row],[backlog_dias]]="","",IF(tblOrdenes[[#This Row],[backlog_dias]]&lt;0,"FUTURO",IF(tblOrdenes[[#This Row],[backlog_dias]]&gt;p_dias_backlog_max,"BACKLOG","MES CORRIENTE")))</f>
        <v/>
      </c>
      <c r="AA122" s="3">
        <f>IF(tblOrdenes[[#This Row],[backlog_dias]]="",FALSE,AND(tblOrdenes[[#This Row],[backlog_dias]]&gt;p_dias_backlog_min,tblOrdenes[[#This Row],[backlog_dias]]&lt;=p_dias_backlog_max))</f>
        <v/>
      </c>
      <c r="AB122" s="6" t="inlineStr">
        <is>
          <t>Técnico 11</t>
        </is>
      </c>
      <c r="AC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2" s="10">
        <f>IF(tblOrdenes[[#This Row],[orden]]="","",_xlfn.XLOOKUP(tblOrdenes[[#This Row],[id_operacion]],tblEjecucion[id_operacion],tblEjecucion[precio],0))</f>
        <v/>
      </c>
      <c r="AG122" s="10">
        <f>IF(tblOrdenes[[#This Row],[orden]]="","",MAX(0,_xlfn.XLOOKUP(tblOrdenes[[#This Row],[id_operacion]],tblEjecucion[id_operacion],tblEjecucion[costo_plan_total],0)-tblOrdenes[[#This Row],[costo_servicio]]))</f>
        <v/>
      </c>
      <c r="AH122" s="10">
        <f>IF(tblOrdenes[[#This Row],[orden]]="","",tblOrdenes[[#This Row],[costo_servicio]]+tblOrdenes[[#This Row],[costo_materiales]])</f>
        <v/>
      </c>
      <c r="AI122" s="6" t="inlineStr"/>
      <c r="AJ122" s="6" t="inlineStr"/>
      <c r="AK122" s="6" t="inlineStr">
        <is>
          <t>ACT-04.pdf</t>
        </is>
      </c>
      <c r="AL122" s="3">
        <f>IF(tblOrdenes[[#This Row],[link_checklist]]="","",HYPERLINK(p_ruta_base_checklists&amp;tblOrdenes[[#This Row],[link_checklist]],"abrir"))</f>
        <v/>
      </c>
      <c r="AM122" s="6" t="inlineStr"/>
      <c r="AN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Row],[tipo_ot]]="","",_xlfn.XLOOKUP(tblOrdenes[[#This Row],[tipo_ot]],tblTiposOT[codigo],tblTiposOT[clasificacion],"sin_clasificar"))</f>
        <v/>
      </c>
      <c r="T123" s="3">
        <f>IF(tblOrdenes[[#This Row],[centro_costo]]="","",_xlfn.XLOOKUP(tblOrdenes[[#This Row],[centro_costo]],tblCECO[codigo],tblCECO[linea],"(sin catálogo)"))</f>
        <v/>
      </c>
      <c r="U123" s="3">
        <f>IF(tblOrdenes[[#This Row],[centro_costo]]="","",_xlfn.XLOOKUP(tblOrdenes[[#This Row],[centro_costo]],tblCECO[codigo],tblCECO[area],"(sin catálogo)"))</f>
        <v/>
      </c>
      <c r="V123" s="3">
        <f>IF(tblOrdenes[[#This Row],[centro_costo]]="","",_xlfn.XLOOKUP(tblOrdenes[[#This Row],[centro_costo]],tblCECO[codigo],tblCECO[coordinador],"(sin catálogo)"))</f>
        <v/>
      </c>
      <c r="W123" s="3">
        <f>IF(tblOrdenes[[#This Row],[puesto_trabajo]]="","",_xlfn.XLOOKUP(tblOrdenes[[#This Row],[puesto_trabajo]],tblPuestos[codigo],tblPuestos[especialidad],"(sin catálogo)"))</f>
        <v/>
      </c>
      <c r="X123" s="3">
        <f>IF(tblOrdenes[[#This Row],[cod_actividad]]="","",_xlfn.XLOOKUP(tblOrdenes[[#This Row],[cod_actividad]],tblActividades[codigo],tblActividades[descripcion],"(sin catálogo)"))</f>
        <v/>
      </c>
      <c r="Y123" s="12">
        <f>IF(tblOrdenes[[#This Row],[fecha_inicio]]="","",TODAY()-tblOrdenes[[#This Row],[fecha_inicio]])</f>
        <v/>
      </c>
      <c r="Z123" s="3">
        <f>IF(tblOrdenes[[#This Row],[backlog_dias]]="","",IF(tblOrdenes[[#This Row],[backlog_dias]]&lt;0,"FUTURO",IF(tblOrdenes[[#This Row],[backlog_dias]]&gt;p_dias_backlog_max,"BACKLOG","MES CORRIENTE")))</f>
        <v/>
      </c>
      <c r="AA123" s="3">
        <f>IF(tblOrdenes[[#This Row],[backlog_dias]]="",FALSE,AND(tblOrdenes[[#This Row],[backlog_dias]]&gt;p_dias_backlog_min,tblOrdenes[[#This Row],[backlog_dias]]&lt;=p_dias_backlog_max))</f>
        <v/>
      </c>
      <c r="AB123" s="6" t="inlineStr"/>
      <c r="AC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3" s="10">
        <f>IF(tblOrdenes[[#This Row],[orden]]="","",_xlfn.XLOOKUP(tblOrdenes[[#This Row],[id_operacion]],tblEjecucion[id_operacion],tblEjecucion[precio],0))</f>
        <v/>
      </c>
      <c r="AG123" s="10">
        <f>IF(tblOrdenes[[#This Row],[orden]]="","",MAX(0,_xlfn.XLOOKUP(tblOrdenes[[#This Row],[id_operacion]],tblEjecucion[id_operacion],tblEjecucion[costo_plan_total],0)-tblOrdenes[[#This Row],[costo_servicio]]))</f>
        <v/>
      </c>
      <c r="AH123" s="10">
        <f>IF(tblOrdenes[[#This Row],[orden]]="","",tblOrdenes[[#This Row],[costo_servicio]]+tblOrdenes[[#This Row],[costo_materiales]])</f>
        <v/>
      </c>
      <c r="AI123" s="6" t="inlineStr"/>
      <c r="AJ123" s="6" t="inlineStr"/>
      <c r="AK123" s="6" t="inlineStr">
        <is>
          <t>ACT-01.pdf</t>
        </is>
      </c>
      <c r="AL123" s="3">
        <f>IF(tblOrdenes[[#This Row],[link_checklist]]="","",HYPERLINK(p_ruta_base_checklists&amp;tblOrdenes[[#This Row],[link_checklist]],"abrir"))</f>
        <v/>
      </c>
      <c r="AM123" s="6" t="inlineStr"/>
      <c r="AN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Row],[tipo_ot]]="","",_xlfn.XLOOKUP(tblOrdenes[[#This Row],[tipo_ot]],tblTiposOT[codigo],tblTiposOT[clasificacion],"sin_clasificar"))</f>
        <v/>
      </c>
      <c r="T124" s="3">
        <f>IF(tblOrdenes[[#This Row],[centro_costo]]="","",_xlfn.XLOOKUP(tblOrdenes[[#This Row],[centro_costo]],tblCECO[codigo],tblCECO[linea],"(sin catálogo)"))</f>
        <v/>
      </c>
      <c r="U124" s="3">
        <f>IF(tblOrdenes[[#This Row],[centro_costo]]="","",_xlfn.XLOOKUP(tblOrdenes[[#This Row],[centro_costo]],tblCECO[codigo],tblCECO[area],"(sin catálogo)"))</f>
        <v/>
      </c>
      <c r="V124" s="3">
        <f>IF(tblOrdenes[[#This Row],[centro_costo]]="","",_xlfn.XLOOKUP(tblOrdenes[[#This Row],[centro_costo]],tblCECO[codigo],tblCECO[coordinador],"(sin catálogo)"))</f>
        <v/>
      </c>
      <c r="W124" s="3">
        <f>IF(tblOrdenes[[#This Row],[puesto_trabajo]]="","",_xlfn.XLOOKUP(tblOrdenes[[#This Row],[puesto_trabajo]],tblPuestos[codigo],tblPuestos[especialidad],"(sin catálogo)"))</f>
        <v/>
      </c>
      <c r="X124" s="3">
        <f>IF(tblOrdenes[[#This Row],[cod_actividad]]="","",_xlfn.XLOOKUP(tblOrdenes[[#This Row],[cod_actividad]],tblActividades[codigo],tblActividades[descripcion],"(sin catálogo)"))</f>
        <v/>
      </c>
      <c r="Y124" s="12">
        <f>IF(tblOrdenes[[#This Row],[fecha_inicio]]="","",TODAY()-tblOrdenes[[#This Row],[fecha_inicio]])</f>
        <v/>
      </c>
      <c r="Z124" s="3">
        <f>IF(tblOrdenes[[#This Row],[backlog_dias]]="","",IF(tblOrdenes[[#This Row],[backlog_dias]]&lt;0,"FUTURO",IF(tblOrdenes[[#This Row],[backlog_dias]]&gt;p_dias_backlog_max,"BACKLOG","MES CORRIENTE")))</f>
        <v/>
      </c>
      <c r="AA124" s="3">
        <f>IF(tblOrdenes[[#This Row],[backlog_dias]]="",FALSE,AND(tblOrdenes[[#This Row],[backlog_dias]]&gt;p_dias_backlog_min,tblOrdenes[[#This Row],[backlog_dias]]&lt;=p_dias_backlog_max))</f>
        <v/>
      </c>
      <c r="AB124" s="6" t="inlineStr">
        <is>
          <t>Técnico 10</t>
        </is>
      </c>
      <c r="AC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4" s="10">
        <f>IF(tblOrdenes[[#This Row],[orden]]="","",_xlfn.XLOOKUP(tblOrdenes[[#This Row],[id_operacion]],tblEjecucion[id_operacion],tblEjecucion[precio],0))</f>
        <v/>
      </c>
      <c r="AG124" s="10">
        <f>IF(tblOrdenes[[#This Row],[orden]]="","",MAX(0,_xlfn.XLOOKUP(tblOrdenes[[#This Row],[id_operacion]],tblEjecucion[id_operacion],tblEjecucion[costo_plan_total],0)-tblOrdenes[[#This Row],[costo_servicio]]))</f>
        <v/>
      </c>
      <c r="AH124" s="10">
        <f>IF(tblOrdenes[[#This Row],[orden]]="","",tblOrdenes[[#This Row],[costo_servicio]]+tblOrdenes[[#This Row],[costo_materiales]])</f>
        <v/>
      </c>
      <c r="AI124" s="6" t="inlineStr"/>
      <c r="AJ124" s="6" t="inlineStr"/>
      <c r="AK124" s="6" t="inlineStr"/>
      <c r="AL124" s="3">
        <f>IF(tblOrdenes[[#This Row],[link_checklist]]="","",HYPERLINK(p_ruta_base_checklists&amp;tblOrdenes[[#This Row],[link_checklist]],"abrir"))</f>
        <v/>
      </c>
      <c r="AM124" s="6" t="inlineStr"/>
      <c r="AN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Row],[tipo_ot]]="","",_xlfn.XLOOKUP(tblOrdenes[[#This Row],[tipo_ot]],tblTiposOT[codigo],tblTiposOT[clasificacion],"sin_clasificar"))</f>
        <v/>
      </c>
      <c r="T125" s="3">
        <f>IF(tblOrdenes[[#This Row],[centro_costo]]="","",_xlfn.XLOOKUP(tblOrdenes[[#This Row],[centro_costo]],tblCECO[codigo],tblCECO[linea],"(sin catálogo)"))</f>
        <v/>
      </c>
      <c r="U125" s="3">
        <f>IF(tblOrdenes[[#This Row],[centro_costo]]="","",_xlfn.XLOOKUP(tblOrdenes[[#This Row],[centro_costo]],tblCECO[codigo],tblCECO[area],"(sin catálogo)"))</f>
        <v/>
      </c>
      <c r="V125" s="3">
        <f>IF(tblOrdenes[[#This Row],[centro_costo]]="","",_xlfn.XLOOKUP(tblOrdenes[[#This Row],[centro_costo]],tblCECO[codigo],tblCECO[coordinador],"(sin catálogo)"))</f>
        <v/>
      </c>
      <c r="W125" s="3">
        <f>IF(tblOrdenes[[#This Row],[puesto_trabajo]]="","",_xlfn.XLOOKUP(tblOrdenes[[#This Row],[puesto_trabajo]],tblPuestos[codigo],tblPuestos[especialidad],"(sin catálogo)"))</f>
        <v/>
      </c>
      <c r="X125" s="3">
        <f>IF(tblOrdenes[[#This Row],[cod_actividad]]="","",_xlfn.XLOOKUP(tblOrdenes[[#This Row],[cod_actividad]],tblActividades[codigo],tblActividades[descripcion],"(sin catálogo)"))</f>
        <v/>
      </c>
      <c r="Y125" s="12">
        <f>IF(tblOrdenes[[#This Row],[fecha_inicio]]="","",TODAY()-tblOrdenes[[#This Row],[fecha_inicio]])</f>
        <v/>
      </c>
      <c r="Z125" s="3">
        <f>IF(tblOrdenes[[#This Row],[backlog_dias]]="","",IF(tblOrdenes[[#This Row],[backlog_dias]]&lt;0,"FUTURO",IF(tblOrdenes[[#This Row],[backlog_dias]]&gt;p_dias_backlog_max,"BACKLOG","MES CORRIENTE")))</f>
        <v/>
      </c>
      <c r="AA125" s="3">
        <f>IF(tblOrdenes[[#This Row],[backlog_dias]]="",FALSE,AND(tblOrdenes[[#This Row],[backlog_dias]]&gt;p_dias_backlog_min,tblOrdenes[[#This Row],[backlog_dias]]&lt;=p_dias_backlog_max))</f>
        <v/>
      </c>
      <c r="AB125" s="6" t="inlineStr">
        <is>
          <t>Técnico 11</t>
        </is>
      </c>
      <c r="AC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5" s="10">
        <f>IF(tblOrdenes[[#This Row],[orden]]="","",_xlfn.XLOOKUP(tblOrdenes[[#This Row],[id_operacion]],tblEjecucion[id_operacion],tblEjecucion[precio],0))</f>
        <v/>
      </c>
      <c r="AG125" s="10">
        <f>IF(tblOrdenes[[#This Row],[orden]]="","",MAX(0,_xlfn.XLOOKUP(tblOrdenes[[#This Row],[id_operacion]],tblEjecucion[id_operacion],tblEjecucion[costo_plan_total],0)-tblOrdenes[[#This Row],[costo_servicio]]))</f>
        <v/>
      </c>
      <c r="AH125" s="10">
        <f>IF(tblOrdenes[[#This Row],[orden]]="","",tblOrdenes[[#This Row],[costo_servicio]]+tblOrdenes[[#This Row],[costo_materiales]])</f>
        <v/>
      </c>
      <c r="AI125" s="6" t="inlineStr"/>
      <c r="AJ125" s="6" t="inlineStr"/>
      <c r="AK125" s="6" t="inlineStr">
        <is>
          <t>ACT-04.pdf</t>
        </is>
      </c>
      <c r="AL125" s="3">
        <f>IF(tblOrdenes[[#This Row],[link_checklist]]="","",HYPERLINK(p_ruta_base_checklists&amp;tblOrdenes[[#This Row],[link_checklist]],"abrir"))</f>
        <v/>
      </c>
      <c r="AM125" s="6" t="inlineStr"/>
      <c r="AN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Row],[tipo_ot]]="","",_xlfn.XLOOKUP(tblOrdenes[[#This Row],[tipo_ot]],tblTiposOT[codigo],tblTiposOT[clasificacion],"sin_clasificar"))</f>
        <v/>
      </c>
      <c r="T126" s="3">
        <f>IF(tblOrdenes[[#This Row],[centro_costo]]="","",_xlfn.XLOOKUP(tblOrdenes[[#This Row],[centro_costo]],tblCECO[codigo],tblCECO[linea],"(sin catálogo)"))</f>
        <v/>
      </c>
      <c r="U126" s="3">
        <f>IF(tblOrdenes[[#This Row],[centro_costo]]="","",_xlfn.XLOOKUP(tblOrdenes[[#This Row],[centro_costo]],tblCECO[codigo],tblCECO[area],"(sin catálogo)"))</f>
        <v/>
      </c>
      <c r="V126" s="3">
        <f>IF(tblOrdenes[[#This Row],[centro_costo]]="","",_xlfn.XLOOKUP(tblOrdenes[[#This Row],[centro_costo]],tblCECO[codigo],tblCECO[coordinador],"(sin catálogo)"))</f>
        <v/>
      </c>
      <c r="W126" s="3">
        <f>IF(tblOrdenes[[#This Row],[puesto_trabajo]]="","",_xlfn.XLOOKUP(tblOrdenes[[#This Row],[puesto_trabajo]],tblPuestos[codigo],tblPuestos[especialidad],"(sin catálogo)"))</f>
        <v/>
      </c>
      <c r="X126" s="3">
        <f>IF(tblOrdenes[[#This Row],[cod_actividad]]="","",_xlfn.XLOOKUP(tblOrdenes[[#This Row],[cod_actividad]],tblActividades[codigo],tblActividades[descripcion],"(sin catálogo)"))</f>
        <v/>
      </c>
      <c r="Y126" s="12">
        <f>IF(tblOrdenes[[#This Row],[fecha_inicio]]="","",TODAY()-tblOrdenes[[#This Row],[fecha_inicio]])</f>
        <v/>
      </c>
      <c r="Z126" s="3">
        <f>IF(tblOrdenes[[#This Row],[backlog_dias]]="","",IF(tblOrdenes[[#This Row],[backlog_dias]]&lt;0,"FUTURO",IF(tblOrdenes[[#This Row],[backlog_dias]]&gt;p_dias_backlog_max,"BACKLOG","MES CORRIENTE")))</f>
        <v/>
      </c>
      <c r="AA126" s="3">
        <f>IF(tblOrdenes[[#This Row],[backlog_dias]]="",FALSE,AND(tblOrdenes[[#This Row],[backlog_dias]]&gt;p_dias_backlog_min,tblOrdenes[[#This Row],[backlog_dias]]&lt;=p_dias_backlog_max))</f>
        <v/>
      </c>
      <c r="AB126" s="6" t="inlineStr">
        <is>
          <t>Técnico 12</t>
        </is>
      </c>
      <c r="AC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6" s="10">
        <f>IF(tblOrdenes[[#This Row],[orden]]="","",_xlfn.XLOOKUP(tblOrdenes[[#This Row],[id_operacion]],tblEjecucion[id_operacion],tblEjecucion[precio],0))</f>
        <v/>
      </c>
      <c r="AG126" s="10">
        <f>IF(tblOrdenes[[#This Row],[orden]]="","",MAX(0,_xlfn.XLOOKUP(tblOrdenes[[#This Row],[id_operacion]],tblEjecucion[id_operacion],tblEjecucion[costo_plan_total],0)-tblOrdenes[[#This Row],[costo_servicio]]))</f>
        <v/>
      </c>
      <c r="AH126" s="10">
        <f>IF(tblOrdenes[[#This Row],[orden]]="","",tblOrdenes[[#This Row],[costo_servicio]]+tblOrdenes[[#This Row],[costo_materiales]])</f>
        <v/>
      </c>
      <c r="AI126" s="6" t="inlineStr"/>
      <c r="AJ126" s="6" t="inlineStr"/>
      <c r="AK126" s="6" t="inlineStr">
        <is>
          <t>ACT-01.pdf</t>
        </is>
      </c>
      <c r="AL126" s="3">
        <f>IF(tblOrdenes[[#This Row],[link_checklist]]="","",HYPERLINK(p_ruta_base_checklists&amp;tblOrdenes[[#This Row],[link_checklist]],"abrir"))</f>
        <v/>
      </c>
      <c r="AM126" s="6" t="inlineStr"/>
      <c r="AN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Row],[tipo_ot]]="","",_xlfn.XLOOKUP(tblOrdenes[[#This Row],[tipo_ot]],tblTiposOT[codigo],tblTiposOT[clasificacion],"sin_clasificar"))</f>
        <v/>
      </c>
      <c r="T127" s="3">
        <f>IF(tblOrdenes[[#This Row],[centro_costo]]="","",_xlfn.XLOOKUP(tblOrdenes[[#This Row],[centro_costo]],tblCECO[codigo],tblCECO[linea],"(sin catálogo)"))</f>
        <v/>
      </c>
      <c r="U127" s="3">
        <f>IF(tblOrdenes[[#This Row],[centro_costo]]="","",_xlfn.XLOOKUP(tblOrdenes[[#This Row],[centro_costo]],tblCECO[codigo],tblCECO[area],"(sin catálogo)"))</f>
        <v/>
      </c>
      <c r="V127" s="3">
        <f>IF(tblOrdenes[[#This Row],[centro_costo]]="","",_xlfn.XLOOKUP(tblOrdenes[[#This Row],[centro_costo]],tblCECO[codigo],tblCECO[coordinador],"(sin catálogo)"))</f>
        <v/>
      </c>
      <c r="W127" s="3">
        <f>IF(tblOrdenes[[#This Row],[puesto_trabajo]]="","",_xlfn.XLOOKUP(tblOrdenes[[#This Row],[puesto_trabajo]],tblPuestos[codigo],tblPuestos[especialidad],"(sin catálogo)"))</f>
        <v/>
      </c>
      <c r="X127" s="3">
        <f>IF(tblOrdenes[[#This Row],[cod_actividad]]="","",_xlfn.XLOOKUP(tblOrdenes[[#This Row],[cod_actividad]],tblActividades[codigo],tblActividades[descripcion],"(sin catálogo)"))</f>
        <v/>
      </c>
      <c r="Y127" s="12">
        <f>IF(tblOrdenes[[#This Row],[fecha_inicio]]="","",TODAY()-tblOrdenes[[#This Row],[fecha_inicio]])</f>
        <v/>
      </c>
      <c r="Z127" s="3">
        <f>IF(tblOrdenes[[#This Row],[backlog_dias]]="","",IF(tblOrdenes[[#This Row],[backlog_dias]]&lt;0,"FUTURO",IF(tblOrdenes[[#This Row],[backlog_dias]]&gt;p_dias_backlog_max,"BACKLOG","MES CORRIENTE")))</f>
        <v/>
      </c>
      <c r="AA127" s="3">
        <f>IF(tblOrdenes[[#This Row],[backlog_dias]]="",FALSE,AND(tblOrdenes[[#This Row],[backlog_dias]]&gt;p_dias_backlog_min,tblOrdenes[[#This Row],[backlog_dias]]&lt;=p_dias_backlog_max))</f>
        <v/>
      </c>
      <c r="AB127" s="6" t="inlineStr">
        <is>
          <t>Técnico 10</t>
        </is>
      </c>
      <c r="AC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7" s="10">
        <f>IF(tblOrdenes[[#This Row],[orden]]="","",_xlfn.XLOOKUP(tblOrdenes[[#This Row],[id_operacion]],tblEjecucion[id_operacion],tblEjecucion[precio],0))</f>
        <v/>
      </c>
      <c r="AG127" s="10">
        <f>IF(tblOrdenes[[#This Row],[orden]]="","",MAX(0,_xlfn.XLOOKUP(tblOrdenes[[#This Row],[id_operacion]],tblEjecucion[id_operacion],tblEjecucion[costo_plan_total],0)-tblOrdenes[[#This Row],[costo_servicio]]))</f>
        <v/>
      </c>
      <c r="AH127" s="10">
        <f>IF(tblOrdenes[[#This Row],[orden]]="","",tblOrdenes[[#This Row],[costo_servicio]]+tblOrdenes[[#This Row],[costo_materiales]])</f>
        <v/>
      </c>
      <c r="AI127" s="6" t="inlineStr"/>
      <c r="AJ127" s="6" t="inlineStr"/>
      <c r="AK127" s="6" t="inlineStr">
        <is>
          <t>ACT-02.pdf</t>
        </is>
      </c>
      <c r="AL127" s="3">
        <f>IF(tblOrdenes[[#This Row],[link_checklist]]="","",HYPERLINK(p_ruta_base_checklists&amp;tblOrdenes[[#This Row],[link_checklist]],"abrir"))</f>
        <v/>
      </c>
      <c r="AM127" s="6" t="inlineStr"/>
      <c r="AN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Row],[tipo_ot]]="","",_xlfn.XLOOKUP(tblOrdenes[[#This Row],[tipo_ot]],tblTiposOT[codigo],tblTiposOT[clasificacion],"sin_clasificar"))</f>
        <v/>
      </c>
      <c r="T128" s="3">
        <f>IF(tblOrdenes[[#This Row],[centro_costo]]="","",_xlfn.XLOOKUP(tblOrdenes[[#This Row],[centro_costo]],tblCECO[codigo],tblCECO[linea],"(sin catálogo)"))</f>
        <v/>
      </c>
      <c r="U128" s="3">
        <f>IF(tblOrdenes[[#This Row],[centro_costo]]="","",_xlfn.XLOOKUP(tblOrdenes[[#This Row],[centro_costo]],tblCECO[codigo],tblCECO[area],"(sin catálogo)"))</f>
        <v/>
      </c>
      <c r="V128" s="3">
        <f>IF(tblOrdenes[[#This Row],[centro_costo]]="","",_xlfn.XLOOKUP(tblOrdenes[[#This Row],[centro_costo]],tblCECO[codigo],tblCECO[coordinador],"(sin catálogo)"))</f>
        <v/>
      </c>
      <c r="W128" s="3">
        <f>IF(tblOrdenes[[#This Row],[puesto_trabajo]]="","",_xlfn.XLOOKUP(tblOrdenes[[#This Row],[puesto_trabajo]],tblPuestos[codigo],tblPuestos[especialidad],"(sin catálogo)"))</f>
        <v/>
      </c>
      <c r="X128" s="3">
        <f>IF(tblOrdenes[[#This Row],[cod_actividad]]="","",_xlfn.XLOOKUP(tblOrdenes[[#This Row],[cod_actividad]],tblActividades[codigo],tblActividades[descripcion],"(sin catálogo)"))</f>
        <v/>
      </c>
      <c r="Y128" s="12">
        <f>IF(tblOrdenes[[#This Row],[fecha_inicio]]="","",TODAY()-tblOrdenes[[#This Row],[fecha_inicio]])</f>
        <v/>
      </c>
      <c r="Z128" s="3">
        <f>IF(tblOrdenes[[#This Row],[backlog_dias]]="","",IF(tblOrdenes[[#This Row],[backlog_dias]]&lt;0,"FUTURO",IF(tblOrdenes[[#This Row],[backlog_dias]]&gt;p_dias_backlog_max,"BACKLOG","MES CORRIENTE")))</f>
        <v/>
      </c>
      <c r="AA128" s="3">
        <f>IF(tblOrdenes[[#This Row],[backlog_dias]]="",FALSE,AND(tblOrdenes[[#This Row],[backlog_dias]]&gt;p_dias_backlog_min,tblOrdenes[[#This Row],[backlog_dias]]&lt;=p_dias_backlog_max))</f>
        <v/>
      </c>
      <c r="AB128" s="6" t="inlineStr">
        <is>
          <t>Técnico 11</t>
        </is>
      </c>
      <c r="AC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8" s="10">
        <f>IF(tblOrdenes[[#This Row],[orden]]="","",_xlfn.XLOOKUP(tblOrdenes[[#This Row],[id_operacion]],tblEjecucion[id_operacion],tblEjecucion[precio],0))</f>
        <v/>
      </c>
      <c r="AG128" s="10">
        <f>IF(tblOrdenes[[#This Row],[orden]]="","",MAX(0,_xlfn.XLOOKUP(tblOrdenes[[#This Row],[id_operacion]],tblEjecucion[id_operacion],tblEjecucion[costo_plan_total],0)-tblOrdenes[[#This Row],[costo_servicio]]))</f>
        <v/>
      </c>
      <c r="AH128" s="10">
        <f>IF(tblOrdenes[[#This Row],[orden]]="","",tblOrdenes[[#This Row],[costo_servicio]]+tblOrdenes[[#This Row],[costo_materiales]])</f>
        <v/>
      </c>
      <c r="AI128" s="6" t="inlineStr"/>
      <c r="AJ128" s="6" t="inlineStr"/>
      <c r="AK128" s="6" t="inlineStr"/>
      <c r="AL128" s="3">
        <f>IF(tblOrdenes[[#This Row],[link_checklist]]="","",HYPERLINK(p_ruta_base_checklists&amp;tblOrdenes[[#This Row],[link_checklist]],"abrir"))</f>
        <v/>
      </c>
      <c r="AM128" s="6" t="inlineStr"/>
      <c r="AN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Row],[tipo_ot]]="","",_xlfn.XLOOKUP(tblOrdenes[[#This Row],[tipo_ot]],tblTiposOT[codigo],tblTiposOT[clasificacion],"sin_clasificar"))</f>
        <v/>
      </c>
      <c r="T129" s="3">
        <f>IF(tblOrdenes[[#This Row],[centro_costo]]="","",_xlfn.XLOOKUP(tblOrdenes[[#This Row],[centro_costo]],tblCECO[codigo],tblCECO[linea],"(sin catálogo)"))</f>
        <v/>
      </c>
      <c r="U129" s="3">
        <f>IF(tblOrdenes[[#This Row],[centro_costo]]="","",_xlfn.XLOOKUP(tblOrdenes[[#This Row],[centro_costo]],tblCECO[codigo],tblCECO[area],"(sin catálogo)"))</f>
        <v/>
      </c>
      <c r="V129" s="3">
        <f>IF(tblOrdenes[[#This Row],[centro_costo]]="","",_xlfn.XLOOKUP(tblOrdenes[[#This Row],[centro_costo]],tblCECO[codigo],tblCECO[coordinador],"(sin catálogo)"))</f>
        <v/>
      </c>
      <c r="W129" s="3">
        <f>IF(tblOrdenes[[#This Row],[puesto_trabajo]]="","",_xlfn.XLOOKUP(tblOrdenes[[#This Row],[puesto_trabajo]],tblPuestos[codigo],tblPuestos[especialidad],"(sin catálogo)"))</f>
        <v/>
      </c>
      <c r="X129" s="3">
        <f>IF(tblOrdenes[[#This Row],[cod_actividad]]="","",_xlfn.XLOOKUP(tblOrdenes[[#This Row],[cod_actividad]],tblActividades[codigo],tblActividades[descripcion],"(sin catálogo)"))</f>
        <v/>
      </c>
      <c r="Y129" s="12">
        <f>IF(tblOrdenes[[#This Row],[fecha_inicio]]="","",TODAY()-tblOrdenes[[#This Row],[fecha_inicio]])</f>
        <v/>
      </c>
      <c r="Z129" s="3">
        <f>IF(tblOrdenes[[#This Row],[backlog_dias]]="","",IF(tblOrdenes[[#This Row],[backlog_dias]]&lt;0,"FUTURO",IF(tblOrdenes[[#This Row],[backlog_dias]]&gt;p_dias_backlog_max,"BACKLOG","MES CORRIENTE")))</f>
        <v/>
      </c>
      <c r="AA129" s="3">
        <f>IF(tblOrdenes[[#This Row],[backlog_dias]]="",FALSE,AND(tblOrdenes[[#This Row],[backlog_dias]]&gt;p_dias_backlog_min,tblOrdenes[[#This Row],[backlog_dias]]&lt;=p_dias_backlog_max))</f>
        <v/>
      </c>
      <c r="AB129" s="6" t="inlineStr"/>
      <c r="AC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9" s="10">
        <f>IF(tblOrdenes[[#This Row],[orden]]="","",_xlfn.XLOOKUP(tblOrdenes[[#This Row],[id_operacion]],tblEjecucion[id_operacion],tblEjecucion[precio],0))</f>
        <v/>
      </c>
      <c r="AG129" s="10">
        <f>IF(tblOrdenes[[#This Row],[orden]]="","",MAX(0,_xlfn.XLOOKUP(tblOrdenes[[#This Row],[id_operacion]],tblEjecucion[id_operacion],tblEjecucion[costo_plan_total],0)-tblOrdenes[[#This Row],[costo_servicio]]))</f>
        <v/>
      </c>
      <c r="AH129" s="10">
        <f>IF(tblOrdenes[[#This Row],[orden]]="","",tblOrdenes[[#This Row],[costo_servicio]]+tblOrdenes[[#This Row],[costo_materiales]])</f>
        <v/>
      </c>
      <c r="AI129" s="6" t="inlineStr"/>
      <c r="AJ129" s="6" t="inlineStr"/>
      <c r="AK129" s="6" t="inlineStr"/>
      <c r="AL129" s="3">
        <f>IF(tblOrdenes[[#This Row],[link_checklist]]="","",HYPERLINK(p_ruta_base_checklists&amp;tblOrdenes[[#This Row],[link_checklist]],"abrir"))</f>
        <v/>
      </c>
      <c r="AM129" s="6" t="inlineStr"/>
      <c r="AN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Row],[tipo_ot]]="","",_xlfn.XLOOKUP(tblOrdenes[[#This Row],[tipo_ot]],tblTiposOT[codigo],tblTiposOT[clasificacion],"sin_clasificar"))</f>
        <v/>
      </c>
      <c r="T130" s="3">
        <f>IF(tblOrdenes[[#This Row],[centro_costo]]="","",_xlfn.XLOOKUP(tblOrdenes[[#This Row],[centro_costo]],tblCECO[codigo],tblCECO[linea],"(sin catálogo)"))</f>
        <v/>
      </c>
      <c r="U130" s="3">
        <f>IF(tblOrdenes[[#This Row],[centro_costo]]="","",_xlfn.XLOOKUP(tblOrdenes[[#This Row],[centro_costo]],tblCECO[codigo],tblCECO[area],"(sin catálogo)"))</f>
        <v/>
      </c>
      <c r="V130" s="3">
        <f>IF(tblOrdenes[[#This Row],[centro_costo]]="","",_xlfn.XLOOKUP(tblOrdenes[[#This Row],[centro_costo]],tblCECO[codigo],tblCECO[coordinador],"(sin catálogo)"))</f>
        <v/>
      </c>
      <c r="W130" s="3">
        <f>IF(tblOrdenes[[#This Row],[puesto_trabajo]]="","",_xlfn.XLOOKUP(tblOrdenes[[#This Row],[puesto_trabajo]],tblPuestos[codigo],tblPuestos[especialidad],"(sin catálogo)"))</f>
        <v/>
      </c>
      <c r="X130" s="3">
        <f>IF(tblOrdenes[[#This Row],[cod_actividad]]="","",_xlfn.XLOOKUP(tblOrdenes[[#This Row],[cod_actividad]],tblActividades[codigo],tblActividades[descripcion],"(sin catálogo)"))</f>
        <v/>
      </c>
      <c r="Y130" s="12">
        <f>IF(tblOrdenes[[#This Row],[fecha_inicio]]="","",TODAY()-tblOrdenes[[#This Row],[fecha_inicio]])</f>
        <v/>
      </c>
      <c r="Z130" s="3">
        <f>IF(tblOrdenes[[#This Row],[backlog_dias]]="","",IF(tblOrdenes[[#This Row],[backlog_dias]]&lt;0,"FUTURO",IF(tblOrdenes[[#This Row],[backlog_dias]]&gt;p_dias_backlog_max,"BACKLOG","MES CORRIENTE")))</f>
        <v/>
      </c>
      <c r="AA130" s="3">
        <f>IF(tblOrdenes[[#This Row],[backlog_dias]]="",FALSE,AND(tblOrdenes[[#This Row],[backlog_dias]]&gt;p_dias_backlog_min,tblOrdenes[[#This Row],[backlog_dias]]&lt;=p_dias_backlog_max))</f>
        <v/>
      </c>
      <c r="AB130" s="6" t="inlineStr"/>
      <c r="AC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0" s="10">
        <f>IF(tblOrdenes[[#This Row],[orden]]="","",_xlfn.XLOOKUP(tblOrdenes[[#This Row],[id_operacion]],tblEjecucion[id_operacion],tblEjecucion[precio],0))</f>
        <v/>
      </c>
      <c r="AG130" s="10">
        <f>IF(tblOrdenes[[#This Row],[orden]]="","",MAX(0,_xlfn.XLOOKUP(tblOrdenes[[#This Row],[id_operacion]],tblEjecucion[id_operacion],tblEjecucion[costo_plan_total],0)-tblOrdenes[[#This Row],[costo_servicio]]))</f>
        <v/>
      </c>
      <c r="AH130" s="10">
        <f>IF(tblOrdenes[[#This Row],[orden]]="","",tblOrdenes[[#This Row],[costo_servicio]]+tblOrdenes[[#This Row],[costo_materiales]])</f>
        <v/>
      </c>
      <c r="AI130" s="6" t="inlineStr"/>
      <c r="AJ130" s="6" t="inlineStr"/>
      <c r="AK130" s="6" t="inlineStr"/>
      <c r="AL130" s="3">
        <f>IF(tblOrdenes[[#This Row],[link_checklist]]="","",HYPERLINK(p_ruta_base_checklists&amp;tblOrdenes[[#This Row],[link_checklist]],"abrir"))</f>
        <v/>
      </c>
      <c r="AM130" s="6" t="inlineStr"/>
      <c r="AN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Row],[tipo_ot]]="","",_xlfn.XLOOKUP(tblOrdenes[[#This Row],[tipo_ot]],tblTiposOT[codigo],tblTiposOT[clasificacion],"sin_clasificar"))</f>
        <v/>
      </c>
      <c r="T131" s="3">
        <f>IF(tblOrdenes[[#This Row],[centro_costo]]="","",_xlfn.XLOOKUP(tblOrdenes[[#This Row],[centro_costo]],tblCECO[codigo],tblCECO[linea],"(sin catálogo)"))</f>
        <v/>
      </c>
      <c r="U131" s="3">
        <f>IF(tblOrdenes[[#This Row],[centro_costo]]="","",_xlfn.XLOOKUP(tblOrdenes[[#This Row],[centro_costo]],tblCECO[codigo],tblCECO[area],"(sin catálogo)"))</f>
        <v/>
      </c>
      <c r="V131" s="3">
        <f>IF(tblOrdenes[[#This Row],[centro_costo]]="","",_xlfn.XLOOKUP(tblOrdenes[[#This Row],[centro_costo]],tblCECO[codigo],tblCECO[coordinador],"(sin catálogo)"))</f>
        <v/>
      </c>
      <c r="W131" s="3">
        <f>IF(tblOrdenes[[#This Row],[puesto_trabajo]]="","",_xlfn.XLOOKUP(tblOrdenes[[#This Row],[puesto_trabajo]],tblPuestos[codigo],tblPuestos[especialidad],"(sin catálogo)"))</f>
        <v/>
      </c>
      <c r="X131" s="3">
        <f>IF(tblOrdenes[[#This Row],[cod_actividad]]="","",_xlfn.XLOOKUP(tblOrdenes[[#This Row],[cod_actividad]],tblActividades[codigo],tblActividades[descripcion],"(sin catálogo)"))</f>
        <v/>
      </c>
      <c r="Y131" s="12">
        <f>IF(tblOrdenes[[#This Row],[fecha_inicio]]="","",TODAY()-tblOrdenes[[#This Row],[fecha_inicio]])</f>
        <v/>
      </c>
      <c r="Z131" s="3">
        <f>IF(tblOrdenes[[#This Row],[backlog_dias]]="","",IF(tblOrdenes[[#This Row],[backlog_dias]]&lt;0,"FUTURO",IF(tblOrdenes[[#This Row],[backlog_dias]]&gt;p_dias_backlog_max,"BACKLOG","MES CORRIENTE")))</f>
        <v/>
      </c>
      <c r="AA131" s="3">
        <f>IF(tblOrdenes[[#This Row],[backlog_dias]]="",FALSE,AND(tblOrdenes[[#This Row],[backlog_dias]]&gt;p_dias_backlog_min,tblOrdenes[[#This Row],[backlog_dias]]&lt;=p_dias_backlog_max))</f>
        <v/>
      </c>
      <c r="AB131" s="6" t="inlineStr"/>
      <c r="AC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1" s="10">
        <f>IF(tblOrdenes[[#This Row],[orden]]="","",_xlfn.XLOOKUP(tblOrdenes[[#This Row],[id_operacion]],tblEjecucion[id_operacion],tblEjecucion[precio],0))</f>
        <v/>
      </c>
      <c r="AG131" s="10">
        <f>IF(tblOrdenes[[#This Row],[orden]]="","",MAX(0,_xlfn.XLOOKUP(tblOrdenes[[#This Row],[id_operacion]],tblEjecucion[id_operacion],tblEjecucion[costo_plan_total],0)-tblOrdenes[[#This Row],[costo_servicio]]))</f>
        <v/>
      </c>
      <c r="AH131" s="10">
        <f>IF(tblOrdenes[[#This Row],[orden]]="","",tblOrdenes[[#This Row],[costo_servicio]]+tblOrdenes[[#This Row],[costo_materiales]])</f>
        <v/>
      </c>
      <c r="AI131" s="6" t="inlineStr"/>
      <c r="AJ131" s="6" t="inlineStr"/>
      <c r="AK131" s="6" t="inlineStr"/>
      <c r="AL131" s="3">
        <f>IF(tblOrdenes[[#This Row],[link_checklist]]="","",HYPERLINK(p_ruta_base_checklists&amp;tblOrdenes[[#This Row],[link_checklist]],"abrir"))</f>
        <v/>
      </c>
      <c r="AM131" s="6" t="inlineStr"/>
      <c r="AN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Row],[tipo_ot]]="","",_xlfn.XLOOKUP(tblOrdenes[[#This Row],[tipo_ot]],tblTiposOT[codigo],tblTiposOT[clasificacion],"sin_clasificar"))</f>
        <v/>
      </c>
      <c r="T132" s="3">
        <f>IF(tblOrdenes[[#This Row],[centro_costo]]="","",_xlfn.XLOOKUP(tblOrdenes[[#This Row],[centro_costo]],tblCECO[codigo],tblCECO[linea],"(sin catálogo)"))</f>
        <v/>
      </c>
      <c r="U132" s="3">
        <f>IF(tblOrdenes[[#This Row],[centro_costo]]="","",_xlfn.XLOOKUP(tblOrdenes[[#This Row],[centro_costo]],tblCECO[codigo],tblCECO[area],"(sin catálogo)"))</f>
        <v/>
      </c>
      <c r="V132" s="3">
        <f>IF(tblOrdenes[[#This Row],[centro_costo]]="","",_xlfn.XLOOKUP(tblOrdenes[[#This Row],[centro_costo]],tblCECO[codigo],tblCECO[coordinador],"(sin catálogo)"))</f>
        <v/>
      </c>
      <c r="W132" s="3">
        <f>IF(tblOrdenes[[#This Row],[puesto_trabajo]]="","",_xlfn.XLOOKUP(tblOrdenes[[#This Row],[puesto_trabajo]],tblPuestos[codigo],tblPuestos[especialidad],"(sin catálogo)"))</f>
        <v/>
      </c>
      <c r="X132" s="3">
        <f>IF(tblOrdenes[[#This Row],[cod_actividad]]="","",_xlfn.XLOOKUP(tblOrdenes[[#This Row],[cod_actividad]],tblActividades[codigo],tblActividades[descripcion],"(sin catálogo)"))</f>
        <v/>
      </c>
      <c r="Y132" s="12">
        <f>IF(tblOrdenes[[#This Row],[fecha_inicio]]="","",TODAY()-tblOrdenes[[#This Row],[fecha_inicio]])</f>
        <v/>
      </c>
      <c r="Z132" s="3">
        <f>IF(tblOrdenes[[#This Row],[backlog_dias]]="","",IF(tblOrdenes[[#This Row],[backlog_dias]]&lt;0,"FUTURO",IF(tblOrdenes[[#This Row],[backlog_dias]]&gt;p_dias_backlog_max,"BACKLOG","MES CORRIENTE")))</f>
        <v/>
      </c>
      <c r="AA132" s="3">
        <f>IF(tblOrdenes[[#This Row],[backlog_dias]]="",FALSE,AND(tblOrdenes[[#This Row],[backlog_dias]]&gt;p_dias_backlog_min,tblOrdenes[[#This Row],[backlog_dias]]&lt;=p_dias_backlog_max))</f>
        <v/>
      </c>
      <c r="AB132" s="6" t="inlineStr"/>
      <c r="AC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2" s="10">
        <f>IF(tblOrdenes[[#This Row],[orden]]="","",_xlfn.XLOOKUP(tblOrdenes[[#This Row],[id_operacion]],tblEjecucion[id_operacion],tblEjecucion[precio],0))</f>
        <v/>
      </c>
      <c r="AG132" s="10">
        <f>IF(tblOrdenes[[#This Row],[orden]]="","",MAX(0,_xlfn.XLOOKUP(tblOrdenes[[#This Row],[id_operacion]],tblEjecucion[id_operacion],tblEjecucion[costo_plan_total],0)-tblOrdenes[[#This Row],[costo_servicio]]))</f>
        <v/>
      </c>
      <c r="AH132" s="10">
        <f>IF(tblOrdenes[[#This Row],[orden]]="","",tblOrdenes[[#This Row],[costo_servicio]]+tblOrdenes[[#This Row],[costo_materiales]])</f>
        <v/>
      </c>
      <c r="AI132" s="6" t="inlineStr"/>
      <c r="AJ132" s="6" t="inlineStr"/>
      <c r="AK132" s="6" t="inlineStr"/>
      <c r="AL132" s="3">
        <f>IF(tblOrdenes[[#This Row],[link_checklist]]="","",HYPERLINK(p_ruta_base_checklists&amp;tblOrdenes[[#This Row],[link_checklist]],"abrir"))</f>
        <v/>
      </c>
      <c r="AM132" s="6" t="inlineStr"/>
      <c r="AN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OT-000001</t>
        </is>
      </c>
      <c r="B133" s="3" t="inlineStr">
        <is>
          <t>0020</t>
        </is>
      </c>
      <c r="C133" s="3" t="inlineStr">
        <is>
          <t>Lubricación programada — EQ-102</t>
        </is>
      </c>
      <c r="D133" s="3" t="inlineStr">
        <is>
          <t>Segunda operación — EQ-102</t>
        </is>
      </c>
      <c r="E133" s="3" t="inlineStr">
        <is>
          <t>EQ-102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ACT-02</t>
        </is>
      </c>
      <c r="I133" s="3" t="inlineStr">
        <is>
          <t>TIPO-P2</t>
        </is>
      </c>
      <c r="J133" s="11" t="n">
        <v>46216</v>
      </c>
      <c r="K133" s="3" t="n">
        <v>2</v>
      </c>
      <c r="L133" s="10" t="n">
        <v>50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Row],[tipo_ot]]="","",_xlfn.XLOOKUP(tblOrdenes[[#This Row],[tipo_ot]],tblTiposOT[codigo],tblTiposOT[clasificacion],"sin_clasificar"))</f>
        <v/>
      </c>
      <c r="T133" s="3">
        <f>IF(tblOrdenes[[#This Row],[centro_costo]]="","",_xlfn.XLOOKUP(tblOrdenes[[#This Row],[centro_costo]],tblCECO[codigo],tblCECO[linea],"(sin catálogo)"))</f>
        <v/>
      </c>
      <c r="U133" s="3">
        <f>IF(tblOrdenes[[#This Row],[centro_costo]]="","",_xlfn.XLOOKUP(tblOrdenes[[#This Row],[centro_costo]],tblCECO[codigo],tblCECO[area],"(sin catálogo)"))</f>
        <v/>
      </c>
      <c r="V133" s="3">
        <f>IF(tblOrdenes[[#This Row],[centro_costo]]="","",_xlfn.XLOOKUP(tblOrdenes[[#This Row],[centro_costo]],tblCECO[codigo],tblCECO[coordinador],"(sin catálogo)"))</f>
        <v/>
      </c>
      <c r="W133" s="3">
        <f>IF(tblOrdenes[[#This Row],[puesto_trabajo]]="","",_xlfn.XLOOKUP(tblOrdenes[[#This Row],[puesto_trabajo]],tblPuestos[codigo],tblPuestos[especialidad],"(sin catálogo)"))</f>
        <v/>
      </c>
      <c r="X133" s="3">
        <f>IF(tblOrdenes[[#This Row],[cod_actividad]]="","",_xlfn.XLOOKUP(tblOrdenes[[#This Row],[cod_actividad]],tblActividades[codigo],tblActividades[descripcion],"(sin catálogo)"))</f>
        <v/>
      </c>
      <c r="Y133" s="12">
        <f>IF(tblOrdenes[[#This Row],[fecha_inicio]]="","",TODAY()-tblOrdenes[[#This Row],[fecha_inicio]])</f>
        <v/>
      </c>
      <c r="Z133" s="3">
        <f>IF(tblOrdenes[[#This Row],[backlog_dias]]="","",IF(tblOrdenes[[#This Row],[backlog_dias]]&lt;0,"FUTURO",IF(tblOrdenes[[#This Row],[backlog_dias]]&gt;p_dias_backlog_max,"BACKLOG","MES CORRIENTE")))</f>
        <v/>
      </c>
      <c r="AA133" s="3">
        <f>IF(tblOrdenes[[#This Row],[backlog_dias]]="",FALSE,AND(tblOrdenes[[#This Row],[backlog_dias]]&gt;p_dias_backlog_min,tblOrdenes[[#This Row],[backlog_dias]]&lt;=p_dias_backlog_max))</f>
        <v/>
      </c>
      <c r="AB133" s="6" t="inlineStr">
        <is>
          <t>Técnico 01</t>
        </is>
      </c>
      <c r="AC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3" s="10">
        <f>IF(tblOrdenes[[#This Row],[orden]]="","",_xlfn.XLOOKUP(tblOrdenes[[#This Row],[id_operacion]],tblEjecucion[id_operacion],tblEjecucion[precio],0))</f>
        <v/>
      </c>
      <c r="AG133" s="10">
        <f>IF(tblOrdenes[[#This Row],[orden]]="","",MAX(0,_xlfn.XLOOKUP(tblOrdenes[[#This Row],[id_operacion]],tblEjecucion[id_operacion],tblEjecucion[costo_plan_total],0)-tblOrdenes[[#This Row],[costo_servicio]]))</f>
        <v/>
      </c>
      <c r="AH133" s="10">
        <f>IF(tblOrdenes[[#This Row],[orden]]="","",tblOrdenes[[#This Row],[costo_servicio]]+tblOrdenes[[#This Row],[costo_materiales]])</f>
        <v/>
      </c>
      <c r="AI133" s="6" t="inlineStr"/>
      <c r="AJ133" s="6" t="inlineStr"/>
      <c r="AK133" s="6" t="inlineStr"/>
      <c r="AL133" s="3">
        <f>IF(tblOrdenes[[#This Row],[link_checklist]]="","",HYPERLINK(p_ruta_base_checklists&amp;tblOrdenes[[#This Row],[link_checklist]],"abrir"))</f>
        <v/>
      </c>
      <c r="AM133" s="6" t="inlineStr"/>
      <c r="AN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OT-000041</t>
        </is>
      </c>
      <c r="B134" s="3" t="inlineStr">
        <is>
          <t>0020</t>
        </is>
      </c>
      <c r="C134" s="3" t="inlineStr">
        <is>
          <t>Análisis predictivo — EQ-107</t>
        </is>
      </c>
      <c r="D134" s="3" t="inlineStr">
        <is>
          <t>Segunda operación — EQ-107</t>
        </is>
      </c>
      <c r="E134" s="3" t="inlineStr">
        <is>
          <t>EQ-107</t>
        </is>
      </c>
      <c r="F134" s="3" t="inlineStr">
        <is>
          <t>CC-210</t>
        </is>
      </c>
      <c r="G134" s="3" t="inlineStr">
        <is>
          <t>PU-MEC</t>
        </is>
      </c>
      <c r="H134" s="3" t="inlineStr">
        <is>
          <t>ACT-04</t>
        </is>
      </c>
      <c r="I134" s="3" t="inlineStr">
        <is>
          <t>TIPO-P2</t>
        </is>
      </c>
      <c r="J134" s="11" t="n">
        <v>46237</v>
      </c>
      <c r="K134" s="3" t="n">
        <v>2</v>
      </c>
      <c r="L134" s="10" t="n">
        <v>50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Row],[tipo_ot]]="","",_xlfn.XLOOKUP(tblOrdenes[[#This Row],[tipo_ot]],tblTiposOT[codigo],tblTiposOT[clasificacion],"sin_clasificar"))</f>
        <v/>
      </c>
      <c r="T134" s="3">
        <f>IF(tblOrdenes[[#This Row],[centro_costo]]="","",_xlfn.XLOOKUP(tblOrdenes[[#This Row],[centro_costo]],tblCECO[codigo],tblCECO[linea],"(sin catálogo)"))</f>
        <v/>
      </c>
      <c r="U134" s="3">
        <f>IF(tblOrdenes[[#This Row],[centro_costo]]="","",_xlfn.XLOOKUP(tblOrdenes[[#This Row],[centro_costo]],tblCECO[codigo],tblCECO[area],"(sin catálogo)"))</f>
        <v/>
      </c>
      <c r="V134" s="3">
        <f>IF(tblOrdenes[[#This Row],[centro_costo]]="","",_xlfn.XLOOKUP(tblOrdenes[[#This Row],[centro_costo]],tblCECO[codigo],tblCECO[coordinador],"(sin catálogo)"))</f>
        <v/>
      </c>
      <c r="W134" s="3">
        <f>IF(tblOrdenes[[#This Row],[puesto_trabajo]]="","",_xlfn.XLOOKUP(tblOrdenes[[#This Row],[puesto_trabajo]],tblPuestos[codigo],tblPuestos[especialidad],"(sin catálogo)"))</f>
        <v/>
      </c>
      <c r="X134" s="3">
        <f>IF(tblOrdenes[[#This Row],[cod_actividad]]="","",_xlfn.XLOOKUP(tblOrdenes[[#This Row],[cod_actividad]],tblActividades[codigo],tblActividades[descripcion],"(sin catálogo)"))</f>
        <v/>
      </c>
      <c r="Y134" s="12">
        <f>IF(tblOrdenes[[#This Row],[fecha_inicio]]="","",TODAY()-tblOrdenes[[#This Row],[fecha_inicio]])</f>
        <v/>
      </c>
      <c r="Z134" s="3">
        <f>IF(tblOrdenes[[#This Row],[backlog_dias]]="","",IF(tblOrdenes[[#This Row],[backlog_dias]]&lt;0,"FUTURO",IF(tblOrdenes[[#This Row],[backlog_dias]]&gt;p_dias_backlog_max,"BACKLOG","MES CORRIENTE")))</f>
        <v/>
      </c>
      <c r="AA134" s="3">
        <f>IF(tblOrdenes[[#This Row],[backlog_dias]]="",FALSE,AND(tblOrdenes[[#This Row],[backlog_dias]]&gt;p_dias_backlog_min,tblOrdenes[[#This Row],[backlog_dias]]&lt;=p_dias_backlog_max))</f>
        <v/>
      </c>
      <c r="AB134" s="6" t="inlineStr">
        <is>
          <t>Técnico 01</t>
        </is>
      </c>
      <c r="AC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4" s="10">
        <f>IF(tblOrdenes[[#This Row],[orden]]="","",_xlfn.XLOOKUP(tblOrdenes[[#This Row],[id_operacion]],tblEjecucion[id_operacion],tblEjecucion[precio],0))</f>
        <v/>
      </c>
      <c r="AG134" s="10">
        <f>IF(tblOrdenes[[#This Row],[orden]]="","",MAX(0,_xlfn.XLOOKUP(tblOrdenes[[#This Row],[id_operacion]],tblEjecucion[id_operacion],tblEjecucion[costo_plan_total],0)-tblOrdenes[[#This Row],[costo_servicio]]))</f>
        <v/>
      </c>
      <c r="AH134" s="10">
        <f>IF(tblOrdenes[[#This Row],[orden]]="","",tblOrdenes[[#This Row],[costo_servicio]]+tblOrdenes[[#This Row],[costo_materiales]])</f>
        <v/>
      </c>
      <c r="AI134" s="6" t="inlineStr"/>
      <c r="AJ134" s="6" t="inlineStr"/>
      <c r="AK134" s="6" t="inlineStr"/>
      <c r="AL134" s="3">
        <f>IF(tblOrdenes[[#This Row],[link_checklist]]="","",HYPERLINK(p_ruta_base_checklists&amp;tblOrdenes[[#This Row],[link_checklist]],"abrir"))</f>
        <v/>
      </c>
      <c r="AM134" s="6" t="inlineStr"/>
      <c r="AN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OT-000081</t>
        </is>
      </c>
      <c r="B135" s="3" t="inlineStr">
        <is>
          <t>0020</t>
        </is>
      </c>
      <c r="C135" s="3" t="inlineStr">
        <is>
          <t>Inspección de rutina — EQ-102</t>
        </is>
      </c>
      <c r="D135" s="3" t="inlineStr">
        <is>
          <t>Segunda operación — EQ-102</t>
        </is>
      </c>
      <c r="E135" s="3" t="inlineStr">
        <is>
          <t>EQ-102</t>
        </is>
      </c>
      <c r="F135" s="3" t="inlineStr">
        <is>
          <t>CC-120</t>
        </is>
      </c>
      <c r="G135" s="3" t="inlineStr">
        <is>
          <t>PU-ELE</t>
        </is>
      </c>
      <c r="H135" s="3" t="inlineStr">
        <is>
          <t>ACT-01</t>
        </is>
      </c>
      <c r="I135" s="3" t="inlineStr">
        <is>
          <t>TIPO-P2</t>
        </is>
      </c>
      <c r="J135" s="11" t="n">
        <v>46237</v>
      </c>
      <c r="K135" s="3" t="n">
        <v>2</v>
      </c>
      <c r="L135" s="10" t="n">
        <v>50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Row],[tipo_ot]]="","",_xlfn.XLOOKUP(tblOrdenes[[#This Row],[tipo_ot]],tblTiposOT[codigo],tblTiposOT[clasificacion],"sin_clasificar"))</f>
        <v/>
      </c>
      <c r="T135" s="3">
        <f>IF(tblOrdenes[[#This Row],[centro_costo]]="","",_xlfn.XLOOKUP(tblOrdenes[[#This Row],[centro_costo]],tblCECO[codigo],tblCECO[linea],"(sin catálogo)"))</f>
        <v/>
      </c>
      <c r="U135" s="3">
        <f>IF(tblOrdenes[[#This Row],[centro_costo]]="","",_xlfn.XLOOKUP(tblOrdenes[[#This Row],[centro_costo]],tblCECO[codigo],tblCECO[area],"(sin catálogo)"))</f>
        <v/>
      </c>
      <c r="V135" s="3">
        <f>IF(tblOrdenes[[#This Row],[centro_costo]]="","",_xlfn.XLOOKUP(tblOrdenes[[#This Row],[centro_costo]],tblCECO[codigo],tblCECO[coordinador],"(sin catálogo)"))</f>
        <v/>
      </c>
      <c r="W135" s="3">
        <f>IF(tblOrdenes[[#This Row],[puesto_trabajo]]="","",_xlfn.XLOOKUP(tblOrdenes[[#This Row],[puesto_trabajo]],tblPuestos[codigo],tblPuestos[especialidad],"(sin catálogo)"))</f>
        <v/>
      </c>
      <c r="X135" s="3">
        <f>IF(tblOrdenes[[#This Row],[cod_actividad]]="","",_xlfn.XLOOKUP(tblOrdenes[[#This Row],[cod_actividad]],tblActividades[codigo],tblActividades[descripcion],"(sin catálogo)"))</f>
        <v/>
      </c>
      <c r="Y135" s="12">
        <f>IF(tblOrdenes[[#This Row],[fecha_inicio]]="","",TODAY()-tblOrdenes[[#This Row],[fecha_inicio]])</f>
        <v/>
      </c>
      <c r="Z135" s="3">
        <f>IF(tblOrdenes[[#This Row],[backlog_dias]]="","",IF(tblOrdenes[[#This Row],[backlog_dias]]&lt;0,"FUTURO",IF(tblOrdenes[[#This Row],[backlog_dias]]&gt;p_dias_backlog_max,"BACKLOG","MES CORRIENTE")))</f>
        <v/>
      </c>
      <c r="AA135" s="3">
        <f>IF(tblOrdenes[[#This Row],[backlog_dias]]="",FALSE,AND(tblOrdenes[[#This Row],[backlog_dias]]&gt;p_dias_backlog_min,tblOrdenes[[#This Row],[backlog_dias]]&lt;=p_dias_backlog_max))</f>
        <v/>
      </c>
      <c r="AB135" s="6" t="inlineStr">
        <is>
          <t>Técnico 07</t>
        </is>
      </c>
      <c r="AC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5" s="10">
        <f>IF(tblOrdenes[[#This Row],[orden]]="","",_xlfn.XLOOKUP(tblOrdenes[[#This Row],[id_operacion]],tblEjecucion[id_operacion],tblEjecucion[precio],0))</f>
        <v/>
      </c>
      <c r="AG135" s="10">
        <f>IF(tblOrdenes[[#This Row],[orden]]="","",MAX(0,_xlfn.XLOOKUP(tblOrdenes[[#This Row],[id_operacion]],tblEjecucion[id_operacion],tblEjecucion[costo_plan_total],0)-tblOrdenes[[#This Row],[costo_servicio]]))</f>
        <v/>
      </c>
      <c r="AH135" s="10">
        <f>IF(tblOrdenes[[#This Row],[orden]]="","",tblOrdenes[[#This Row],[costo_servicio]]+tblOrdenes[[#This Row],[costo_materiales]])</f>
        <v/>
      </c>
      <c r="AI135" s="6" t="inlineStr"/>
      <c r="AJ135" s="6" t="inlineStr"/>
      <c r="AK135" s="6" t="inlineStr"/>
      <c r="AL135" s="3">
        <f>IF(tblOrdenes[[#This Row],[link_checklist]]="","",HYPERLINK(p_ruta_base_checklists&amp;tblOrdenes[[#This Row],[link_checklist]],"abrir"))</f>
        <v/>
      </c>
      <c r="AM135" s="6" t="inlineStr"/>
      <c r="AN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OT-000121</t>
        </is>
      </c>
      <c r="B136" s="3" t="inlineStr">
        <is>
          <t>0020</t>
        </is>
      </c>
      <c r="C136" s="3" t="inlineStr">
        <is>
          <t>Reparación de falla — EQ-102</t>
        </is>
      </c>
      <c r="D136" s="3" t="inlineStr">
        <is>
          <t>Segunda operación — EQ-102</t>
        </is>
      </c>
      <c r="E136" s="3" t="inlineStr">
        <is>
          <t>EQ-102</t>
        </is>
      </c>
      <c r="F136" s="3" t="inlineStr">
        <is>
          <t>CC-120</t>
        </is>
      </c>
      <c r="G136" s="3" t="inlineStr">
        <is>
          <t>PU-OP</t>
        </is>
      </c>
      <c r="H136" s="3" t="inlineStr">
        <is>
          <t>ACT-03</t>
        </is>
      </c>
      <c r="I136" s="3" t="inlineStr">
        <is>
          <t>TIPO-C2</t>
        </is>
      </c>
      <c r="J136" s="11" t="n">
        <v>46230</v>
      </c>
      <c r="K136" s="3" t="n">
        <v>2</v>
      </c>
      <c r="L136" s="10" t="n">
        <v>80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Row],[tipo_ot]]="","",_xlfn.XLOOKUP(tblOrdenes[[#This Row],[tipo_ot]],tblTiposOT[codigo],tblTiposOT[clasificacion],"sin_clasificar"))</f>
        <v/>
      </c>
      <c r="T136" s="3">
        <f>IF(tblOrdenes[[#This Row],[centro_costo]]="","",_xlfn.XLOOKUP(tblOrdenes[[#This Row],[centro_costo]],tblCECO[codigo],tblCECO[linea],"(sin catálogo)"))</f>
        <v/>
      </c>
      <c r="U136" s="3">
        <f>IF(tblOrdenes[[#This Row],[centro_costo]]="","",_xlfn.XLOOKUP(tblOrdenes[[#This Row],[centro_costo]],tblCECO[codigo],tblCECO[area],"(sin catálogo)"))</f>
        <v/>
      </c>
      <c r="V136" s="3">
        <f>IF(tblOrdenes[[#This Row],[centro_costo]]="","",_xlfn.XLOOKUP(tblOrdenes[[#This Row],[centro_costo]],tblCECO[codigo],tblCECO[coordinador],"(sin catálogo)"))</f>
        <v/>
      </c>
      <c r="W136" s="3">
        <f>IF(tblOrdenes[[#This Row],[puesto_trabajo]]="","",_xlfn.XLOOKUP(tblOrdenes[[#This Row],[puesto_trabajo]],tblPuestos[codigo],tblPuestos[especialidad],"(sin catálogo)"))</f>
        <v/>
      </c>
      <c r="X136" s="3">
        <f>IF(tblOrdenes[[#This Row],[cod_actividad]]="","",_xlfn.XLOOKUP(tblOrdenes[[#This Row],[cod_actividad]],tblActividades[codigo],tblActividades[descripcion],"(sin catálogo)"))</f>
        <v/>
      </c>
      <c r="Y136" s="12">
        <f>IF(tblOrdenes[[#This Row],[fecha_inicio]]="","",TODAY()-tblOrdenes[[#This Row],[fecha_inicio]])</f>
        <v/>
      </c>
      <c r="Z136" s="3">
        <f>IF(tblOrdenes[[#This Row],[backlog_dias]]="","",IF(tblOrdenes[[#This Row],[backlog_dias]]&lt;0,"FUTURO",IF(tblOrdenes[[#This Row],[backlog_dias]]&gt;p_dias_backlog_max,"BACKLOG","MES CORRIENTE")))</f>
        <v/>
      </c>
      <c r="AA136" s="3">
        <f>IF(tblOrdenes[[#This Row],[backlog_dias]]="",FALSE,AND(tblOrdenes[[#This Row],[backlog_dias]]&gt;p_dias_backlog_min,tblOrdenes[[#This Row],[backlog_dias]]&lt;=p_dias_backlog_max))</f>
        <v/>
      </c>
      <c r="AB136" s="6" t="inlineStr">
        <is>
          <t>Técnico 10</t>
        </is>
      </c>
      <c r="AC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6" s="10">
        <f>IF(tblOrdenes[[#This Row],[orden]]="","",_xlfn.XLOOKUP(tblOrdenes[[#This Row],[id_operacion]],tblEjecucion[id_operacion],tblEjecucion[precio],0))</f>
        <v/>
      </c>
      <c r="AG136" s="10">
        <f>IF(tblOrdenes[[#This Row],[orden]]="","",MAX(0,_xlfn.XLOOKUP(tblOrdenes[[#This Row],[id_operacion]],tblEjecucion[id_operacion],tblEjecucion[costo_plan_total],0)-tblOrdenes[[#This Row],[costo_servicio]]))</f>
        <v/>
      </c>
      <c r="AH136" s="10">
        <f>IF(tblOrdenes[[#This Row],[orden]]="","",tblOrdenes[[#This Row],[costo_servicio]]+tblOrdenes[[#This Row],[costo_materiales]])</f>
        <v/>
      </c>
      <c r="AI136" s="6" t="inlineStr"/>
      <c r="AJ136" s="6" t="inlineStr"/>
      <c r="AK136" s="6" t="inlineStr"/>
      <c r="AL136" s="3">
        <f>IF(tblOrdenes[[#This Row],[link_checklist]]="","",HYPERLINK(p_ruta_base_checklists&amp;tblOrdenes[[#This Row],[link_checklist]],"abrir"))</f>
        <v/>
      </c>
      <c r="AM136" s="6" t="inlineStr"/>
      <c r="AN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Reparación de falla — EQ-105</t>
        </is>
      </c>
      <c r="D137" s="3" t="inlineStr">
        <is>
          <t>Reparación de falla en EQ-105</t>
        </is>
      </c>
      <c r="E137" s="3" t="inlineStr">
        <is>
          <t>EQ-105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ACT-03</t>
        </is>
      </c>
      <c r="I137" s="3" t="inlineStr">
        <is>
          <t>TIPO-C1</t>
        </is>
      </c>
      <c r="J137" s="11" t="n">
        <v>46178</v>
      </c>
      <c r="K137" s="3" t="n">
        <v>4</v>
      </c>
      <c r="L137" s="10" t="n">
        <v>160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Row],[tipo_ot]]="","",_xlfn.XLOOKUP(tblOrdenes[[#This Row],[tipo_ot]],tblTiposOT[codigo],tblTiposOT[clasificacion],"sin_clasificar"))</f>
        <v/>
      </c>
      <c r="T137" s="3">
        <f>IF(tblOrdenes[[#This Row],[centro_costo]]="","",_xlfn.XLOOKUP(tblOrdenes[[#This Row],[centro_costo]],tblCECO[codigo],tblCECO[linea],"(sin catálogo)"))</f>
        <v/>
      </c>
      <c r="U137" s="3">
        <f>IF(tblOrdenes[[#This Row],[centro_costo]]="","",_xlfn.XLOOKUP(tblOrdenes[[#This Row],[centro_costo]],tblCECO[codigo],tblCECO[area],"(sin catálogo)"))</f>
        <v/>
      </c>
      <c r="V137" s="3">
        <f>IF(tblOrdenes[[#This Row],[centro_costo]]="","",_xlfn.XLOOKUP(tblOrdenes[[#This Row],[centro_costo]],tblCECO[codigo],tblCECO[coordinador],"(sin catálogo)"))</f>
        <v/>
      </c>
      <c r="W137" s="3">
        <f>IF(tblOrdenes[[#This Row],[puesto_trabajo]]="","",_xlfn.XLOOKUP(tblOrdenes[[#This Row],[puesto_trabajo]],tblPuestos[codigo],tblPuestos[especialidad],"(sin catálogo)"))</f>
        <v/>
      </c>
      <c r="X137" s="3">
        <f>IF(tblOrdenes[[#This Row],[cod_actividad]]="","",_xlfn.XLOOKUP(tblOrdenes[[#This Row],[cod_actividad]],tblActividades[codigo],tblActividades[descripcion],"(sin catálogo)"))</f>
        <v/>
      </c>
      <c r="Y137" s="12">
        <f>IF(tblOrdenes[[#This Row],[fecha_inicio]]="","",TODAY()-tblOrdenes[[#This Row],[fecha_inicio]])</f>
        <v/>
      </c>
      <c r="Z137" s="3">
        <f>IF(tblOrdenes[[#This Row],[backlog_dias]]="","",IF(tblOrdenes[[#This Row],[backlog_dias]]&lt;0,"FUTURO",IF(tblOrdenes[[#This Row],[backlog_dias]]&gt;p_dias_backlog_max,"BACKLOG","MES CORRIENTE")))</f>
        <v/>
      </c>
      <c r="AA137" s="3">
        <f>IF(tblOrdenes[[#This Row],[backlog_dias]]="",FALSE,AND(tblOrdenes[[#This Row],[backlog_dias]]&gt;p_dias_backlog_min,tblOrdenes[[#This Row],[backlog_dias]]&lt;=p_dias_backlog_max))</f>
        <v/>
      </c>
      <c r="AB137" s="6" t="inlineStr"/>
      <c r="AC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7" s="10">
        <f>IF(tblOrdenes[[#This Row],[orden]]="","",_xlfn.XLOOKUP(tblOrdenes[[#This Row],[id_operacion]],tblEjecucion[id_operacion],tblEjecucion[precio],0))</f>
        <v/>
      </c>
      <c r="AG137" s="10">
        <f>IF(tblOrdenes[[#This Row],[orden]]="","",MAX(0,_xlfn.XLOOKUP(tblOrdenes[[#This Row],[id_operacion]],tblEjecucion[id_operacion],tblEjecucion[costo_plan_total],0)-tblOrdenes[[#This Row],[costo_servicio]]))</f>
        <v/>
      </c>
      <c r="AH137" s="10">
        <f>IF(tblOrdenes[[#This Row],[orden]]="","",tblOrdenes[[#This Row],[costo_servicio]]+tblOrdenes[[#This Row],[costo_materiales]])</f>
        <v/>
      </c>
      <c r="AI137" s="6" t="inlineStr"/>
      <c r="AJ137" s="6" t="inlineStr"/>
      <c r="AK137" s="6" t="inlineStr"/>
      <c r="AL137" s="3">
        <f>IF(tblOrdenes[[#This Row],[link_checklist]]="","",HYPERLINK(p_ruta_base_checklists&amp;tblOrdenes[[#This Row],[link_checklist]],"abrir"))</f>
        <v/>
      </c>
      <c r="AM137" s="6" t="inlineStr"/>
      <c r="AN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EQ-101</t>
        </is>
      </c>
      <c r="D138" s="3" t="inlineStr">
        <is>
          <t>Reparación de falla en EQ-101</t>
        </is>
      </c>
      <c r="E138" s="3" t="inlineStr">
        <is>
          <t>EQ-101</t>
        </is>
      </c>
      <c r="F138" s="3" t="inlineStr">
        <is>
          <t>CC-120</t>
        </is>
      </c>
      <c r="G138" s="3" t="inlineStr">
        <is>
          <t>PU-ELE</t>
        </is>
      </c>
      <c r="H138" s="3" t="inlineStr">
        <is>
          <t>ACT-03</t>
        </is>
      </c>
      <c r="I138" s="3" t="inlineStr">
        <is>
          <t>TIPO-C2</t>
        </is>
      </c>
      <c r="J138" s="11" t="n">
        <v>46178</v>
      </c>
      <c r="K138" s="3" t="n">
        <v>6</v>
      </c>
      <c r="L138" s="10" t="n">
        <v>240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Row],[tipo_ot]]="","",_xlfn.XLOOKUP(tblOrdenes[[#This Row],[tipo_ot]],tblTiposOT[codigo],tblTiposOT[clasificacion],"sin_clasificar"))</f>
        <v/>
      </c>
      <c r="T138" s="3">
        <f>IF(tblOrdenes[[#This Row],[centro_costo]]="","",_xlfn.XLOOKUP(tblOrdenes[[#This Row],[centro_costo]],tblCECO[codigo],tblCECO[linea],"(sin catálogo)"))</f>
        <v/>
      </c>
      <c r="U138" s="3">
        <f>IF(tblOrdenes[[#This Row],[centro_costo]]="","",_xlfn.XLOOKUP(tblOrdenes[[#This Row],[centro_costo]],tblCECO[codigo],tblCECO[area],"(sin catálogo)"))</f>
        <v/>
      </c>
      <c r="V138" s="3">
        <f>IF(tblOrdenes[[#This Row],[centro_costo]]="","",_xlfn.XLOOKUP(tblOrdenes[[#This Row],[centro_costo]],tblCECO[codigo],tblCECO[coordinador],"(sin catálogo)"))</f>
        <v/>
      </c>
      <c r="W138" s="3">
        <f>IF(tblOrdenes[[#This Row],[puesto_trabajo]]="","",_xlfn.XLOOKUP(tblOrdenes[[#This Row],[puesto_trabajo]],tblPuestos[codigo],tblPuestos[especialidad],"(sin catálogo)"))</f>
        <v/>
      </c>
      <c r="X138" s="3">
        <f>IF(tblOrdenes[[#This Row],[cod_actividad]]="","",_xlfn.XLOOKUP(tblOrdenes[[#This Row],[cod_actividad]],tblActividades[codigo],tblActividades[descripcion],"(sin catálogo)"))</f>
        <v/>
      </c>
      <c r="Y138" s="12">
        <f>IF(tblOrdenes[[#This Row],[fecha_inicio]]="","",TODAY()-tblOrdenes[[#This Row],[fecha_inicio]])</f>
        <v/>
      </c>
      <c r="Z138" s="3">
        <f>IF(tblOrdenes[[#This Row],[backlog_dias]]="","",IF(tblOrdenes[[#This Row],[backlog_dias]]&lt;0,"FUTURO",IF(tblOrdenes[[#This Row],[backlog_dias]]&gt;p_dias_backlog_max,"BACKLOG","MES CORRIENTE")))</f>
        <v/>
      </c>
      <c r="AA138" s="3">
        <f>IF(tblOrdenes[[#This Row],[backlog_dias]]="",FALSE,AND(tblOrdenes[[#This Row],[backlog_dias]]&gt;p_dias_backlog_min,tblOrdenes[[#This Row],[backlog_dias]]&lt;=p_dias_backlog_max))</f>
        <v/>
      </c>
      <c r="AB138" s="6" t="inlineStr"/>
      <c r="AC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8" s="10">
        <f>IF(tblOrdenes[[#This Row],[orden]]="","",_xlfn.XLOOKUP(tblOrdenes[[#This Row],[id_operacion]],tblEjecucion[id_operacion],tblEjecucion[precio],0))</f>
        <v/>
      </c>
      <c r="AG138" s="10">
        <f>IF(tblOrdenes[[#This Row],[orden]]="","",MAX(0,_xlfn.XLOOKUP(tblOrdenes[[#This Row],[id_operacion]],tblEjecucion[id_operacion],tblEjecucion[costo_plan_total],0)-tblOrdenes[[#This Row],[costo_servicio]]))</f>
        <v/>
      </c>
      <c r="AH138" s="10">
        <f>IF(tblOrdenes[[#This Row],[orden]]="","",tblOrdenes[[#This Row],[costo_servicio]]+tblOrdenes[[#This Row],[costo_materiales]])</f>
        <v/>
      </c>
      <c r="AI138" s="6" t="inlineStr"/>
      <c r="AJ138" s="6" t="inlineStr"/>
      <c r="AK138" s="6" t="inlineStr"/>
      <c r="AL138" s="3">
        <f>IF(tblOrdenes[[#This Row],[link_checklist]]="","",HYPERLINK(p_ruta_base_checklists&amp;tblOrdenes[[#This Row],[link_checklist]],"abrir"))</f>
        <v/>
      </c>
      <c r="AM138" s="6" t="inlineStr"/>
      <c r="AN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EQ-106</t>
        </is>
      </c>
      <c r="D139" s="3" t="inlineStr">
        <is>
          <t>Reparación de falla en EQ-106</t>
        </is>
      </c>
      <c r="E139" s="3" t="inlineStr">
        <is>
          <t>EQ-106</t>
        </is>
      </c>
      <c r="F139" s="3" t="inlineStr">
        <is>
          <t>CC-210</t>
        </is>
      </c>
      <c r="G139" s="3" t="inlineStr">
        <is>
          <t>PU-AUT</t>
        </is>
      </c>
      <c r="H139" s="3" t="inlineStr">
        <is>
          <t>ACT-03</t>
        </is>
      </c>
      <c r="I139" s="3" t="inlineStr">
        <is>
          <t>TIPO-C1</t>
        </is>
      </c>
      <c r="J139" s="11" t="n">
        <v>46178</v>
      </c>
      <c r="K139" s="3" t="n">
        <v>8</v>
      </c>
      <c r="L139" s="10" t="n">
        <v>320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Row],[tipo_ot]]="","",_xlfn.XLOOKUP(tblOrdenes[[#This Row],[tipo_ot]],tblTiposOT[codigo],tblTiposOT[clasificacion],"sin_clasificar"))</f>
        <v/>
      </c>
      <c r="T139" s="3">
        <f>IF(tblOrdenes[[#This Row],[centro_costo]]="","",_xlfn.XLOOKUP(tblOrdenes[[#This Row],[centro_costo]],tblCECO[codigo],tblCECO[linea],"(sin catálogo)"))</f>
        <v/>
      </c>
      <c r="U139" s="3">
        <f>IF(tblOrdenes[[#This Row],[centro_costo]]="","",_xlfn.XLOOKUP(tblOrdenes[[#This Row],[centro_costo]],tblCECO[codigo],tblCECO[area],"(sin catálogo)"))</f>
        <v/>
      </c>
      <c r="V139" s="3">
        <f>IF(tblOrdenes[[#This Row],[centro_costo]]="","",_xlfn.XLOOKUP(tblOrdenes[[#This Row],[centro_costo]],tblCECO[codigo],tblCECO[coordinador],"(sin catálogo)"))</f>
        <v/>
      </c>
      <c r="W139" s="3">
        <f>IF(tblOrdenes[[#This Row],[puesto_trabajo]]="","",_xlfn.XLOOKUP(tblOrdenes[[#This Row],[puesto_trabajo]],tblPuestos[codigo],tblPuestos[especialidad],"(sin catálogo)"))</f>
        <v/>
      </c>
      <c r="X139" s="3">
        <f>IF(tblOrdenes[[#This Row],[cod_actividad]]="","",_xlfn.XLOOKUP(tblOrdenes[[#This Row],[cod_actividad]],tblActividades[codigo],tblActividades[descripcion],"(sin catálogo)"))</f>
        <v/>
      </c>
      <c r="Y139" s="12">
        <f>IF(tblOrdenes[[#This Row],[fecha_inicio]]="","",TODAY()-tblOrdenes[[#This Row],[fecha_inicio]])</f>
        <v/>
      </c>
      <c r="Z139" s="3">
        <f>IF(tblOrdenes[[#This Row],[backlog_dias]]="","",IF(tblOrdenes[[#This Row],[backlog_dias]]&lt;0,"FUTURO",IF(tblOrdenes[[#This Row],[backlog_dias]]&gt;p_dias_backlog_max,"BACKLOG","MES CORRIENTE")))</f>
        <v/>
      </c>
      <c r="AA139" s="3">
        <f>IF(tblOrdenes[[#This Row],[backlog_dias]]="",FALSE,AND(tblOrdenes[[#This Row],[backlog_dias]]&gt;p_dias_backlog_min,tblOrdenes[[#This Row],[backlog_dias]]&lt;=p_dias_backlog_max))</f>
        <v/>
      </c>
      <c r="AB139" s="6" t="inlineStr"/>
      <c r="AC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9" s="10">
        <f>IF(tblOrdenes[[#This Row],[orden]]="","",_xlfn.XLOOKUP(tblOrdenes[[#This Row],[id_operacion]],tblEjecucion[id_operacion],tblEjecucion[precio],0))</f>
        <v/>
      </c>
      <c r="AG139" s="10">
        <f>IF(tblOrdenes[[#This Row],[orden]]="","",MAX(0,_xlfn.XLOOKUP(tblOrdenes[[#This Row],[id_operacion]],tblEjecucion[id_operacion],tblEjecucion[costo_plan_total],0)-tblOrdenes[[#This Row],[costo_servicio]]))</f>
        <v/>
      </c>
      <c r="AH139" s="10">
        <f>IF(tblOrdenes[[#This Row],[orden]]="","",tblOrdenes[[#This Row],[costo_servicio]]+tblOrdenes[[#This Row],[costo_materiales]])</f>
        <v/>
      </c>
      <c r="AI139" s="6" t="inlineStr"/>
      <c r="AJ139" s="6" t="inlineStr"/>
      <c r="AK139" s="6" t="inlineStr"/>
      <c r="AL139" s="3">
        <f>IF(tblOrdenes[[#This Row],[link_checklist]]="","",HYPERLINK(p_ruta_base_checklists&amp;tblOrdenes[[#This Row],[link_checklist]],"abrir"))</f>
        <v/>
      </c>
      <c r="AM139" s="6" t="inlineStr"/>
      <c r="AN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Análisis predictivo — EQ-107</t>
        </is>
      </c>
      <c r="D140" s="3" t="inlineStr">
        <is>
          <t>Análisis predictivo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PU-OP</t>
        </is>
      </c>
      <c r="H140" s="3" t="inlineStr">
        <is>
          <t>ACT-04</t>
        </is>
      </c>
      <c r="I140" s="3" t="inlineStr">
        <is>
          <t>TIPO-P2</t>
        </is>
      </c>
      <c r="J140" s="11" t="n">
        <v>46178</v>
      </c>
      <c r="K140" s="3" t="n">
        <v>4</v>
      </c>
      <c r="L140" s="10" t="n">
        <v>100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Row],[tipo_ot]]="","",_xlfn.XLOOKUP(tblOrdenes[[#This Row],[tipo_ot]],tblTiposOT[codigo],tblTiposOT[clasificacion],"sin_clasificar"))</f>
        <v/>
      </c>
      <c r="T140" s="3">
        <f>IF(tblOrdenes[[#This Row],[centro_costo]]="","",_xlfn.XLOOKUP(tblOrdenes[[#This Row],[centro_costo]],tblCECO[codigo],tblCECO[linea],"(sin catálogo)"))</f>
        <v/>
      </c>
      <c r="U140" s="3">
        <f>IF(tblOrdenes[[#This Row],[centro_costo]]="","",_xlfn.XLOOKUP(tblOrdenes[[#This Row],[centro_costo]],tblCECO[codigo],tblCECO[area],"(sin catálogo)"))</f>
        <v/>
      </c>
      <c r="V140" s="3">
        <f>IF(tblOrdenes[[#This Row],[centro_costo]]="","",_xlfn.XLOOKUP(tblOrdenes[[#This Row],[centro_costo]],tblCECO[codigo],tblCECO[coordinador],"(sin catálogo)"))</f>
        <v/>
      </c>
      <c r="W140" s="3">
        <f>IF(tblOrdenes[[#This Row],[puesto_trabajo]]="","",_xlfn.XLOOKUP(tblOrdenes[[#This Row],[puesto_trabajo]],tblPuestos[codigo],tblPuestos[especialidad],"(sin catálogo)"))</f>
        <v/>
      </c>
      <c r="X140" s="3">
        <f>IF(tblOrdenes[[#This Row],[cod_actividad]]="","",_xlfn.XLOOKUP(tblOrdenes[[#This Row],[cod_actividad]],tblActividades[codigo],tblActividades[descripcion],"(sin catálogo)"))</f>
        <v/>
      </c>
      <c r="Y140" s="12">
        <f>IF(tblOrdenes[[#This Row],[fecha_inicio]]="","",TODAY()-tblOrdenes[[#This Row],[fecha_inicio]])</f>
        <v/>
      </c>
      <c r="Z140" s="3">
        <f>IF(tblOrdenes[[#This Row],[backlog_dias]]="","",IF(tblOrdenes[[#This Row],[backlog_dias]]&lt;0,"FUTURO",IF(tblOrdenes[[#This Row],[backlog_dias]]&gt;p_dias_backlog_max,"BACKLOG","MES CORRIENTE")))</f>
        <v/>
      </c>
      <c r="AA140" s="3">
        <f>IF(tblOrdenes[[#This Row],[backlog_dias]]="",FALSE,AND(tblOrdenes[[#This Row],[backlog_dias]]&gt;p_dias_backlog_min,tblOrdenes[[#This Row],[backlog_dias]]&lt;=p_dias_backlog_max))</f>
        <v/>
      </c>
      <c r="AB140" s="6" t="inlineStr"/>
      <c r="AC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0" s="10">
        <f>IF(tblOrdenes[[#This Row],[orden]]="","",_xlfn.XLOOKUP(tblOrdenes[[#This Row],[id_operacion]],tblEjecucion[id_operacion],tblEjecucion[precio],0))</f>
        <v/>
      </c>
      <c r="AG140" s="10">
        <f>IF(tblOrdenes[[#This Row],[orden]]="","",MAX(0,_xlfn.XLOOKUP(tblOrdenes[[#This Row],[id_operacion]],tblEjecucion[id_operacion],tblEjecucion[costo_plan_total],0)-tblOrdenes[[#This Row],[costo_servicio]]))</f>
        <v/>
      </c>
      <c r="AH140" s="10">
        <f>IF(tblOrdenes[[#This Row],[orden]]="","",tblOrdenes[[#This Row],[costo_servicio]]+tblOrdenes[[#This Row],[costo_materiales]])</f>
        <v/>
      </c>
      <c r="AI140" s="6" t="inlineStr"/>
      <c r="AJ140" s="6" t="inlineStr"/>
      <c r="AK140" s="6" t="inlineStr"/>
      <c r="AL140" s="3">
        <f>IF(tblOrdenes[[#This Row],[link_checklist]]="","",HYPERLINK(p_ruta_base_checklists&amp;tblOrdenes[[#This Row],[link_checklist]],"abrir"))</f>
        <v/>
      </c>
      <c r="AM140" s="6" t="inlineStr"/>
      <c r="AN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46178</v>
      </c>
      <c r="K141" s="3" t="n">
        <v>6</v>
      </c>
      <c r="L141" s="10" t="n">
        <v>240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Row],[tipo_ot]]="","",_xlfn.XLOOKUP(tblOrdenes[[#This Row],[tipo_ot]],tblTiposOT[codigo],tblTiposOT[clasificacion],"sin_clasificar"))</f>
        <v/>
      </c>
      <c r="T141" s="3">
        <f>IF(tblOrdenes[[#This Row],[centro_costo]]="","",_xlfn.XLOOKUP(tblOrdenes[[#This Row],[centro_costo]],tblCECO[codigo],tblCECO[linea],"(sin catálogo)"))</f>
        <v/>
      </c>
      <c r="U141" s="3">
        <f>IF(tblOrdenes[[#This Row],[centro_costo]]="","",_xlfn.XLOOKUP(tblOrdenes[[#This Row],[centro_costo]],tblCECO[codigo],tblCECO[area],"(sin catálogo)"))</f>
        <v/>
      </c>
      <c r="V141" s="3">
        <f>IF(tblOrdenes[[#This Row],[centro_costo]]="","",_xlfn.XLOOKUP(tblOrdenes[[#This Row],[centro_costo]],tblCECO[codigo],tblCECO[coordinador],"(sin catálogo)"))</f>
        <v/>
      </c>
      <c r="W141" s="3">
        <f>IF(tblOrdenes[[#This Row],[puesto_trabajo]]="","",_xlfn.XLOOKUP(tblOrdenes[[#This Row],[puesto_trabajo]],tblPuestos[codigo],tblPuestos[especialidad],"(sin catálogo)"))</f>
        <v/>
      </c>
      <c r="X141" s="3">
        <f>IF(tblOrdenes[[#This Row],[cod_actividad]]="","",_xlfn.XLOOKUP(tblOrdenes[[#This Row],[cod_actividad]],tblActividades[codigo],tblActividades[descripcion],"(sin catálogo)"))</f>
        <v/>
      </c>
      <c r="Y141" s="12">
        <f>IF(tblOrdenes[[#This Row],[fecha_inicio]]="","",TODAY()-tblOrdenes[[#This Row],[fecha_inicio]])</f>
        <v/>
      </c>
      <c r="Z141" s="3">
        <f>IF(tblOrdenes[[#This Row],[backlog_dias]]="","",IF(tblOrdenes[[#This Row],[backlog_dias]]&lt;0,"FUTURO",IF(tblOrdenes[[#This Row],[backlog_dias]]&gt;p_dias_backlog_max,"BACKLOG","MES CORRIENTE")))</f>
        <v/>
      </c>
      <c r="AA141" s="3">
        <f>IF(tblOrdenes[[#This Row],[backlog_dias]]="",FALSE,AND(tblOrdenes[[#This Row],[backlog_dias]]&gt;p_dias_backlog_min,tblOrdenes[[#This Row],[backlog_dias]]&lt;=p_dias_backlog_max))</f>
        <v/>
      </c>
      <c r="AB141" s="6" t="inlineStr"/>
      <c r="AC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1" s="10">
        <f>IF(tblOrdenes[[#This Row],[orden]]="","",_xlfn.XLOOKUP(tblOrdenes[[#This Row],[id_operacion]],tblEjecucion[id_operacion],tblEjecucion[precio],0))</f>
        <v/>
      </c>
      <c r="AG141" s="10">
        <f>IF(tblOrdenes[[#This Row],[orden]]="","",MAX(0,_xlfn.XLOOKUP(tblOrdenes[[#This Row],[id_operacion]],tblEjecucion[id_operacion],tblEjecucion[costo_plan_total],0)-tblOrdenes[[#This Row],[costo_servicio]]))</f>
        <v/>
      </c>
      <c r="AH141" s="10">
        <f>IF(tblOrdenes[[#This Row],[orden]]="","",tblOrdenes[[#This Row],[costo_servicio]]+tblOrdenes[[#This Row],[costo_materiales]])</f>
        <v/>
      </c>
      <c r="AI141" s="6" t="inlineStr"/>
      <c r="AJ141" s="6" t="inlineStr"/>
      <c r="AK141" s="6" t="inlineStr"/>
      <c r="AL141" s="3">
        <f>IF(tblOrdenes[[#This Row],[link_checklist]]="","",HYPERLINK(p_ruta_base_checklists&amp;tblOrdenes[[#This Row],[link_checklist]],"abrir"))</f>
        <v/>
      </c>
      <c r="AM141" s="6" t="inlineStr"/>
      <c r="AN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46178</v>
      </c>
      <c r="K142" s="3" t="n">
        <v>8</v>
      </c>
      <c r="L142" s="10" t="n">
        <v>320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Row],[tipo_ot]]="","",_xlfn.XLOOKUP(tblOrdenes[[#This Row],[tipo_ot]],tblTiposOT[codigo],tblTiposOT[clasificacion],"sin_clasificar"))</f>
        <v/>
      </c>
      <c r="T142" s="3">
        <f>IF(tblOrdenes[[#This Row],[centro_costo]]="","",_xlfn.XLOOKUP(tblOrdenes[[#This Row],[centro_costo]],tblCECO[codigo],tblCECO[linea],"(sin catálogo)"))</f>
        <v/>
      </c>
      <c r="U142" s="3">
        <f>IF(tblOrdenes[[#This Row],[centro_costo]]="","",_xlfn.XLOOKUP(tblOrdenes[[#This Row],[centro_costo]],tblCECO[codigo],tblCECO[area],"(sin catálogo)"))</f>
        <v/>
      </c>
      <c r="V142" s="3">
        <f>IF(tblOrdenes[[#This Row],[centro_costo]]="","",_xlfn.XLOOKUP(tblOrdenes[[#This Row],[centro_costo]],tblCECO[codigo],tblCECO[coordinador],"(sin catálogo)"))</f>
        <v/>
      </c>
      <c r="W142" s="3">
        <f>IF(tblOrdenes[[#This Row],[puesto_trabajo]]="","",_xlfn.XLOOKUP(tblOrdenes[[#This Row],[puesto_trabajo]],tblPuestos[codigo],tblPuestos[especialidad],"(sin catálogo)"))</f>
        <v/>
      </c>
      <c r="X142" s="3">
        <f>IF(tblOrdenes[[#This Row],[cod_actividad]]="","",_xlfn.XLOOKUP(tblOrdenes[[#This Row],[cod_actividad]],tblActividades[codigo],tblActividades[descripcion],"(sin catálogo)"))</f>
        <v/>
      </c>
      <c r="Y142" s="12">
        <f>IF(tblOrdenes[[#This Row],[fecha_inicio]]="","",TODAY()-tblOrdenes[[#This Row],[fecha_inicio]])</f>
        <v/>
      </c>
      <c r="Z142" s="3">
        <f>IF(tblOrdenes[[#This Row],[backlog_dias]]="","",IF(tblOrdenes[[#This Row],[backlog_dias]]&lt;0,"FUTURO",IF(tblOrdenes[[#This Row],[backlog_dias]]&gt;p_dias_backlog_max,"BACKLOG","MES CORRIENTE")))</f>
        <v/>
      </c>
      <c r="AA142" s="3">
        <f>IF(tblOrdenes[[#This Row],[backlog_dias]]="",FALSE,AND(tblOrdenes[[#This Row],[backlog_dias]]&gt;p_dias_backlog_min,tblOrdenes[[#This Row],[backlog_dias]]&lt;=p_dias_backlog_max))</f>
        <v/>
      </c>
      <c r="AB142" s="6" t="inlineStr"/>
      <c r="AC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2" s="10">
        <f>IF(tblOrdenes[[#This Row],[orden]]="","",_xlfn.XLOOKUP(tblOrdenes[[#This Row],[id_operacion]],tblEjecucion[id_operacion],tblEjecucion[precio],0))</f>
        <v/>
      </c>
      <c r="AG142" s="10">
        <f>IF(tblOrdenes[[#This Row],[orden]]="","",MAX(0,_xlfn.XLOOKUP(tblOrdenes[[#This Row],[id_operacion]],tblEjecucion[id_operacion],tblEjecucion[costo_plan_total],0)-tblOrdenes[[#This Row],[costo_servicio]]))</f>
        <v/>
      </c>
      <c r="AH142" s="10">
        <f>IF(tblOrdenes[[#This Row],[orden]]="","",tblOrdenes[[#This Row],[costo_servicio]]+tblOrdenes[[#This Row],[costo_materiales]])</f>
        <v/>
      </c>
      <c r="AI142" s="6" t="inlineStr"/>
      <c r="AJ142" s="6" t="inlineStr"/>
      <c r="AK142" s="6" t="inlineStr"/>
      <c r="AL142" s="3">
        <f>IF(tblOrdenes[[#This Row],[link_checklist]]="","",HYPERLINK(p_ruta_base_checklists&amp;tblOrdenes[[#This Row],[link_checklist]],"abrir"))</f>
        <v/>
      </c>
      <c r="AM142" s="6" t="inlineStr"/>
      <c r="AN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EQ-101</t>
        </is>
      </c>
      <c r="D143" s="3" t="inlineStr">
        <is>
          <t>Reparación de falla en EQ-101</t>
        </is>
      </c>
      <c r="E143" s="3" t="inlineStr">
        <is>
          <t>EQ-101</t>
        </is>
      </c>
      <c r="F143" s="3" t="inlineStr">
        <is>
          <t>CC-110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46178</v>
      </c>
      <c r="K143" s="3" t="n">
        <v>4</v>
      </c>
      <c r="L143" s="10" t="n">
        <v>160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Row],[tipo_ot]]="","",_xlfn.XLOOKUP(tblOrdenes[[#This Row],[tipo_ot]],tblTiposOT[codigo],tblTiposOT[clasificacion],"sin_clasificar"))</f>
        <v/>
      </c>
      <c r="T143" s="3">
        <f>IF(tblOrdenes[[#This Row],[centro_costo]]="","",_xlfn.XLOOKUP(tblOrdenes[[#This Row],[centro_costo]],tblCECO[codigo],tblCECO[linea],"(sin catálogo)"))</f>
        <v/>
      </c>
      <c r="U143" s="3">
        <f>IF(tblOrdenes[[#This Row],[centro_costo]]="","",_xlfn.XLOOKUP(tblOrdenes[[#This Row],[centro_costo]],tblCECO[codigo],tblCECO[area],"(sin catálogo)"))</f>
        <v/>
      </c>
      <c r="V143" s="3">
        <f>IF(tblOrdenes[[#This Row],[centro_costo]]="","",_xlfn.XLOOKUP(tblOrdenes[[#This Row],[centro_costo]],tblCECO[codigo],tblCECO[coordinador],"(sin catálogo)"))</f>
        <v/>
      </c>
      <c r="W143" s="3">
        <f>IF(tblOrdenes[[#This Row],[puesto_trabajo]]="","",_xlfn.XLOOKUP(tblOrdenes[[#This Row],[puesto_trabajo]],tblPuestos[codigo],tblPuestos[especialidad],"(sin catálogo)"))</f>
        <v/>
      </c>
      <c r="X143" s="3">
        <f>IF(tblOrdenes[[#This Row],[cod_actividad]]="","",_xlfn.XLOOKUP(tblOrdenes[[#This Row],[cod_actividad]],tblActividades[codigo],tblActividades[descripcion],"(sin catálogo)"))</f>
        <v/>
      </c>
      <c r="Y143" s="12">
        <f>IF(tblOrdenes[[#This Row],[fecha_inicio]]="","",TODAY()-tblOrdenes[[#This Row],[fecha_inicio]])</f>
        <v/>
      </c>
      <c r="Z143" s="3">
        <f>IF(tblOrdenes[[#This Row],[backlog_dias]]="","",IF(tblOrdenes[[#This Row],[backlog_dias]]&lt;0,"FUTURO",IF(tblOrdenes[[#This Row],[backlog_dias]]&gt;p_dias_backlog_max,"BACKLOG","MES CORRIENTE")))</f>
        <v/>
      </c>
      <c r="AA143" s="3">
        <f>IF(tblOrdenes[[#This Row],[backlog_dias]]="",FALSE,AND(tblOrdenes[[#This Row],[backlog_dias]]&gt;p_dias_backlog_min,tblOrdenes[[#This Row],[backlog_dias]]&lt;=p_dias_backlog_max))</f>
        <v/>
      </c>
      <c r="AB143" s="6" t="inlineStr"/>
      <c r="AC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3" s="10">
        <f>IF(tblOrdenes[[#This Row],[orden]]="","",_xlfn.XLOOKUP(tblOrdenes[[#This Row],[id_operacion]],tblEjecucion[id_operacion],tblEjecucion[precio],0))</f>
        <v/>
      </c>
      <c r="AG143" s="10">
        <f>IF(tblOrdenes[[#This Row],[orden]]="","",MAX(0,_xlfn.XLOOKUP(tblOrdenes[[#This Row],[id_operacion]],tblEjecucion[id_operacion],tblEjecucion[costo_plan_total],0)-tblOrdenes[[#This Row],[costo_servicio]]))</f>
        <v/>
      </c>
      <c r="AH143" s="10">
        <f>IF(tblOrdenes[[#This Row],[orden]]="","",tblOrdenes[[#This Row],[costo_servicio]]+tblOrdenes[[#This Row],[costo_materiales]])</f>
        <v/>
      </c>
      <c r="AI143" s="6" t="inlineStr"/>
      <c r="AJ143" s="6" t="inlineStr"/>
      <c r="AK143" s="6" t="inlineStr"/>
      <c r="AL143" s="3">
        <f>IF(tblOrdenes[[#This Row],[link_checklist]]="","",HYPERLINK(p_ruta_base_checklists&amp;tblOrdenes[[#This Row],[link_checklist]],"abrir"))</f>
        <v/>
      </c>
      <c r="AM143" s="6" t="inlineStr"/>
      <c r="AN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EQ-102</t>
        </is>
      </c>
      <c r="D144" s="3" t="inlineStr">
        <is>
          <t>Inspección de rutina en EQ-102</t>
        </is>
      </c>
      <c r="E144" s="3" t="inlineStr">
        <is>
          <t>EQ-102</t>
        </is>
      </c>
      <c r="F144" s="3" t="inlineStr">
        <is>
          <t>CC-120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46178</v>
      </c>
      <c r="K144" s="3" t="n">
        <v>6</v>
      </c>
      <c r="L144" s="10" t="n">
        <v>150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Row],[tipo_ot]]="","",_xlfn.XLOOKUP(tblOrdenes[[#This Row],[tipo_ot]],tblTiposOT[codigo],tblTiposOT[clasificacion],"sin_clasificar"))</f>
        <v/>
      </c>
      <c r="T144" s="3">
        <f>IF(tblOrdenes[[#This Row],[centro_costo]]="","",_xlfn.XLOOKUP(tblOrdenes[[#This Row],[centro_costo]],tblCECO[codigo],tblCECO[linea],"(sin catálogo)"))</f>
        <v/>
      </c>
      <c r="U144" s="3">
        <f>IF(tblOrdenes[[#This Row],[centro_costo]]="","",_xlfn.XLOOKUP(tblOrdenes[[#This Row],[centro_costo]],tblCECO[codigo],tblCECO[area],"(sin catálogo)"))</f>
        <v/>
      </c>
      <c r="V144" s="3">
        <f>IF(tblOrdenes[[#This Row],[centro_costo]]="","",_xlfn.XLOOKUP(tblOrdenes[[#This Row],[centro_costo]],tblCECO[codigo],tblCECO[coordinador],"(sin catálogo)"))</f>
        <v/>
      </c>
      <c r="W144" s="3">
        <f>IF(tblOrdenes[[#This Row],[puesto_trabajo]]="","",_xlfn.XLOOKUP(tblOrdenes[[#This Row],[puesto_trabajo]],tblPuestos[codigo],tblPuestos[especialidad],"(sin catálogo)"))</f>
        <v/>
      </c>
      <c r="X144" s="3">
        <f>IF(tblOrdenes[[#This Row],[cod_actividad]]="","",_xlfn.XLOOKUP(tblOrdenes[[#This Row],[cod_actividad]],tblActividades[codigo],tblActividades[descripcion],"(sin catálogo)"))</f>
        <v/>
      </c>
      <c r="Y144" s="12">
        <f>IF(tblOrdenes[[#This Row],[fecha_inicio]]="","",TODAY()-tblOrdenes[[#This Row],[fecha_inicio]])</f>
        <v/>
      </c>
      <c r="Z144" s="3">
        <f>IF(tblOrdenes[[#This Row],[backlog_dias]]="","",IF(tblOrdenes[[#This Row],[backlog_dias]]&lt;0,"FUTURO",IF(tblOrdenes[[#This Row],[backlog_dias]]&gt;p_dias_backlog_max,"BACKLOG","MES CORRIENTE")))</f>
        <v/>
      </c>
      <c r="AA144" s="3">
        <f>IF(tblOrdenes[[#This Row],[backlog_dias]]="",FALSE,AND(tblOrdenes[[#This Row],[backlog_dias]]&gt;p_dias_backlog_min,tblOrdenes[[#This Row],[backlog_dias]]&lt;=p_dias_backlog_max))</f>
        <v/>
      </c>
      <c r="AB144" s="6" t="inlineStr"/>
      <c r="AC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4" s="10">
        <f>IF(tblOrdenes[[#This Row],[orden]]="","",_xlfn.XLOOKUP(tblOrdenes[[#This Row],[id_operacion]],tblEjecucion[id_operacion],tblEjecucion[precio],0))</f>
        <v/>
      </c>
      <c r="AG144" s="10">
        <f>IF(tblOrdenes[[#This Row],[orden]]="","",MAX(0,_xlfn.XLOOKUP(tblOrdenes[[#This Row],[id_operacion]],tblEjecucion[id_operacion],tblEjecucion[costo_plan_total],0)-tblOrdenes[[#This Row],[costo_servicio]]))</f>
        <v/>
      </c>
      <c r="AH144" s="10">
        <f>IF(tblOrdenes[[#This Row],[orden]]="","",tblOrdenes[[#This Row],[costo_servicio]]+tblOrdenes[[#This Row],[costo_materiales]])</f>
        <v/>
      </c>
      <c r="AI144" s="6" t="inlineStr"/>
      <c r="AJ144" s="6" t="inlineStr"/>
      <c r="AK144" s="6" t="inlineStr"/>
      <c r="AL144" s="3">
        <f>IF(tblOrdenes[[#This Row],[link_checklist]]="","",HYPERLINK(p_ruta_base_checklists&amp;tblOrdenes[[#This Row],[link_checklist]],"abrir"))</f>
        <v/>
      </c>
      <c r="AM144" s="6" t="inlineStr"/>
      <c r="AN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EQ-103</t>
        </is>
      </c>
      <c r="D145" s="3" t="inlineStr">
        <is>
          <t>Reparación de falla en EQ-103</t>
        </is>
      </c>
      <c r="E145" s="3" t="inlineStr">
        <is>
          <t>EQ-103</t>
        </is>
      </c>
      <c r="F145" s="3" t="inlineStr">
        <is>
          <t>CC-120</t>
        </is>
      </c>
      <c r="G145" s="3" t="inlineStr">
        <is>
          <t>PU-ELE</t>
        </is>
      </c>
      <c r="H145" s="3" t="inlineStr">
        <is>
          <t>ACT-03</t>
        </is>
      </c>
      <c r="I145" s="3" t="inlineStr">
        <is>
          <t>TIPO-C1</t>
        </is>
      </c>
      <c r="J145" s="11" t="n">
        <v>46148</v>
      </c>
      <c r="K145" s="3" t="n">
        <v>4</v>
      </c>
      <c r="L145" s="10" t="n">
        <v>160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Row],[tipo_ot]]="","",_xlfn.XLOOKUP(tblOrdenes[[#This Row],[tipo_ot]],tblTiposOT[codigo],tblTiposOT[clasificacion],"sin_clasificar"))</f>
        <v/>
      </c>
      <c r="T145" s="3">
        <f>IF(tblOrdenes[[#This Row],[centro_costo]]="","",_xlfn.XLOOKUP(tblOrdenes[[#This Row],[centro_costo]],tblCECO[codigo],tblCECO[linea],"(sin catálogo)"))</f>
        <v/>
      </c>
      <c r="U145" s="3">
        <f>IF(tblOrdenes[[#This Row],[centro_costo]]="","",_xlfn.XLOOKUP(tblOrdenes[[#This Row],[centro_costo]],tblCECO[codigo],tblCECO[area],"(sin catálogo)"))</f>
        <v/>
      </c>
      <c r="V145" s="3">
        <f>IF(tblOrdenes[[#This Row],[centro_costo]]="","",_xlfn.XLOOKUP(tblOrdenes[[#This Row],[centro_costo]],tblCECO[codigo],tblCECO[coordinador],"(sin catálogo)"))</f>
        <v/>
      </c>
      <c r="W145" s="3">
        <f>IF(tblOrdenes[[#This Row],[puesto_trabajo]]="","",_xlfn.XLOOKUP(tblOrdenes[[#This Row],[puesto_trabajo]],tblPuestos[codigo],tblPuestos[especialidad],"(sin catálogo)"))</f>
        <v/>
      </c>
      <c r="X145" s="3">
        <f>IF(tblOrdenes[[#This Row],[cod_actividad]]="","",_xlfn.XLOOKUP(tblOrdenes[[#This Row],[cod_actividad]],tblActividades[codigo],tblActividades[descripcion],"(sin catálogo)"))</f>
        <v/>
      </c>
      <c r="Y145" s="12">
        <f>IF(tblOrdenes[[#This Row],[fecha_inicio]]="","",TODAY()-tblOrdenes[[#This Row],[fecha_inicio]])</f>
        <v/>
      </c>
      <c r="Z145" s="3">
        <f>IF(tblOrdenes[[#This Row],[backlog_dias]]="","",IF(tblOrdenes[[#This Row],[backlog_dias]]&lt;0,"FUTURO",IF(tblOrdenes[[#This Row],[backlog_dias]]&gt;p_dias_backlog_max,"BACKLOG","MES CORRIENTE")))</f>
        <v/>
      </c>
      <c r="AA145" s="3">
        <f>IF(tblOrdenes[[#This Row],[backlog_dias]]="",FALSE,AND(tblOrdenes[[#This Row],[backlog_dias]]&gt;p_dias_backlog_min,tblOrdenes[[#This Row],[backlog_dias]]&lt;=p_dias_backlog_max))</f>
        <v/>
      </c>
      <c r="AB145" s="6" t="inlineStr"/>
      <c r="AC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5" s="10">
        <f>IF(tblOrdenes[[#This Row],[orden]]="","",_xlfn.XLOOKUP(tblOrdenes[[#This Row],[id_operacion]],tblEjecucion[id_operacion],tblEjecucion[precio],0))</f>
        <v/>
      </c>
      <c r="AG145" s="10">
        <f>IF(tblOrdenes[[#This Row],[orden]]="","",MAX(0,_xlfn.XLOOKUP(tblOrdenes[[#This Row],[id_operacion]],tblEjecucion[id_operacion],tblEjecucion[costo_plan_total],0)-tblOrdenes[[#This Row],[costo_servicio]]))</f>
        <v/>
      </c>
      <c r="AH145" s="10">
        <f>IF(tblOrdenes[[#This Row],[orden]]="","",tblOrdenes[[#This Row],[costo_servicio]]+tblOrdenes[[#This Row],[costo_materiales]])</f>
        <v/>
      </c>
      <c r="AI145" s="6" t="inlineStr"/>
      <c r="AJ145" s="6" t="inlineStr"/>
      <c r="AK145" s="6" t="inlineStr"/>
      <c r="AL145" s="3">
        <f>IF(tblOrdenes[[#This Row],[link_checklist]]="","",HYPERLINK(p_ruta_base_checklists&amp;tblOrdenes[[#This Row],[link_checklist]],"abrir"))</f>
        <v/>
      </c>
      <c r="AM145" s="6" t="inlineStr"/>
      <c r="AN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EQ-109</t>
        </is>
      </c>
      <c r="D146" s="3" t="inlineStr">
        <is>
          <t>Reparación de falla en EQ-109</t>
        </is>
      </c>
      <c r="E146" s="3" t="inlineStr">
        <is>
          <t>EQ-109</t>
        </is>
      </c>
      <c r="F146" s="3" t="inlineStr">
        <is>
          <t>CC-210</t>
        </is>
      </c>
      <c r="G146" s="3" t="inlineStr">
        <is>
          <t>PU-AUT</t>
        </is>
      </c>
      <c r="H146" s="3" t="inlineStr">
        <is>
          <t>ACT-03</t>
        </is>
      </c>
      <c r="I146" s="3" t="inlineStr">
        <is>
          <t>TIPO-C2</t>
        </is>
      </c>
      <c r="J146" s="11" t="n">
        <v>46148</v>
      </c>
      <c r="K146" s="3" t="n">
        <v>6</v>
      </c>
      <c r="L146" s="10" t="n">
        <v>240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Row],[tipo_ot]]="","",_xlfn.XLOOKUP(tblOrdenes[[#This Row],[tipo_ot]],tblTiposOT[codigo],tblTiposOT[clasificacion],"sin_clasificar"))</f>
        <v/>
      </c>
      <c r="T146" s="3">
        <f>IF(tblOrdenes[[#This Row],[centro_costo]]="","",_xlfn.XLOOKUP(tblOrdenes[[#This Row],[centro_costo]],tblCECO[codigo],tblCECO[linea],"(sin catálogo)"))</f>
        <v/>
      </c>
      <c r="U146" s="3">
        <f>IF(tblOrdenes[[#This Row],[centro_costo]]="","",_xlfn.XLOOKUP(tblOrdenes[[#This Row],[centro_costo]],tblCECO[codigo],tblCECO[area],"(sin catálogo)"))</f>
        <v/>
      </c>
      <c r="V146" s="3">
        <f>IF(tblOrdenes[[#This Row],[centro_costo]]="","",_xlfn.XLOOKUP(tblOrdenes[[#This Row],[centro_costo]],tblCECO[codigo],tblCECO[coordinador],"(sin catálogo)"))</f>
        <v/>
      </c>
      <c r="W146" s="3">
        <f>IF(tblOrdenes[[#This Row],[puesto_trabajo]]="","",_xlfn.XLOOKUP(tblOrdenes[[#This Row],[puesto_trabajo]],tblPuestos[codigo],tblPuestos[especialidad],"(sin catálogo)"))</f>
        <v/>
      </c>
      <c r="X146" s="3">
        <f>IF(tblOrdenes[[#This Row],[cod_actividad]]="","",_xlfn.XLOOKUP(tblOrdenes[[#This Row],[cod_actividad]],tblActividades[codigo],tblActividades[descripcion],"(sin catálogo)"))</f>
        <v/>
      </c>
      <c r="Y146" s="12">
        <f>IF(tblOrdenes[[#This Row],[fecha_inicio]]="","",TODAY()-tblOrdenes[[#This Row],[fecha_inicio]])</f>
        <v/>
      </c>
      <c r="Z146" s="3">
        <f>IF(tblOrdenes[[#This Row],[backlog_dias]]="","",IF(tblOrdenes[[#This Row],[backlog_dias]]&lt;0,"FUTURO",IF(tblOrdenes[[#This Row],[backlog_dias]]&gt;p_dias_backlog_max,"BACKLOG","MES CORRIENTE")))</f>
        <v/>
      </c>
      <c r="AA146" s="3">
        <f>IF(tblOrdenes[[#This Row],[backlog_dias]]="",FALSE,AND(tblOrdenes[[#This Row],[backlog_dias]]&gt;p_dias_backlog_min,tblOrdenes[[#This Row],[backlog_dias]]&lt;=p_dias_backlog_max))</f>
        <v/>
      </c>
      <c r="AB146" s="6" t="inlineStr"/>
      <c r="AC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6" s="10">
        <f>IF(tblOrdenes[[#This Row],[orden]]="","",_xlfn.XLOOKUP(tblOrdenes[[#This Row],[id_operacion]],tblEjecucion[id_operacion],tblEjecucion[precio],0))</f>
        <v/>
      </c>
      <c r="AG146" s="10">
        <f>IF(tblOrdenes[[#This Row],[orden]]="","",MAX(0,_xlfn.XLOOKUP(tblOrdenes[[#This Row],[id_operacion]],tblEjecucion[id_operacion],tblEjecucion[costo_plan_total],0)-tblOrdenes[[#This Row],[costo_servicio]]))</f>
        <v/>
      </c>
      <c r="AH146" s="10">
        <f>IF(tblOrdenes[[#This Row],[orden]]="","",tblOrdenes[[#This Row],[costo_servicio]]+tblOrdenes[[#This Row],[costo_materiales]])</f>
        <v/>
      </c>
      <c r="AI146" s="6" t="inlineStr"/>
      <c r="AJ146" s="6" t="inlineStr"/>
      <c r="AK146" s="6" t="inlineStr"/>
      <c r="AL146" s="3">
        <f>IF(tblOrdenes[[#This Row],[link_checklist]]="","",HYPERLINK(p_ruta_base_checklists&amp;tblOrdenes[[#This Row],[link_checklist]],"abrir"))</f>
        <v/>
      </c>
      <c r="AM146" s="6" t="inlineStr"/>
      <c r="AN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EQ-106</t>
        </is>
      </c>
      <c r="D147" s="3" t="inlineStr">
        <is>
          <t>Reparación de falla en EQ-106</t>
        </is>
      </c>
      <c r="E147" s="3" t="inlineStr">
        <is>
          <t>EQ-106</t>
        </is>
      </c>
      <c r="F147" s="3" t="inlineStr">
        <is>
          <t>CC-220</t>
        </is>
      </c>
      <c r="G147" s="3" t="inlineStr">
        <is>
          <t>PU-OP</t>
        </is>
      </c>
      <c r="H147" s="3" t="inlineStr">
        <is>
          <t>ACT-03</t>
        </is>
      </c>
      <c r="I147" s="3" t="inlineStr">
        <is>
          <t>TIPO-C1</t>
        </is>
      </c>
      <c r="J147" s="11" t="n">
        <v>46148</v>
      </c>
      <c r="K147" s="3" t="n">
        <v>8</v>
      </c>
      <c r="L147" s="10" t="n">
        <v>320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Row],[tipo_ot]]="","",_xlfn.XLOOKUP(tblOrdenes[[#This Row],[tipo_ot]],tblTiposOT[codigo],tblTiposOT[clasificacion],"sin_clasificar"))</f>
        <v/>
      </c>
      <c r="T147" s="3">
        <f>IF(tblOrdenes[[#This Row],[centro_costo]]="","",_xlfn.XLOOKUP(tblOrdenes[[#This Row],[centro_costo]],tblCECO[codigo],tblCECO[linea],"(sin catálogo)"))</f>
        <v/>
      </c>
      <c r="U147" s="3">
        <f>IF(tblOrdenes[[#This Row],[centro_costo]]="","",_xlfn.XLOOKUP(tblOrdenes[[#This Row],[centro_costo]],tblCECO[codigo],tblCECO[area],"(sin catálogo)"))</f>
        <v/>
      </c>
      <c r="V147" s="3">
        <f>IF(tblOrdenes[[#This Row],[centro_costo]]="","",_xlfn.XLOOKUP(tblOrdenes[[#This Row],[centro_costo]],tblCECO[codigo],tblCECO[coordinador],"(sin catálogo)"))</f>
        <v/>
      </c>
      <c r="W147" s="3">
        <f>IF(tblOrdenes[[#This Row],[puesto_trabajo]]="","",_xlfn.XLOOKUP(tblOrdenes[[#This Row],[puesto_trabajo]],tblPuestos[codigo],tblPuestos[especialidad],"(sin catálogo)"))</f>
        <v/>
      </c>
      <c r="X147" s="3">
        <f>IF(tblOrdenes[[#This Row],[cod_actividad]]="","",_xlfn.XLOOKUP(tblOrdenes[[#This Row],[cod_actividad]],tblActividades[codigo],tblActividades[descripcion],"(sin catálogo)"))</f>
        <v/>
      </c>
      <c r="Y147" s="12">
        <f>IF(tblOrdenes[[#This Row],[fecha_inicio]]="","",TODAY()-tblOrdenes[[#This Row],[fecha_inicio]])</f>
        <v/>
      </c>
      <c r="Z147" s="3">
        <f>IF(tblOrdenes[[#This Row],[backlog_dias]]="","",IF(tblOrdenes[[#This Row],[backlog_dias]]&lt;0,"FUTURO",IF(tblOrdenes[[#This Row],[backlog_dias]]&gt;p_dias_backlog_max,"BACKLOG","MES CORRIENTE")))</f>
        <v/>
      </c>
      <c r="AA147" s="3">
        <f>IF(tblOrdenes[[#This Row],[backlog_dias]]="",FALSE,AND(tblOrdenes[[#This Row],[backlog_dias]]&gt;p_dias_backlog_min,tblOrdenes[[#This Row],[backlog_dias]]&lt;=p_dias_backlog_max))</f>
        <v/>
      </c>
      <c r="AB147" s="6" t="inlineStr"/>
      <c r="AC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7" s="10">
        <f>IF(tblOrdenes[[#This Row],[orden]]="","",_xlfn.XLOOKUP(tblOrdenes[[#This Row],[id_operacion]],tblEjecucion[id_operacion],tblEjecucion[precio],0))</f>
        <v/>
      </c>
      <c r="AG147" s="10">
        <f>IF(tblOrdenes[[#This Row],[orden]]="","",MAX(0,_xlfn.XLOOKUP(tblOrdenes[[#This Row],[id_operacion]],tblEjecucion[id_operacion],tblEjecucion[costo_plan_total],0)-tblOrdenes[[#This Row],[costo_servicio]]))</f>
        <v/>
      </c>
      <c r="AH147" s="10">
        <f>IF(tblOrdenes[[#This Row],[orden]]="","",tblOrdenes[[#This Row],[costo_servicio]]+tblOrdenes[[#This Row],[costo_materiales]])</f>
        <v/>
      </c>
      <c r="AI147" s="6" t="inlineStr"/>
      <c r="AJ147" s="6" t="inlineStr"/>
      <c r="AK147" s="6" t="inlineStr"/>
      <c r="AL147" s="3">
        <f>IF(tblOrdenes[[#This Row],[link_checklist]]="","",HYPERLINK(p_ruta_base_checklists&amp;tblOrdenes[[#This Row],[link_checklist]],"abrir"))</f>
        <v/>
      </c>
      <c r="AM147" s="6" t="inlineStr"/>
      <c r="AN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1" t="n">
        <v>46148</v>
      </c>
      <c r="K148" s="3" t="n">
        <v>4</v>
      </c>
      <c r="L148" s="10" t="n">
        <v>100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Row],[tipo_ot]]="","",_xlfn.XLOOKUP(tblOrdenes[[#This Row],[tipo_ot]],tblTiposOT[codigo],tblTiposOT[clasificacion],"sin_clasificar"))</f>
        <v/>
      </c>
      <c r="T148" s="3">
        <f>IF(tblOrdenes[[#This Row],[centro_costo]]="","",_xlfn.XLOOKUP(tblOrdenes[[#This Row],[centro_costo]],tblCECO[codigo],tblCECO[linea],"(sin catálogo)"))</f>
        <v/>
      </c>
      <c r="U148" s="3">
        <f>IF(tblOrdenes[[#This Row],[centro_costo]]="","",_xlfn.XLOOKUP(tblOrdenes[[#This Row],[centro_costo]],tblCECO[codigo],tblCECO[area],"(sin catálogo)"))</f>
        <v/>
      </c>
      <c r="V148" s="3">
        <f>IF(tblOrdenes[[#This Row],[centro_costo]]="","",_xlfn.XLOOKUP(tblOrdenes[[#This Row],[centro_costo]],tblCECO[codigo],tblCECO[coordinador],"(sin catálogo)"))</f>
        <v/>
      </c>
      <c r="W148" s="3">
        <f>IF(tblOrdenes[[#This Row],[puesto_trabajo]]="","",_xlfn.XLOOKUP(tblOrdenes[[#This Row],[puesto_trabajo]],tblPuestos[codigo],tblPuestos[especialidad],"(sin catálogo)"))</f>
        <v/>
      </c>
      <c r="X148" s="3">
        <f>IF(tblOrdenes[[#This Row],[cod_actividad]]="","",_xlfn.XLOOKUP(tblOrdenes[[#This Row],[cod_actividad]],tblActividades[codigo],tblActividades[descripcion],"(sin catálogo)"))</f>
        <v/>
      </c>
      <c r="Y148" s="12">
        <f>IF(tblOrdenes[[#This Row],[fecha_inicio]]="","",TODAY()-tblOrdenes[[#This Row],[fecha_inicio]])</f>
        <v/>
      </c>
      <c r="Z148" s="3">
        <f>IF(tblOrdenes[[#This Row],[backlog_dias]]="","",IF(tblOrdenes[[#This Row],[backlog_dias]]&lt;0,"FUTURO",IF(tblOrdenes[[#This Row],[backlog_dias]]&gt;p_dias_backlog_max,"BACKLOG","MES CORRIENTE")))</f>
        <v/>
      </c>
      <c r="AA148" s="3">
        <f>IF(tblOrdenes[[#This Row],[backlog_dias]]="",FALSE,AND(tblOrdenes[[#This Row],[backlog_dias]]&gt;p_dias_backlog_min,tblOrdenes[[#This Row],[backlog_dias]]&lt;=p_dias_backlog_max))</f>
        <v/>
      </c>
      <c r="AB148" s="6" t="inlineStr"/>
      <c r="AC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8" s="10">
        <f>IF(tblOrdenes[[#This Row],[orden]]="","",_xlfn.XLOOKUP(tblOrdenes[[#This Row],[id_operacion]],tblEjecucion[id_operacion],tblEjecucion[precio],0))</f>
        <v/>
      </c>
      <c r="AG148" s="10">
        <f>IF(tblOrdenes[[#This Row],[orden]]="","",MAX(0,_xlfn.XLOOKUP(tblOrdenes[[#This Row],[id_operacion]],tblEjecucion[id_operacion],tblEjecucion[costo_plan_total],0)-tblOrdenes[[#This Row],[costo_servicio]]))</f>
        <v/>
      </c>
      <c r="AH148" s="10">
        <f>IF(tblOrdenes[[#This Row],[orden]]="","",tblOrdenes[[#This Row],[costo_servicio]]+tblOrdenes[[#This Row],[costo_materiales]])</f>
        <v/>
      </c>
      <c r="AI148" s="6" t="inlineStr"/>
      <c r="AJ148" s="6" t="inlineStr"/>
      <c r="AK148" s="6" t="inlineStr"/>
      <c r="AL148" s="3">
        <f>IF(tblOrdenes[[#This Row],[link_checklist]]="","",HYPERLINK(p_ruta_base_checklists&amp;tblOrdenes[[#This Row],[link_checklist]],"abrir"))</f>
        <v/>
      </c>
      <c r="AM148" s="6" t="inlineStr"/>
      <c r="AN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EQ-112</t>
        </is>
      </c>
      <c r="D149" s="3" t="inlineStr">
        <is>
          <t>Reparación de falla en EQ-112</t>
        </is>
      </c>
      <c r="E149" s="3" t="inlineStr">
        <is>
          <t>EQ-112</t>
        </is>
      </c>
      <c r="F149" s="3" t="inlineStr">
        <is>
          <t>CC-320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46148</v>
      </c>
      <c r="K149" s="3" t="n">
        <v>6</v>
      </c>
      <c r="L149" s="10" t="n">
        <v>240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Row],[tipo_ot]]="","",_xlfn.XLOOKUP(tblOrdenes[[#This Row],[tipo_ot]],tblTiposOT[codigo],tblTiposOT[clasificacion],"sin_clasificar"))</f>
        <v/>
      </c>
      <c r="T149" s="3">
        <f>IF(tblOrdenes[[#This Row],[centro_costo]]="","",_xlfn.XLOOKUP(tblOrdenes[[#This Row],[centro_costo]],tblCECO[codigo],tblCECO[linea],"(sin catálogo)"))</f>
        <v/>
      </c>
      <c r="U149" s="3">
        <f>IF(tblOrdenes[[#This Row],[centro_costo]]="","",_xlfn.XLOOKUP(tblOrdenes[[#This Row],[centro_costo]],tblCECO[codigo],tblCECO[area],"(sin catálogo)"))</f>
        <v/>
      </c>
      <c r="V149" s="3">
        <f>IF(tblOrdenes[[#This Row],[centro_costo]]="","",_xlfn.XLOOKUP(tblOrdenes[[#This Row],[centro_costo]],tblCECO[codigo],tblCECO[coordinador],"(sin catálogo)"))</f>
        <v/>
      </c>
      <c r="W149" s="3">
        <f>IF(tblOrdenes[[#This Row],[puesto_trabajo]]="","",_xlfn.XLOOKUP(tblOrdenes[[#This Row],[puesto_trabajo]],tblPuestos[codigo],tblPuestos[especialidad],"(sin catálogo)"))</f>
        <v/>
      </c>
      <c r="X149" s="3">
        <f>IF(tblOrdenes[[#This Row],[cod_actividad]]="","",_xlfn.XLOOKUP(tblOrdenes[[#This Row],[cod_actividad]],tblActividades[codigo],tblActividades[descripcion],"(sin catálogo)"))</f>
        <v/>
      </c>
      <c r="Y149" s="12">
        <f>IF(tblOrdenes[[#This Row],[fecha_inicio]]="","",TODAY()-tblOrdenes[[#This Row],[fecha_inicio]])</f>
        <v/>
      </c>
      <c r="Z149" s="3">
        <f>IF(tblOrdenes[[#This Row],[backlog_dias]]="","",IF(tblOrdenes[[#This Row],[backlog_dias]]&lt;0,"FUTURO",IF(tblOrdenes[[#This Row],[backlog_dias]]&gt;p_dias_backlog_max,"BACKLOG","MES CORRIENTE")))</f>
        <v/>
      </c>
      <c r="AA149" s="3">
        <f>IF(tblOrdenes[[#This Row],[backlog_dias]]="",FALSE,AND(tblOrdenes[[#This Row],[backlog_dias]]&gt;p_dias_backlog_min,tblOrdenes[[#This Row],[backlog_dias]]&lt;=p_dias_backlog_max))</f>
        <v/>
      </c>
      <c r="AB149" s="6" t="inlineStr"/>
      <c r="AC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9" s="10">
        <f>IF(tblOrdenes[[#This Row],[orden]]="","",_xlfn.XLOOKUP(tblOrdenes[[#This Row],[id_operacion]],tblEjecucion[id_operacion],tblEjecucion[precio],0))</f>
        <v/>
      </c>
      <c r="AG149" s="10">
        <f>IF(tblOrdenes[[#This Row],[orden]]="","",MAX(0,_xlfn.XLOOKUP(tblOrdenes[[#This Row],[id_operacion]],tblEjecucion[id_operacion],tblEjecucion[costo_plan_total],0)-tblOrdenes[[#This Row],[costo_servicio]]))</f>
        <v/>
      </c>
      <c r="AH149" s="10">
        <f>IF(tblOrdenes[[#This Row],[orden]]="","",tblOrdenes[[#This Row],[costo_servicio]]+tblOrdenes[[#This Row],[costo_materiales]])</f>
        <v/>
      </c>
      <c r="AI149" s="6" t="inlineStr"/>
      <c r="AJ149" s="6" t="inlineStr"/>
      <c r="AK149" s="6" t="inlineStr"/>
      <c r="AL149" s="3">
        <f>IF(tblOrdenes[[#This Row],[link_checklist]]="","",HYPERLINK(p_ruta_base_checklists&amp;tblOrdenes[[#This Row],[link_checklist]],"abrir"))</f>
        <v/>
      </c>
      <c r="AM149" s="6" t="inlineStr"/>
      <c r="AN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EQ-103</t>
        </is>
      </c>
      <c r="D150" s="3" t="inlineStr">
        <is>
          <t>Reparación de falla en EQ-103</t>
        </is>
      </c>
      <c r="E150" s="3" t="inlineStr">
        <is>
          <t>EQ-103</t>
        </is>
      </c>
      <c r="F150" s="3" t="inlineStr">
        <is>
          <t>CC-110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46148</v>
      </c>
      <c r="K150" s="3" t="n">
        <v>8</v>
      </c>
      <c r="L150" s="10" t="n">
        <v>320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Row],[tipo_ot]]="","",_xlfn.XLOOKUP(tblOrdenes[[#This Row],[tipo_ot]],tblTiposOT[codigo],tblTiposOT[clasificacion],"sin_clasificar"))</f>
        <v/>
      </c>
      <c r="T150" s="3">
        <f>IF(tblOrdenes[[#This Row],[centro_costo]]="","",_xlfn.XLOOKUP(tblOrdenes[[#This Row],[centro_costo]],tblCECO[codigo],tblCECO[linea],"(sin catálogo)"))</f>
        <v/>
      </c>
      <c r="U150" s="3">
        <f>IF(tblOrdenes[[#This Row],[centro_costo]]="","",_xlfn.XLOOKUP(tblOrdenes[[#This Row],[centro_costo]],tblCECO[codigo],tblCECO[area],"(sin catálogo)"))</f>
        <v/>
      </c>
      <c r="V150" s="3">
        <f>IF(tblOrdenes[[#This Row],[centro_costo]]="","",_xlfn.XLOOKUP(tblOrdenes[[#This Row],[centro_costo]],tblCECO[codigo],tblCECO[coordinador],"(sin catálogo)"))</f>
        <v/>
      </c>
      <c r="W150" s="3">
        <f>IF(tblOrdenes[[#This Row],[puesto_trabajo]]="","",_xlfn.XLOOKUP(tblOrdenes[[#This Row],[puesto_trabajo]],tblPuestos[codigo],tblPuestos[especialidad],"(sin catálogo)"))</f>
        <v/>
      </c>
      <c r="X150" s="3">
        <f>IF(tblOrdenes[[#This Row],[cod_actividad]]="","",_xlfn.XLOOKUP(tblOrdenes[[#This Row],[cod_actividad]],tblActividades[codigo],tblActividades[descripcion],"(sin catálogo)"))</f>
        <v/>
      </c>
      <c r="Y150" s="12">
        <f>IF(tblOrdenes[[#This Row],[fecha_inicio]]="","",TODAY()-tblOrdenes[[#This Row],[fecha_inicio]])</f>
        <v/>
      </c>
      <c r="Z150" s="3">
        <f>IF(tblOrdenes[[#This Row],[backlog_dias]]="","",IF(tblOrdenes[[#This Row],[backlog_dias]]&lt;0,"FUTURO",IF(tblOrdenes[[#This Row],[backlog_dias]]&gt;p_dias_backlog_max,"BACKLOG","MES CORRIENTE")))</f>
        <v/>
      </c>
      <c r="AA150" s="3">
        <f>IF(tblOrdenes[[#This Row],[backlog_dias]]="",FALSE,AND(tblOrdenes[[#This Row],[backlog_dias]]&gt;p_dias_backlog_min,tblOrdenes[[#This Row],[backlog_dias]]&lt;=p_dias_backlog_max))</f>
        <v/>
      </c>
      <c r="AB150" s="6" t="inlineStr"/>
      <c r="AC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0" s="10">
        <f>IF(tblOrdenes[[#This Row],[orden]]="","",_xlfn.XLOOKUP(tblOrdenes[[#This Row],[id_operacion]],tblEjecucion[id_operacion],tblEjecucion[precio],0))</f>
        <v/>
      </c>
      <c r="AG150" s="10">
        <f>IF(tblOrdenes[[#This Row],[orden]]="","",MAX(0,_xlfn.XLOOKUP(tblOrdenes[[#This Row],[id_operacion]],tblEjecucion[id_operacion],tblEjecucion[costo_plan_total],0)-tblOrdenes[[#This Row],[costo_servicio]]))</f>
        <v/>
      </c>
      <c r="AH150" s="10">
        <f>IF(tblOrdenes[[#This Row],[orden]]="","",tblOrdenes[[#This Row],[costo_servicio]]+tblOrdenes[[#This Row],[costo_materiales]])</f>
        <v/>
      </c>
      <c r="AI150" s="6" t="inlineStr"/>
      <c r="AJ150" s="6" t="inlineStr"/>
      <c r="AK150" s="6" t="inlineStr"/>
      <c r="AL150" s="3">
        <f>IF(tblOrdenes[[#This Row],[link_checklist]]="","",HYPERLINK(p_ruta_base_checklists&amp;tblOrdenes[[#This Row],[link_checklist]],"abrir"))</f>
        <v/>
      </c>
      <c r="AM150" s="6" t="inlineStr"/>
      <c r="AN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CC-210</t>
        </is>
      </c>
      <c r="G151" s="3" t="inlineStr">
        <is>
          <t>PU-AUT</t>
        </is>
      </c>
      <c r="H151" s="3" t="inlineStr">
        <is>
          <t>ACT-03</t>
        </is>
      </c>
      <c r="I151" s="3" t="inlineStr">
        <is>
          <t>TIPO-C1</t>
        </is>
      </c>
      <c r="J151" s="11" t="n">
        <v>46123</v>
      </c>
      <c r="K151" s="3" t="n">
        <v>4</v>
      </c>
      <c r="L151" s="10" t="n">
        <v>160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Row],[tipo_ot]]="","",_xlfn.XLOOKUP(tblOrdenes[[#This Row],[tipo_ot]],tblTiposOT[codigo],tblTiposOT[clasificacion],"sin_clasificar"))</f>
        <v/>
      </c>
      <c r="T151" s="3">
        <f>IF(tblOrdenes[[#This Row],[centro_costo]]="","",_xlfn.XLOOKUP(tblOrdenes[[#This Row],[centro_costo]],tblCECO[codigo],tblCECO[linea],"(sin catálogo)"))</f>
        <v/>
      </c>
      <c r="U151" s="3">
        <f>IF(tblOrdenes[[#This Row],[centro_costo]]="","",_xlfn.XLOOKUP(tblOrdenes[[#This Row],[centro_costo]],tblCECO[codigo],tblCECO[area],"(sin catálogo)"))</f>
        <v/>
      </c>
      <c r="V151" s="3">
        <f>IF(tblOrdenes[[#This Row],[centro_costo]]="","",_xlfn.XLOOKUP(tblOrdenes[[#This Row],[centro_costo]],tblCECO[codigo],tblCECO[coordinador],"(sin catálogo)"))</f>
        <v/>
      </c>
      <c r="W151" s="3">
        <f>IF(tblOrdenes[[#This Row],[puesto_trabajo]]="","",_xlfn.XLOOKUP(tblOrdenes[[#This Row],[puesto_trabajo]],tblPuestos[codigo],tblPuestos[especialidad],"(sin catálogo)"))</f>
        <v/>
      </c>
      <c r="X151" s="3">
        <f>IF(tblOrdenes[[#This Row],[cod_actividad]]="","",_xlfn.XLOOKUP(tblOrdenes[[#This Row],[cod_actividad]],tblActividades[codigo],tblActividades[descripcion],"(sin catálogo)"))</f>
        <v/>
      </c>
      <c r="Y151" s="12">
        <f>IF(tblOrdenes[[#This Row],[fecha_inicio]]="","",TODAY()-tblOrdenes[[#This Row],[fecha_inicio]])</f>
        <v/>
      </c>
      <c r="Z151" s="3">
        <f>IF(tblOrdenes[[#This Row],[backlog_dias]]="","",IF(tblOrdenes[[#This Row],[backlog_dias]]&lt;0,"FUTURO",IF(tblOrdenes[[#This Row],[backlog_dias]]&gt;p_dias_backlog_max,"BACKLOG","MES CORRIENTE")))</f>
        <v/>
      </c>
      <c r="AA151" s="3">
        <f>IF(tblOrdenes[[#This Row],[backlog_dias]]="",FALSE,AND(tblOrdenes[[#This Row],[backlog_dias]]&gt;p_dias_backlog_min,tblOrdenes[[#This Row],[backlog_dias]]&lt;=p_dias_backlog_max))</f>
        <v/>
      </c>
      <c r="AB151" s="6" t="inlineStr"/>
      <c r="AC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1" s="10">
        <f>IF(tblOrdenes[[#This Row],[orden]]="","",_xlfn.XLOOKUP(tblOrdenes[[#This Row],[id_operacion]],tblEjecucion[id_operacion],tblEjecucion[precio],0))</f>
        <v/>
      </c>
      <c r="AG151" s="10">
        <f>IF(tblOrdenes[[#This Row],[orden]]="","",MAX(0,_xlfn.XLOOKUP(tblOrdenes[[#This Row],[id_operacion]],tblEjecucion[id_operacion],tblEjecucion[costo_plan_total],0)-tblOrdenes[[#This Row],[costo_servicio]]))</f>
        <v/>
      </c>
      <c r="AH151" s="10">
        <f>IF(tblOrdenes[[#This Row],[orden]]="","",tblOrdenes[[#This Row],[costo_servicio]]+tblOrdenes[[#This Row],[costo_materiales]])</f>
        <v/>
      </c>
      <c r="AI151" s="6" t="inlineStr"/>
      <c r="AJ151" s="6" t="inlineStr"/>
      <c r="AK151" s="6" t="inlineStr"/>
      <c r="AL151" s="3">
        <f>IF(tblOrdenes[[#This Row],[link_checklist]]="","",HYPERLINK(p_ruta_base_checklists&amp;tblOrdenes[[#This Row],[link_checklist]],"abrir"))</f>
        <v/>
      </c>
      <c r="AM151" s="6" t="inlineStr"/>
      <c r="AN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Reparación de falla — EQ-107</t>
        </is>
      </c>
      <c r="D152" s="3" t="inlineStr">
        <is>
          <t>Reparación de falla en EQ-107</t>
        </is>
      </c>
      <c r="E152" s="3" t="inlineStr">
        <is>
          <t>EQ-107</t>
        </is>
      </c>
      <c r="F152" s="3" t="inlineStr">
        <is>
          <t>CC-220</t>
        </is>
      </c>
      <c r="G152" s="3" t="inlineStr">
        <is>
          <t>PU-OP</t>
        </is>
      </c>
      <c r="H152" s="3" t="inlineStr">
        <is>
          <t>ACT-03</t>
        </is>
      </c>
      <c r="I152" s="3" t="inlineStr">
        <is>
          <t>TIPO-C2</t>
        </is>
      </c>
      <c r="J152" s="11" t="n">
        <v>46123</v>
      </c>
      <c r="K152" s="3" t="n">
        <v>6</v>
      </c>
      <c r="L152" s="10" t="n">
        <v>240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Row],[tipo_ot]]="","",_xlfn.XLOOKUP(tblOrdenes[[#This Row],[tipo_ot]],tblTiposOT[codigo],tblTiposOT[clasificacion],"sin_clasificar"))</f>
        <v/>
      </c>
      <c r="T152" s="3">
        <f>IF(tblOrdenes[[#This Row],[centro_costo]]="","",_xlfn.XLOOKUP(tblOrdenes[[#This Row],[centro_costo]],tblCECO[codigo],tblCECO[linea],"(sin catálogo)"))</f>
        <v/>
      </c>
      <c r="U152" s="3">
        <f>IF(tblOrdenes[[#This Row],[centro_costo]]="","",_xlfn.XLOOKUP(tblOrdenes[[#This Row],[centro_costo]],tblCECO[codigo],tblCECO[area],"(sin catálogo)"))</f>
        <v/>
      </c>
      <c r="V152" s="3">
        <f>IF(tblOrdenes[[#This Row],[centro_costo]]="","",_xlfn.XLOOKUP(tblOrdenes[[#This Row],[centro_costo]],tblCECO[codigo],tblCECO[coordinador],"(sin catálogo)"))</f>
        <v/>
      </c>
      <c r="W152" s="3">
        <f>IF(tblOrdenes[[#This Row],[puesto_trabajo]]="","",_xlfn.XLOOKUP(tblOrdenes[[#This Row],[puesto_trabajo]],tblPuestos[codigo],tblPuestos[especialidad],"(sin catálogo)"))</f>
        <v/>
      </c>
      <c r="X152" s="3">
        <f>IF(tblOrdenes[[#This Row],[cod_actividad]]="","",_xlfn.XLOOKUP(tblOrdenes[[#This Row],[cod_actividad]],tblActividades[codigo],tblActividades[descripcion],"(sin catálogo)"))</f>
        <v/>
      </c>
      <c r="Y152" s="12">
        <f>IF(tblOrdenes[[#This Row],[fecha_inicio]]="","",TODAY()-tblOrdenes[[#This Row],[fecha_inicio]])</f>
        <v/>
      </c>
      <c r="Z152" s="3">
        <f>IF(tblOrdenes[[#This Row],[backlog_dias]]="","",IF(tblOrdenes[[#This Row],[backlog_dias]]&lt;0,"FUTURO",IF(tblOrdenes[[#This Row],[backlog_dias]]&gt;p_dias_backlog_max,"BACKLOG","MES CORRIENTE")))</f>
        <v/>
      </c>
      <c r="AA152" s="3">
        <f>IF(tblOrdenes[[#This Row],[backlog_dias]]="",FALSE,AND(tblOrdenes[[#This Row],[backlog_dias]]&gt;p_dias_backlog_min,tblOrdenes[[#This Row],[backlog_dias]]&lt;=p_dias_backlog_max))</f>
        <v/>
      </c>
      <c r="AB152" s="6" t="inlineStr"/>
      <c r="AC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2" s="10">
        <f>IF(tblOrdenes[[#This Row],[orden]]="","",_xlfn.XLOOKUP(tblOrdenes[[#This Row],[id_operacion]],tblEjecucion[id_operacion],tblEjecucion[precio],0))</f>
        <v/>
      </c>
      <c r="AG152" s="10">
        <f>IF(tblOrdenes[[#This Row],[orden]]="","",MAX(0,_xlfn.XLOOKUP(tblOrdenes[[#This Row],[id_operacion]],tblEjecucion[id_operacion],tblEjecucion[costo_plan_total],0)-tblOrdenes[[#This Row],[costo_servicio]]))</f>
        <v/>
      </c>
      <c r="AH152" s="10">
        <f>IF(tblOrdenes[[#This Row],[orden]]="","",tblOrdenes[[#This Row],[costo_servicio]]+tblOrdenes[[#This Row],[costo_materiales]])</f>
        <v/>
      </c>
      <c r="AI152" s="6" t="inlineStr"/>
      <c r="AJ152" s="6" t="inlineStr"/>
      <c r="AK152" s="6" t="inlineStr"/>
      <c r="AL152" s="3">
        <f>IF(tblOrdenes[[#This Row],[link_checklist]]="","",HYPERLINK(p_ruta_base_checklists&amp;tblOrdenes[[#This Row],[link_checklist]],"abrir"))</f>
        <v/>
      </c>
      <c r="AM152" s="6" t="inlineStr"/>
      <c r="AN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CC-310</t>
        </is>
      </c>
      <c r="G153" s="3" t="inlineStr">
        <is>
          <t>PU-MEC</t>
        </is>
      </c>
      <c r="H153" s="3" t="inlineStr">
        <is>
          <t>ACT-03</t>
        </is>
      </c>
      <c r="I153" s="3" t="inlineStr">
        <is>
          <t>TIPO-C1</t>
        </is>
      </c>
      <c r="J153" s="11" t="n">
        <v>46123</v>
      </c>
      <c r="K153" s="3" t="n">
        <v>8</v>
      </c>
      <c r="L153" s="10" t="n">
        <v>320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Row],[tipo_ot]]="","",_xlfn.XLOOKUP(tblOrdenes[[#This Row],[tipo_ot]],tblTiposOT[codigo],tblTiposOT[clasificacion],"sin_clasificar"))</f>
        <v/>
      </c>
      <c r="T153" s="3">
        <f>IF(tblOrdenes[[#This Row],[centro_costo]]="","",_xlfn.XLOOKUP(tblOrdenes[[#This Row],[centro_costo]],tblCECO[codigo],tblCECO[linea],"(sin catálogo)"))</f>
        <v/>
      </c>
      <c r="U153" s="3">
        <f>IF(tblOrdenes[[#This Row],[centro_costo]]="","",_xlfn.XLOOKUP(tblOrdenes[[#This Row],[centro_costo]],tblCECO[codigo],tblCECO[area],"(sin catálogo)"))</f>
        <v/>
      </c>
      <c r="V153" s="3">
        <f>IF(tblOrdenes[[#This Row],[centro_costo]]="","",_xlfn.XLOOKUP(tblOrdenes[[#This Row],[centro_costo]],tblCECO[codigo],tblCECO[coordinador],"(sin catálogo)"))</f>
        <v/>
      </c>
      <c r="W153" s="3">
        <f>IF(tblOrdenes[[#This Row],[puesto_trabajo]]="","",_xlfn.XLOOKUP(tblOrdenes[[#This Row],[puesto_trabajo]],tblPuestos[codigo],tblPuestos[especialidad],"(sin catálogo)"))</f>
        <v/>
      </c>
      <c r="X153" s="3">
        <f>IF(tblOrdenes[[#This Row],[cod_actividad]]="","",_xlfn.XLOOKUP(tblOrdenes[[#This Row],[cod_actividad]],tblActividades[codigo],tblActividades[descripcion],"(sin catálogo)"))</f>
        <v/>
      </c>
      <c r="Y153" s="12">
        <f>IF(tblOrdenes[[#This Row],[fecha_inicio]]="","",TODAY()-tblOrdenes[[#This Row],[fecha_inicio]])</f>
        <v/>
      </c>
      <c r="Z153" s="3">
        <f>IF(tblOrdenes[[#This Row],[backlog_dias]]="","",IF(tblOrdenes[[#This Row],[backlog_dias]]&lt;0,"FUTURO",IF(tblOrdenes[[#This Row],[backlog_dias]]&gt;p_dias_backlog_max,"BACKLOG","MES CORRIENTE")))</f>
        <v/>
      </c>
      <c r="AA153" s="3">
        <f>IF(tblOrdenes[[#This Row],[backlog_dias]]="",FALSE,AND(tblOrdenes[[#This Row],[backlog_dias]]&gt;p_dias_backlog_min,tblOrdenes[[#This Row],[backlog_dias]]&lt;=p_dias_backlog_max))</f>
        <v/>
      </c>
      <c r="AB153" s="6" t="inlineStr"/>
      <c r="AC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3" s="10">
        <f>IF(tblOrdenes[[#This Row],[orden]]="","",_xlfn.XLOOKUP(tblOrdenes[[#This Row],[id_operacion]],tblEjecucion[id_operacion],tblEjecucion[precio],0))</f>
        <v/>
      </c>
      <c r="AG153" s="10">
        <f>IF(tblOrdenes[[#This Row],[orden]]="","",MAX(0,_xlfn.XLOOKUP(tblOrdenes[[#This Row],[id_operacion]],tblEjecucion[id_operacion],tblEjecucion[costo_plan_total],0)-tblOrdenes[[#This Row],[costo_servicio]]))</f>
        <v/>
      </c>
      <c r="AH153" s="10">
        <f>IF(tblOrdenes[[#This Row],[orden]]="","",tblOrdenes[[#This Row],[costo_servicio]]+tblOrdenes[[#This Row],[costo_materiales]])</f>
        <v/>
      </c>
      <c r="AI153" s="6" t="inlineStr"/>
      <c r="AJ153" s="6" t="inlineStr"/>
      <c r="AK153" s="6" t="inlineStr"/>
      <c r="AL153" s="3">
        <f>IF(tblOrdenes[[#This Row],[link_checklist]]="","",HYPERLINK(p_ruta_base_checklists&amp;tblOrdenes[[#This Row],[link_checklist]],"abrir"))</f>
        <v/>
      </c>
      <c r="AM153" s="6" t="inlineStr"/>
      <c r="AN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PU-ELE</t>
        </is>
      </c>
      <c r="H154" s="3" t="inlineStr">
        <is>
          <t>ACT-02</t>
        </is>
      </c>
      <c r="I154" s="3" t="inlineStr">
        <is>
          <t>TIPO-P2</t>
        </is>
      </c>
      <c r="J154" s="11" t="n">
        <v>46123</v>
      </c>
      <c r="K154" s="3" t="n">
        <v>4</v>
      </c>
      <c r="L154" s="10" t="n">
        <v>100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Row],[tipo_ot]]="","",_xlfn.XLOOKUP(tblOrdenes[[#This Row],[tipo_ot]],tblTiposOT[codigo],tblTiposOT[clasificacion],"sin_clasificar"))</f>
        <v/>
      </c>
      <c r="T154" s="3">
        <f>IF(tblOrdenes[[#This Row],[centro_costo]]="","",_xlfn.XLOOKUP(tblOrdenes[[#This Row],[centro_costo]],tblCECO[codigo],tblCECO[linea],"(sin catálogo)"))</f>
        <v/>
      </c>
      <c r="U154" s="3">
        <f>IF(tblOrdenes[[#This Row],[centro_costo]]="","",_xlfn.XLOOKUP(tblOrdenes[[#This Row],[centro_costo]],tblCECO[codigo],tblCECO[area],"(sin catálogo)"))</f>
        <v/>
      </c>
      <c r="V154" s="3">
        <f>IF(tblOrdenes[[#This Row],[centro_costo]]="","",_xlfn.XLOOKUP(tblOrdenes[[#This Row],[centro_costo]],tblCECO[codigo],tblCECO[coordinador],"(sin catálogo)"))</f>
        <v/>
      </c>
      <c r="W154" s="3">
        <f>IF(tblOrdenes[[#This Row],[puesto_trabajo]]="","",_xlfn.XLOOKUP(tblOrdenes[[#This Row],[puesto_trabajo]],tblPuestos[codigo],tblPuestos[especialidad],"(sin catálogo)"))</f>
        <v/>
      </c>
      <c r="X154" s="3">
        <f>IF(tblOrdenes[[#This Row],[cod_actividad]]="","",_xlfn.XLOOKUP(tblOrdenes[[#This Row],[cod_actividad]],tblActividades[codigo],tblActividades[descripcion],"(sin catálogo)"))</f>
        <v/>
      </c>
      <c r="Y154" s="12">
        <f>IF(tblOrdenes[[#This Row],[fecha_inicio]]="","",TODAY()-tblOrdenes[[#This Row],[fecha_inicio]])</f>
        <v/>
      </c>
      <c r="Z154" s="3">
        <f>IF(tblOrdenes[[#This Row],[backlog_dias]]="","",IF(tblOrdenes[[#This Row],[backlog_dias]]&lt;0,"FUTURO",IF(tblOrdenes[[#This Row],[backlog_dias]]&gt;p_dias_backlog_max,"BACKLOG","MES CORRIENTE")))</f>
        <v/>
      </c>
      <c r="AA154" s="3">
        <f>IF(tblOrdenes[[#This Row],[backlog_dias]]="",FALSE,AND(tblOrdenes[[#This Row],[backlog_dias]]&gt;p_dias_backlog_min,tblOrdenes[[#This Row],[backlog_dias]]&lt;=p_dias_backlog_max))</f>
        <v/>
      </c>
      <c r="AB154" s="6" t="inlineStr"/>
      <c r="AC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4" s="10">
        <f>IF(tblOrdenes[[#This Row],[orden]]="","",_xlfn.XLOOKUP(tblOrdenes[[#This Row],[id_operacion]],tblEjecucion[id_operacion],tblEjecucion[precio],0))</f>
        <v/>
      </c>
      <c r="AG154" s="10">
        <f>IF(tblOrdenes[[#This Row],[orden]]="","",MAX(0,_xlfn.XLOOKUP(tblOrdenes[[#This Row],[id_operacion]],tblEjecucion[id_operacion],tblEjecucion[costo_plan_total],0)-tblOrdenes[[#This Row],[costo_servicio]]))</f>
        <v/>
      </c>
      <c r="AH154" s="10">
        <f>IF(tblOrdenes[[#This Row],[orden]]="","",tblOrdenes[[#This Row],[costo_servicio]]+tblOrdenes[[#This Row],[costo_materiales]])</f>
        <v/>
      </c>
      <c r="AI154" s="6" t="inlineStr"/>
      <c r="AJ154" s="6" t="inlineStr"/>
      <c r="AK154" s="6" t="inlineStr"/>
      <c r="AL154" s="3">
        <f>IF(tblOrdenes[[#This Row],[link_checklist]]="","",HYPERLINK(p_ruta_base_checklists&amp;tblOrdenes[[#This Row],[link_checklist]],"abrir"))</f>
        <v/>
      </c>
      <c r="AM154" s="6" t="inlineStr"/>
      <c r="AN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EQ-103</t>
        </is>
      </c>
      <c r="D155" s="3" t="inlineStr">
        <is>
          <t>Reparación de falla en EQ-103</t>
        </is>
      </c>
      <c r="E155" s="3" t="inlineStr">
        <is>
          <t>EQ-103</t>
        </is>
      </c>
      <c r="F155" s="3" t="inlineStr">
        <is>
          <t>CC-110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46123</v>
      </c>
      <c r="K155" s="3" t="n">
        <v>6</v>
      </c>
      <c r="L155" s="10" t="n">
        <v>240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Row],[tipo_ot]]="","",_xlfn.XLOOKUP(tblOrdenes[[#This Row],[tipo_ot]],tblTiposOT[codigo],tblTiposOT[clasificacion],"sin_clasificar"))</f>
        <v/>
      </c>
      <c r="T155" s="3">
        <f>IF(tblOrdenes[[#This Row],[centro_costo]]="","",_xlfn.XLOOKUP(tblOrdenes[[#This Row],[centro_costo]],tblCECO[codigo],tblCECO[linea],"(sin catálogo)"))</f>
        <v/>
      </c>
      <c r="U155" s="3">
        <f>IF(tblOrdenes[[#This Row],[centro_costo]]="","",_xlfn.XLOOKUP(tblOrdenes[[#This Row],[centro_costo]],tblCECO[codigo],tblCECO[area],"(sin catálogo)"))</f>
        <v/>
      </c>
      <c r="V155" s="3">
        <f>IF(tblOrdenes[[#This Row],[centro_costo]]="","",_xlfn.XLOOKUP(tblOrdenes[[#This Row],[centro_costo]],tblCECO[codigo],tblCECO[coordinador],"(sin catálogo)"))</f>
        <v/>
      </c>
      <c r="W155" s="3">
        <f>IF(tblOrdenes[[#This Row],[puesto_trabajo]]="","",_xlfn.XLOOKUP(tblOrdenes[[#This Row],[puesto_trabajo]],tblPuestos[codigo],tblPuestos[especialidad],"(sin catálogo)"))</f>
        <v/>
      </c>
      <c r="X155" s="3">
        <f>IF(tblOrdenes[[#This Row],[cod_actividad]]="","",_xlfn.XLOOKUP(tblOrdenes[[#This Row],[cod_actividad]],tblActividades[codigo],tblActividades[descripcion],"(sin catálogo)"))</f>
        <v/>
      </c>
      <c r="Y155" s="12">
        <f>IF(tblOrdenes[[#This Row],[fecha_inicio]]="","",TODAY()-tblOrdenes[[#This Row],[fecha_inicio]])</f>
        <v/>
      </c>
      <c r="Z155" s="3">
        <f>IF(tblOrdenes[[#This Row],[backlog_dias]]="","",IF(tblOrdenes[[#This Row],[backlog_dias]]&lt;0,"FUTURO",IF(tblOrdenes[[#This Row],[backlog_dias]]&gt;p_dias_backlog_max,"BACKLOG","MES CORRIENTE")))</f>
        <v/>
      </c>
      <c r="AA155" s="3">
        <f>IF(tblOrdenes[[#This Row],[backlog_dias]]="",FALSE,AND(tblOrdenes[[#This Row],[backlog_dias]]&gt;p_dias_backlog_min,tblOrdenes[[#This Row],[backlog_dias]]&lt;=p_dias_backlog_max))</f>
        <v/>
      </c>
      <c r="AB155" s="6" t="inlineStr"/>
      <c r="AC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5" s="10">
        <f>IF(tblOrdenes[[#This Row],[orden]]="","",_xlfn.XLOOKUP(tblOrdenes[[#This Row],[id_operacion]],tblEjecucion[id_operacion],tblEjecucion[precio],0))</f>
        <v/>
      </c>
      <c r="AG155" s="10">
        <f>IF(tblOrdenes[[#This Row],[orden]]="","",MAX(0,_xlfn.XLOOKUP(tblOrdenes[[#This Row],[id_operacion]],tblEjecucion[id_operacion],tblEjecucion[costo_plan_total],0)-tblOrdenes[[#This Row],[costo_servicio]]))</f>
        <v/>
      </c>
      <c r="AH155" s="10">
        <f>IF(tblOrdenes[[#This Row],[orden]]="","",tblOrdenes[[#This Row],[costo_servicio]]+tblOrdenes[[#This Row],[costo_materiales]])</f>
        <v/>
      </c>
      <c r="AI155" s="6" t="inlineStr"/>
      <c r="AJ155" s="6" t="inlineStr"/>
      <c r="AK155" s="6" t="inlineStr"/>
      <c r="AL155" s="3">
        <f>IF(tblOrdenes[[#This Row],[link_checklist]]="","",HYPERLINK(p_ruta_base_checklists&amp;tblOrdenes[[#This Row],[link_checklist]],"abrir"))</f>
        <v/>
      </c>
      <c r="AM155" s="6" t="inlineStr"/>
      <c r="AN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EQ-104</t>
        </is>
      </c>
      <c r="D156" s="3" t="inlineStr">
        <is>
          <t>Reparación de falla en EQ-104</t>
        </is>
      </c>
      <c r="E156" s="3" t="inlineStr">
        <is>
          <t>EQ-104</t>
        </is>
      </c>
      <c r="F156" s="3" t="inlineStr">
        <is>
          <t>CC-120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46123</v>
      </c>
      <c r="K156" s="3" t="n">
        <v>8</v>
      </c>
      <c r="L156" s="10" t="n">
        <v>320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Row],[tipo_ot]]="","",_xlfn.XLOOKUP(tblOrdenes[[#This Row],[tipo_ot]],tblTiposOT[codigo],tblTiposOT[clasificacion],"sin_clasificar"))</f>
        <v/>
      </c>
      <c r="T156" s="3">
        <f>IF(tblOrdenes[[#This Row],[centro_costo]]="","",_xlfn.XLOOKUP(tblOrdenes[[#This Row],[centro_costo]],tblCECO[codigo],tblCECO[linea],"(sin catálogo)"))</f>
        <v/>
      </c>
      <c r="U156" s="3">
        <f>IF(tblOrdenes[[#This Row],[centro_costo]]="","",_xlfn.XLOOKUP(tblOrdenes[[#This Row],[centro_costo]],tblCECO[codigo],tblCECO[area],"(sin catálogo)"))</f>
        <v/>
      </c>
      <c r="V156" s="3">
        <f>IF(tblOrdenes[[#This Row],[centro_costo]]="","",_xlfn.XLOOKUP(tblOrdenes[[#This Row],[centro_costo]],tblCECO[codigo],tblCECO[coordinador],"(sin catálogo)"))</f>
        <v/>
      </c>
      <c r="W156" s="3">
        <f>IF(tblOrdenes[[#This Row],[puesto_trabajo]]="","",_xlfn.XLOOKUP(tblOrdenes[[#This Row],[puesto_trabajo]],tblPuestos[codigo],tblPuestos[especialidad],"(sin catálogo)"))</f>
        <v/>
      </c>
      <c r="X156" s="3">
        <f>IF(tblOrdenes[[#This Row],[cod_actividad]]="","",_xlfn.XLOOKUP(tblOrdenes[[#This Row],[cod_actividad]],tblActividades[codigo],tblActividades[descripcion],"(sin catálogo)"))</f>
        <v/>
      </c>
      <c r="Y156" s="12">
        <f>IF(tblOrdenes[[#This Row],[fecha_inicio]]="","",TODAY()-tblOrdenes[[#This Row],[fecha_inicio]])</f>
        <v/>
      </c>
      <c r="Z156" s="3">
        <f>IF(tblOrdenes[[#This Row],[backlog_dias]]="","",IF(tblOrdenes[[#This Row],[backlog_dias]]&lt;0,"FUTURO",IF(tblOrdenes[[#This Row],[backlog_dias]]&gt;p_dias_backlog_max,"BACKLOG","MES CORRIENTE")))</f>
        <v/>
      </c>
      <c r="AA156" s="3">
        <f>IF(tblOrdenes[[#This Row],[backlog_dias]]="",FALSE,AND(tblOrdenes[[#This Row],[backlog_dias]]&gt;p_dias_backlog_min,tblOrdenes[[#This Row],[backlog_dias]]&lt;=p_dias_backlog_max))</f>
        <v/>
      </c>
      <c r="AB156" s="6" t="inlineStr"/>
      <c r="AC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6" s="10">
        <f>IF(tblOrdenes[[#This Row],[orden]]="","",_xlfn.XLOOKUP(tblOrdenes[[#This Row],[id_operacion]],tblEjecucion[id_operacion],tblEjecucion[precio],0))</f>
        <v/>
      </c>
      <c r="AG156" s="10">
        <f>IF(tblOrdenes[[#This Row],[orden]]="","",MAX(0,_xlfn.XLOOKUP(tblOrdenes[[#This Row],[id_operacion]],tblEjecucion[id_operacion],tblEjecucion[costo_plan_total],0)-tblOrdenes[[#This Row],[costo_servicio]]))</f>
        <v/>
      </c>
      <c r="AH156" s="10">
        <f>IF(tblOrdenes[[#This Row],[orden]]="","",tblOrdenes[[#This Row],[costo_servicio]]+tblOrdenes[[#This Row],[costo_materiales]])</f>
        <v/>
      </c>
      <c r="AI156" s="6" t="inlineStr"/>
      <c r="AJ156" s="6" t="inlineStr"/>
      <c r="AK156" s="6" t="inlineStr"/>
      <c r="AL156" s="3">
        <f>IF(tblOrdenes[[#This Row],[link_checklist]]="","",HYPERLINK(p_ruta_base_checklists&amp;tblOrdenes[[#This Row],[link_checklist]],"abrir"))</f>
        <v/>
      </c>
      <c r="AM156" s="6" t="inlineStr"/>
      <c r="AN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EQ-108</t>
        </is>
      </c>
      <c r="D157" s="3" t="inlineStr">
        <is>
          <t>Reparación de falla en EQ-108</t>
        </is>
      </c>
      <c r="E157" s="3" t="inlineStr">
        <is>
          <t>EQ-108</t>
        </is>
      </c>
      <c r="F157" s="3" t="inlineStr">
        <is>
          <t>CC-220</t>
        </is>
      </c>
      <c r="G157" s="3" t="inlineStr">
        <is>
          <t>PU-OP</t>
        </is>
      </c>
      <c r="H157" s="3" t="inlineStr">
        <is>
          <t>ACT-03</t>
        </is>
      </c>
      <c r="I157" s="3" t="inlineStr">
        <is>
          <t>TIPO-C1</t>
        </is>
      </c>
      <c r="J157" s="11" t="n">
        <v>46103</v>
      </c>
      <c r="K157" s="3" t="n">
        <v>4</v>
      </c>
      <c r="L157" s="10" t="n">
        <v>160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Row],[tipo_ot]]="","",_xlfn.XLOOKUP(tblOrdenes[[#This Row],[tipo_ot]],tblTiposOT[codigo],tblTiposOT[clasificacion],"sin_clasificar"))</f>
        <v/>
      </c>
      <c r="T157" s="3">
        <f>IF(tblOrdenes[[#This Row],[centro_costo]]="","",_xlfn.XLOOKUP(tblOrdenes[[#This Row],[centro_costo]],tblCECO[codigo],tblCECO[linea],"(sin catálogo)"))</f>
        <v/>
      </c>
      <c r="U157" s="3">
        <f>IF(tblOrdenes[[#This Row],[centro_costo]]="","",_xlfn.XLOOKUP(tblOrdenes[[#This Row],[centro_costo]],tblCECO[codigo],tblCECO[area],"(sin catálogo)"))</f>
        <v/>
      </c>
      <c r="V157" s="3">
        <f>IF(tblOrdenes[[#This Row],[centro_costo]]="","",_xlfn.XLOOKUP(tblOrdenes[[#This Row],[centro_costo]],tblCECO[codigo],tblCECO[coordinador],"(sin catálogo)"))</f>
        <v/>
      </c>
      <c r="W157" s="3">
        <f>IF(tblOrdenes[[#This Row],[puesto_trabajo]]="","",_xlfn.XLOOKUP(tblOrdenes[[#This Row],[puesto_trabajo]],tblPuestos[codigo],tblPuestos[especialidad],"(sin catálogo)"))</f>
        <v/>
      </c>
      <c r="X157" s="3">
        <f>IF(tblOrdenes[[#This Row],[cod_actividad]]="","",_xlfn.XLOOKUP(tblOrdenes[[#This Row],[cod_actividad]],tblActividades[codigo],tblActividades[descripcion],"(sin catálogo)"))</f>
        <v/>
      </c>
      <c r="Y157" s="12">
        <f>IF(tblOrdenes[[#This Row],[fecha_inicio]]="","",TODAY()-tblOrdenes[[#This Row],[fecha_inicio]])</f>
        <v/>
      </c>
      <c r="Z157" s="3">
        <f>IF(tblOrdenes[[#This Row],[backlog_dias]]="","",IF(tblOrdenes[[#This Row],[backlog_dias]]&lt;0,"FUTURO",IF(tblOrdenes[[#This Row],[backlog_dias]]&gt;p_dias_backlog_max,"BACKLOG","MES CORRIENTE")))</f>
        <v/>
      </c>
      <c r="AA157" s="3">
        <f>IF(tblOrdenes[[#This Row],[backlog_dias]]="",FALSE,AND(tblOrdenes[[#This Row],[backlog_dias]]&gt;p_dias_backlog_min,tblOrdenes[[#This Row],[backlog_dias]]&lt;=p_dias_backlog_max))</f>
        <v/>
      </c>
      <c r="AB157" s="6" t="inlineStr"/>
      <c r="AC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7" s="10">
        <f>IF(tblOrdenes[[#This Row],[orden]]="","",_xlfn.XLOOKUP(tblOrdenes[[#This Row],[id_operacion]],tblEjecucion[id_operacion],tblEjecucion[precio],0))</f>
        <v/>
      </c>
      <c r="AG157" s="10">
        <f>IF(tblOrdenes[[#This Row],[orden]]="","",MAX(0,_xlfn.XLOOKUP(tblOrdenes[[#This Row],[id_operacion]],tblEjecucion[id_operacion],tblEjecucion[costo_plan_total],0)-tblOrdenes[[#This Row],[costo_servicio]]))</f>
        <v/>
      </c>
      <c r="AH157" s="10">
        <f>IF(tblOrdenes[[#This Row],[orden]]="","",tblOrdenes[[#This Row],[costo_servicio]]+tblOrdenes[[#This Row],[costo_materiales]])</f>
        <v/>
      </c>
      <c r="AI157" s="6" t="inlineStr"/>
      <c r="AJ157" s="6" t="inlineStr"/>
      <c r="AK157" s="6" t="inlineStr"/>
      <c r="AL157" s="3">
        <f>IF(tblOrdenes[[#This Row],[link_checklist]]="","",HYPERLINK(p_ruta_base_checklists&amp;tblOrdenes[[#This Row],[link_checklist]],"abrir"))</f>
        <v/>
      </c>
      <c r="AM157" s="6" t="inlineStr"/>
      <c r="AN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Reparación de falla — EQ-112</t>
        </is>
      </c>
      <c r="D158" s="3" t="inlineStr">
        <is>
          <t>Reparación de falla en EQ-112</t>
        </is>
      </c>
      <c r="E158" s="3" t="inlineStr">
        <is>
          <t>EQ-112</t>
        </is>
      </c>
      <c r="F158" s="3" t="inlineStr">
        <is>
          <t>CC-310</t>
        </is>
      </c>
      <c r="G158" s="3" t="inlineStr">
        <is>
          <t>PU-MEC</t>
        </is>
      </c>
      <c r="H158" s="3" t="inlineStr">
        <is>
          <t>ACT-03</t>
        </is>
      </c>
      <c r="I158" s="3" t="inlineStr">
        <is>
          <t>TIPO-C2</t>
        </is>
      </c>
      <c r="J158" s="11" t="n">
        <v>46103</v>
      </c>
      <c r="K158" s="3" t="n">
        <v>6</v>
      </c>
      <c r="L158" s="10" t="n">
        <v>240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Row],[tipo_ot]]="","",_xlfn.XLOOKUP(tblOrdenes[[#This Row],[tipo_ot]],tblTiposOT[codigo],tblTiposOT[clasificacion],"sin_clasificar"))</f>
        <v/>
      </c>
      <c r="T158" s="3">
        <f>IF(tblOrdenes[[#This Row],[centro_costo]]="","",_xlfn.XLOOKUP(tblOrdenes[[#This Row],[centro_costo]],tblCECO[codigo],tblCECO[linea],"(sin catálogo)"))</f>
        <v/>
      </c>
      <c r="U158" s="3">
        <f>IF(tblOrdenes[[#This Row],[centro_costo]]="","",_xlfn.XLOOKUP(tblOrdenes[[#This Row],[centro_costo]],tblCECO[codigo],tblCECO[area],"(sin catálogo)"))</f>
        <v/>
      </c>
      <c r="V158" s="3">
        <f>IF(tblOrdenes[[#This Row],[centro_costo]]="","",_xlfn.XLOOKUP(tblOrdenes[[#This Row],[centro_costo]],tblCECO[codigo],tblCECO[coordinador],"(sin catálogo)"))</f>
        <v/>
      </c>
      <c r="W158" s="3">
        <f>IF(tblOrdenes[[#This Row],[puesto_trabajo]]="","",_xlfn.XLOOKUP(tblOrdenes[[#This Row],[puesto_trabajo]],tblPuestos[codigo],tblPuestos[especialidad],"(sin catálogo)"))</f>
        <v/>
      </c>
      <c r="X158" s="3">
        <f>IF(tblOrdenes[[#This Row],[cod_actividad]]="","",_xlfn.XLOOKUP(tblOrdenes[[#This Row],[cod_actividad]],tblActividades[codigo],tblActividades[descripcion],"(sin catálogo)"))</f>
        <v/>
      </c>
      <c r="Y158" s="12">
        <f>IF(tblOrdenes[[#This Row],[fecha_inicio]]="","",TODAY()-tblOrdenes[[#This Row],[fecha_inicio]])</f>
        <v/>
      </c>
      <c r="Z158" s="3">
        <f>IF(tblOrdenes[[#This Row],[backlog_dias]]="","",IF(tblOrdenes[[#This Row],[backlog_dias]]&lt;0,"FUTURO",IF(tblOrdenes[[#This Row],[backlog_dias]]&gt;p_dias_backlog_max,"BACKLOG","MES CORRIENTE")))</f>
        <v/>
      </c>
      <c r="AA158" s="3">
        <f>IF(tblOrdenes[[#This Row],[backlog_dias]]="",FALSE,AND(tblOrdenes[[#This Row],[backlog_dias]]&gt;p_dias_backlog_min,tblOrdenes[[#This Row],[backlog_dias]]&lt;=p_dias_backlog_max))</f>
        <v/>
      </c>
      <c r="AB158" s="6" t="inlineStr"/>
      <c r="AC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8" s="10">
        <f>IF(tblOrdenes[[#This Row],[orden]]="","",_xlfn.XLOOKUP(tblOrdenes[[#This Row],[id_operacion]],tblEjecucion[id_operacion],tblEjecucion[precio],0))</f>
        <v/>
      </c>
      <c r="AG158" s="10">
        <f>IF(tblOrdenes[[#This Row],[orden]]="","",MAX(0,_xlfn.XLOOKUP(tblOrdenes[[#This Row],[id_operacion]],tblEjecucion[id_operacion],tblEjecucion[costo_plan_total],0)-tblOrdenes[[#This Row],[costo_servicio]]))</f>
        <v/>
      </c>
      <c r="AH158" s="10">
        <f>IF(tblOrdenes[[#This Row],[orden]]="","",tblOrdenes[[#This Row],[costo_servicio]]+tblOrdenes[[#This Row],[costo_materiales]])</f>
        <v/>
      </c>
      <c r="AI158" s="6" t="inlineStr"/>
      <c r="AJ158" s="6" t="inlineStr"/>
      <c r="AK158" s="6" t="inlineStr"/>
      <c r="AL158" s="3">
        <f>IF(tblOrdenes[[#This Row],[link_checklist]]="","",HYPERLINK(p_ruta_base_checklists&amp;tblOrdenes[[#This Row],[link_checklist]],"abrir"))</f>
        <v/>
      </c>
      <c r="AM158" s="6" t="inlineStr"/>
      <c r="AN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PU-ELE</t>
        </is>
      </c>
      <c r="H159" s="3" t="inlineStr">
        <is>
          <t>ACT-03</t>
        </is>
      </c>
      <c r="I159" s="3" t="inlineStr">
        <is>
          <t>TIPO-C1</t>
        </is>
      </c>
      <c r="J159" s="11" t="n">
        <v>46103</v>
      </c>
      <c r="K159" s="3" t="n">
        <v>8</v>
      </c>
      <c r="L159" s="10" t="n">
        <v>320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Row],[tipo_ot]]="","",_xlfn.XLOOKUP(tblOrdenes[[#This Row],[tipo_ot]],tblTiposOT[codigo],tblTiposOT[clasificacion],"sin_clasificar"))</f>
        <v/>
      </c>
      <c r="T159" s="3">
        <f>IF(tblOrdenes[[#This Row],[centro_costo]]="","",_xlfn.XLOOKUP(tblOrdenes[[#This Row],[centro_costo]],tblCECO[codigo],tblCECO[linea],"(sin catálogo)"))</f>
        <v/>
      </c>
      <c r="U159" s="3">
        <f>IF(tblOrdenes[[#This Row],[centro_costo]]="","",_xlfn.XLOOKUP(tblOrdenes[[#This Row],[centro_costo]],tblCECO[codigo],tblCECO[area],"(sin catálogo)"))</f>
        <v/>
      </c>
      <c r="V159" s="3">
        <f>IF(tblOrdenes[[#This Row],[centro_costo]]="","",_xlfn.XLOOKUP(tblOrdenes[[#This Row],[centro_costo]],tblCECO[codigo],tblCECO[coordinador],"(sin catálogo)"))</f>
        <v/>
      </c>
      <c r="W159" s="3">
        <f>IF(tblOrdenes[[#This Row],[puesto_trabajo]]="","",_xlfn.XLOOKUP(tblOrdenes[[#This Row],[puesto_trabajo]],tblPuestos[codigo],tblPuestos[especialidad],"(sin catálogo)"))</f>
        <v/>
      </c>
      <c r="X159" s="3">
        <f>IF(tblOrdenes[[#This Row],[cod_actividad]]="","",_xlfn.XLOOKUP(tblOrdenes[[#This Row],[cod_actividad]],tblActividades[codigo],tblActividades[descripcion],"(sin catálogo)"))</f>
        <v/>
      </c>
      <c r="Y159" s="12">
        <f>IF(tblOrdenes[[#This Row],[fecha_inicio]]="","",TODAY()-tblOrdenes[[#This Row],[fecha_inicio]])</f>
        <v/>
      </c>
      <c r="Z159" s="3">
        <f>IF(tblOrdenes[[#This Row],[backlog_dias]]="","",IF(tblOrdenes[[#This Row],[backlog_dias]]&lt;0,"FUTURO",IF(tblOrdenes[[#This Row],[backlog_dias]]&gt;p_dias_backlog_max,"BACKLOG","MES CORRIENTE")))</f>
        <v/>
      </c>
      <c r="AA159" s="3">
        <f>IF(tblOrdenes[[#This Row],[backlog_dias]]="",FALSE,AND(tblOrdenes[[#This Row],[backlog_dias]]&gt;p_dias_backlog_min,tblOrdenes[[#This Row],[backlog_dias]]&lt;=p_dias_backlog_max))</f>
        <v/>
      </c>
      <c r="AB159" s="6" t="inlineStr"/>
      <c r="AC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9" s="10">
        <f>IF(tblOrdenes[[#This Row],[orden]]="","",_xlfn.XLOOKUP(tblOrdenes[[#This Row],[id_operacion]],tblEjecucion[id_operacion],tblEjecucion[precio],0))</f>
        <v/>
      </c>
      <c r="AG159" s="10">
        <f>IF(tblOrdenes[[#This Row],[orden]]="","",MAX(0,_xlfn.XLOOKUP(tblOrdenes[[#This Row],[id_operacion]],tblEjecucion[id_operacion],tblEjecucion[costo_plan_total],0)-tblOrdenes[[#This Row],[costo_servicio]]))</f>
        <v/>
      </c>
      <c r="AH159" s="10">
        <f>IF(tblOrdenes[[#This Row],[orden]]="","",tblOrdenes[[#This Row],[costo_servicio]]+tblOrdenes[[#This Row],[costo_materiales]])</f>
        <v/>
      </c>
      <c r="AI159" s="6" t="inlineStr"/>
      <c r="AJ159" s="6" t="inlineStr"/>
      <c r="AK159" s="6" t="inlineStr"/>
      <c r="AL159" s="3">
        <f>IF(tblOrdenes[[#This Row],[link_checklist]]="","",HYPERLINK(p_ruta_base_checklists&amp;tblOrdenes[[#This Row],[link_checklist]],"abrir"))</f>
        <v/>
      </c>
      <c r="AM159" s="6" t="inlineStr"/>
      <c r="AN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EQ-103</t>
        </is>
      </c>
      <c r="D160" s="3" t="inlineStr">
        <is>
          <t>Lubricación programada en EQ-103</t>
        </is>
      </c>
      <c r="E160" s="3" t="inlineStr">
        <is>
          <t>EQ-103</t>
        </is>
      </c>
      <c r="F160" s="3" t="inlineStr">
        <is>
          <t>CC-110</t>
        </is>
      </c>
      <c r="G160" s="3" t="inlineStr">
        <is>
          <t>PU-AUT</t>
        </is>
      </c>
      <c r="H160" s="3" t="inlineStr">
        <is>
          <t>ACT-02</t>
        </is>
      </c>
      <c r="I160" s="3" t="inlineStr">
        <is>
          <t>TIPO-P2</t>
        </is>
      </c>
      <c r="J160" s="11" t="n">
        <v>46103</v>
      </c>
      <c r="K160" s="3" t="n">
        <v>4</v>
      </c>
      <c r="L160" s="10" t="n">
        <v>100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Row],[tipo_ot]]="","",_xlfn.XLOOKUP(tblOrdenes[[#This Row],[tipo_ot]],tblTiposOT[codigo],tblTiposOT[clasificacion],"sin_clasificar"))</f>
        <v/>
      </c>
      <c r="T160" s="3">
        <f>IF(tblOrdenes[[#This Row],[centro_costo]]="","",_xlfn.XLOOKUP(tblOrdenes[[#This Row],[centro_costo]],tblCECO[codigo],tblCECO[linea],"(sin catálogo)"))</f>
        <v/>
      </c>
      <c r="U160" s="3">
        <f>IF(tblOrdenes[[#This Row],[centro_costo]]="","",_xlfn.XLOOKUP(tblOrdenes[[#This Row],[centro_costo]],tblCECO[codigo],tblCECO[area],"(sin catálogo)"))</f>
        <v/>
      </c>
      <c r="V160" s="3">
        <f>IF(tblOrdenes[[#This Row],[centro_costo]]="","",_xlfn.XLOOKUP(tblOrdenes[[#This Row],[centro_costo]],tblCECO[codigo],tblCECO[coordinador],"(sin catálogo)"))</f>
        <v/>
      </c>
      <c r="W160" s="3">
        <f>IF(tblOrdenes[[#This Row],[puesto_trabajo]]="","",_xlfn.XLOOKUP(tblOrdenes[[#This Row],[puesto_trabajo]],tblPuestos[codigo],tblPuestos[especialidad],"(sin catálogo)"))</f>
        <v/>
      </c>
      <c r="X160" s="3">
        <f>IF(tblOrdenes[[#This Row],[cod_actividad]]="","",_xlfn.XLOOKUP(tblOrdenes[[#This Row],[cod_actividad]],tblActividades[codigo],tblActividades[descripcion],"(sin catálogo)"))</f>
        <v/>
      </c>
      <c r="Y160" s="12">
        <f>IF(tblOrdenes[[#This Row],[fecha_inicio]]="","",TODAY()-tblOrdenes[[#This Row],[fecha_inicio]])</f>
        <v/>
      </c>
      <c r="Z160" s="3">
        <f>IF(tblOrdenes[[#This Row],[backlog_dias]]="","",IF(tblOrdenes[[#This Row],[backlog_dias]]&lt;0,"FUTURO",IF(tblOrdenes[[#This Row],[backlog_dias]]&gt;p_dias_backlog_max,"BACKLOG","MES CORRIENTE")))</f>
        <v/>
      </c>
      <c r="AA160" s="3">
        <f>IF(tblOrdenes[[#This Row],[backlog_dias]]="",FALSE,AND(tblOrdenes[[#This Row],[backlog_dias]]&gt;p_dias_backlog_min,tblOrdenes[[#This Row],[backlog_dias]]&lt;=p_dias_backlog_max))</f>
        <v/>
      </c>
      <c r="AB160" s="6" t="inlineStr"/>
      <c r="AC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0" s="10">
        <f>IF(tblOrdenes[[#This Row],[orden]]="","",_xlfn.XLOOKUP(tblOrdenes[[#This Row],[id_operacion]],tblEjecucion[id_operacion],tblEjecucion[precio],0))</f>
        <v/>
      </c>
      <c r="AG160" s="10">
        <f>IF(tblOrdenes[[#This Row],[orden]]="","",MAX(0,_xlfn.XLOOKUP(tblOrdenes[[#This Row],[id_operacion]],tblEjecucion[id_operacion],tblEjecucion[costo_plan_total],0)-tblOrdenes[[#This Row],[costo_servicio]]))</f>
        <v/>
      </c>
      <c r="AH160" s="10">
        <f>IF(tblOrdenes[[#This Row],[orden]]="","",tblOrdenes[[#This Row],[costo_servicio]]+tblOrdenes[[#This Row],[costo_materiales]])</f>
        <v/>
      </c>
      <c r="AI160" s="6" t="inlineStr"/>
      <c r="AJ160" s="6" t="inlineStr"/>
      <c r="AK160" s="6" t="inlineStr"/>
      <c r="AL160" s="3">
        <f>IF(tblOrdenes[[#This Row],[link_checklist]]="","",HYPERLINK(p_ruta_base_checklists&amp;tblOrdenes[[#This Row],[link_checklist]],"abrir"))</f>
        <v/>
      </c>
      <c r="AM160" s="6" t="inlineStr"/>
      <c r="AN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EQ-112</t>
        </is>
      </c>
      <c r="D161" s="3" t="inlineStr">
        <is>
          <t>Reparación de falla en EQ-112</t>
        </is>
      </c>
      <c r="E161" s="3" t="inlineStr">
        <is>
          <t>EQ-112</t>
        </is>
      </c>
      <c r="F161" s="3" t="inlineStr">
        <is>
          <t>CC-310</t>
        </is>
      </c>
      <c r="G161" s="3" t="inlineStr">
        <is>
          <t>PU-MEC</t>
        </is>
      </c>
      <c r="H161" s="3" t="inlineStr">
        <is>
          <t>ACT-03</t>
        </is>
      </c>
      <c r="I161" s="3" t="inlineStr">
        <is>
          <t>TIPO-C1</t>
        </is>
      </c>
      <c r="J161" s="11" t="n">
        <v>46073</v>
      </c>
      <c r="K161" s="3" t="n">
        <v>4</v>
      </c>
      <c r="L161" s="10" t="n">
        <v>160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Row],[tipo_ot]]="","",_xlfn.XLOOKUP(tblOrdenes[[#This Row],[tipo_ot]],tblTiposOT[codigo],tblTiposOT[clasificacion],"sin_clasificar"))</f>
        <v/>
      </c>
      <c r="T161" s="3">
        <f>IF(tblOrdenes[[#This Row],[centro_costo]]="","",_xlfn.XLOOKUP(tblOrdenes[[#This Row],[centro_costo]],tblCECO[codigo],tblCECO[linea],"(sin catálogo)"))</f>
        <v/>
      </c>
      <c r="U161" s="3">
        <f>IF(tblOrdenes[[#This Row],[centro_costo]]="","",_xlfn.XLOOKUP(tblOrdenes[[#This Row],[centro_costo]],tblCECO[codigo],tblCECO[area],"(sin catálogo)"))</f>
        <v/>
      </c>
      <c r="V161" s="3">
        <f>IF(tblOrdenes[[#This Row],[centro_costo]]="","",_xlfn.XLOOKUP(tblOrdenes[[#This Row],[centro_costo]],tblCECO[codigo],tblCECO[coordinador],"(sin catálogo)"))</f>
        <v/>
      </c>
      <c r="W161" s="3">
        <f>IF(tblOrdenes[[#This Row],[puesto_trabajo]]="","",_xlfn.XLOOKUP(tblOrdenes[[#This Row],[puesto_trabajo]],tblPuestos[codigo],tblPuestos[especialidad],"(sin catálogo)"))</f>
        <v/>
      </c>
      <c r="X161" s="3">
        <f>IF(tblOrdenes[[#This Row],[cod_actividad]]="","",_xlfn.XLOOKUP(tblOrdenes[[#This Row],[cod_actividad]],tblActividades[codigo],tblActividades[descripcion],"(sin catálogo)"))</f>
        <v/>
      </c>
      <c r="Y161" s="12">
        <f>IF(tblOrdenes[[#This Row],[fecha_inicio]]="","",TODAY()-tblOrdenes[[#This Row],[fecha_inicio]])</f>
        <v/>
      </c>
      <c r="Z161" s="3">
        <f>IF(tblOrdenes[[#This Row],[backlog_dias]]="","",IF(tblOrdenes[[#This Row],[backlog_dias]]&lt;0,"FUTURO",IF(tblOrdenes[[#This Row],[backlog_dias]]&gt;p_dias_backlog_max,"BACKLOG","MES CORRIENTE")))</f>
        <v/>
      </c>
      <c r="AA161" s="3">
        <f>IF(tblOrdenes[[#This Row],[backlog_dias]]="",FALSE,AND(tblOrdenes[[#This Row],[backlog_dias]]&gt;p_dias_backlog_min,tblOrdenes[[#This Row],[backlog_dias]]&lt;=p_dias_backlog_max))</f>
        <v/>
      </c>
      <c r="AB161" s="6" t="inlineStr"/>
      <c r="AC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1" s="10">
        <f>IF(tblOrdenes[[#This Row],[orden]]="","",_xlfn.XLOOKUP(tblOrdenes[[#This Row],[id_operacion]],tblEjecucion[id_operacion],tblEjecucion[precio],0))</f>
        <v/>
      </c>
      <c r="AG161" s="10">
        <f>IF(tblOrdenes[[#This Row],[orden]]="","",MAX(0,_xlfn.XLOOKUP(tblOrdenes[[#This Row],[id_operacion]],tblEjecucion[id_operacion],tblEjecucion[costo_plan_total],0)-tblOrdenes[[#This Row],[costo_servicio]]))</f>
        <v/>
      </c>
      <c r="AH161" s="10">
        <f>IF(tblOrdenes[[#This Row],[orden]]="","",tblOrdenes[[#This Row],[costo_servicio]]+tblOrdenes[[#This Row],[costo_materiales]])</f>
        <v/>
      </c>
      <c r="AI161" s="6" t="inlineStr"/>
      <c r="AJ161" s="6" t="inlineStr"/>
      <c r="AK161" s="6" t="inlineStr"/>
      <c r="AL161" s="3">
        <f>IF(tblOrdenes[[#This Row],[link_checklist]]="","",HYPERLINK(p_ruta_base_checklists&amp;tblOrdenes[[#This Row],[link_checklist]],"abrir"))</f>
        <v/>
      </c>
      <c r="AM161" s="6" t="inlineStr"/>
      <c r="AN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CC-320</t>
        </is>
      </c>
      <c r="G162" s="3" t="inlineStr">
        <is>
          <t>PU-ELE</t>
        </is>
      </c>
      <c r="H162" s="3" t="inlineStr">
        <is>
          <t>ACT-03</t>
        </is>
      </c>
      <c r="I162" s="3" t="inlineStr">
        <is>
          <t>TIPO-C2</t>
        </is>
      </c>
      <c r="J162" s="11" t="n">
        <v>46073</v>
      </c>
      <c r="K162" s="3" t="n">
        <v>6</v>
      </c>
      <c r="L162" s="10" t="n">
        <v>240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Row],[tipo_ot]]="","",_xlfn.XLOOKUP(tblOrdenes[[#This Row],[tipo_ot]],tblTiposOT[codigo],tblTiposOT[clasificacion],"sin_clasificar"))</f>
        <v/>
      </c>
      <c r="T162" s="3">
        <f>IF(tblOrdenes[[#This Row],[centro_costo]]="","",_xlfn.XLOOKUP(tblOrdenes[[#This Row],[centro_costo]],tblCECO[codigo],tblCECO[linea],"(sin catálogo)"))</f>
        <v/>
      </c>
      <c r="U162" s="3">
        <f>IF(tblOrdenes[[#This Row],[centro_costo]]="","",_xlfn.XLOOKUP(tblOrdenes[[#This Row],[centro_costo]],tblCECO[codigo],tblCECO[area],"(sin catálogo)"))</f>
        <v/>
      </c>
      <c r="V162" s="3">
        <f>IF(tblOrdenes[[#This Row],[centro_costo]]="","",_xlfn.XLOOKUP(tblOrdenes[[#This Row],[centro_costo]],tblCECO[codigo],tblCECO[coordinador],"(sin catálogo)"))</f>
        <v/>
      </c>
      <c r="W162" s="3">
        <f>IF(tblOrdenes[[#This Row],[puesto_trabajo]]="","",_xlfn.XLOOKUP(tblOrdenes[[#This Row],[puesto_trabajo]],tblPuestos[codigo],tblPuestos[especialidad],"(sin catálogo)"))</f>
        <v/>
      </c>
      <c r="X162" s="3">
        <f>IF(tblOrdenes[[#This Row],[cod_actividad]]="","",_xlfn.XLOOKUP(tblOrdenes[[#This Row],[cod_actividad]],tblActividades[codigo],tblActividades[descripcion],"(sin catálogo)"))</f>
        <v/>
      </c>
      <c r="Y162" s="12">
        <f>IF(tblOrdenes[[#This Row],[fecha_inicio]]="","",TODAY()-tblOrdenes[[#This Row],[fecha_inicio]])</f>
        <v/>
      </c>
      <c r="Z162" s="3">
        <f>IF(tblOrdenes[[#This Row],[backlog_dias]]="","",IF(tblOrdenes[[#This Row],[backlog_dias]]&lt;0,"FUTURO",IF(tblOrdenes[[#This Row],[backlog_dias]]&gt;p_dias_backlog_max,"BACKLOG","MES CORRIENTE")))</f>
        <v/>
      </c>
      <c r="AA162" s="3">
        <f>IF(tblOrdenes[[#This Row],[backlog_dias]]="",FALSE,AND(tblOrdenes[[#This Row],[backlog_dias]]&gt;p_dias_backlog_min,tblOrdenes[[#This Row],[backlog_dias]]&lt;=p_dias_backlog_max))</f>
        <v/>
      </c>
      <c r="AB162" s="6" t="inlineStr"/>
      <c r="AC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2" s="10">
        <f>IF(tblOrdenes[[#This Row],[orden]]="","",_xlfn.XLOOKUP(tblOrdenes[[#This Row],[id_operacion]],tblEjecucion[id_operacion],tblEjecucion[precio],0))</f>
        <v/>
      </c>
      <c r="AG162" s="10">
        <f>IF(tblOrdenes[[#This Row],[orden]]="","",MAX(0,_xlfn.XLOOKUP(tblOrdenes[[#This Row],[id_operacion]],tblEjecucion[id_operacion],tblEjecucion[costo_plan_total],0)-tblOrdenes[[#This Row],[costo_servicio]]))</f>
        <v/>
      </c>
      <c r="AH162" s="10">
        <f>IF(tblOrdenes[[#This Row],[orden]]="","",tblOrdenes[[#This Row],[costo_servicio]]+tblOrdenes[[#This Row],[costo_materiales]])</f>
        <v/>
      </c>
      <c r="AI162" s="6" t="inlineStr"/>
      <c r="AJ162" s="6" t="inlineStr"/>
      <c r="AK162" s="6" t="inlineStr"/>
      <c r="AL162" s="3">
        <f>IF(tblOrdenes[[#This Row],[link_checklist]]="","",HYPERLINK(p_ruta_base_checklists&amp;tblOrdenes[[#This Row],[link_checklist]],"abrir"))</f>
        <v/>
      </c>
      <c r="AM162" s="6" t="inlineStr"/>
      <c r="AN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EQ-101</t>
        </is>
      </c>
      <c r="D163" s="3" t="inlineStr">
        <is>
          <t>Reparación de falla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PU-AUT</t>
        </is>
      </c>
      <c r="H163" s="3" t="inlineStr">
        <is>
          <t>ACT-03</t>
        </is>
      </c>
      <c r="I163" s="3" t="inlineStr">
        <is>
          <t>TIPO-C1</t>
        </is>
      </c>
      <c r="J163" s="11" t="n">
        <v>46073</v>
      </c>
      <c r="K163" s="3" t="n">
        <v>8</v>
      </c>
      <c r="L163" s="10" t="n">
        <v>320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Row],[tipo_ot]]="","",_xlfn.XLOOKUP(tblOrdenes[[#This Row],[tipo_ot]],tblTiposOT[codigo],tblTiposOT[clasificacion],"sin_clasificar"))</f>
        <v/>
      </c>
      <c r="T163" s="3">
        <f>IF(tblOrdenes[[#This Row],[centro_costo]]="","",_xlfn.XLOOKUP(tblOrdenes[[#This Row],[centro_costo]],tblCECO[codigo],tblCECO[linea],"(sin catálogo)"))</f>
        <v/>
      </c>
      <c r="U163" s="3">
        <f>IF(tblOrdenes[[#This Row],[centro_costo]]="","",_xlfn.XLOOKUP(tblOrdenes[[#This Row],[centro_costo]],tblCECO[codigo],tblCECO[area],"(sin catálogo)"))</f>
        <v/>
      </c>
      <c r="V163" s="3">
        <f>IF(tblOrdenes[[#This Row],[centro_costo]]="","",_xlfn.XLOOKUP(tblOrdenes[[#This Row],[centro_costo]],tblCECO[codigo],tblCECO[coordinador],"(sin catálogo)"))</f>
        <v/>
      </c>
      <c r="W163" s="3">
        <f>IF(tblOrdenes[[#This Row],[puesto_trabajo]]="","",_xlfn.XLOOKUP(tblOrdenes[[#This Row],[puesto_trabajo]],tblPuestos[codigo],tblPuestos[especialidad],"(sin catálogo)"))</f>
        <v/>
      </c>
      <c r="X163" s="3">
        <f>IF(tblOrdenes[[#This Row],[cod_actividad]]="","",_xlfn.XLOOKUP(tblOrdenes[[#This Row],[cod_actividad]],tblActividades[codigo],tblActividades[descripcion],"(sin catálogo)"))</f>
        <v/>
      </c>
      <c r="Y163" s="12">
        <f>IF(tblOrdenes[[#This Row],[fecha_inicio]]="","",TODAY()-tblOrdenes[[#This Row],[fecha_inicio]])</f>
        <v/>
      </c>
      <c r="Z163" s="3">
        <f>IF(tblOrdenes[[#This Row],[backlog_dias]]="","",IF(tblOrdenes[[#This Row],[backlog_dias]]&lt;0,"FUTURO",IF(tblOrdenes[[#This Row],[backlog_dias]]&gt;p_dias_backlog_max,"BACKLOG","MES CORRIENTE")))</f>
        <v/>
      </c>
      <c r="AA163" s="3">
        <f>IF(tblOrdenes[[#This Row],[backlog_dias]]="",FALSE,AND(tblOrdenes[[#This Row],[backlog_dias]]&gt;p_dias_backlog_min,tblOrdenes[[#This Row],[backlog_dias]]&lt;=p_dias_backlog_max))</f>
        <v/>
      </c>
      <c r="AB163" s="6" t="inlineStr"/>
      <c r="AC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3" s="10">
        <f>IF(tblOrdenes[[#This Row],[orden]]="","",_xlfn.XLOOKUP(tblOrdenes[[#This Row],[id_operacion]],tblEjecucion[id_operacion],tblEjecucion[precio],0))</f>
        <v/>
      </c>
      <c r="AG163" s="10">
        <f>IF(tblOrdenes[[#This Row],[orden]]="","",MAX(0,_xlfn.XLOOKUP(tblOrdenes[[#This Row],[id_operacion]],tblEjecucion[id_operacion],tblEjecucion[costo_plan_total],0)-tblOrdenes[[#This Row],[costo_servicio]]))</f>
        <v/>
      </c>
      <c r="AH163" s="10">
        <f>IF(tblOrdenes[[#This Row],[orden]]="","",tblOrdenes[[#This Row],[costo_servicio]]+tblOrdenes[[#This Row],[costo_materiales]])</f>
        <v/>
      </c>
      <c r="AI163" s="6" t="inlineStr"/>
      <c r="AJ163" s="6" t="inlineStr"/>
      <c r="AK163" s="6" t="inlineStr"/>
      <c r="AL163" s="3">
        <f>IF(tblOrdenes[[#This Row],[link_checklist]]="","",HYPERLINK(p_ruta_base_checklists&amp;tblOrdenes[[#This Row],[link_checklist]],"abrir"))</f>
        <v/>
      </c>
      <c r="AM163" s="6" t="inlineStr"/>
      <c r="AN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CC-120</t>
        </is>
      </c>
      <c r="G164" s="3" t="inlineStr">
        <is>
          <t>PU-OP</t>
        </is>
      </c>
      <c r="H164" s="3" t="inlineStr">
        <is>
          <t>ACT-04</t>
        </is>
      </c>
      <c r="I164" s="3" t="inlineStr">
        <is>
          <t>TIPO-P2</t>
        </is>
      </c>
      <c r="J164" s="11" t="n">
        <v>46073</v>
      </c>
      <c r="K164" s="3" t="n">
        <v>4</v>
      </c>
      <c r="L164" s="10" t="n">
        <v>100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Row],[tipo_ot]]="","",_xlfn.XLOOKUP(tblOrdenes[[#This Row],[tipo_ot]],tblTiposOT[codigo],tblTiposOT[clasificacion],"sin_clasificar"))</f>
        <v/>
      </c>
      <c r="T164" s="3">
        <f>IF(tblOrdenes[[#This Row],[centro_costo]]="","",_xlfn.XLOOKUP(tblOrdenes[[#This Row],[centro_costo]],tblCECO[codigo],tblCECO[linea],"(sin catálogo)"))</f>
        <v/>
      </c>
      <c r="U164" s="3">
        <f>IF(tblOrdenes[[#This Row],[centro_costo]]="","",_xlfn.XLOOKUP(tblOrdenes[[#This Row],[centro_costo]],tblCECO[codigo],tblCECO[area],"(sin catálogo)"))</f>
        <v/>
      </c>
      <c r="V164" s="3">
        <f>IF(tblOrdenes[[#This Row],[centro_costo]]="","",_xlfn.XLOOKUP(tblOrdenes[[#This Row],[centro_costo]],tblCECO[codigo],tblCECO[coordinador],"(sin catálogo)"))</f>
        <v/>
      </c>
      <c r="W164" s="3">
        <f>IF(tblOrdenes[[#This Row],[puesto_trabajo]]="","",_xlfn.XLOOKUP(tblOrdenes[[#This Row],[puesto_trabajo]],tblPuestos[codigo],tblPuestos[especialidad],"(sin catálogo)"))</f>
        <v/>
      </c>
      <c r="X164" s="3">
        <f>IF(tblOrdenes[[#This Row],[cod_actividad]]="","",_xlfn.XLOOKUP(tblOrdenes[[#This Row],[cod_actividad]],tblActividades[codigo],tblActividades[descripcion],"(sin catálogo)"))</f>
        <v/>
      </c>
      <c r="Y164" s="12">
        <f>IF(tblOrdenes[[#This Row],[fecha_inicio]]="","",TODAY()-tblOrdenes[[#This Row],[fecha_inicio]])</f>
        <v/>
      </c>
      <c r="Z164" s="3">
        <f>IF(tblOrdenes[[#This Row],[backlog_dias]]="","",IF(tblOrdenes[[#This Row],[backlog_dias]]&lt;0,"FUTURO",IF(tblOrdenes[[#This Row],[backlog_dias]]&gt;p_dias_backlog_max,"BACKLOG","MES CORRIENTE")))</f>
        <v/>
      </c>
      <c r="AA164" s="3">
        <f>IF(tblOrdenes[[#This Row],[backlog_dias]]="",FALSE,AND(tblOrdenes[[#This Row],[backlog_dias]]&gt;p_dias_backlog_min,tblOrdenes[[#This Row],[backlog_dias]]&lt;=p_dias_backlog_max))</f>
        <v/>
      </c>
      <c r="AB164" s="6" t="inlineStr"/>
      <c r="AC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4" s="10">
        <f>IF(tblOrdenes[[#This Row],[orden]]="","",_xlfn.XLOOKUP(tblOrdenes[[#This Row],[id_operacion]],tblEjecucion[id_operacion],tblEjecucion[precio],0))</f>
        <v/>
      </c>
      <c r="AG164" s="10">
        <f>IF(tblOrdenes[[#This Row],[orden]]="","",MAX(0,_xlfn.XLOOKUP(tblOrdenes[[#This Row],[id_operacion]],tblEjecucion[id_operacion],tblEjecucion[costo_plan_total],0)-tblOrdenes[[#This Row],[costo_servicio]]))</f>
        <v/>
      </c>
      <c r="AH164" s="10">
        <f>IF(tblOrdenes[[#This Row],[orden]]="","",tblOrdenes[[#This Row],[costo_servicio]]+tblOrdenes[[#This Row],[costo_materiales]])</f>
        <v/>
      </c>
      <c r="AI164" s="6" t="inlineStr"/>
      <c r="AJ164" s="6" t="inlineStr"/>
      <c r="AK164" s="6" t="inlineStr"/>
      <c r="AL164" s="3">
        <f>IF(tblOrdenes[[#This Row],[link_checklist]]="","",HYPERLINK(p_ruta_base_checklists&amp;tblOrdenes[[#This Row],[link_checklist]],"abrir"))</f>
        <v/>
      </c>
      <c r="AM164" s="6" t="inlineStr"/>
      <c r="AN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1" t="n">
        <v>46183</v>
      </c>
      <c r="K165" s="3" t="n">
        <v>4</v>
      </c>
      <c r="L165" s="10" t="n">
        <v>100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Row],[tipo_ot]]="","",_xlfn.XLOOKUP(tblOrdenes[[#This Row],[tipo_ot]],tblTiposOT[codigo],tblTiposOT[clasificacion],"sin_clasificar"))</f>
        <v/>
      </c>
      <c r="T165" s="3">
        <f>IF(tblOrdenes[[#This Row],[centro_costo]]="","",_xlfn.XLOOKUP(tblOrdenes[[#This Row],[centro_costo]],tblCECO[codigo],tblCECO[linea],"(sin catálogo)"))</f>
        <v/>
      </c>
      <c r="U165" s="3">
        <f>IF(tblOrdenes[[#This Row],[centro_costo]]="","",_xlfn.XLOOKUP(tblOrdenes[[#This Row],[centro_costo]],tblCECO[codigo],tblCECO[area],"(sin catálogo)"))</f>
        <v/>
      </c>
      <c r="V165" s="3">
        <f>IF(tblOrdenes[[#This Row],[centro_costo]]="","",_xlfn.XLOOKUP(tblOrdenes[[#This Row],[centro_costo]],tblCECO[codigo],tblCECO[coordinador],"(sin catálogo)"))</f>
        <v/>
      </c>
      <c r="W165" s="3">
        <f>IF(tblOrdenes[[#This Row],[puesto_trabajo]]="","",_xlfn.XLOOKUP(tblOrdenes[[#This Row],[puesto_trabajo]],tblPuestos[codigo],tblPuestos[especialidad],"(sin catálogo)"))</f>
        <v/>
      </c>
      <c r="X165" s="3">
        <f>IF(tblOrdenes[[#This Row],[cod_actividad]]="","",_xlfn.XLOOKUP(tblOrdenes[[#This Row],[cod_actividad]],tblActividades[codigo],tblActividades[descripcion],"(sin catálogo)"))</f>
        <v/>
      </c>
      <c r="Y165" s="12">
        <f>IF(tblOrdenes[[#This Row],[fecha_inicio]]="","",TODAY()-tblOrdenes[[#This Row],[fecha_inicio]])</f>
        <v/>
      </c>
      <c r="Z165" s="3">
        <f>IF(tblOrdenes[[#This Row],[backlog_dias]]="","",IF(tblOrdenes[[#This Row],[backlog_dias]]&lt;0,"FUTURO",IF(tblOrdenes[[#This Row],[backlog_dias]]&gt;p_dias_backlog_max,"BACKLOG","MES CORRIENTE")))</f>
        <v/>
      </c>
      <c r="AA165" s="3">
        <f>IF(tblOrdenes[[#This Row],[backlog_dias]]="",FALSE,AND(tblOrdenes[[#This Row],[backlog_dias]]&gt;p_dias_backlog_min,tblOrdenes[[#This Row],[backlog_dias]]&lt;=p_dias_backlog_max))</f>
        <v/>
      </c>
      <c r="AB165" s="6" t="inlineStr"/>
      <c r="AC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5" s="10">
        <f>IF(tblOrdenes[[#This Row],[orden]]="","",_xlfn.XLOOKUP(tblOrdenes[[#This Row],[id_operacion]],tblEjecucion[id_operacion],tblEjecucion[precio],0))</f>
        <v/>
      </c>
      <c r="AG165" s="10">
        <f>IF(tblOrdenes[[#This Row],[orden]]="","",MAX(0,_xlfn.XLOOKUP(tblOrdenes[[#This Row],[id_operacion]],tblEjecucion[id_operacion],tblEjecucion[costo_plan_total],0)-tblOrdenes[[#This Row],[costo_servicio]]))</f>
        <v/>
      </c>
      <c r="AH165" s="10">
        <f>IF(tblOrdenes[[#This Row],[orden]]="","",tblOrdenes[[#This Row],[costo_servicio]]+tblOrdenes[[#This Row],[costo_materiales]])</f>
        <v/>
      </c>
      <c r="AI165" s="6" t="inlineStr"/>
      <c r="AJ165" s="6" t="inlineStr"/>
      <c r="AK165" s="6" t="inlineStr"/>
      <c r="AL165" s="3">
        <f>IF(tblOrdenes[[#This Row],[link_checklist]]="","",HYPERLINK(p_ruta_base_checklists&amp;tblOrdenes[[#This Row],[link_checklist]],"abrir"))</f>
        <v/>
      </c>
      <c r="AM165" s="6" t="inlineStr"/>
      <c r="AN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EQ-104</t>
        </is>
      </c>
      <c r="D166" s="3" t="inlineStr">
        <is>
          <t>Reparación de falla en EQ-104</t>
        </is>
      </c>
      <c r="E166" s="3" t="inlineStr">
        <is>
          <t>EQ-104</t>
        </is>
      </c>
      <c r="F166" s="3" t="inlineStr">
        <is>
          <t>CC-120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46176</v>
      </c>
      <c r="K166" s="3" t="n">
        <v>6</v>
      </c>
      <c r="L166" s="10" t="n">
        <v>240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Row],[tipo_ot]]="","",_xlfn.XLOOKUP(tblOrdenes[[#This Row],[tipo_ot]],tblTiposOT[codigo],tblTiposOT[clasificacion],"sin_clasificar"))</f>
        <v/>
      </c>
      <c r="T166" s="3">
        <f>IF(tblOrdenes[[#This Row],[centro_costo]]="","",_xlfn.XLOOKUP(tblOrdenes[[#This Row],[centro_costo]],tblCECO[codigo],tblCECO[linea],"(sin catálogo)"))</f>
        <v/>
      </c>
      <c r="U166" s="3">
        <f>IF(tblOrdenes[[#This Row],[centro_costo]]="","",_xlfn.XLOOKUP(tblOrdenes[[#This Row],[centro_costo]],tblCECO[codigo],tblCECO[area],"(sin catálogo)"))</f>
        <v/>
      </c>
      <c r="V166" s="3">
        <f>IF(tblOrdenes[[#This Row],[centro_costo]]="","",_xlfn.XLOOKUP(tblOrdenes[[#This Row],[centro_costo]],tblCECO[codigo],tblCECO[coordinador],"(sin catálogo)"))</f>
        <v/>
      </c>
      <c r="W166" s="3">
        <f>IF(tblOrdenes[[#This Row],[puesto_trabajo]]="","",_xlfn.XLOOKUP(tblOrdenes[[#This Row],[puesto_trabajo]],tblPuestos[codigo],tblPuestos[especialidad],"(sin catálogo)"))</f>
        <v/>
      </c>
      <c r="X166" s="3">
        <f>IF(tblOrdenes[[#This Row],[cod_actividad]]="","",_xlfn.XLOOKUP(tblOrdenes[[#This Row],[cod_actividad]],tblActividades[codigo],tblActividades[descripcion],"(sin catálogo)"))</f>
        <v/>
      </c>
      <c r="Y166" s="12">
        <f>IF(tblOrdenes[[#This Row],[fecha_inicio]]="","",TODAY()-tblOrdenes[[#This Row],[fecha_inicio]])</f>
        <v/>
      </c>
      <c r="Z166" s="3">
        <f>IF(tblOrdenes[[#This Row],[backlog_dias]]="","",IF(tblOrdenes[[#This Row],[backlog_dias]]&lt;0,"FUTURO",IF(tblOrdenes[[#This Row],[backlog_dias]]&gt;p_dias_backlog_max,"BACKLOG","MES CORRIENTE")))</f>
        <v/>
      </c>
      <c r="AA166" s="3">
        <f>IF(tblOrdenes[[#This Row],[backlog_dias]]="",FALSE,AND(tblOrdenes[[#This Row],[backlog_dias]]&gt;p_dias_backlog_min,tblOrdenes[[#This Row],[backlog_dias]]&lt;=p_dias_backlog_max))</f>
        <v/>
      </c>
      <c r="AB166" s="6" t="inlineStr"/>
      <c r="AC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6" s="10">
        <f>IF(tblOrdenes[[#This Row],[orden]]="","",_xlfn.XLOOKUP(tblOrdenes[[#This Row],[id_operacion]],tblEjecucion[id_operacion],tblEjecucion[precio],0))</f>
        <v/>
      </c>
      <c r="AG166" s="10">
        <f>IF(tblOrdenes[[#This Row],[orden]]="","",MAX(0,_xlfn.XLOOKUP(tblOrdenes[[#This Row],[id_operacion]],tblEjecucion[id_operacion],tblEjecucion[costo_plan_total],0)-tblOrdenes[[#This Row],[costo_servicio]]))</f>
        <v/>
      </c>
      <c r="AH166" s="10">
        <f>IF(tblOrdenes[[#This Row],[orden]]="","",tblOrdenes[[#This Row],[costo_servicio]]+tblOrdenes[[#This Row],[costo_materiales]])</f>
        <v/>
      </c>
      <c r="AI166" s="6" t="inlineStr"/>
      <c r="AJ166" s="6" t="inlineStr"/>
      <c r="AK166" s="6" t="inlineStr"/>
      <c r="AL166" s="3">
        <f>IF(tblOrdenes[[#This Row],[link_checklist]]="","",HYPERLINK(p_ruta_base_checklists&amp;tblOrdenes[[#This Row],[link_checklist]],"abrir"))</f>
        <v/>
      </c>
      <c r="AM166" s="6" t="inlineStr"/>
      <c r="AN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EQ-106</t>
        </is>
      </c>
      <c r="D167" s="3" t="inlineStr">
        <is>
          <t>Análisis predictivo en EQ-106</t>
        </is>
      </c>
      <c r="E167" s="3" t="inlineStr">
        <is>
          <t>EQ-106</t>
        </is>
      </c>
      <c r="F167" s="3" t="inlineStr">
        <is>
          <t>CC-210</t>
        </is>
      </c>
      <c r="G167" s="3" t="inlineStr">
        <is>
          <t>PU-AUT</t>
        </is>
      </c>
      <c r="H167" s="3" t="inlineStr">
        <is>
          <t>ACT-04</t>
        </is>
      </c>
      <c r="I167" s="3" t="inlineStr">
        <is>
          <t>TIPO-P1</t>
        </is>
      </c>
      <c r="J167" s="11" t="n">
        <v>46169</v>
      </c>
      <c r="K167" s="3" t="n">
        <v>8</v>
      </c>
      <c r="L167" s="10" t="n">
        <v>200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Row],[tipo_ot]]="","",_xlfn.XLOOKUP(tblOrdenes[[#This Row],[tipo_ot]],tblTiposOT[codigo],tblTiposOT[clasificacion],"sin_clasificar"))</f>
        <v/>
      </c>
      <c r="T167" s="3">
        <f>IF(tblOrdenes[[#This Row],[centro_costo]]="","",_xlfn.XLOOKUP(tblOrdenes[[#This Row],[centro_costo]],tblCECO[codigo],tblCECO[linea],"(sin catálogo)"))</f>
        <v/>
      </c>
      <c r="U167" s="3">
        <f>IF(tblOrdenes[[#This Row],[centro_costo]]="","",_xlfn.XLOOKUP(tblOrdenes[[#This Row],[centro_costo]],tblCECO[codigo],tblCECO[area],"(sin catálogo)"))</f>
        <v/>
      </c>
      <c r="V167" s="3">
        <f>IF(tblOrdenes[[#This Row],[centro_costo]]="","",_xlfn.XLOOKUP(tblOrdenes[[#This Row],[centro_costo]],tblCECO[codigo],tblCECO[coordinador],"(sin catálogo)"))</f>
        <v/>
      </c>
      <c r="W167" s="3">
        <f>IF(tblOrdenes[[#This Row],[puesto_trabajo]]="","",_xlfn.XLOOKUP(tblOrdenes[[#This Row],[puesto_trabajo]],tblPuestos[codigo],tblPuestos[especialidad],"(sin catálogo)"))</f>
        <v/>
      </c>
      <c r="X167" s="3">
        <f>IF(tblOrdenes[[#This Row],[cod_actividad]]="","",_xlfn.XLOOKUP(tblOrdenes[[#This Row],[cod_actividad]],tblActividades[codigo],tblActividades[descripcion],"(sin catálogo)"))</f>
        <v/>
      </c>
      <c r="Y167" s="12">
        <f>IF(tblOrdenes[[#This Row],[fecha_inicio]]="","",TODAY()-tblOrdenes[[#This Row],[fecha_inicio]])</f>
        <v/>
      </c>
      <c r="Z167" s="3">
        <f>IF(tblOrdenes[[#This Row],[backlog_dias]]="","",IF(tblOrdenes[[#This Row],[backlog_dias]]&lt;0,"FUTURO",IF(tblOrdenes[[#This Row],[backlog_dias]]&gt;p_dias_backlog_max,"BACKLOG","MES CORRIENTE")))</f>
        <v/>
      </c>
      <c r="AA167" s="3">
        <f>IF(tblOrdenes[[#This Row],[backlog_dias]]="",FALSE,AND(tblOrdenes[[#This Row],[backlog_dias]]&gt;p_dias_backlog_min,tblOrdenes[[#This Row],[backlog_dias]]&lt;=p_dias_backlog_max))</f>
        <v/>
      </c>
      <c r="AB167" s="6" t="inlineStr"/>
      <c r="AC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7" s="10">
        <f>IF(tblOrdenes[[#This Row],[orden]]="","",_xlfn.XLOOKUP(tblOrdenes[[#This Row],[id_operacion]],tblEjecucion[id_operacion],tblEjecucion[precio],0))</f>
        <v/>
      </c>
      <c r="AG167" s="10">
        <f>IF(tblOrdenes[[#This Row],[orden]]="","",MAX(0,_xlfn.XLOOKUP(tblOrdenes[[#This Row],[id_operacion]],tblEjecucion[id_operacion],tblEjecucion[costo_plan_total],0)-tblOrdenes[[#This Row],[costo_servicio]]))</f>
        <v/>
      </c>
      <c r="AH167" s="10">
        <f>IF(tblOrdenes[[#This Row],[orden]]="","",tblOrdenes[[#This Row],[costo_servicio]]+tblOrdenes[[#This Row],[costo_materiales]])</f>
        <v/>
      </c>
      <c r="AI167" s="6" t="inlineStr"/>
      <c r="AJ167" s="6" t="inlineStr"/>
      <c r="AK167" s="6" t="inlineStr"/>
      <c r="AL167" s="3">
        <f>IF(tblOrdenes[[#This Row],[link_checklist]]="","",HYPERLINK(p_ruta_base_checklists&amp;tblOrdenes[[#This Row],[link_checklist]],"abrir"))</f>
        <v/>
      </c>
      <c r="AM167" s="6" t="inlineStr"/>
      <c r="AN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Reparación de falla — EQ-107</t>
        </is>
      </c>
      <c r="D168" s="3" t="inlineStr">
        <is>
          <t>Reparación de falla en EQ-107</t>
        </is>
      </c>
      <c r="E168" s="3" t="inlineStr">
        <is>
          <t>EQ-107</t>
        </is>
      </c>
      <c r="F168" s="3" t="inlineStr">
        <is>
          <t>CC-220</t>
        </is>
      </c>
      <c r="G168" s="3" t="inlineStr">
        <is>
          <t>PU-OP</t>
        </is>
      </c>
      <c r="H168" s="3" t="inlineStr">
        <is>
          <t>ACT-03</t>
        </is>
      </c>
      <c r="I168" s="3" t="inlineStr">
        <is>
          <t>TIPO-C2</t>
        </is>
      </c>
      <c r="J168" s="11" t="n">
        <v>46162</v>
      </c>
      <c r="K168" s="3" t="n">
        <v>4</v>
      </c>
      <c r="L168" s="10" t="n">
        <v>160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Row],[tipo_ot]]="","",_xlfn.XLOOKUP(tblOrdenes[[#This Row],[tipo_ot]],tblTiposOT[codigo],tblTiposOT[clasificacion],"sin_clasificar"))</f>
        <v/>
      </c>
      <c r="T168" s="3">
        <f>IF(tblOrdenes[[#This Row],[centro_costo]]="","",_xlfn.XLOOKUP(tblOrdenes[[#This Row],[centro_costo]],tblCECO[codigo],tblCECO[linea],"(sin catálogo)"))</f>
        <v/>
      </c>
      <c r="U168" s="3">
        <f>IF(tblOrdenes[[#This Row],[centro_costo]]="","",_xlfn.XLOOKUP(tblOrdenes[[#This Row],[centro_costo]],tblCECO[codigo],tblCECO[area],"(sin catálogo)"))</f>
        <v/>
      </c>
      <c r="V168" s="3">
        <f>IF(tblOrdenes[[#This Row],[centro_costo]]="","",_xlfn.XLOOKUP(tblOrdenes[[#This Row],[centro_costo]],tblCECO[codigo],tblCECO[coordinador],"(sin catálogo)"))</f>
        <v/>
      </c>
      <c r="W168" s="3">
        <f>IF(tblOrdenes[[#This Row],[puesto_trabajo]]="","",_xlfn.XLOOKUP(tblOrdenes[[#This Row],[puesto_trabajo]],tblPuestos[codigo],tblPuestos[especialidad],"(sin catálogo)"))</f>
        <v/>
      </c>
      <c r="X168" s="3">
        <f>IF(tblOrdenes[[#This Row],[cod_actividad]]="","",_xlfn.XLOOKUP(tblOrdenes[[#This Row],[cod_actividad]],tblActividades[codigo],tblActividades[descripcion],"(sin catálogo)"))</f>
        <v/>
      </c>
      <c r="Y168" s="12">
        <f>IF(tblOrdenes[[#This Row],[fecha_inicio]]="","",TODAY()-tblOrdenes[[#This Row],[fecha_inicio]])</f>
        <v/>
      </c>
      <c r="Z168" s="3">
        <f>IF(tblOrdenes[[#This Row],[backlog_dias]]="","",IF(tblOrdenes[[#This Row],[backlog_dias]]&lt;0,"FUTURO",IF(tblOrdenes[[#This Row],[backlog_dias]]&gt;p_dias_backlog_max,"BACKLOG","MES CORRIENTE")))</f>
        <v/>
      </c>
      <c r="AA168" s="3">
        <f>IF(tblOrdenes[[#This Row],[backlog_dias]]="",FALSE,AND(tblOrdenes[[#This Row],[backlog_dias]]&gt;p_dias_backlog_min,tblOrdenes[[#This Row],[backlog_dias]]&lt;=p_dias_backlog_max))</f>
        <v/>
      </c>
      <c r="AB168" s="6" t="inlineStr"/>
      <c r="AC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8" s="10">
        <f>IF(tblOrdenes[[#This Row],[orden]]="","",_xlfn.XLOOKUP(tblOrdenes[[#This Row],[id_operacion]],tblEjecucion[id_operacion],tblEjecucion[precio],0))</f>
        <v/>
      </c>
      <c r="AG168" s="10">
        <f>IF(tblOrdenes[[#This Row],[orden]]="","",MAX(0,_xlfn.XLOOKUP(tblOrdenes[[#This Row],[id_operacion]],tblEjecucion[id_operacion],tblEjecucion[costo_plan_total],0)-tblOrdenes[[#This Row],[costo_servicio]]))</f>
        <v/>
      </c>
      <c r="AH168" s="10">
        <f>IF(tblOrdenes[[#This Row],[orden]]="","",tblOrdenes[[#This Row],[costo_servicio]]+tblOrdenes[[#This Row],[costo_materiales]])</f>
        <v/>
      </c>
      <c r="AI168" s="6" t="inlineStr"/>
      <c r="AJ168" s="6" t="inlineStr"/>
      <c r="AK168" s="6" t="inlineStr"/>
      <c r="AL168" s="3">
        <f>IF(tblOrdenes[[#This Row],[link_checklist]]="","",HYPERLINK(p_ruta_base_checklists&amp;tblOrdenes[[#This Row],[link_checklist]],"abrir"))</f>
        <v/>
      </c>
      <c r="AM168" s="6" t="inlineStr"/>
      <c r="AN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EQ-111</t>
        </is>
      </c>
      <c r="D169" s="3" t="inlineStr">
        <is>
          <t>Lubricación programada en EQ-111</t>
        </is>
      </c>
      <c r="E169" s="3" t="inlineStr">
        <is>
          <t>EQ-111</t>
        </is>
      </c>
      <c r="F169" s="3" t="inlineStr">
        <is>
          <t>CC-310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46155</v>
      </c>
      <c r="K169" s="3" t="n">
        <v>6</v>
      </c>
      <c r="L169" s="10" t="n">
        <v>150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Row],[tipo_ot]]="","",_xlfn.XLOOKUP(tblOrdenes[[#This Row],[tipo_ot]],tblTiposOT[codigo],tblTiposOT[clasificacion],"sin_clasificar"))</f>
        <v/>
      </c>
      <c r="T169" s="3">
        <f>IF(tblOrdenes[[#This Row],[centro_costo]]="","",_xlfn.XLOOKUP(tblOrdenes[[#This Row],[centro_costo]],tblCECO[codigo],tblCECO[linea],"(sin catálogo)"))</f>
        <v/>
      </c>
      <c r="U169" s="3">
        <f>IF(tblOrdenes[[#This Row],[centro_costo]]="","",_xlfn.XLOOKUP(tblOrdenes[[#This Row],[centro_costo]],tblCECO[codigo],tblCECO[area],"(sin catálogo)"))</f>
        <v/>
      </c>
      <c r="V169" s="3">
        <f>IF(tblOrdenes[[#This Row],[centro_costo]]="","",_xlfn.XLOOKUP(tblOrdenes[[#This Row],[centro_costo]],tblCECO[codigo],tblCECO[coordinador],"(sin catálogo)"))</f>
        <v/>
      </c>
      <c r="W169" s="3">
        <f>IF(tblOrdenes[[#This Row],[puesto_trabajo]]="","",_xlfn.XLOOKUP(tblOrdenes[[#This Row],[puesto_trabajo]],tblPuestos[codigo],tblPuestos[especialidad],"(sin catálogo)"))</f>
        <v/>
      </c>
      <c r="X169" s="3">
        <f>IF(tblOrdenes[[#This Row],[cod_actividad]]="","",_xlfn.XLOOKUP(tblOrdenes[[#This Row],[cod_actividad]],tblActividades[codigo],tblActividades[descripcion],"(sin catálogo)"))</f>
        <v/>
      </c>
      <c r="Y169" s="12">
        <f>IF(tblOrdenes[[#This Row],[fecha_inicio]]="","",TODAY()-tblOrdenes[[#This Row],[fecha_inicio]])</f>
        <v/>
      </c>
      <c r="Z169" s="3">
        <f>IF(tblOrdenes[[#This Row],[backlog_dias]]="","",IF(tblOrdenes[[#This Row],[backlog_dias]]&lt;0,"FUTURO",IF(tblOrdenes[[#This Row],[backlog_dias]]&gt;p_dias_backlog_max,"BACKLOG","MES CORRIENTE")))</f>
        <v/>
      </c>
      <c r="AA169" s="3">
        <f>IF(tblOrdenes[[#This Row],[backlog_dias]]="",FALSE,AND(tblOrdenes[[#This Row],[backlog_dias]]&gt;p_dias_backlog_min,tblOrdenes[[#This Row],[backlog_dias]]&lt;=p_dias_backlog_max))</f>
        <v/>
      </c>
      <c r="AB169" s="6" t="inlineStr"/>
      <c r="AC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9" s="10">
        <f>IF(tblOrdenes[[#This Row],[orden]]="","",_xlfn.XLOOKUP(tblOrdenes[[#This Row],[id_operacion]],tblEjecucion[id_operacion],tblEjecucion[precio],0))</f>
        <v/>
      </c>
      <c r="AG169" s="10">
        <f>IF(tblOrdenes[[#This Row],[orden]]="","",MAX(0,_xlfn.XLOOKUP(tblOrdenes[[#This Row],[id_operacion]],tblEjecucion[id_operacion],tblEjecucion[costo_plan_total],0)-tblOrdenes[[#This Row],[costo_servicio]]))</f>
        <v/>
      </c>
      <c r="AH169" s="10">
        <f>IF(tblOrdenes[[#This Row],[orden]]="","",tblOrdenes[[#This Row],[costo_servicio]]+tblOrdenes[[#This Row],[costo_materiales]])</f>
        <v/>
      </c>
      <c r="AI169" s="6" t="inlineStr"/>
      <c r="AJ169" s="6" t="inlineStr"/>
      <c r="AK169" s="6" t="inlineStr"/>
      <c r="AL169" s="3">
        <f>IF(tblOrdenes[[#This Row],[link_checklist]]="","",HYPERLINK(p_ruta_base_checklists&amp;tblOrdenes[[#This Row],[link_checklist]],"abrir"))</f>
        <v/>
      </c>
      <c r="AM169" s="6" t="inlineStr"/>
      <c r="AN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EQ-112</t>
        </is>
      </c>
      <c r="D170" s="3" t="inlineStr">
        <is>
          <t>Reparación de falla en EQ-112</t>
        </is>
      </c>
      <c r="E170" s="3" t="inlineStr">
        <is>
          <t>EQ-112</t>
        </is>
      </c>
      <c r="F170" s="3" t="inlineStr">
        <is>
          <t>CC-320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46148</v>
      </c>
      <c r="K170" s="3" t="n">
        <v>8</v>
      </c>
      <c r="L170" s="10" t="n">
        <v>320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Row],[tipo_ot]]="","",_xlfn.XLOOKUP(tblOrdenes[[#This Row],[tipo_ot]],tblTiposOT[codigo],tblTiposOT[clasificacion],"sin_clasificar"))</f>
        <v/>
      </c>
      <c r="T170" s="3">
        <f>IF(tblOrdenes[[#This Row],[centro_costo]]="","",_xlfn.XLOOKUP(tblOrdenes[[#This Row],[centro_costo]],tblCECO[codigo],tblCECO[linea],"(sin catálogo)"))</f>
        <v/>
      </c>
      <c r="U170" s="3">
        <f>IF(tblOrdenes[[#This Row],[centro_costo]]="","",_xlfn.XLOOKUP(tblOrdenes[[#This Row],[centro_costo]],tblCECO[codigo],tblCECO[area],"(sin catálogo)"))</f>
        <v/>
      </c>
      <c r="V170" s="3">
        <f>IF(tblOrdenes[[#This Row],[centro_costo]]="","",_xlfn.XLOOKUP(tblOrdenes[[#This Row],[centro_costo]],tblCECO[codigo],tblCECO[coordinador],"(sin catálogo)"))</f>
        <v/>
      </c>
      <c r="W170" s="3">
        <f>IF(tblOrdenes[[#This Row],[puesto_trabajo]]="","",_xlfn.XLOOKUP(tblOrdenes[[#This Row],[puesto_trabajo]],tblPuestos[codigo],tblPuestos[especialidad],"(sin catálogo)"))</f>
        <v/>
      </c>
      <c r="X170" s="3">
        <f>IF(tblOrdenes[[#This Row],[cod_actividad]]="","",_xlfn.XLOOKUP(tblOrdenes[[#This Row],[cod_actividad]],tblActividades[codigo],tblActividades[descripcion],"(sin catálogo)"))</f>
        <v/>
      </c>
      <c r="Y170" s="12">
        <f>IF(tblOrdenes[[#This Row],[fecha_inicio]]="","",TODAY()-tblOrdenes[[#This Row],[fecha_inicio]])</f>
        <v/>
      </c>
      <c r="Z170" s="3">
        <f>IF(tblOrdenes[[#This Row],[backlog_dias]]="","",IF(tblOrdenes[[#This Row],[backlog_dias]]&lt;0,"FUTURO",IF(tblOrdenes[[#This Row],[backlog_dias]]&gt;p_dias_backlog_max,"BACKLOG","MES CORRIENTE")))</f>
        <v/>
      </c>
      <c r="AA170" s="3">
        <f>IF(tblOrdenes[[#This Row],[backlog_dias]]="",FALSE,AND(tblOrdenes[[#This Row],[backlog_dias]]&gt;p_dias_backlog_min,tblOrdenes[[#This Row],[backlog_dias]]&lt;=p_dias_backlog_max))</f>
        <v/>
      </c>
      <c r="AB170" s="6" t="inlineStr"/>
      <c r="AC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0" s="10">
        <f>IF(tblOrdenes[[#This Row],[orden]]="","",_xlfn.XLOOKUP(tblOrdenes[[#This Row],[id_operacion]],tblEjecucion[id_operacion],tblEjecucion[precio],0))</f>
        <v/>
      </c>
      <c r="AG170" s="10">
        <f>IF(tblOrdenes[[#This Row],[orden]]="","",MAX(0,_xlfn.XLOOKUP(tblOrdenes[[#This Row],[id_operacion]],tblEjecucion[id_operacion],tblEjecucion[costo_plan_total],0)-tblOrdenes[[#This Row],[costo_servicio]]))</f>
        <v/>
      </c>
      <c r="AH170" s="10">
        <f>IF(tblOrdenes[[#This Row],[orden]]="","",tblOrdenes[[#This Row],[costo_servicio]]+tblOrdenes[[#This Row],[costo_materiales]])</f>
        <v/>
      </c>
      <c r="AI170" s="6" t="inlineStr"/>
      <c r="AJ170" s="6" t="inlineStr"/>
      <c r="AK170" s="6" t="inlineStr"/>
      <c r="AL170" s="3">
        <f>IF(tblOrdenes[[#This Row],[link_checklist]]="","",HYPERLINK(p_ruta_base_checklists&amp;tblOrdenes[[#This Row],[link_checklist]],"abrir"))</f>
        <v/>
      </c>
      <c r="AM170" s="6" t="inlineStr"/>
      <c r="AN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EQ-104</t>
        </is>
      </c>
      <c r="D171" s="3" t="inlineStr">
        <is>
          <t>Inspección de rutina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46141</v>
      </c>
      <c r="K171" s="3" t="n">
        <v>4</v>
      </c>
      <c r="L171" s="10" t="n">
        <v>100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Row],[tipo_ot]]="","",_xlfn.XLOOKUP(tblOrdenes[[#This Row],[tipo_ot]],tblTiposOT[codigo],tblTiposOT[clasificacion],"sin_clasificar"))</f>
        <v/>
      </c>
      <c r="T171" s="3">
        <f>IF(tblOrdenes[[#This Row],[centro_costo]]="","",_xlfn.XLOOKUP(tblOrdenes[[#This Row],[centro_costo]],tblCECO[codigo],tblCECO[linea],"(sin catálogo)"))</f>
        <v/>
      </c>
      <c r="U171" s="3">
        <f>IF(tblOrdenes[[#This Row],[centro_costo]]="","",_xlfn.XLOOKUP(tblOrdenes[[#This Row],[centro_costo]],tblCECO[codigo],tblCECO[area],"(sin catálogo)"))</f>
        <v/>
      </c>
      <c r="V171" s="3">
        <f>IF(tblOrdenes[[#This Row],[centro_costo]]="","",_xlfn.XLOOKUP(tblOrdenes[[#This Row],[centro_costo]],tblCECO[codigo],tblCECO[coordinador],"(sin catálogo)"))</f>
        <v/>
      </c>
      <c r="W171" s="3">
        <f>IF(tblOrdenes[[#This Row],[puesto_trabajo]]="","",_xlfn.XLOOKUP(tblOrdenes[[#This Row],[puesto_trabajo]],tblPuestos[codigo],tblPuestos[especialidad],"(sin catálogo)"))</f>
        <v/>
      </c>
      <c r="X171" s="3">
        <f>IF(tblOrdenes[[#This Row],[cod_actividad]]="","",_xlfn.XLOOKUP(tblOrdenes[[#This Row],[cod_actividad]],tblActividades[codigo],tblActividades[descripcion],"(sin catálogo)"))</f>
        <v/>
      </c>
      <c r="Y171" s="12">
        <f>IF(tblOrdenes[[#This Row],[fecha_inicio]]="","",TODAY()-tblOrdenes[[#This Row],[fecha_inicio]])</f>
        <v/>
      </c>
      <c r="Z171" s="3">
        <f>IF(tblOrdenes[[#This Row],[backlog_dias]]="","",IF(tblOrdenes[[#This Row],[backlog_dias]]&lt;0,"FUTURO",IF(tblOrdenes[[#This Row],[backlog_dias]]&gt;p_dias_backlog_max,"BACKLOG","MES CORRIENTE")))</f>
        <v/>
      </c>
      <c r="AA171" s="3">
        <f>IF(tblOrdenes[[#This Row],[backlog_dias]]="",FALSE,AND(tblOrdenes[[#This Row],[backlog_dias]]&gt;p_dias_backlog_min,tblOrdenes[[#This Row],[backlog_dias]]&lt;=p_dias_backlog_max))</f>
        <v/>
      </c>
      <c r="AB171" s="6" t="inlineStr"/>
      <c r="AC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1" s="10">
        <f>IF(tblOrdenes[[#This Row],[orden]]="","",_xlfn.XLOOKUP(tblOrdenes[[#This Row],[id_operacion]],tblEjecucion[id_operacion],tblEjecucion[precio],0))</f>
        <v/>
      </c>
      <c r="AG171" s="10">
        <f>IF(tblOrdenes[[#This Row],[orden]]="","",MAX(0,_xlfn.XLOOKUP(tblOrdenes[[#This Row],[id_operacion]],tblEjecucion[id_operacion],tblEjecucion[costo_plan_total],0)-tblOrdenes[[#This Row],[costo_servicio]]))</f>
        <v/>
      </c>
      <c r="AH171" s="10">
        <f>IF(tblOrdenes[[#This Row],[orden]]="","",tblOrdenes[[#This Row],[costo_servicio]]+tblOrdenes[[#This Row],[costo_materiales]])</f>
        <v/>
      </c>
      <c r="AI171" s="6" t="inlineStr"/>
      <c r="AJ171" s="6" t="inlineStr"/>
      <c r="AK171" s="6" t="inlineStr"/>
      <c r="AL171" s="3">
        <f>IF(tblOrdenes[[#This Row],[link_checklist]]="","",HYPERLINK(p_ruta_base_checklists&amp;tblOrdenes[[#This Row],[link_checklist]],"abrir"))</f>
        <v/>
      </c>
      <c r="AM171" s="6" t="inlineStr"/>
      <c r="AN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EQ-105</t>
        </is>
      </c>
      <c r="D172" s="3" t="inlineStr">
        <is>
          <t>Reparación de falla en EQ-105</t>
        </is>
      </c>
      <c r="E172" s="3" t="inlineStr">
        <is>
          <t>EQ-105</t>
        </is>
      </c>
      <c r="F172" s="3" t="inlineStr">
        <is>
          <t>CC-120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46134</v>
      </c>
      <c r="K172" s="3" t="n">
        <v>6</v>
      </c>
      <c r="L172" s="10" t="n">
        <v>240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Row],[tipo_ot]]="","",_xlfn.XLOOKUP(tblOrdenes[[#This Row],[tipo_ot]],tblTiposOT[codigo],tblTiposOT[clasificacion],"sin_clasificar"))</f>
        <v/>
      </c>
      <c r="T172" s="3">
        <f>IF(tblOrdenes[[#This Row],[centro_costo]]="","",_xlfn.XLOOKUP(tblOrdenes[[#This Row],[centro_costo]],tblCECO[codigo],tblCECO[linea],"(sin catálogo)"))</f>
        <v/>
      </c>
      <c r="U172" s="3">
        <f>IF(tblOrdenes[[#This Row],[centro_costo]]="","",_xlfn.XLOOKUP(tblOrdenes[[#This Row],[centro_costo]],tblCECO[codigo],tblCECO[area],"(sin catálogo)"))</f>
        <v/>
      </c>
      <c r="V172" s="3">
        <f>IF(tblOrdenes[[#This Row],[centro_costo]]="","",_xlfn.XLOOKUP(tblOrdenes[[#This Row],[centro_costo]],tblCECO[codigo],tblCECO[coordinador],"(sin catálogo)"))</f>
        <v/>
      </c>
      <c r="W172" s="3">
        <f>IF(tblOrdenes[[#This Row],[puesto_trabajo]]="","",_xlfn.XLOOKUP(tblOrdenes[[#This Row],[puesto_trabajo]],tblPuestos[codigo],tblPuestos[especialidad],"(sin catálogo)"))</f>
        <v/>
      </c>
      <c r="X172" s="3">
        <f>IF(tblOrdenes[[#This Row],[cod_actividad]]="","",_xlfn.XLOOKUP(tblOrdenes[[#This Row],[cod_actividad]],tblActividades[codigo],tblActividades[descripcion],"(sin catálogo)"))</f>
        <v/>
      </c>
      <c r="Y172" s="12">
        <f>IF(tblOrdenes[[#This Row],[fecha_inicio]]="","",TODAY()-tblOrdenes[[#This Row],[fecha_inicio]])</f>
        <v/>
      </c>
      <c r="Z172" s="3">
        <f>IF(tblOrdenes[[#This Row],[backlog_dias]]="","",IF(tblOrdenes[[#This Row],[backlog_dias]]&lt;0,"FUTURO",IF(tblOrdenes[[#This Row],[backlog_dias]]&gt;p_dias_backlog_max,"BACKLOG","MES CORRIENTE")))</f>
        <v/>
      </c>
      <c r="AA172" s="3">
        <f>IF(tblOrdenes[[#This Row],[backlog_dias]]="",FALSE,AND(tblOrdenes[[#This Row],[backlog_dias]]&gt;p_dias_backlog_min,tblOrdenes[[#This Row],[backlog_dias]]&lt;=p_dias_backlog_max))</f>
        <v/>
      </c>
      <c r="AB172" s="6" t="inlineStr"/>
      <c r="AC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2" s="10">
        <f>IF(tblOrdenes[[#This Row],[orden]]="","",_xlfn.XLOOKUP(tblOrdenes[[#This Row],[id_operacion]],tblEjecucion[id_operacion],tblEjecucion[precio],0))</f>
        <v/>
      </c>
      <c r="AG172" s="10">
        <f>IF(tblOrdenes[[#This Row],[orden]]="","",MAX(0,_xlfn.XLOOKUP(tblOrdenes[[#This Row],[id_operacion]],tblEjecucion[id_operacion],tblEjecucion[costo_plan_total],0)-tblOrdenes[[#This Row],[costo_servicio]]))</f>
        <v/>
      </c>
      <c r="AH172" s="10">
        <f>IF(tblOrdenes[[#This Row],[orden]]="","",tblOrdenes[[#This Row],[costo_servicio]]+tblOrdenes[[#This Row],[costo_materiales]])</f>
        <v/>
      </c>
      <c r="AI172" s="6" t="inlineStr"/>
      <c r="AJ172" s="6" t="inlineStr"/>
      <c r="AK172" s="6" t="inlineStr"/>
      <c r="AL172" s="3">
        <f>IF(tblOrdenes[[#This Row],[link_checklist]]="","",HYPERLINK(p_ruta_base_checklists&amp;tblOrdenes[[#This Row],[link_checklist]],"abrir"))</f>
        <v/>
      </c>
      <c r="AM172" s="6" t="inlineStr"/>
      <c r="AN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EQ-108</t>
        </is>
      </c>
      <c r="D173" s="3" t="inlineStr">
        <is>
          <t>Análisis predictivo en EQ-108</t>
        </is>
      </c>
      <c r="E173" s="3" t="inlineStr">
        <is>
          <t>EQ-108</t>
        </is>
      </c>
      <c r="F173" s="3" t="inlineStr">
        <is>
          <t>CC-210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46127</v>
      </c>
      <c r="K173" s="3" t="n">
        <v>8</v>
      </c>
      <c r="L173" s="10" t="n">
        <v>200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Row],[tipo_ot]]="","",_xlfn.XLOOKUP(tblOrdenes[[#This Row],[tipo_ot]],tblTiposOT[codigo],tblTiposOT[clasificacion],"sin_clasificar"))</f>
        <v/>
      </c>
      <c r="T173" s="3">
        <f>IF(tblOrdenes[[#This Row],[centro_costo]]="","",_xlfn.XLOOKUP(tblOrdenes[[#This Row],[centro_costo]],tblCECO[codigo],tblCECO[linea],"(sin catálogo)"))</f>
        <v/>
      </c>
      <c r="U173" s="3">
        <f>IF(tblOrdenes[[#This Row],[centro_costo]]="","",_xlfn.XLOOKUP(tblOrdenes[[#This Row],[centro_costo]],tblCECO[codigo],tblCECO[area],"(sin catálogo)"))</f>
        <v/>
      </c>
      <c r="V173" s="3">
        <f>IF(tblOrdenes[[#This Row],[centro_costo]]="","",_xlfn.XLOOKUP(tblOrdenes[[#This Row],[centro_costo]],tblCECO[codigo],tblCECO[coordinador],"(sin catálogo)"))</f>
        <v/>
      </c>
      <c r="W173" s="3">
        <f>IF(tblOrdenes[[#This Row],[puesto_trabajo]]="","",_xlfn.XLOOKUP(tblOrdenes[[#This Row],[puesto_trabajo]],tblPuestos[codigo],tblPuestos[especialidad],"(sin catálogo)"))</f>
        <v/>
      </c>
      <c r="X173" s="3">
        <f>IF(tblOrdenes[[#This Row],[cod_actividad]]="","",_xlfn.XLOOKUP(tblOrdenes[[#This Row],[cod_actividad]],tblActividades[codigo],tblActividades[descripcion],"(sin catálogo)"))</f>
        <v/>
      </c>
      <c r="Y173" s="12">
        <f>IF(tblOrdenes[[#This Row],[fecha_inicio]]="","",TODAY()-tblOrdenes[[#This Row],[fecha_inicio]])</f>
        <v/>
      </c>
      <c r="Z173" s="3">
        <f>IF(tblOrdenes[[#This Row],[backlog_dias]]="","",IF(tblOrdenes[[#This Row],[backlog_dias]]&lt;0,"FUTURO",IF(tblOrdenes[[#This Row],[backlog_dias]]&gt;p_dias_backlog_max,"BACKLOG","MES CORRIENTE")))</f>
        <v/>
      </c>
      <c r="AA173" s="3">
        <f>IF(tblOrdenes[[#This Row],[backlog_dias]]="",FALSE,AND(tblOrdenes[[#This Row],[backlog_dias]]&gt;p_dias_backlog_min,tblOrdenes[[#This Row],[backlog_dias]]&lt;=p_dias_backlog_max))</f>
        <v/>
      </c>
      <c r="AB173" s="6" t="inlineStr"/>
      <c r="AC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3" s="10">
        <f>IF(tblOrdenes[[#This Row],[orden]]="","",_xlfn.XLOOKUP(tblOrdenes[[#This Row],[id_operacion]],tblEjecucion[id_operacion],tblEjecucion[precio],0))</f>
        <v/>
      </c>
      <c r="AG173" s="10">
        <f>IF(tblOrdenes[[#This Row],[orden]]="","",MAX(0,_xlfn.XLOOKUP(tblOrdenes[[#This Row],[id_operacion]],tblEjecucion[id_operacion],tblEjecucion[costo_plan_total],0)-tblOrdenes[[#This Row],[costo_servicio]]))</f>
        <v/>
      </c>
      <c r="AH173" s="10">
        <f>IF(tblOrdenes[[#This Row],[orden]]="","",tblOrdenes[[#This Row],[costo_servicio]]+tblOrdenes[[#This Row],[costo_materiales]])</f>
        <v/>
      </c>
      <c r="AI173" s="6" t="inlineStr"/>
      <c r="AJ173" s="6" t="inlineStr"/>
      <c r="AK173" s="6" t="inlineStr"/>
      <c r="AL173" s="3">
        <f>IF(tblOrdenes[[#This Row],[link_checklist]]="","",HYPERLINK(p_ruta_base_checklists&amp;tblOrdenes[[#This Row],[link_checklist]],"abrir"))</f>
        <v/>
      </c>
      <c r="AM173" s="6" t="inlineStr"/>
      <c r="AN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EQ-109</t>
        </is>
      </c>
      <c r="D174" s="3" t="inlineStr">
        <is>
          <t>Reparación de falla en EQ-109</t>
        </is>
      </c>
      <c r="E174" s="3" t="inlineStr">
        <is>
          <t>EQ-109</t>
        </is>
      </c>
      <c r="F174" s="3" t="inlineStr">
        <is>
          <t>CC-220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46120</v>
      </c>
      <c r="K174" s="3" t="n">
        <v>4</v>
      </c>
      <c r="L174" s="10" t="n">
        <v>160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Row],[tipo_ot]]="","",_xlfn.XLOOKUP(tblOrdenes[[#This Row],[tipo_ot]],tblTiposOT[codigo],tblTiposOT[clasificacion],"sin_clasificar"))</f>
        <v/>
      </c>
      <c r="T174" s="3">
        <f>IF(tblOrdenes[[#This Row],[centro_costo]]="","",_xlfn.XLOOKUP(tblOrdenes[[#This Row],[centro_costo]],tblCECO[codigo],tblCECO[linea],"(sin catálogo)"))</f>
        <v/>
      </c>
      <c r="U174" s="3">
        <f>IF(tblOrdenes[[#This Row],[centro_costo]]="","",_xlfn.XLOOKUP(tblOrdenes[[#This Row],[centro_costo]],tblCECO[codigo],tblCECO[area],"(sin catálogo)"))</f>
        <v/>
      </c>
      <c r="V174" s="3">
        <f>IF(tblOrdenes[[#This Row],[centro_costo]]="","",_xlfn.XLOOKUP(tblOrdenes[[#This Row],[centro_costo]],tblCECO[codigo],tblCECO[coordinador],"(sin catálogo)"))</f>
        <v/>
      </c>
      <c r="W174" s="3">
        <f>IF(tblOrdenes[[#This Row],[puesto_trabajo]]="","",_xlfn.XLOOKUP(tblOrdenes[[#This Row],[puesto_trabajo]],tblPuestos[codigo],tblPuestos[especialidad],"(sin catálogo)"))</f>
        <v/>
      </c>
      <c r="X174" s="3">
        <f>IF(tblOrdenes[[#This Row],[cod_actividad]]="","",_xlfn.XLOOKUP(tblOrdenes[[#This Row],[cod_actividad]],tblActividades[codigo],tblActividades[descripcion],"(sin catálogo)"))</f>
        <v/>
      </c>
      <c r="Y174" s="12">
        <f>IF(tblOrdenes[[#This Row],[fecha_inicio]]="","",TODAY()-tblOrdenes[[#This Row],[fecha_inicio]])</f>
        <v/>
      </c>
      <c r="Z174" s="3">
        <f>IF(tblOrdenes[[#This Row],[backlog_dias]]="","",IF(tblOrdenes[[#This Row],[backlog_dias]]&lt;0,"FUTURO",IF(tblOrdenes[[#This Row],[backlog_dias]]&gt;p_dias_backlog_max,"BACKLOG","MES CORRIENTE")))</f>
        <v/>
      </c>
      <c r="AA174" s="3">
        <f>IF(tblOrdenes[[#This Row],[backlog_dias]]="",FALSE,AND(tblOrdenes[[#This Row],[backlog_dias]]&gt;p_dias_backlog_min,tblOrdenes[[#This Row],[backlog_dias]]&lt;=p_dias_backlog_max))</f>
        <v/>
      </c>
      <c r="AB174" s="6" t="inlineStr"/>
      <c r="AC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4" s="10">
        <f>IF(tblOrdenes[[#This Row],[orden]]="","",_xlfn.XLOOKUP(tblOrdenes[[#This Row],[id_operacion]],tblEjecucion[id_operacion],tblEjecucion[precio],0))</f>
        <v/>
      </c>
      <c r="AG174" s="10">
        <f>IF(tblOrdenes[[#This Row],[orden]]="","",MAX(0,_xlfn.XLOOKUP(tblOrdenes[[#This Row],[id_operacion]],tblEjecucion[id_operacion],tblEjecucion[costo_plan_total],0)-tblOrdenes[[#This Row],[costo_servicio]]))</f>
        <v/>
      </c>
      <c r="AH174" s="10">
        <f>IF(tblOrdenes[[#This Row],[orden]]="","",tblOrdenes[[#This Row],[costo_servicio]]+tblOrdenes[[#This Row],[costo_materiales]])</f>
        <v/>
      </c>
      <c r="AI174" s="6" t="inlineStr"/>
      <c r="AJ174" s="6" t="inlineStr"/>
      <c r="AK174" s="6" t="inlineStr"/>
      <c r="AL174" s="3">
        <f>IF(tblOrdenes[[#This Row],[link_checklist]]="","",HYPERLINK(p_ruta_base_checklists&amp;tblOrdenes[[#This Row],[link_checklist]],"abrir"))</f>
        <v/>
      </c>
      <c r="AM174" s="6" t="inlineStr"/>
      <c r="AN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CC-310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46113</v>
      </c>
      <c r="K175" s="3" t="n">
        <v>6</v>
      </c>
      <c r="L175" s="10" t="n">
        <v>150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Row],[tipo_ot]]="","",_xlfn.XLOOKUP(tblOrdenes[[#This Row],[tipo_ot]],tblTiposOT[codigo],tblTiposOT[clasificacion],"sin_clasificar"))</f>
        <v/>
      </c>
      <c r="T175" s="3">
        <f>IF(tblOrdenes[[#This Row],[centro_costo]]="","",_xlfn.XLOOKUP(tblOrdenes[[#This Row],[centro_costo]],tblCECO[codigo],tblCECO[linea],"(sin catálogo)"))</f>
        <v/>
      </c>
      <c r="U175" s="3">
        <f>IF(tblOrdenes[[#This Row],[centro_costo]]="","",_xlfn.XLOOKUP(tblOrdenes[[#This Row],[centro_costo]],tblCECO[codigo],tblCECO[area],"(sin catálogo)"))</f>
        <v/>
      </c>
      <c r="V175" s="3">
        <f>IF(tblOrdenes[[#This Row],[centro_costo]]="","",_xlfn.XLOOKUP(tblOrdenes[[#This Row],[centro_costo]],tblCECO[codigo],tblCECO[coordinador],"(sin catálogo)"))</f>
        <v/>
      </c>
      <c r="W175" s="3">
        <f>IF(tblOrdenes[[#This Row],[puesto_trabajo]]="","",_xlfn.XLOOKUP(tblOrdenes[[#This Row],[puesto_trabajo]],tblPuestos[codigo],tblPuestos[especialidad],"(sin catálogo)"))</f>
        <v/>
      </c>
      <c r="X175" s="3">
        <f>IF(tblOrdenes[[#This Row],[cod_actividad]]="","",_xlfn.XLOOKUP(tblOrdenes[[#This Row],[cod_actividad]],tblActividades[codigo],tblActividades[descripcion],"(sin catálogo)"))</f>
        <v/>
      </c>
      <c r="Y175" s="12">
        <f>IF(tblOrdenes[[#This Row],[fecha_inicio]]="","",TODAY()-tblOrdenes[[#This Row],[fecha_inicio]])</f>
        <v/>
      </c>
      <c r="Z175" s="3">
        <f>IF(tblOrdenes[[#This Row],[backlog_dias]]="","",IF(tblOrdenes[[#This Row],[backlog_dias]]&lt;0,"FUTURO",IF(tblOrdenes[[#This Row],[backlog_dias]]&gt;p_dias_backlog_max,"BACKLOG","MES CORRIENTE")))</f>
        <v/>
      </c>
      <c r="AA175" s="3">
        <f>IF(tblOrdenes[[#This Row],[backlog_dias]]="",FALSE,AND(tblOrdenes[[#This Row],[backlog_dias]]&gt;p_dias_backlog_min,tblOrdenes[[#This Row],[backlog_dias]]&lt;=p_dias_backlog_max))</f>
        <v/>
      </c>
      <c r="AB175" s="6" t="inlineStr"/>
      <c r="AC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5" s="10">
        <f>IF(tblOrdenes[[#This Row],[orden]]="","",_xlfn.XLOOKUP(tblOrdenes[[#This Row],[id_operacion]],tblEjecucion[id_operacion],tblEjecucion[precio],0))</f>
        <v/>
      </c>
      <c r="AG175" s="10">
        <f>IF(tblOrdenes[[#This Row],[orden]]="","",MAX(0,_xlfn.XLOOKUP(tblOrdenes[[#This Row],[id_operacion]],tblEjecucion[id_operacion],tblEjecucion[costo_plan_total],0)-tblOrdenes[[#This Row],[costo_servicio]]))</f>
        <v/>
      </c>
      <c r="AH175" s="10">
        <f>IF(tblOrdenes[[#This Row],[orden]]="","",tblOrdenes[[#This Row],[costo_servicio]]+tblOrdenes[[#This Row],[costo_materiales]])</f>
        <v/>
      </c>
      <c r="AI175" s="6" t="inlineStr"/>
      <c r="AJ175" s="6" t="inlineStr"/>
      <c r="AK175" s="6" t="inlineStr"/>
      <c r="AL175" s="3">
        <f>IF(tblOrdenes[[#This Row],[link_checklist]]="","",HYPERLINK(p_ruta_base_checklists&amp;tblOrdenes[[#This Row],[link_checklist]],"abrir"))</f>
        <v/>
      </c>
      <c r="AM175" s="6" t="inlineStr"/>
      <c r="AN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46106</v>
      </c>
      <c r="K176" s="3" t="n">
        <v>8</v>
      </c>
      <c r="L176" s="10" t="n">
        <v>320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Row],[tipo_ot]]="","",_xlfn.XLOOKUP(tblOrdenes[[#This Row],[tipo_ot]],tblTiposOT[codigo],tblTiposOT[clasificacion],"sin_clasificar"))</f>
        <v/>
      </c>
      <c r="T176" s="3">
        <f>IF(tblOrdenes[[#This Row],[centro_costo]]="","",_xlfn.XLOOKUP(tblOrdenes[[#This Row],[centro_costo]],tblCECO[codigo],tblCECO[linea],"(sin catálogo)"))</f>
        <v/>
      </c>
      <c r="U176" s="3">
        <f>IF(tblOrdenes[[#This Row],[centro_costo]]="","",_xlfn.XLOOKUP(tblOrdenes[[#This Row],[centro_costo]],tblCECO[codigo],tblCECO[area],"(sin catálogo)"))</f>
        <v/>
      </c>
      <c r="V176" s="3">
        <f>IF(tblOrdenes[[#This Row],[centro_costo]]="","",_xlfn.XLOOKUP(tblOrdenes[[#This Row],[centro_costo]],tblCECO[codigo],tblCECO[coordinador],"(sin catálogo)"))</f>
        <v/>
      </c>
      <c r="W176" s="3">
        <f>IF(tblOrdenes[[#This Row],[puesto_trabajo]]="","",_xlfn.XLOOKUP(tblOrdenes[[#This Row],[puesto_trabajo]],tblPuestos[codigo],tblPuestos[especialidad],"(sin catálogo)"))</f>
        <v/>
      </c>
      <c r="X176" s="3">
        <f>IF(tblOrdenes[[#This Row],[cod_actividad]]="","",_xlfn.XLOOKUP(tblOrdenes[[#This Row],[cod_actividad]],tblActividades[codigo],tblActividades[descripcion],"(sin catálogo)"))</f>
        <v/>
      </c>
      <c r="Y176" s="12">
        <f>IF(tblOrdenes[[#This Row],[fecha_inicio]]="","",TODAY()-tblOrdenes[[#This Row],[fecha_inicio]])</f>
        <v/>
      </c>
      <c r="Z176" s="3">
        <f>IF(tblOrdenes[[#This Row],[backlog_dias]]="","",IF(tblOrdenes[[#This Row],[backlog_dias]]&lt;0,"FUTURO",IF(tblOrdenes[[#This Row],[backlog_dias]]&gt;p_dias_backlog_max,"BACKLOG","MES CORRIENTE")))</f>
        <v/>
      </c>
      <c r="AA176" s="3">
        <f>IF(tblOrdenes[[#This Row],[backlog_dias]]="",FALSE,AND(tblOrdenes[[#This Row],[backlog_dias]]&gt;p_dias_backlog_min,tblOrdenes[[#This Row],[backlog_dias]]&lt;=p_dias_backlog_max))</f>
        <v/>
      </c>
      <c r="AB176" s="6" t="inlineStr"/>
      <c r="AC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6" s="10">
        <f>IF(tblOrdenes[[#This Row],[orden]]="","",_xlfn.XLOOKUP(tblOrdenes[[#This Row],[id_operacion]],tblEjecucion[id_operacion],tblEjecucion[precio],0))</f>
        <v/>
      </c>
      <c r="AG176" s="10">
        <f>IF(tblOrdenes[[#This Row],[orden]]="","",MAX(0,_xlfn.XLOOKUP(tblOrdenes[[#This Row],[id_operacion]],tblEjecucion[id_operacion],tblEjecucion[costo_plan_total],0)-tblOrdenes[[#This Row],[costo_servicio]]))</f>
        <v/>
      </c>
      <c r="AH176" s="10">
        <f>IF(tblOrdenes[[#This Row],[orden]]="","",tblOrdenes[[#This Row],[costo_servicio]]+tblOrdenes[[#This Row],[costo_materiales]])</f>
        <v/>
      </c>
      <c r="AI176" s="6" t="inlineStr"/>
      <c r="AJ176" s="6" t="inlineStr"/>
      <c r="AK176" s="6" t="inlineStr"/>
      <c r="AL176" s="3">
        <f>IF(tblOrdenes[[#This Row],[link_checklist]]="","",HYPERLINK(p_ruta_base_checklists&amp;tblOrdenes[[#This Row],[link_checklist]],"abrir"))</f>
        <v/>
      </c>
      <c r="AM176" s="6" t="inlineStr"/>
      <c r="AN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EQ-105</t>
        </is>
      </c>
      <c r="D177" s="3" t="inlineStr">
        <is>
          <t>Inspección de rutina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46099</v>
      </c>
      <c r="K177" s="3" t="n">
        <v>4</v>
      </c>
      <c r="L177" s="10" t="n">
        <v>100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Row],[tipo_ot]]="","",_xlfn.XLOOKUP(tblOrdenes[[#This Row],[tipo_ot]],tblTiposOT[codigo],tblTiposOT[clasificacion],"sin_clasificar"))</f>
        <v/>
      </c>
      <c r="T177" s="3">
        <f>IF(tblOrdenes[[#This Row],[centro_costo]]="","",_xlfn.XLOOKUP(tblOrdenes[[#This Row],[centro_costo]],tblCECO[codigo],tblCECO[linea],"(sin catálogo)"))</f>
        <v/>
      </c>
      <c r="U177" s="3">
        <f>IF(tblOrdenes[[#This Row],[centro_costo]]="","",_xlfn.XLOOKUP(tblOrdenes[[#This Row],[centro_costo]],tblCECO[codigo],tblCECO[area],"(sin catálogo)"))</f>
        <v/>
      </c>
      <c r="V177" s="3">
        <f>IF(tblOrdenes[[#This Row],[centro_costo]]="","",_xlfn.XLOOKUP(tblOrdenes[[#This Row],[centro_costo]],tblCECO[codigo],tblCECO[coordinador],"(sin catálogo)"))</f>
        <v/>
      </c>
      <c r="W177" s="3">
        <f>IF(tblOrdenes[[#This Row],[puesto_trabajo]]="","",_xlfn.XLOOKUP(tblOrdenes[[#This Row],[puesto_trabajo]],tblPuestos[codigo],tblPuestos[especialidad],"(sin catálogo)"))</f>
        <v/>
      </c>
      <c r="X177" s="3">
        <f>IF(tblOrdenes[[#This Row],[cod_actividad]]="","",_xlfn.XLOOKUP(tblOrdenes[[#This Row],[cod_actividad]],tblActividades[codigo],tblActividades[descripcion],"(sin catálogo)"))</f>
        <v/>
      </c>
      <c r="Y177" s="12">
        <f>IF(tblOrdenes[[#This Row],[fecha_inicio]]="","",TODAY()-tblOrdenes[[#This Row],[fecha_inicio]])</f>
        <v/>
      </c>
      <c r="Z177" s="3">
        <f>IF(tblOrdenes[[#This Row],[backlog_dias]]="","",IF(tblOrdenes[[#This Row],[backlog_dias]]&lt;0,"FUTURO",IF(tblOrdenes[[#This Row],[backlog_dias]]&gt;p_dias_backlog_max,"BACKLOG","MES CORRIENTE")))</f>
        <v/>
      </c>
      <c r="AA177" s="3">
        <f>IF(tblOrdenes[[#This Row],[backlog_dias]]="",FALSE,AND(tblOrdenes[[#This Row],[backlog_dias]]&gt;p_dias_backlog_min,tblOrdenes[[#This Row],[backlog_dias]]&lt;=p_dias_backlog_max))</f>
        <v/>
      </c>
      <c r="AB177" s="6" t="inlineStr"/>
      <c r="AC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7" s="10">
        <f>IF(tblOrdenes[[#This Row],[orden]]="","",_xlfn.XLOOKUP(tblOrdenes[[#This Row],[id_operacion]],tblEjecucion[id_operacion],tblEjecucion[precio],0))</f>
        <v/>
      </c>
      <c r="AG177" s="10">
        <f>IF(tblOrdenes[[#This Row],[orden]]="","",MAX(0,_xlfn.XLOOKUP(tblOrdenes[[#This Row],[id_operacion]],tblEjecucion[id_operacion],tblEjecucion[costo_plan_total],0)-tblOrdenes[[#This Row],[costo_servicio]]))</f>
        <v/>
      </c>
      <c r="AH177" s="10">
        <f>IF(tblOrdenes[[#This Row],[orden]]="","",tblOrdenes[[#This Row],[costo_servicio]]+tblOrdenes[[#This Row],[costo_materiales]])</f>
        <v/>
      </c>
      <c r="AI177" s="6" t="inlineStr"/>
      <c r="AJ177" s="6" t="inlineStr"/>
      <c r="AK177" s="6" t="inlineStr"/>
      <c r="AL177" s="3">
        <f>IF(tblOrdenes[[#This Row],[link_checklist]]="","",HYPERLINK(p_ruta_base_checklists&amp;tblOrdenes[[#This Row],[link_checklist]],"abrir"))</f>
        <v/>
      </c>
      <c r="AM177" s="6" t="inlineStr"/>
      <c r="AN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CC-120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46092</v>
      </c>
      <c r="K178" s="3" t="n">
        <v>6</v>
      </c>
      <c r="L178" s="10" t="n">
        <v>240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Row],[tipo_ot]]="","",_xlfn.XLOOKUP(tblOrdenes[[#This Row],[tipo_ot]],tblTiposOT[codigo],tblTiposOT[clasificacion],"sin_clasificar"))</f>
        <v/>
      </c>
      <c r="T178" s="3">
        <f>IF(tblOrdenes[[#This Row],[centro_costo]]="","",_xlfn.XLOOKUP(tblOrdenes[[#This Row],[centro_costo]],tblCECO[codigo],tblCECO[linea],"(sin catálogo)"))</f>
        <v/>
      </c>
      <c r="U178" s="3">
        <f>IF(tblOrdenes[[#This Row],[centro_costo]]="","",_xlfn.XLOOKUP(tblOrdenes[[#This Row],[centro_costo]],tblCECO[codigo],tblCECO[area],"(sin catálogo)"))</f>
        <v/>
      </c>
      <c r="V178" s="3">
        <f>IF(tblOrdenes[[#This Row],[centro_costo]]="","",_xlfn.XLOOKUP(tblOrdenes[[#This Row],[centro_costo]],tblCECO[codigo],tblCECO[coordinador],"(sin catálogo)"))</f>
        <v/>
      </c>
      <c r="W178" s="3">
        <f>IF(tblOrdenes[[#This Row],[puesto_trabajo]]="","",_xlfn.XLOOKUP(tblOrdenes[[#This Row],[puesto_trabajo]],tblPuestos[codigo],tblPuestos[especialidad],"(sin catálogo)"))</f>
        <v/>
      </c>
      <c r="X178" s="3">
        <f>IF(tblOrdenes[[#This Row],[cod_actividad]]="","",_xlfn.XLOOKUP(tblOrdenes[[#This Row],[cod_actividad]],tblActividades[codigo],tblActividades[descripcion],"(sin catálogo)"))</f>
        <v/>
      </c>
      <c r="Y178" s="12">
        <f>IF(tblOrdenes[[#This Row],[fecha_inicio]]="","",TODAY()-tblOrdenes[[#This Row],[fecha_inicio]])</f>
        <v/>
      </c>
      <c r="Z178" s="3">
        <f>IF(tblOrdenes[[#This Row],[backlog_dias]]="","",IF(tblOrdenes[[#This Row],[backlog_dias]]&lt;0,"FUTURO",IF(tblOrdenes[[#This Row],[backlog_dias]]&gt;p_dias_backlog_max,"BACKLOG","MES CORRIENTE")))</f>
        <v/>
      </c>
      <c r="AA178" s="3">
        <f>IF(tblOrdenes[[#This Row],[backlog_dias]]="",FALSE,AND(tblOrdenes[[#This Row],[backlog_dias]]&gt;p_dias_backlog_min,tblOrdenes[[#This Row],[backlog_dias]]&lt;=p_dias_backlog_max))</f>
        <v/>
      </c>
      <c r="AB178" s="6" t="inlineStr"/>
      <c r="AC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8" s="10">
        <f>IF(tblOrdenes[[#This Row],[orden]]="","",_xlfn.XLOOKUP(tblOrdenes[[#This Row],[id_operacion]],tblEjecucion[id_operacion],tblEjecucion[precio],0))</f>
        <v/>
      </c>
      <c r="AG178" s="10">
        <f>IF(tblOrdenes[[#This Row],[orden]]="","",MAX(0,_xlfn.XLOOKUP(tblOrdenes[[#This Row],[id_operacion]],tblEjecucion[id_operacion],tblEjecucion[costo_plan_total],0)-tblOrdenes[[#This Row],[costo_servicio]]))</f>
        <v/>
      </c>
      <c r="AH178" s="10">
        <f>IF(tblOrdenes[[#This Row],[orden]]="","",tblOrdenes[[#This Row],[costo_servicio]]+tblOrdenes[[#This Row],[costo_materiales]])</f>
        <v/>
      </c>
      <c r="AI178" s="6" t="inlineStr"/>
      <c r="AJ178" s="6" t="inlineStr"/>
      <c r="AK178" s="6" t="inlineStr"/>
      <c r="AL178" s="3">
        <f>IF(tblOrdenes[[#This Row],[link_checklist]]="","",HYPERLINK(p_ruta_base_checklists&amp;tblOrdenes[[#This Row],[link_checklist]],"abrir"))</f>
        <v/>
      </c>
      <c r="AM178" s="6" t="inlineStr"/>
      <c r="AN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EQ-106</t>
        </is>
      </c>
      <c r="D179" s="3" t="inlineStr">
        <is>
          <t>Análisis predictivo en EQ-106</t>
        </is>
      </c>
      <c r="E179" s="3" t="inlineStr">
        <is>
          <t>EQ-106</t>
        </is>
      </c>
      <c r="F179" s="3" t="inlineStr">
        <is>
          <t>CC-210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46085</v>
      </c>
      <c r="K179" s="3" t="n">
        <v>8</v>
      </c>
      <c r="L179" s="10" t="n">
        <v>200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Row],[tipo_ot]]="","",_xlfn.XLOOKUP(tblOrdenes[[#This Row],[tipo_ot]],tblTiposOT[codigo],tblTiposOT[clasificacion],"sin_clasificar"))</f>
        <v/>
      </c>
      <c r="T179" s="3">
        <f>IF(tblOrdenes[[#This Row],[centro_costo]]="","",_xlfn.XLOOKUP(tblOrdenes[[#This Row],[centro_costo]],tblCECO[codigo],tblCECO[linea],"(sin catálogo)"))</f>
        <v/>
      </c>
      <c r="U179" s="3">
        <f>IF(tblOrdenes[[#This Row],[centro_costo]]="","",_xlfn.XLOOKUP(tblOrdenes[[#This Row],[centro_costo]],tblCECO[codigo],tblCECO[area],"(sin catálogo)"))</f>
        <v/>
      </c>
      <c r="V179" s="3">
        <f>IF(tblOrdenes[[#This Row],[centro_costo]]="","",_xlfn.XLOOKUP(tblOrdenes[[#This Row],[centro_costo]],tblCECO[codigo],tblCECO[coordinador],"(sin catálogo)"))</f>
        <v/>
      </c>
      <c r="W179" s="3">
        <f>IF(tblOrdenes[[#This Row],[puesto_trabajo]]="","",_xlfn.XLOOKUP(tblOrdenes[[#This Row],[puesto_trabajo]],tblPuestos[codigo],tblPuestos[especialidad],"(sin catálogo)"))</f>
        <v/>
      </c>
      <c r="X179" s="3">
        <f>IF(tblOrdenes[[#This Row],[cod_actividad]]="","",_xlfn.XLOOKUP(tblOrdenes[[#This Row],[cod_actividad]],tblActividades[codigo],tblActividades[descripcion],"(sin catálogo)"))</f>
        <v/>
      </c>
      <c r="Y179" s="12">
        <f>IF(tblOrdenes[[#This Row],[fecha_inicio]]="","",TODAY()-tblOrdenes[[#This Row],[fecha_inicio]])</f>
        <v/>
      </c>
      <c r="Z179" s="3">
        <f>IF(tblOrdenes[[#This Row],[backlog_dias]]="","",IF(tblOrdenes[[#This Row],[backlog_dias]]&lt;0,"FUTURO",IF(tblOrdenes[[#This Row],[backlog_dias]]&gt;p_dias_backlog_max,"BACKLOG","MES CORRIENTE")))</f>
        <v/>
      </c>
      <c r="AA179" s="3">
        <f>IF(tblOrdenes[[#This Row],[backlog_dias]]="",FALSE,AND(tblOrdenes[[#This Row],[backlog_dias]]&gt;p_dias_backlog_min,tblOrdenes[[#This Row],[backlog_dias]]&lt;=p_dias_backlog_max))</f>
        <v/>
      </c>
      <c r="AB179" s="6" t="inlineStr"/>
      <c r="AC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9" s="10">
        <f>IF(tblOrdenes[[#This Row],[orden]]="","",_xlfn.XLOOKUP(tblOrdenes[[#This Row],[id_operacion]],tblEjecucion[id_operacion],tblEjecucion[precio],0))</f>
        <v/>
      </c>
      <c r="AG179" s="10">
        <f>IF(tblOrdenes[[#This Row],[orden]]="","",MAX(0,_xlfn.XLOOKUP(tblOrdenes[[#This Row],[id_operacion]],tblEjecucion[id_operacion],tblEjecucion[costo_plan_total],0)-tblOrdenes[[#This Row],[costo_servicio]]))</f>
        <v/>
      </c>
      <c r="AH179" s="10">
        <f>IF(tblOrdenes[[#This Row],[orden]]="","",tblOrdenes[[#This Row],[costo_servicio]]+tblOrdenes[[#This Row],[costo_materiales]])</f>
        <v/>
      </c>
      <c r="AI179" s="6" t="inlineStr"/>
      <c r="AJ179" s="6" t="inlineStr"/>
      <c r="AK179" s="6" t="inlineStr"/>
      <c r="AL179" s="3">
        <f>IF(tblOrdenes[[#This Row],[link_checklist]]="","",HYPERLINK(p_ruta_base_checklists&amp;tblOrdenes[[#This Row],[link_checklist]],"abrir"))</f>
        <v/>
      </c>
      <c r="AM179" s="6" t="inlineStr"/>
      <c r="AN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Inspección de rutina — EQ-103</t>
        </is>
      </c>
      <c r="D180" s="3" t="inlineStr">
        <is>
          <t>Inspección de rutina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PU-MEC</t>
        </is>
      </c>
      <c r="H180" s="3" t="inlineStr">
        <is>
          <t>ACT-01</t>
        </is>
      </c>
      <c r="I180" s="3" t="inlineStr">
        <is>
          <t>TIPO-P2</t>
        </is>
      </c>
      <c r="J180" s="11" t="n">
        <v>46263</v>
      </c>
      <c r="K180" s="3" t="n">
        <v>6</v>
      </c>
      <c r="L180" s="10" t="n">
        <v>150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Row],[tipo_ot]]="","",_xlfn.XLOOKUP(tblOrdenes[[#This Row],[tipo_ot]],tblTiposOT[codigo],tblTiposOT[clasificacion],"sin_clasificar"))</f>
        <v/>
      </c>
      <c r="T180" s="3">
        <f>IF(tblOrdenes[[#This Row],[centro_costo]]="","",_xlfn.XLOOKUP(tblOrdenes[[#This Row],[centro_costo]],tblCECO[codigo],tblCECO[linea],"(sin catálogo)"))</f>
        <v/>
      </c>
      <c r="U180" s="3">
        <f>IF(tblOrdenes[[#This Row],[centro_costo]]="","",_xlfn.XLOOKUP(tblOrdenes[[#This Row],[centro_costo]],tblCECO[codigo],tblCECO[area],"(sin catálogo)"))</f>
        <v/>
      </c>
      <c r="V180" s="3">
        <f>IF(tblOrdenes[[#This Row],[centro_costo]]="","",_xlfn.XLOOKUP(tblOrdenes[[#This Row],[centro_costo]],tblCECO[codigo],tblCECO[coordinador],"(sin catálogo)"))</f>
        <v/>
      </c>
      <c r="W180" s="3">
        <f>IF(tblOrdenes[[#This Row],[puesto_trabajo]]="","",_xlfn.XLOOKUP(tblOrdenes[[#This Row],[puesto_trabajo]],tblPuestos[codigo],tblPuestos[especialidad],"(sin catálogo)"))</f>
        <v/>
      </c>
      <c r="X180" s="3">
        <f>IF(tblOrdenes[[#This Row],[cod_actividad]]="","",_xlfn.XLOOKUP(tblOrdenes[[#This Row],[cod_actividad]],tblActividades[codigo],tblActividades[descripcion],"(sin catálogo)"))</f>
        <v/>
      </c>
      <c r="Y180" s="12">
        <f>IF(tblOrdenes[[#This Row],[fecha_inicio]]="","",TODAY()-tblOrdenes[[#This Row],[fecha_inicio]])</f>
        <v/>
      </c>
      <c r="Z180" s="3">
        <f>IF(tblOrdenes[[#This Row],[backlog_dias]]="","",IF(tblOrdenes[[#This Row],[backlog_dias]]&lt;0,"FUTURO",IF(tblOrdenes[[#This Row],[backlog_dias]]&gt;p_dias_backlog_max,"BACKLOG","MES CORRIENTE")))</f>
        <v/>
      </c>
      <c r="AA180" s="3">
        <f>IF(tblOrdenes[[#This Row],[backlog_dias]]="",FALSE,AND(tblOrdenes[[#This Row],[backlog_dias]]&gt;p_dias_backlog_min,tblOrdenes[[#This Row],[backlog_dias]]&lt;=p_dias_backlog_max))</f>
        <v/>
      </c>
      <c r="AB180" s="6" t="inlineStr"/>
      <c r="AC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0" s="10">
        <f>IF(tblOrdenes[[#This Row],[orden]]="","",_xlfn.XLOOKUP(tblOrdenes[[#This Row],[id_operacion]],tblEjecucion[id_operacion],tblEjecucion[precio],0))</f>
        <v/>
      </c>
      <c r="AG180" s="10">
        <f>IF(tblOrdenes[[#This Row],[orden]]="","",MAX(0,_xlfn.XLOOKUP(tblOrdenes[[#This Row],[id_operacion]],tblEjecucion[id_operacion],tblEjecucion[costo_plan_total],0)-tblOrdenes[[#This Row],[costo_servicio]]))</f>
        <v/>
      </c>
      <c r="AH180" s="10">
        <f>IF(tblOrdenes[[#This Row],[orden]]="","",tblOrdenes[[#This Row],[costo_servicio]]+tblOrdenes[[#This Row],[costo_materiales]])</f>
        <v/>
      </c>
      <c r="AI180" s="6" t="inlineStr"/>
      <c r="AJ180" s="6" t="inlineStr"/>
      <c r="AK180" s="6" t="inlineStr"/>
      <c r="AL180" s="3">
        <f>IF(tblOrdenes[[#This Row],[link_checklist]]="","",HYPERLINK(p_ruta_base_checklists&amp;tblOrdenes[[#This Row],[link_checklist]],"abrir"))</f>
        <v/>
      </c>
      <c r="AM180" s="6" t="inlineStr"/>
      <c r="AN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EQ-104</t>
        </is>
      </c>
      <c r="D181" s="3" t="inlineStr">
        <is>
          <t>Lubricación programada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46263</v>
      </c>
      <c r="K181" s="3" t="n">
        <v>6</v>
      </c>
      <c r="L181" s="10" t="n">
        <v>150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Row],[tipo_ot]]="","",_xlfn.XLOOKUP(tblOrdenes[[#This Row],[tipo_ot]],tblTiposOT[codigo],tblTiposOT[clasificacion],"sin_clasificar"))</f>
        <v/>
      </c>
      <c r="T181" s="3">
        <f>IF(tblOrdenes[[#This Row],[centro_costo]]="","",_xlfn.XLOOKUP(tblOrdenes[[#This Row],[centro_costo]],tblCECO[codigo],tblCECO[linea],"(sin catálogo)"))</f>
        <v/>
      </c>
      <c r="U181" s="3">
        <f>IF(tblOrdenes[[#This Row],[centro_costo]]="","",_xlfn.XLOOKUP(tblOrdenes[[#This Row],[centro_costo]],tblCECO[codigo],tblCECO[area],"(sin catálogo)"))</f>
        <v/>
      </c>
      <c r="V181" s="3">
        <f>IF(tblOrdenes[[#This Row],[centro_costo]]="","",_xlfn.XLOOKUP(tblOrdenes[[#This Row],[centro_costo]],tblCECO[codigo],tblCECO[coordinador],"(sin catálogo)"))</f>
        <v/>
      </c>
      <c r="W181" s="3">
        <f>IF(tblOrdenes[[#This Row],[puesto_trabajo]]="","",_xlfn.XLOOKUP(tblOrdenes[[#This Row],[puesto_trabajo]],tblPuestos[codigo],tblPuestos[especialidad],"(sin catálogo)"))</f>
        <v/>
      </c>
      <c r="X181" s="3">
        <f>IF(tblOrdenes[[#This Row],[cod_actividad]]="","",_xlfn.XLOOKUP(tblOrdenes[[#This Row],[cod_actividad]],tblActividades[codigo],tblActividades[descripcion],"(sin catálogo)"))</f>
        <v/>
      </c>
      <c r="Y181" s="12">
        <f>IF(tblOrdenes[[#This Row],[fecha_inicio]]="","",TODAY()-tblOrdenes[[#This Row],[fecha_inicio]])</f>
        <v/>
      </c>
      <c r="Z181" s="3">
        <f>IF(tblOrdenes[[#This Row],[backlog_dias]]="","",IF(tblOrdenes[[#This Row],[backlog_dias]]&lt;0,"FUTURO",IF(tblOrdenes[[#This Row],[backlog_dias]]&gt;p_dias_backlog_max,"BACKLOG","MES CORRIENTE")))</f>
        <v/>
      </c>
      <c r="AA181" s="3">
        <f>IF(tblOrdenes[[#This Row],[backlog_dias]]="",FALSE,AND(tblOrdenes[[#This Row],[backlog_dias]]&gt;p_dias_backlog_min,tblOrdenes[[#This Row],[backlog_dias]]&lt;=p_dias_backlog_max))</f>
        <v/>
      </c>
      <c r="AB181" s="6" t="inlineStr"/>
      <c r="AC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1" s="10">
        <f>IF(tblOrdenes[[#This Row],[orden]]="","",_xlfn.XLOOKUP(tblOrdenes[[#This Row],[id_operacion]],tblEjecucion[id_operacion],tblEjecucion[precio],0))</f>
        <v/>
      </c>
      <c r="AG181" s="10">
        <f>IF(tblOrdenes[[#This Row],[orden]]="","",MAX(0,_xlfn.XLOOKUP(tblOrdenes[[#This Row],[id_operacion]],tblEjecucion[id_operacion],tblEjecucion[costo_plan_total],0)-tblOrdenes[[#This Row],[costo_servicio]]))</f>
        <v/>
      </c>
      <c r="AH181" s="10">
        <f>IF(tblOrdenes[[#This Row],[orden]]="","",tblOrdenes[[#This Row],[costo_servicio]]+tblOrdenes[[#This Row],[costo_materiales]])</f>
        <v/>
      </c>
      <c r="AI181" s="6" t="inlineStr"/>
      <c r="AJ181" s="6" t="inlineStr"/>
      <c r="AK181" s="6" t="inlineStr"/>
      <c r="AL181" s="3">
        <f>IF(tblOrdenes[[#This Row],[link_checklist]]="","",HYPERLINK(p_ruta_base_checklists&amp;tblOrdenes[[#This Row],[link_checklist]],"abrir"))</f>
        <v/>
      </c>
      <c r="AM181" s="6" t="inlineStr"/>
      <c r="AN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Análisis predictivo — EQ-105</t>
        </is>
      </c>
      <c r="D182" s="3" t="inlineStr">
        <is>
          <t>Análisis predictivo en EQ-105</t>
        </is>
      </c>
      <c r="E182" s="3" t="inlineStr">
        <is>
          <t>EQ-105</t>
        </is>
      </c>
      <c r="F182" s="3" t="inlineStr">
        <is>
          <t>CC-110</t>
        </is>
      </c>
      <c r="G182" s="3" t="inlineStr">
        <is>
          <t>PU-MEC</t>
        </is>
      </c>
      <c r="H182" s="3" t="inlineStr">
        <is>
          <t>ACT-04</t>
        </is>
      </c>
      <c r="I182" s="3" t="inlineStr">
        <is>
          <t>TIPO-P2</t>
        </is>
      </c>
      <c r="J182" s="11" t="n">
        <v>46263</v>
      </c>
      <c r="K182" s="3" t="n">
        <v>6</v>
      </c>
      <c r="L182" s="10" t="n">
        <v>150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Row],[tipo_ot]]="","",_xlfn.XLOOKUP(tblOrdenes[[#This Row],[tipo_ot]],tblTiposOT[codigo],tblTiposOT[clasificacion],"sin_clasificar"))</f>
        <v/>
      </c>
      <c r="T182" s="3">
        <f>IF(tblOrdenes[[#This Row],[centro_costo]]="","",_xlfn.XLOOKUP(tblOrdenes[[#This Row],[centro_costo]],tblCECO[codigo],tblCECO[linea],"(sin catálogo)"))</f>
        <v/>
      </c>
      <c r="U182" s="3">
        <f>IF(tblOrdenes[[#This Row],[centro_costo]]="","",_xlfn.XLOOKUP(tblOrdenes[[#This Row],[centro_costo]],tblCECO[codigo],tblCECO[area],"(sin catálogo)"))</f>
        <v/>
      </c>
      <c r="V182" s="3">
        <f>IF(tblOrdenes[[#This Row],[centro_costo]]="","",_xlfn.XLOOKUP(tblOrdenes[[#This Row],[centro_costo]],tblCECO[codigo],tblCECO[coordinador],"(sin catálogo)"))</f>
        <v/>
      </c>
      <c r="W182" s="3">
        <f>IF(tblOrdenes[[#This Row],[puesto_trabajo]]="","",_xlfn.XLOOKUP(tblOrdenes[[#This Row],[puesto_trabajo]],tblPuestos[codigo],tblPuestos[especialidad],"(sin catálogo)"))</f>
        <v/>
      </c>
      <c r="X182" s="3">
        <f>IF(tblOrdenes[[#This Row],[cod_actividad]]="","",_xlfn.XLOOKUP(tblOrdenes[[#This Row],[cod_actividad]],tblActividades[codigo],tblActividades[descripcion],"(sin catálogo)"))</f>
        <v/>
      </c>
      <c r="Y182" s="12">
        <f>IF(tblOrdenes[[#This Row],[fecha_inicio]]="","",TODAY()-tblOrdenes[[#This Row],[fecha_inicio]])</f>
        <v/>
      </c>
      <c r="Z182" s="3">
        <f>IF(tblOrdenes[[#This Row],[backlog_dias]]="","",IF(tblOrdenes[[#This Row],[backlog_dias]]&lt;0,"FUTURO",IF(tblOrdenes[[#This Row],[backlog_dias]]&gt;p_dias_backlog_max,"BACKLOG","MES CORRIENTE")))</f>
        <v/>
      </c>
      <c r="AA182" s="3">
        <f>IF(tblOrdenes[[#This Row],[backlog_dias]]="",FALSE,AND(tblOrdenes[[#This Row],[backlog_dias]]&gt;p_dias_backlog_min,tblOrdenes[[#This Row],[backlog_dias]]&lt;=p_dias_backlog_max))</f>
        <v/>
      </c>
      <c r="AB182" s="6" t="inlineStr"/>
      <c r="AC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2" s="10">
        <f>IF(tblOrdenes[[#This Row],[orden]]="","",_xlfn.XLOOKUP(tblOrdenes[[#This Row],[id_operacion]],tblEjecucion[id_operacion],tblEjecucion[precio],0))</f>
        <v/>
      </c>
      <c r="AG182" s="10">
        <f>IF(tblOrdenes[[#This Row],[orden]]="","",MAX(0,_xlfn.XLOOKUP(tblOrdenes[[#This Row],[id_operacion]],tblEjecucion[id_operacion],tblEjecucion[costo_plan_total],0)-tblOrdenes[[#This Row],[costo_servicio]]))</f>
        <v/>
      </c>
      <c r="AH182" s="10">
        <f>IF(tblOrdenes[[#This Row],[orden]]="","",tblOrdenes[[#This Row],[costo_servicio]]+tblOrdenes[[#This Row],[costo_materiales]])</f>
        <v/>
      </c>
      <c r="AI182" s="6" t="inlineStr"/>
      <c r="AJ182" s="6" t="inlineStr"/>
      <c r="AK182" s="6" t="inlineStr"/>
      <c r="AL182" s="3">
        <f>IF(tblOrdenes[[#This Row],[link_checklist]]="","",HYPERLINK(p_ruta_base_checklists&amp;tblOrdenes[[#This Row],[link_checklist]],"abrir"))</f>
        <v/>
      </c>
      <c r="AM182" s="6" t="inlineStr"/>
      <c r="AN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EQ-101</t>
        </is>
      </c>
      <c r="D183" s="3" t="inlineStr">
        <is>
          <t>Inspección de rutina en EQ-101</t>
        </is>
      </c>
      <c r="E183" s="3" t="inlineStr">
        <is>
          <t>EQ-101</t>
        </is>
      </c>
      <c r="F183" s="3" t="inlineStr">
        <is>
          <t>CC-110</t>
        </is>
      </c>
      <c r="G183" s="3" t="inlineStr">
        <is>
          <t>PU-ELE</t>
        </is>
      </c>
      <c r="H183" s="3" t="inlineStr">
        <is>
          <t>ACT-01</t>
        </is>
      </c>
      <c r="I183" s="3" t="inlineStr">
        <is>
          <t>TIPO-P1</t>
        </is>
      </c>
      <c r="J183" s="11" t="n">
        <v>46323</v>
      </c>
      <c r="K183" s="3" t="n">
        <v>6</v>
      </c>
      <c r="L183" s="10" t="n">
        <v>150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Row],[tipo_ot]]="","",_xlfn.XLOOKUP(tblOrdenes[[#This Row],[tipo_ot]],tblTiposOT[codigo],tblTiposOT[clasificacion],"sin_clasificar"))</f>
        <v/>
      </c>
      <c r="T183" s="3">
        <f>IF(tblOrdenes[[#This Row],[centro_costo]]="","",_xlfn.XLOOKUP(tblOrdenes[[#This Row],[centro_costo]],tblCECO[codigo],tblCECO[linea],"(sin catálogo)"))</f>
        <v/>
      </c>
      <c r="U183" s="3">
        <f>IF(tblOrdenes[[#This Row],[centro_costo]]="","",_xlfn.XLOOKUP(tblOrdenes[[#This Row],[centro_costo]],tblCECO[codigo],tblCECO[area],"(sin catálogo)"))</f>
        <v/>
      </c>
      <c r="V183" s="3">
        <f>IF(tblOrdenes[[#This Row],[centro_costo]]="","",_xlfn.XLOOKUP(tblOrdenes[[#This Row],[centro_costo]],tblCECO[codigo],tblCECO[coordinador],"(sin catálogo)"))</f>
        <v/>
      </c>
      <c r="W183" s="3">
        <f>IF(tblOrdenes[[#This Row],[puesto_trabajo]]="","",_xlfn.XLOOKUP(tblOrdenes[[#This Row],[puesto_trabajo]],tblPuestos[codigo],tblPuestos[especialidad],"(sin catálogo)"))</f>
        <v/>
      </c>
      <c r="X183" s="3">
        <f>IF(tblOrdenes[[#This Row],[cod_actividad]]="","",_xlfn.XLOOKUP(tblOrdenes[[#This Row],[cod_actividad]],tblActividades[codigo],tblActividades[descripcion],"(sin catálogo)"))</f>
        <v/>
      </c>
      <c r="Y183" s="12">
        <f>IF(tblOrdenes[[#This Row],[fecha_inicio]]="","",TODAY()-tblOrdenes[[#This Row],[fecha_inicio]])</f>
        <v/>
      </c>
      <c r="Z183" s="3">
        <f>IF(tblOrdenes[[#This Row],[backlog_dias]]="","",IF(tblOrdenes[[#This Row],[backlog_dias]]&lt;0,"FUTURO",IF(tblOrdenes[[#This Row],[backlog_dias]]&gt;p_dias_backlog_max,"BACKLOG","MES CORRIENTE")))</f>
        <v/>
      </c>
      <c r="AA183" s="3">
        <f>IF(tblOrdenes[[#This Row],[backlog_dias]]="",FALSE,AND(tblOrdenes[[#This Row],[backlog_dias]]&gt;p_dias_backlog_min,tblOrdenes[[#This Row],[backlog_dias]]&lt;=p_dias_backlog_max))</f>
        <v/>
      </c>
      <c r="AB183" s="6" t="inlineStr"/>
      <c r="AC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3" s="10">
        <f>IF(tblOrdenes[[#This Row],[orden]]="","",_xlfn.XLOOKUP(tblOrdenes[[#This Row],[id_operacion]],tblEjecucion[id_operacion],tblEjecucion[precio],0))</f>
        <v/>
      </c>
      <c r="AG183" s="10">
        <f>IF(tblOrdenes[[#This Row],[orden]]="","",MAX(0,_xlfn.XLOOKUP(tblOrdenes[[#This Row],[id_operacion]],tblEjecucion[id_operacion],tblEjecucion[costo_plan_total],0)-tblOrdenes[[#This Row],[costo_servicio]]))</f>
        <v/>
      </c>
      <c r="AH183" s="10">
        <f>IF(tblOrdenes[[#This Row],[orden]]="","",tblOrdenes[[#This Row],[costo_servicio]]+tblOrdenes[[#This Row],[costo_materiales]])</f>
        <v/>
      </c>
      <c r="AI183" s="6" t="inlineStr"/>
      <c r="AJ183" s="6" t="inlineStr"/>
      <c r="AK183" s="6" t="inlineStr"/>
      <c r="AL183" s="3">
        <f>IF(tblOrdenes[[#This Row],[link_checklist]]="","",HYPERLINK(p_ruta_base_checklists&amp;tblOrdenes[[#This Row],[link_checklist]],"abrir"))</f>
        <v/>
      </c>
      <c r="AM183" s="6" t="inlineStr"/>
      <c r="AN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PU-ELE</t>
        </is>
      </c>
      <c r="H184" s="3" t="inlineStr">
        <is>
          <t>ACT-02</t>
        </is>
      </c>
      <c r="I184" s="3" t="inlineStr">
        <is>
          <t>TIPO-P2</t>
        </is>
      </c>
      <c r="J184" s="11" t="n">
        <v>46323</v>
      </c>
      <c r="K184" s="3" t="n">
        <v>6</v>
      </c>
      <c r="L184" s="10" t="n">
        <v>150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Row],[tipo_ot]]="","",_xlfn.XLOOKUP(tblOrdenes[[#This Row],[tipo_ot]],tblTiposOT[codigo],tblTiposOT[clasificacion],"sin_clasificar"))</f>
        <v/>
      </c>
      <c r="T184" s="3">
        <f>IF(tblOrdenes[[#This Row],[centro_costo]]="","",_xlfn.XLOOKUP(tblOrdenes[[#This Row],[centro_costo]],tblCECO[codigo],tblCECO[linea],"(sin catálogo)"))</f>
        <v/>
      </c>
      <c r="U184" s="3">
        <f>IF(tblOrdenes[[#This Row],[centro_costo]]="","",_xlfn.XLOOKUP(tblOrdenes[[#This Row],[centro_costo]],tblCECO[codigo],tblCECO[area],"(sin catálogo)"))</f>
        <v/>
      </c>
      <c r="V184" s="3">
        <f>IF(tblOrdenes[[#This Row],[centro_costo]]="","",_xlfn.XLOOKUP(tblOrdenes[[#This Row],[centro_costo]],tblCECO[codigo],tblCECO[coordinador],"(sin catálogo)"))</f>
        <v/>
      </c>
      <c r="W184" s="3">
        <f>IF(tblOrdenes[[#This Row],[puesto_trabajo]]="","",_xlfn.XLOOKUP(tblOrdenes[[#This Row],[puesto_trabajo]],tblPuestos[codigo],tblPuestos[especialidad],"(sin catálogo)"))</f>
        <v/>
      </c>
      <c r="X184" s="3">
        <f>IF(tblOrdenes[[#This Row],[cod_actividad]]="","",_xlfn.XLOOKUP(tblOrdenes[[#This Row],[cod_actividad]],tblActividades[codigo],tblActividades[descripcion],"(sin catálogo)"))</f>
        <v/>
      </c>
      <c r="Y184" s="12">
        <f>IF(tblOrdenes[[#This Row],[fecha_inicio]]="","",TODAY()-tblOrdenes[[#This Row],[fecha_inicio]])</f>
        <v/>
      </c>
      <c r="Z184" s="3">
        <f>IF(tblOrdenes[[#This Row],[backlog_dias]]="","",IF(tblOrdenes[[#This Row],[backlog_dias]]&lt;0,"FUTURO",IF(tblOrdenes[[#This Row],[backlog_dias]]&gt;p_dias_backlog_max,"BACKLOG","MES CORRIENTE")))</f>
        <v/>
      </c>
      <c r="AA184" s="3">
        <f>IF(tblOrdenes[[#This Row],[backlog_dias]]="",FALSE,AND(tblOrdenes[[#This Row],[backlog_dias]]&gt;p_dias_backlog_min,tblOrdenes[[#This Row],[backlog_dias]]&lt;=p_dias_backlog_max))</f>
        <v/>
      </c>
      <c r="AB184" s="6" t="inlineStr"/>
      <c r="AC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4" s="10">
        <f>IF(tblOrdenes[[#This Row],[orden]]="","",_xlfn.XLOOKUP(tblOrdenes[[#This Row],[id_operacion]],tblEjecucion[id_operacion],tblEjecucion[precio],0))</f>
        <v/>
      </c>
      <c r="AG184" s="10">
        <f>IF(tblOrdenes[[#This Row],[orden]]="","",MAX(0,_xlfn.XLOOKUP(tblOrdenes[[#This Row],[id_operacion]],tblEjecucion[id_operacion],tblEjecucion[costo_plan_total],0)-tblOrdenes[[#This Row],[costo_servicio]]))</f>
        <v/>
      </c>
      <c r="AH184" s="10">
        <f>IF(tblOrdenes[[#This Row],[orden]]="","",tblOrdenes[[#This Row],[costo_servicio]]+tblOrdenes[[#This Row],[costo_materiales]])</f>
        <v/>
      </c>
      <c r="AI184" s="6" t="inlineStr"/>
      <c r="AJ184" s="6" t="inlineStr"/>
      <c r="AK184" s="6" t="inlineStr"/>
      <c r="AL184" s="3">
        <f>IF(tblOrdenes[[#This Row],[link_checklist]]="","",HYPERLINK(p_ruta_base_checklists&amp;tblOrdenes[[#This Row],[link_checklist]],"abrir"))</f>
        <v/>
      </c>
      <c r="AM184" s="6" t="inlineStr"/>
      <c r="AN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PU-AUT</t>
        </is>
      </c>
      <c r="H185" s="3" t="inlineStr">
        <is>
          <t>ACT-04</t>
        </is>
      </c>
      <c r="I185" s="3" t="inlineStr">
        <is>
          <t>TIPO-P1</t>
        </is>
      </c>
      <c r="J185" s="11" t="n">
        <v>46385</v>
      </c>
      <c r="K185" s="3" t="n">
        <v>4</v>
      </c>
      <c r="L185" s="10" t="n">
        <v>100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Row],[tipo_ot]]="","",_xlfn.XLOOKUP(tblOrdenes[[#This Row],[tipo_ot]],tblTiposOT[codigo],tblTiposOT[clasificacion],"sin_clasificar"))</f>
        <v/>
      </c>
      <c r="T185" s="3">
        <f>IF(tblOrdenes[[#This Row],[centro_costo]]="","",_xlfn.XLOOKUP(tblOrdenes[[#This Row],[centro_costo]],tblCECO[codigo],tblCECO[linea],"(sin catálogo)"))</f>
        <v/>
      </c>
      <c r="U185" s="3">
        <f>IF(tblOrdenes[[#This Row],[centro_costo]]="","",_xlfn.XLOOKUP(tblOrdenes[[#This Row],[centro_costo]],tblCECO[codigo],tblCECO[area],"(sin catálogo)"))</f>
        <v/>
      </c>
      <c r="V185" s="3">
        <f>IF(tblOrdenes[[#This Row],[centro_costo]]="","",_xlfn.XLOOKUP(tblOrdenes[[#This Row],[centro_costo]],tblCECO[codigo],tblCECO[coordinador],"(sin catálogo)"))</f>
        <v/>
      </c>
      <c r="W185" s="3">
        <f>IF(tblOrdenes[[#This Row],[puesto_trabajo]]="","",_xlfn.XLOOKUP(tblOrdenes[[#This Row],[puesto_trabajo]],tblPuestos[codigo],tblPuestos[especialidad],"(sin catálogo)"))</f>
        <v/>
      </c>
      <c r="X185" s="3">
        <f>IF(tblOrdenes[[#This Row],[cod_actividad]]="","",_xlfn.XLOOKUP(tblOrdenes[[#This Row],[cod_actividad]],tblActividades[codigo],tblActividades[descripcion],"(sin catálogo)"))</f>
        <v/>
      </c>
      <c r="Y185" s="12">
        <f>IF(tblOrdenes[[#This Row],[fecha_inicio]]="","",TODAY()-tblOrdenes[[#This Row],[fecha_inicio]])</f>
        <v/>
      </c>
      <c r="Z185" s="3">
        <f>IF(tblOrdenes[[#This Row],[backlog_dias]]="","",IF(tblOrdenes[[#This Row],[backlog_dias]]&lt;0,"FUTURO",IF(tblOrdenes[[#This Row],[backlog_dias]]&gt;p_dias_backlog_max,"BACKLOG","MES CORRIENTE")))</f>
        <v/>
      </c>
      <c r="AA185" s="3">
        <f>IF(tblOrdenes[[#This Row],[backlog_dias]]="",FALSE,AND(tblOrdenes[[#This Row],[backlog_dias]]&gt;p_dias_backlog_min,tblOrdenes[[#This Row],[backlog_dias]]&lt;=p_dias_backlog_max))</f>
        <v/>
      </c>
      <c r="AB185" s="6" t="inlineStr"/>
      <c r="AC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5" s="10">
        <f>IF(tblOrdenes[[#This Row],[orden]]="","",_xlfn.XLOOKUP(tblOrdenes[[#This Row],[id_operacion]],tblEjecucion[id_operacion],tblEjecucion[precio],0))</f>
        <v/>
      </c>
      <c r="AG185" s="10">
        <f>IF(tblOrdenes[[#This Row],[orden]]="","",MAX(0,_xlfn.XLOOKUP(tblOrdenes[[#This Row],[id_operacion]],tblEjecucion[id_operacion],tblEjecucion[costo_plan_total],0)-tblOrdenes[[#This Row],[costo_servicio]]))</f>
        <v/>
      </c>
      <c r="AH185" s="10">
        <f>IF(tblOrdenes[[#This Row],[orden]]="","",tblOrdenes[[#This Row],[costo_servicio]]+tblOrdenes[[#This Row],[costo_materiales]])</f>
        <v/>
      </c>
      <c r="AI185" s="6" t="inlineStr"/>
      <c r="AJ185" s="6" t="inlineStr"/>
      <c r="AK185" s="6" t="inlineStr"/>
      <c r="AL185" s="3">
        <f>IF(tblOrdenes[[#This Row],[link_checklist]]="","",HYPERLINK(p_ruta_base_checklists&amp;tblOrdenes[[#This Row],[link_checklist]],"abrir"))</f>
        <v/>
      </c>
      <c r="AM185" s="6" t="inlineStr"/>
      <c r="AN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46388</v>
      </c>
      <c r="K186" s="3" t="n">
        <v>4</v>
      </c>
      <c r="L186" s="10" t="n">
        <v>100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Row],[tipo_ot]]="","",_xlfn.XLOOKUP(tblOrdenes[[#This Row],[tipo_ot]],tblTiposOT[codigo],tblTiposOT[clasificacion],"sin_clasificar"))</f>
        <v/>
      </c>
      <c r="T186" s="3">
        <f>IF(tblOrdenes[[#This Row],[centro_costo]]="","",_xlfn.XLOOKUP(tblOrdenes[[#This Row],[centro_costo]],tblCECO[codigo],tblCECO[linea],"(sin catálogo)"))</f>
        <v/>
      </c>
      <c r="U186" s="3">
        <f>IF(tblOrdenes[[#This Row],[centro_costo]]="","",_xlfn.XLOOKUP(tblOrdenes[[#This Row],[centro_costo]],tblCECO[codigo],tblCECO[area],"(sin catálogo)"))</f>
        <v/>
      </c>
      <c r="V186" s="3">
        <f>IF(tblOrdenes[[#This Row],[centro_costo]]="","",_xlfn.XLOOKUP(tblOrdenes[[#This Row],[centro_costo]],tblCECO[codigo],tblCECO[coordinador],"(sin catálogo)"))</f>
        <v/>
      </c>
      <c r="W186" s="3">
        <f>IF(tblOrdenes[[#This Row],[puesto_trabajo]]="","",_xlfn.XLOOKUP(tblOrdenes[[#This Row],[puesto_trabajo]],tblPuestos[codigo],tblPuestos[especialidad],"(sin catálogo)"))</f>
        <v/>
      </c>
      <c r="X186" s="3">
        <f>IF(tblOrdenes[[#This Row],[cod_actividad]]="","",_xlfn.XLOOKUP(tblOrdenes[[#This Row],[cod_actividad]],tblActividades[codigo],tblActividades[descripcion],"(sin catálogo)"))</f>
        <v/>
      </c>
      <c r="Y186" s="12">
        <f>IF(tblOrdenes[[#This Row],[fecha_inicio]]="","",TODAY()-tblOrdenes[[#This Row],[fecha_inicio]])</f>
        <v/>
      </c>
      <c r="Z186" s="3">
        <f>IF(tblOrdenes[[#This Row],[backlog_dias]]="","",IF(tblOrdenes[[#This Row],[backlog_dias]]&lt;0,"FUTURO",IF(tblOrdenes[[#This Row],[backlog_dias]]&gt;p_dias_backlog_max,"BACKLOG","MES CORRIENTE")))</f>
        <v/>
      </c>
      <c r="AA186" s="3">
        <f>IF(tblOrdenes[[#This Row],[backlog_dias]]="",FALSE,AND(tblOrdenes[[#This Row],[backlog_dias]]&gt;p_dias_backlog_min,tblOrdenes[[#This Row],[backlog_dias]]&lt;=p_dias_backlog_max))</f>
        <v/>
      </c>
      <c r="AB186" s="6" t="inlineStr"/>
      <c r="AC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6" s="10">
        <f>IF(tblOrdenes[[#This Row],[orden]]="","",_xlfn.XLOOKUP(tblOrdenes[[#This Row],[id_operacion]],tblEjecucion[id_operacion],tblEjecucion[precio],0))</f>
        <v/>
      </c>
      <c r="AG186" s="10">
        <f>IF(tblOrdenes[[#This Row],[orden]]="","",MAX(0,_xlfn.XLOOKUP(tblOrdenes[[#This Row],[id_operacion]],tblEjecucion[id_operacion],tblEjecucion[costo_plan_total],0)-tblOrdenes[[#This Row],[costo_servicio]]))</f>
        <v/>
      </c>
      <c r="AH186" s="10">
        <f>IF(tblOrdenes[[#This Row],[orden]]="","",tblOrdenes[[#This Row],[costo_servicio]]+tblOrdenes[[#This Row],[costo_materiales]])</f>
        <v/>
      </c>
      <c r="AI186" s="6" t="inlineStr"/>
      <c r="AJ186" s="6" t="inlineStr"/>
      <c r="AK186" s="6" t="inlineStr"/>
      <c r="AL186" s="3">
        <f>IF(tblOrdenes[[#This Row],[link_checklist]]="","",HYPERLINK(p_ruta_base_checklists&amp;tblOrdenes[[#This Row],[link_checklist]],"abrir"))</f>
        <v/>
      </c>
      <c r="AM186" s="6" t="inlineStr"/>
      <c r="AN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46392</v>
      </c>
      <c r="K187" s="3" t="n">
        <v>4</v>
      </c>
      <c r="L187" s="10" t="n">
        <v>100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Row],[tipo_ot]]="","",_xlfn.XLOOKUP(tblOrdenes[[#This Row],[tipo_ot]],tblTiposOT[codigo],tblTiposOT[clasificacion],"sin_clasificar"))</f>
        <v/>
      </c>
      <c r="T187" s="3">
        <f>IF(tblOrdenes[[#This Row],[centro_costo]]="","",_xlfn.XLOOKUP(tblOrdenes[[#This Row],[centro_costo]],tblCECO[codigo],tblCECO[linea],"(sin catálogo)"))</f>
        <v/>
      </c>
      <c r="U187" s="3">
        <f>IF(tblOrdenes[[#This Row],[centro_costo]]="","",_xlfn.XLOOKUP(tblOrdenes[[#This Row],[centro_costo]],tblCECO[codigo],tblCECO[area],"(sin catálogo)"))</f>
        <v/>
      </c>
      <c r="V187" s="3">
        <f>IF(tblOrdenes[[#This Row],[centro_costo]]="","",_xlfn.XLOOKUP(tblOrdenes[[#This Row],[centro_costo]],tblCECO[codigo],tblCECO[coordinador],"(sin catálogo)"))</f>
        <v/>
      </c>
      <c r="W187" s="3">
        <f>IF(tblOrdenes[[#This Row],[puesto_trabajo]]="","",_xlfn.XLOOKUP(tblOrdenes[[#This Row],[puesto_trabajo]],tblPuestos[codigo],tblPuestos[especialidad],"(sin catálogo)"))</f>
        <v/>
      </c>
      <c r="X187" s="3">
        <f>IF(tblOrdenes[[#This Row],[cod_actividad]]="","",_xlfn.XLOOKUP(tblOrdenes[[#This Row],[cod_actividad]],tblActividades[codigo],tblActividades[descripcion],"(sin catálogo)"))</f>
        <v/>
      </c>
      <c r="Y187" s="12">
        <f>IF(tblOrdenes[[#This Row],[fecha_inicio]]="","",TODAY()-tblOrdenes[[#This Row],[fecha_inicio]])</f>
        <v/>
      </c>
      <c r="Z187" s="3">
        <f>IF(tblOrdenes[[#This Row],[backlog_dias]]="","",IF(tblOrdenes[[#This Row],[backlog_dias]]&lt;0,"FUTURO",IF(tblOrdenes[[#This Row],[backlog_dias]]&gt;p_dias_backlog_max,"BACKLOG","MES CORRIENTE")))</f>
        <v/>
      </c>
      <c r="AA187" s="3">
        <f>IF(tblOrdenes[[#This Row],[backlog_dias]]="",FALSE,AND(tblOrdenes[[#This Row],[backlog_dias]]&gt;p_dias_backlog_min,tblOrdenes[[#This Row],[backlog_dias]]&lt;=p_dias_backlog_max))</f>
        <v/>
      </c>
      <c r="AB187" s="6" t="inlineStr"/>
      <c r="AC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7" s="10">
        <f>IF(tblOrdenes[[#This Row],[orden]]="","",_xlfn.XLOOKUP(tblOrdenes[[#This Row],[id_operacion]],tblEjecucion[id_operacion],tblEjecucion[precio],0))</f>
        <v/>
      </c>
      <c r="AG187" s="10">
        <f>IF(tblOrdenes[[#This Row],[orden]]="","",MAX(0,_xlfn.XLOOKUP(tblOrdenes[[#This Row],[id_operacion]],tblEjecucion[id_operacion],tblEjecucion[costo_plan_total],0)-tblOrdenes[[#This Row],[costo_servicio]]))</f>
        <v/>
      </c>
      <c r="AH187" s="10">
        <f>IF(tblOrdenes[[#This Row],[orden]]="","",tblOrdenes[[#This Row],[costo_servicio]]+tblOrdenes[[#This Row],[costo_materiales]])</f>
        <v/>
      </c>
      <c r="AI187" s="6" t="inlineStr"/>
      <c r="AJ187" s="6" t="inlineStr"/>
      <c r="AK187" s="6" t="inlineStr"/>
      <c r="AL187" s="3">
        <f>IF(tblOrdenes[[#This Row],[link_checklist]]="","",HYPERLINK(p_ruta_base_checklists&amp;tblOrdenes[[#This Row],[link_checklist]],"abrir"))</f>
        <v/>
      </c>
      <c r="AM187" s="6" t="inlineStr"/>
      <c r="AN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OT-000900</t>
        </is>
      </c>
      <c r="B188" s="3" t="inlineStr">
        <is>
          <t>0010</t>
        </is>
      </c>
      <c r="C188" s="3" t="inlineStr">
        <is>
          <t>Reparación de falla — EQ-101</t>
        </is>
      </c>
      <c r="D188" s="3" t="inlineStr">
        <is>
          <t>Reparación de falla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PU-MEC</t>
        </is>
      </c>
      <c r="H188" s="3" t="inlineStr">
        <is>
          <t>ACT-03</t>
        </is>
      </c>
      <c r="I188" s="3" t="inlineStr">
        <is>
          <t>TIPO-C2</t>
        </is>
      </c>
      <c r="J188" s="11" t="n">
        <v>46173</v>
      </c>
      <c r="K188" s="3" t="n">
        <v>6</v>
      </c>
      <c r="L188" s="10" t="n">
        <v>240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Row],[tipo_ot]]="","",_xlfn.XLOOKUP(tblOrdenes[[#This Row],[tipo_ot]],tblTiposOT[codigo],tblTiposOT[clasificacion],"sin_clasificar"))</f>
        <v/>
      </c>
      <c r="T188" s="3">
        <f>IF(tblOrdenes[[#This Row],[centro_costo]]="","",_xlfn.XLOOKUP(tblOrdenes[[#This Row],[centro_costo]],tblCECO[codigo],tblCECO[linea],"(sin catálogo)"))</f>
        <v/>
      </c>
      <c r="U188" s="3">
        <f>IF(tblOrdenes[[#This Row],[centro_costo]]="","",_xlfn.XLOOKUP(tblOrdenes[[#This Row],[centro_costo]],tblCECO[codigo],tblCECO[area],"(sin catálogo)"))</f>
        <v/>
      </c>
      <c r="V188" s="3">
        <f>IF(tblOrdenes[[#This Row],[centro_costo]]="","",_xlfn.XLOOKUP(tblOrdenes[[#This Row],[centro_costo]],tblCECO[codigo],tblCECO[coordinador],"(sin catálogo)"))</f>
        <v/>
      </c>
      <c r="W188" s="3">
        <f>IF(tblOrdenes[[#This Row],[puesto_trabajo]]="","",_xlfn.XLOOKUP(tblOrdenes[[#This Row],[puesto_trabajo]],tblPuestos[codigo],tblPuestos[especialidad],"(sin catálogo)"))</f>
        <v/>
      </c>
      <c r="X188" s="3">
        <f>IF(tblOrdenes[[#This Row],[cod_actividad]]="","",_xlfn.XLOOKUP(tblOrdenes[[#This Row],[cod_actividad]],tblActividades[codigo],tblActividades[descripcion],"(sin catálogo)"))</f>
        <v/>
      </c>
      <c r="Y188" s="12">
        <f>IF(tblOrdenes[[#This Row],[fecha_inicio]]="","",TODAY()-tblOrdenes[[#This Row],[fecha_inicio]])</f>
        <v/>
      </c>
      <c r="Z188" s="3">
        <f>IF(tblOrdenes[[#This Row],[backlog_dias]]="","",IF(tblOrdenes[[#This Row],[backlog_dias]]&lt;0,"FUTURO",IF(tblOrdenes[[#This Row],[backlog_dias]]&gt;p_dias_backlog_max,"BACKLOG","MES CORRIENTE")))</f>
        <v/>
      </c>
      <c r="AA188" s="3">
        <f>IF(tblOrdenes[[#This Row],[backlog_dias]]="",FALSE,AND(tblOrdenes[[#This Row],[backlog_dias]]&gt;p_dias_backlog_min,tblOrdenes[[#This Row],[backlog_dias]]&lt;=p_dias_backlog_max))</f>
        <v/>
      </c>
      <c r="AB188" s="6" t="inlineStr"/>
      <c r="AC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8" s="10">
        <f>IF(tblOrdenes[[#This Row],[orden]]="","",_xlfn.XLOOKUP(tblOrdenes[[#This Row],[id_operacion]],tblEjecucion[id_operacion],tblEjecucion[precio],0))</f>
        <v/>
      </c>
      <c r="AG188" s="10">
        <f>IF(tblOrdenes[[#This Row],[orden]]="","",MAX(0,_xlfn.XLOOKUP(tblOrdenes[[#This Row],[id_operacion]],tblEjecucion[id_operacion],tblEjecucion[costo_plan_total],0)-tblOrdenes[[#This Row],[costo_servicio]]))</f>
        <v/>
      </c>
      <c r="AH188" s="10">
        <f>IF(tblOrdenes[[#This Row],[orden]]="","",tblOrdenes[[#This Row],[costo_servicio]]+tblOrdenes[[#This Row],[costo_materiales]])</f>
        <v/>
      </c>
      <c r="AI188" s="6" t="inlineStr"/>
      <c r="AJ188" s="6" t="inlineStr"/>
      <c r="AK188" s="6" t="inlineStr"/>
      <c r="AL188" s="3">
        <f>IF(tblOrdenes[[#This Row],[link_checklist]]="","",HYPERLINK(p_ruta_base_checklists&amp;tblOrdenes[[#This Row],[link_checklist]],"abrir"))</f>
        <v/>
      </c>
      <c r="AM188" s="6" t="inlineStr"/>
      <c r="AN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OT-000900</t>
        </is>
      </c>
      <c r="B189" s="3" t="inlineStr">
        <is>
          <t>0010</t>
        </is>
      </c>
      <c r="C189" s="3" t="inlineStr">
        <is>
          <t>Reparación de falla — EQ-101</t>
        </is>
      </c>
      <c r="D189" s="3" t="inlineStr">
        <is>
          <t>Reparación de falla en EQ-101</t>
        </is>
      </c>
      <c r="E189" s="3" t="inlineStr">
        <is>
          <t>EQ-101</t>
        </is>
      </c>
      <c r="F189" s="3" t="inlineStr">
        <is>
          <t>CC-110</t>
        </is>
      </c>
      <c r="G189" s="3" t="inlineStr">
        <is>
          <t>PU-MEC</t>
        </is>
      </c>
      <c r="H189" s="3" t="inlineStr">
        <is>
          <t>ACT-03</t>
        </is>
      </c>
      <c r="I189" s="3" t="inlineStr">
        <is>
          <t>TIPO-C2</t>
        </is>
      </c>
      <c r="J189" s="11" t="n">
        <v>46173</v>
      </c>
      <c r="K189" s="3" t="n">
        <v>6</v>
      </c>
      <c r="L189" s="10" t="n">
        <v>240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Row],[tipo_ot]]="","",_xlfn.XLOOKUP(tblOrdenes[[#This Row],[tipo_ot]],tblTiposOT[codigo],tblTiposOT[clasificacion],"sin_clasificar"))</f>
        <v/>
      </c>
      <c r="T189" s="3">
        <f>IF(tblOrdenes[[#This Row],[centro_costo]]="","",_xlfn.XLOOKUP(tblOrdenes[[#This Row],[centro_costo]],tblCECO[codigo],tblCECO[linea],"(sin catálogo)"))</f>
        <v/>
      </c>
      <c r="U189" s="3">
        <f>IF(tblOrdenes[[#This Row],[centro_costo]]="","",_xlfn.XLOOKUP(tblOrdenes[[#This Row],[centro_costo]],tblCECO[codigo],tblCECO[area],"(sin catálogo)"))</f>
        <v/>
      </c>
      <c r="V189" s="3">
        <f>IF(tblOrdenes[[#This Row],[centro_costo]]="","",_xlfn.XLOOKUP(tblOrdenes[[#This Row],[centro_costo]],tblCECO[codigo],tblCECO[coordinador],"(sin catálogo)"))</f>
        <v/>
      </c>
      <c r="W189" s="3">
        <f>IF(tblOrdenes[[#This Row],[puesto_trabajo]]="","",_xlfn.XLOOKUP(tblOrdenes[[#This Row],[puesto_trabajo]],tblPuestos[codigo],tblPuestos[especialidad],"(sin catálogo)"))</f>
        <v/>
      </c>
      <c r="X189" s="3">
        <f>IF(tblOrdenes[[#This Row],[cod_actividad]]="","",_xlfn.XLOOKUP(tblOrdenes[[#This Row],[cod_actividad]],tblActividades[codigo],tblActividades[descripcion],"(sin catálogo)"))</f>
        <v/>
      </c>
      <c r="Y189" s="12">
        <f>IF(tblOrdenes[[#This Row],[fecha_inicio]]="","",TODAY()-tblOrdenes[[#This Row],[fecha_inicio]])</f>
        <v/>
      </c>
      <c r="Z189" s="3">
        <f>IF(tblOrdenes[[#This Row],[backlog_dias]]="","",IF(tblOrdenes[[#This Row],[backlog_dias]]&lt;0,"FUTURO",IF(tblOrdenes[[#This Row],[backlog_dias]]&gt;p_dias_backlog_max,"BACKLOG","MES CORRIENTE")))</f>
        <v/>
      </c>
      <c r="AA189" s="3">
        <f>IF(tblOrdenes[[#This Row],[backlog_dias]]="",FALSE,AND(tblOrdenes[[#This Row],[backlog_dias]]&gt;p_dias_backlog_min,tblOrdenes[[#This Row],[backlog_dias]]&lt;=p_dias_backlog_max))</f>
        <v/>
      </c>
      <c r="AB189" s="6" t="inlineStr"/>
      <c r="AC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9" s="10">
        <f>IF(tblOrdenes[[#This Row],[orden]]="","",_xlfn.XLOOKUP(tblOrdenes[[#This Row],[id_operacion]],tblEjecucion[id_operacion],tblEjecucion[precio],0))</f>
        <v/>
      </c>
      <c r="AG189" s="10">
        <f>IF(tblOrdenes[[#This Row],[orden]]="","",MAX(0,_xlfn.XLOOKUP(tblOrdenes[[#This Row],[id_operacion]],tblEjecucion[id_operacion],tblEjecucion[costo_plan_total],0)-tblOrdenes[[#This Row],[costo_servicio]]))</f>
        <v/>
      </c>
      <c r="AH189" s="10">
        <f>IF(tblOrdenes[[#This Row],[orden]]="","",tblOrdenes[[#This Row],[costo_servicio]]+tblOrdenes[[#This Row],[costo_materiales]])</f>
        <v/>
      </c>
      <c r="AI189" s="6" t="inlineStr"/>
      <c r="AJ189" s="6" t="inlineStr"/>
      <c r="AK189" s="6" t="inlineStr"/>
      <c r="AL189" s="3">
        <f>IF(tblOrdenes[[#This Row],[link_checklist]]="","",HYPERLINK(p_ruta_base_checklists&amp;tblOrdenes[[#This Row],[link_checklist]],"abrir"))</f>
        <v/>
      </c>
      <c r="AM189" s="6" t="inlineStr"/>
      <c r="AN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OT-000901</t>
        </is>
      </c>
      <c r="B190" s="3" t="inlineStr">
        <is>
          <t>0010</t>
        </is>
      </c>
      <c r="C190" s="3" t="inlineStr">
        <is>
          <t>Reparación de falla — EQ-103</t>
        </is>
      </c>
      <c r="D190" s="3" t="inlineStr">
        <is>
          <t>Reparación de falla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1" t="n"/>
      <c r="K190" s="3" t="n">
        <v>4</v>
      </c>
      <c r="L190" s="10" t="n">
        <v>160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Row],[tipo_ot]]="","",_xlfn.XLOOKUP(tblOrdenes[[#This Row],[tipo_ot]],tblTiposOT[codigo],tblTiposOT[clasificacion],"sin_clasificar"))</f>
        <v/>
      </c>
      <c r="T190" s="3">
        <f>IF(tblOrdenes[[#This Row],[centro_costo]]="","",_xlfn.XLOOKUP(tblOrdenes[[#This Row],[centro_costo]],tblCECO[codigo],tblCECO[linea],"(sin catálogo)"))</f>
        <v/>
      </c>
      <c r="U190" s="3">
        <f>IF(tblOrdenes[[#This Row],[centro_costo]]="","",_xlfn.XLOOKUP(tblOrdenes[[#This Row],[centro_costo]],tblCECO[codigo],tblCECO[area],"(sin catálogo)"))</f>
        <v/>
      </c>
      <c r="V190" s="3">
        <f>IF(tblOrdenes[[#This Row],[centro_costo]]="","",_xlfn.XLOOKUP(tblOrdenes[[#This Row],[centro_costo]],tblCECO[codigo],tblCECO[coordinador],"(sin catálogo)"))</f>
        <v/>
      </c>
      <c r="W190" s="3">
        <f>IF(tblOrdenes[[#This Row],[puesto_trabajo]]="","",_xlfn.XLOOKUP(tblOrdenes[[#This Row],[puesto_trabajo]],tblPuestos[codigo],tblPuestos[especialidad],"(sin catálogo)"))</f>
        <v/>
      </c>
      <c r="X190" s="3">
        <f>IF(tblOrdenes[[#This Row],[cod_actividad]]="","",_xlfn.XLOOKUP(tblOrdenes[[#This Row],[cod_actividad]],tblActividades[codigo],tblActividades[descripcion],"(sin catálogo)"))</f>
        <v/>
      </c>
      <c r="Y190" s="12">
        <f>IF(tblOrdenes[[#This Row],[fecha_inicio]]="","",TODAY()-tblOrdenes[[#This Row],[fecha_inicio]])</f>
        <v/>
      </c>
      <c r="Z190" s="3">
        <f>IF(tblOrdenes[[#This Row],[backlog_dias]]="","",IF(tblOrdenes[[#This Row],[backlog_dias]]&lt;0,"FUTURO",IF(tblOrdenes[[#This Row],[backlog_dias]]&gt;p_dias_backlog_max,"BACKLOG","MES CORRIENTE")))</f>
        <v/>
      </c>
      <c r="AA190" s="3">
        <f>IF(tblOrdenes[[#This Row],[backlog_dias]]="",FALSE,AND(tblOrdenes[[#This Row],[backlog_dias]]&gt;p_dias_backlog_min,tblOrdenes[[#This Row],[backlog_dias]]&lt;=p_dias_backlog_max))</f>
        <v/>
      </c>
      <c r="AB190" s="6" t="inlineStr"/>
      <c r="AC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0" s="10">
        <f>IF(tblOrdenes[[#This Row],[orden]]="","",_xlfn.XLOOKUP(tblOrdenes[[#This Row],[id_operacion]],tblEjecucion[id_operacion],tblEjecucion[precio],0))</f>
        <v/>
      </c>
      <c r="AG190" s="10">
        <f>IF(tblOrdenes[[#This Row],[orden]]="","",MAX(0,_xlfn.XLOOKUP(tblOrdenes[[#This Row],[id_operacion]],tblEjecucion[id_operacion],tblEjecucion[costo_plan_total],0)-tblOrdenes[[#This Row],[costo_servicio]]))</f>
        <v/>
      </c>
      <c r="AH190" s="10">
        <f>IF(tblOrdenes[[#This Row],[orden]]="","",tblOrdenes[[#This Row],[costo_servicio]]+tblOrdenes[[#This Row],[costo_materiales]])</f>
        <v/>
      </c>
      <c r="AI190" s="6" t="inlineStr"/>
      <c r="AJ190" s="6" t="inlineStr"/>
      <c r="AK190" s="6" t="inlineStr"/>
      <c r="AL190" s="3">
        <f>IF(tblOrdenes[[#This Row],[link_checklist]]="","",HYPERLINK(p_ruta_base_checklists&amp;tblOrdenes[[#This Row],[link_checklist]],"abrir"))</f>
        <v/>
      </c>
      <c r="AM190" s="6" t="inlineStr"/>
      <c r="AN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OT-000902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PU-MEC</t>
        </is>
      </c>
      <c r="H191" s="3" t="inlineStr">
        <is>
          <t>ACT-04</t>
        </is>
      </c>
      <c r="I191" s="3" t="inlineStr">
        <is>
          <t>TIPO-P1</t>
        </is>
      </c>
      <c r="J191" s="11" t="n"/>
      <c r="K191" s="3" t="n">
        <v>6</v>
      </c>
      <c r="L191" s="10" t="n">
        <v>150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Row],[tipo_ot]]="","",_xlfn.XLOOKUP(tblOrdenes[[#This Row],[tipo_ot]],tblTiposOT[codigo],tblTiposOT[clasificacion],"sin_clasificar"))</f>
        <v/>
      </c>
      <c r="T191" s="3">
        <f>IF(tblOrdenes[[#This Row],[centro_costo]]="","",_xlfn.XLOOKUP(tblOrdenes[[#This Row],[centro_costo]],tblCECO[codigo],tblCECO[linea],"(sin catálogo)"))</f>
        <v/>
      </c>
      <c r="U191" s="3">
        <f>IF(tblOrdenes[[#This Row],[centro_costo]]="","",_xlfn.XLOOKUP(tblOrdenes[[#This Row],[centro_costo]],tblCECO[codigo],tblCECO[area],"(sin catálogo)"))</f>
        <v/>
      </c>
      <c r="V191" s="3">
        <f>IF(tblOrdenes[[#This Row],[centro_costo]]="","",_xlfn.XLOOKUP(tblOrdenes[[#This Row],[centro_costo]],tblCECO[codigo],tblCECO[coordinador],"(sin catálogo)"))</f>
        <v/>
      </c>
      <c r="W191" s="3">
        <f>IF(tblOrdenes[[#This Row],[puesto_trabajo]]="","",_xlfn.XLOOKUP(tblOrdenes[[#This Row],[puesto_trabajo]],tblPuestos[codigo],tblPuestos[especialidad],"(sin catálogo)"))</f>
        <v/>
      </c>
      <c r="X191" s="3">
        <f>IF(tblOrdenes[[#This Row],[cod_actividad]]="","",_xlfn.XLOOKUP(tblOrdenes[[#This Row],[cod_actividad]],tblActividades[codigo],tblActividades[descripcion],"(sin catálogo)"))</f>
        <v/>
      </c>
      <c r="Y191" s="12">
        <f>IF(tblOrdenes[[#This Row],[fecha_inicio]]="","",TODAY()-tblOrdenes[[#This Row],[fecha_inicio]])</f>
        <v/>
      </c>
      <c r="Z191" s="3">
        <f>IF(tblOrdenes[[#This Row],[backlog_dias]]="","",IF(tblOrdenes[[#This Row],[backlog_dias]]&lt;0,"FUTURO",IF(tblOrdenes[[#This Row],[backlog_dias]]&gt;p_dias_backlog_max,"BACKLOG","MES CORRIENTE")))</f>
        <v/>
      </c>
      <c r="AA191" s="3">
        <f>IF(tblOrdenes[[#This Row],[backlog_dias]]="",FALSE,AND(tblOrdenes[[#This Row],[backlog_dias]]&gt;p_dias_backlog_min,tblOrdenes[[#This Row],[backlog_dias]]&lt;=p_dias_backlog_max))</f>
        <v/>
      </c>
      <c r="AB191" s="6" t="inlineStr"/>
      <c r="AC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1" s="10">
        <f>IF(tblOrdenes[[#This Row],[orden]]="","",_xlfn.XLOOKUP(tblOrdenes[[#This Row],[id_operacion]],tblEjecucion[id_operacion],tblEjecucion[precio],0))</f>
        <v/>
      </c>
      <c r="AG191" s="10">
        <f>IF(tblOrdenes[[#This Row],[orden]]="","",MAX(0,_xlfn.XLOOKUP(tblOrdenes[[#This Row],[id_operacion]],tblEjecucion[id_operacion],tblEjecucion[costo_plan_total],0)-tblOrdenes[[#This Row],[costo_servicio]]))</f>
        <v/>
      </c>
      <c r="AH191" s="10">
        <f>IF(tblOrdenes[[#This Row],[orden]]="","",tblOrdenes[[#This Row],[costo_servicio]]+tblOrdenes[[#This Row],[costo_materiales]])</f>
        <v/>
      </c>
      <c r="AI191" s="6" t="inlineStr"/>
      <c r="AJ191" s="6" t="inlineStr"/>
      <c r="AK191" s="6" t="inlineStr"/>
      <c r="AL191" s="3">
        <f>IF(tblOrdenes[[#This Row],[link_checklist]]="","",HYPERLINK(p_ruta_base_checklists&amp;tblOrdenes[[#This Row],[link_checklist]],"abrir"))</f>
        <v/>
      </c>
      <c r="AM191" s="6" t="inlineStr"/>
      <c r="AN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OT-000903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PU-AUT</t>
        </is>
      </c>
      <c r="H192" s="3" t="inlineStr">
        <is>
          <t>ACT-03</t>
        </is>
      </c>
      <c r="I192" s="3" t="inlineStr">
        <is>
          <t>TIPO-C2</t>
        </is>
      </c>
      <c r="J192" s="11" t="n">
        <v>46168</v>
      </c>
      <c r="K192" s="3" t="n"/>
      <c r="L192" s="10" t="n">
        <v>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Row],[tipo_ot]]="","",_xlfn.XLOOKUP(tblOrdenes[[#This Row],[tipo_ot]],tblTiposOT[codigo],tblTiposOT[clasificacion],"sin_clasificar"))</f>
        <v/>
      </c>
      <c r="T192" s="3">
        <f>IF(tblOrdenes[[#This Row],[centro_costo]]="","",_xlfn.XLOOKUP(tblOrdenes[[#This Row],[centro_costo]],tblCECO[codigo],tblCECO[linea],"(sin catálogo)"))</f>
        <v/>
      </c>
      <c r="U192" s="3">
        <f>IF(tblOrdenes[[#This Row],[centro_costo]]="","",_xlfn.XLOOKUP(tblOrdenes[[#This Row],[centro_costo]],tblCECO[codigo],tblCECO[area],"(sin catálogo)"))</f>
        <v/>
      </c>
      <c r="V192" s="3">
        <f>IF(tblOrdenes[[#This Row],[centro_costo]]="","",_xlfn.XLOOKUP(tblOrdenes[[#This Row],[centro_costo]],tblCECO[codigo],tblCECO[coordinador],"(sin catálogo)"))</f>
        <v/>
      </c>
      <c r="W192" s="3">
        <f>IF(tblOrdenes[[#This Row],[puesto_trabajo]]="","",_xlfn.XLOOKUP(tblOrdenes[[#This Row],[puesto_trabajo]],tblPuestos[codigo],tblPuestos[especialidad],"(sin catálogo)"))</f>
        <v/>
      </c>
      <c r="X192" s="3">
        <f>IF(tblOrdenes[[#This Row],[cod_actividad]]="","",_xlfn.XLOOKUP(tblOrdenes[[#This Row],[cod_actividad]],tblActividades[codigo],tblActividades[descripcion],"(sin catálogo)"))</f>
        <v/>
      </c>
      <c r="Y192" s="12">
        <f>IF(tblOrdenes[[#This Row],[fecha_inicio]]="","",TODAY()-tblOrdenes[[#This Row],[fecha_inicio]])</f>
        <v/>
      </c>
      <c r="Z192" s="3">
        <f>IF(tblOrdenes[[#This Row],[backlog_dias]]="","",IF(tblOrdenes[[#This Row],[backlog_dias]]&lt;0,"FUTURO",IF(tblOrdenes[[#This Row],[backlog_dias]]&gt;p_dias_backlog_max,"BACKLOG","MES CORRIENTE")))</f>
        <v/>
      </c>
      <c r="AA192" s="3">
        <f>IF(tblOrdenes[[#This Row],[backlog_dias]]="",FALSE,AND(tblOrdenes[[#This Row],[backlog_dias]]&gt;p_dias_backlog_min,tblOrdenes[[#This Row],[backlog_dias]]&lt;=p_dias_backlog_max))</f>
        <v/>
      </c>
      <c r="AB192" s="6" t="inlineStr"/>
      <c r="AC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2" s="10">
        <f>IF(tblOrdenes[[#This Row],[orden]]="","",_xlfn.XLOOKUP(tblOrdenes[[#This Row],[id_operacion]],tblEjecucion[id_operacion],tblEjecucion[precio],0))</f>
        <v/>
      </c>
      <c r="AG192" s="10">
        <f>IF(tblOrdenes[[#This Row],[orden]]="","",MAX(0,_xlfn.XLOOKUP(tblOrdenes[[#This Row],[id_operacion]],tblEjecucion[id_operacion],tblEjecucion[costo_plan_total],0)-tblOrdenes[[#This Row],[costo_servicio]]))</f>
        <v/>
      </c>
      <c r="AH192" s="10">
        <f>IF(tblOrdenes[[#This Row],[orden]]="","",tblOrdenes[[#This Row],[costo_servicio]]+tblOrdenes[[#This Row],[costo_materiales]])</f>
        <v/>
      </c>
      <c r="AI192" s="6" t="inlineStr"/>
      <c r="AJ192" s="6" t="inlineStr"/>
      <c r="AK192" s="6" t="inlineStr"/>
      <c r="AL192" s="3">
        <f>IF(tblOrdenes[[#This Row],[link_checklist]]="","",HYPERLINK(p_ruta_base_checklists&amp;tblOrdenes[[#This Row],[link_checklist]],"abrir"))</f>
        <v/>
      </c>
      <c r="AM192" s="6" t="inlineStr"/>
      <c r="AN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OT-000904</t>
        </is>
      </c>
      <c r="B193" s="3" t="inlineStr">
        <is>
          <t>0010</t>
        </is>
      </c>
      <c r="C193" s="3" t="inlineStr">
        <is>
          <t>Reparación de falla — EQ-101</t>
        </is>
      </c>
      <c r="D193" s="3" t="inlineStr">
        <is>
          <t>Reparación de falla en EQ-101</t>
        </is>
      </c>
      <c r="E193" s="3" t="inlineStr">
        <is>
          <t>EQ-101</t>
        </is>
      </c>
      <c r="F193" s="3" t="inlineStr">
        <is>
          <t>CC-110</t>
        </is>
      </c>
      <c r="G193" s="3" t="inlineStr">
        <is>
          <t>PU-OP</t>
        </is>
      </c>
      <c r="H193" s="3" t="inlineStr">
        <is>
          <t>ACT-03</t>
        </is>
      </c>
      <c r="I193" s="3" t="inlineStr">
        <is>
          <t>TIPO-C1</t>
        </is>
      </c>
      <c r="J193" s="11" t="n">
        <v>46168</v>
      </c>
      <c r="K193" s="3" t="n"/>
      <c r="L193" s="10" t="n">
        <v>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Row],[tipo_ot]]="","",_xlfn.XLOOKUP(tblOrdenes[[#This Row],[tipo_ot]],tblTiposOT[codigo],tblTiposOT[clasificacion],"sin_clasificar"))</f>
        <v/>
      </c>
      <c r="T193" s="3">
        <f>IF(tblOrdenes[[#This Row],[centro_costo]]="","",_xlfn.XLOOKUP(tblOrdenes[[#This Row],[centro_costo]],tblCECO[codigo],tblCECO[linea],"(sin catálogo)"))</f>
        <v/>
      </c>
      <c r="U193" s="3">
        <f>IF(tblOrdenes[[#This Row],[centro_costo]]="","",_xlfn.XLOOKUP(tblOrdenes[[#This Row],[centro_costo]],tblCECO[codigo],tblCECO[area],"(sin catálogo)"))</f>
        <v/>
      </c>
      <c r="V193" s="3">
        <f>IF(tblOrdenes[[#This Row],[centro_costo]]="","",_xlfn.XLOOKUP(tblOrdenes[[#This Row],[centro_costo]],tblCECO[codigo],tblCECO[coordinador],"(sin catálogo)"))</f>
        <v/>
      </c>
      <c r="W193" s="3">
        <f>IF(tblOrdenes[[#This Row],[puesto_trabajo]]="","",_xlfn.XLOOKUP(tblOrdenes[[#This Row],[puesto_trabajo]],tblPuestos[codigo],tblPuestos[especialidad],"(sin catálogo)"))</f>
        <v/>
      </c>
      <c r="X193" s="3">
        <f>IF(tblOrdenes[[#This Row],[cod_actividad]]="","",_xlfn.XLOOKUP(tblOrdenes[[#This Row],[cod_actividad]],tblActividades[codigo],tblActividades[descripcion],"(sin catálogo)"))</f>
        <v/>
      </c>
      <c r="Y193" s="12">
        <f>IF(tblOrdenes[[#This Row],[fecha_inicio]]="","",TODAY()-tblOrdenes[[#This Row],[fecha_inicio]])</f>
        <v/>
      </c>
      <c r="Z193" s="3">
        <f>IF(tblOrdenes[[#This Row],[backlog_dias]]="","",IF(tblOrdenes[[#This Row],[backlog_dias]]&lt;0,"FUTURO",IF(tblOrdenes[[#This Row],[backlog_dias]]&gt;p_dias_backlog_max,"BACKLOG","MES CORRIENTE")))</f>
        <v/>
      </c>
      <c r="AA193" s="3">
        <f>IF(tblOrdenes[[#This Row],[backlog_dias]]="",FALSE,AND(tblOrdenes[[#This Row],[backlog_dias]]&gt;p_dias_backlog_min,tblOrdenes[[#This Row],[backlog_dias]]&lt;=p_dias_backlog_max))</f>
        <v/>
      </c>
      <c r="AB193" s="6" t="inlineStr"/>
      <c r="AC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3" s="10">
        <f>IF(tblOrdenes[[#This Row],[orden]]="","",_xlfn.XLOOKUP(tblOrdenes[[#This Row],[id_operacion]],tblEjecucion[id_operacion],tblEjecucion[precio],0))</f>
        <v/>
      </c>
      <c r="AG193" s="10">
        <f>IF(tblOrdenes[[#This Row],[orden]]="","",MAX(0,_xlfn.XLOOKUP(tblOrdenes[[#This Row],[id_operacion]],tblEjecucion[id_operacion],tblEjecucion[costo_plan_total],0)-tblOrdenes[[#This Row],[costo_servicio]]))</f>
        <v/>
      </c>
      <c r="AH193" s="10">
        <f>IF(tblOrdenes[[#This Row],[orden]]="","",tblOrdenes[[#This Row],[costo_servicio]]+tblOrdenes[[#This Row],[costo_materiales]])</f>
        <v/>
      </c>
      <c r="AI193" s="6" t="inlineStr"/>
      <c r="AJ193" s="6" t="inlineStr"/>
      <c r="AK193" s="6" t="inlineStr"/>
      <c r="AL193" s="3">
        <f>IF(tblOrdenes[[#This Row],[link_checklist]]="","",HYPERLINK(p_ruta_base_checklists&amp;tblOrdenes[[#This Row],[link_checklist]],"abrir"))</f>
        <v/>
      </c>
      <c r="AM193" s="6" t="inlineStr"/>
      <c r="AN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OT-000905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PU-MEC</t>
        </is>
      </c>
      <c r="H194" s="3" t="inlineStr">
        <is>
          <t>ACT-03</t>
        </is>
      </c>
      <c r="I194" s="3" t="inlineStr">
        <is>
          <t>TIPO-X9</t>
        </is>
      </c>
      <c r="J194" s="11" t="n">
        <v>46163</v>
      </c>
      <c r="K194" s="3" t="n">
        <v>4</v>
      </c>
      <c r="L194" s="10" t="n">
        <v>160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Row],[tipo_ot]]="","",_xlfn.XLOOKUP(tblOrdenes[[#This Row],[tipo_ot]],tblTiposOT[codigo],tblTiposOT[clasificacion],"sin_clasificar"))</f>
        <v/>
      </c>
      <c r="T194" s="3">
        <f>IF(tblOrdenes[[#This Row],[centro_costo]]="","",_xlfn.XLOOKUP(tblOrdenes[[#This Row],[centro_costo]],tblCECO[codigo],tblCECO[linea],"(sin catálogo)"))</f>
        <v/>
      </c>
      <c r="U194" s="3">
        <f>IF(tblOrdenes[[#This Row],[centro_costo]]="","",_xlfn.XLOOKUP(tblOrdenes[[#This Row],[centro_costo]],tblCECO[codigo],tblCECO[area],"(sin catálogo)"))</f>
        <v/>
      </c>
      <c r="V194" s="3">
        <f>IF(tblOrdenes[[#This Row],[centro_costo]]="","",_xlfn.XLOOKUP(tblOrdenes[[#This Row],[centro_costo]],tblCECO[codigo],tblCECO[coordinador],"(sin catálogo)"))</f>
        <v/>
      </c>
      <c r="W194" s="3">
        <f>IF(tblOrdenes[[#This Row],[puesto_trabajo]]="","",_xlfn.XLOOKUP(tblOrdenes[[#This Row],[puesto_trabajo]],tblPuestos[codigo],tblPuestos[especialidad],"(sin catálogo)"))</f>
        <v/>
      </c>
      <c r="X194" s="3">
        <f>IF(tblOrdenes[[#This Row],[cod_actividad]]="","",_xlfn.XLOOKUP(tblOrdenes[[#This Row],[cod_actividad]],tblActividades[codigo],tblActividades[descripcion],"(sin catálogo)"))</f>
        <v/>
      </c>
      <c r="Y194" s="12">
        <f>IF(tblOrdenes[[#This Row],[fecha_inicio]]="","",TODAY()-tblOrdenes[[#This Row],[fecha_inicio]])</f>
        <v/>
      </c>
      <c r="Z194" s="3">
        <f>IF(tblOrdenes[[#This Row],[backlog_dias]]="","",IF(tblOrdenes[[#This Row],[backlog_dias]]&lt;0,"FUTURO",IF(tblOrdenes[[#This Row],[backlog_dias]]&gt;p_dias_backlog_max,"BACKLOG","MES CORRIENTE")))</f>
        <v/>
      </c>
      <c r="AA194" s="3">
        <f>IF(tblOrdenes[[#This Row],[backlog_dias]]="",FALSE,AND(tblOrdenes[[#This Row],[backlog_dias]]&gt;p_dias_backlog_min,tblOrdenes[[#This Row],[backlog_dias]]&lt;=p_dias_backlog_max))</f>
        <v/>
      </c>
      <c r="AB194" s="6" t="inlineStr"/>
      <c r="AC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4" s="10">
        <f>IF(tblOrdenes[[#This Row],[orden]]="","",_xlfn.XLOOKUP(tblOrdenes[[#This Row],[id_operacion]],tblEjecucion[id_operacion],tblEjecucion[precio],0))</f>
        <v/>
      </c>
      <c r="AG194" s="10">
        <f>IF(tblOrdenes[[#This Row],[orden]]="","",MAX(0,_xlfn.XLOOKUP(tblOrdenes[[#This Row],[id_operacion]],tblEjecucion[id_operacion],tblEjecucion[costo_plan_total],0)-tblOrdenes[[#This Row],[costo_servicio]]))</f>
        <v/>
      </c>
      <c r="AH194" s="10">
        <f>IF(tblOrdenes[[#This Row],[orden]]="","",tblOrdenes[[#This Row],[costo_servicio]]+tblOrdenes[[#This Row],[costo_materiales]])</f>
        <v/>
      </c>
      <c r="AI194" s="6" t="inlineStr"/>
      <c r="AJ194" s="6" t="inlineStr"/>
      <c r="AK194" s="6" t="inlineStr"/>
      <c r="AL194" s="3">
        <f>IF(tblOrdenes[[#This Row],[link_checklist]]="","",HYPERLINK(p_ruta_base_checklists&amp;tblOrdenes[[#This Row],[link_checklist]],"abrir"))</f>
        <v/>
      </c>
      <c r="AM194" s="6" t="inlineStr"/>
      <c r="AN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OT-000906</t>
        </is>
      </c>
      <c r="B195" s="3" t="inlineStr">
        <is>
          <t>0010</t>
        </is>
      </c>
      <c r="C195" s="3" t="inlineStr">
        <is>
          <t>Reparación de falla — EQ-103</t>
        </is>
      </c>
      <c r="D195" s="3" t="inlineStr">
        <is>
          <t>Reparación de falla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TIPO-X9</t>
        </is>
      </c>
      <c r="J195" s="11" t="n">
        <v>46163</v>
      </c>
      <c r="K195" s="3" t="n">
        <v>4</v>
      </c>
      <c r="L195" s="10" t="n">
        <v>160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Row],[tipo_ot]]="","",_xlfn.XLOOKUP(tblOrdenes[[#This Row],[tipo_ot]],tblTiposOT[codigo],tblTiposOT[clasificacion],"sin_clasificar"))</f>
        <v/>
      </c>
      <c r="T195" s="3">
        <f>IF(tblOrdenes[[#This Row],[centro_costo]]="","",_xlfn.XLOOKUP(tblOrdenes[[#This Row],[centro_costo]],tblCECO[codigo],tblCECO[linea],"(sin catálogo)"))</f>
        <v/>
      </c>
      <c r="U195" s="3">
        <f>IF(tblOrdenes[[#This Row],[centro_costo]]="","",_xlfn.XLOOKUP(tblOrdenes[[#This Row],[centro_costo]],tblCECO[codigo],tblCECO[area],"(sin catálogo)"))</f>
        <v/>
      </c>
      <c r="V195" s="3">
        <f>IF(tblOrdenes[[#This Row],[centro_costo]]="","",_xlfn.XLOOKUP(tblOrdenes[[#This Row],[centro_costo]],tblCECO[codigo],tblCECO[coordinador],"(sin catálogo)"))</f>
        <v/>
      </c>
      <c r="W195" s="3">
        <f>IF(tblOrdenes[[#This Row],[puesto_trabajo]]="","",_xlfn.XLOOKUP(tblOrdenes[[#This Row],[puesto_trabajo]],tblPuestos[codigo],tblPuestos[especialidad],"(sin catálogo)"))</f>
        <v/>
      </c>
      <c r="X195" s="3">
        <f>IF(tblOrdenes[[#This Row],[cod_actividad]]="","",_xlfn.XLOOKUP(tblOrdenes[[#This Row],[cod_actividad]],tblActividades[codigo],tblActividades[descripcion],"(sin catálogo)"))</f>
        <v/>
      </c>
      <c r="Y195" s="12">
        <f>IF(tblOrdenes[[#This Row],[fecha_inicio]]="","",TODAY()-tblOrdenes[[#This Row],[fecha_inicio]])</f>
        <v/>
      </c>
      <c r="Z195" s="3">
        <f>IF(tblOrdenes[[#This Row],[backlog_dias]]="","",IF(tblOrdenes[[#This Row],[backlog_dias]]&lt;0,"FUTURO",IF(tblOrdenes[[#This Row],[backlog_dias]]&gt;p_dias_backlog_max,"BACKLOG","MES CORRIENTE")))</f>
        <v/>
      </c>
      <c r="AA195" s="3">
        <f>IF(tblOrdenes[[#This Row],[backlog_dias]]="",FALSE,AND(tblOrdenes[[#This Row],[backlog_dias]]&gt;p_dias_backlog_min,tblOrdenes[[#This Row],[backlog_dias]]&lt;=p_dias_backlog_max))</f>
        <v/>
      </c>
      <c r="AB195" s="6" t="inlineStr"/>
      <c r="AC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5" s="10">
        <f>IF(tblOrdenes[[#This Row],[orden]]="","",_xlfn.XLOOKUP(tblOrdenes[[#This Row],[id_operacion]],tblEjecucion[id_operacion],tblEjecucion[precio],0))</f>
        <v/>
      </c>
      <c r="AG195" s="10">
        <f>IF(tblOrdenes[[#This Row],[orden]]="","",MAX(0,_xlfn.XLOOKUP(tblOrdenes[[#This Row],[id_operacion]],tblEjecucion[id_operacion],tblEjecucion[costo_plan_total],0)-tblOrdenes[[#This Row],[costo_servicio]]))</f>
        <v/>
      </c>
      <c r="AH195" s="10">
        <f>IF(tblOrdenes[[#This Row],[orden]]="","",tblOrdenes[[#This Row],[costo_servicio]]+tblOrdenes[[#This Row],[costo_materiales]])</f>
        <v/>
      </c>
      <c r="AI195" s="6" t="inlineStr"/>
      <c r="AJ195" s="6" t="inlineStr"/>
      <c r="AK195" s="6" t="inlineStr"/>
      <c r="AL195" s="3">
        <f>IF(tblOrdenes[[#This Row],[link_checklist]]="","",HYPERLINK(p_ruta_base_checklists&amp;tblOrdenes[[#This Row],[link_checklist]],"abrir"))</f>
        <v/>
      </c>
      <c r="AM195" s="6" t="inlineStr"/>
      <c r="AN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OT-000907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CC-999</t>
        </is>
      </c>
      <c r="G196" s="3" t="inlineStr">
        <is>
          <t>PU-MEC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46161</v>
      </c>
      <c r="K196" s="3" t="n">
        <v>4</v>
      </c>
      <c r="L196" s="10" t="n">
        <v>160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Row],[tipo_ot]]="","",_xlfn.XLOOKUP(tblOrdenes[[#This Row],[tipo_ot]],tblTiposOT[codigo],tblTiposOT[clasificacion],"sin_clasificar"))</f>
        <v/>
      </c>
      <c r="T196" s="3">
        <f>IF(tblOrdenes[[#This Row],[centro_costo]]="","",_xlfn.XLOOKUP(tblOrdenes[[#This Row],[centro_costo]],tblCECO[codigo],tblCECO[linea],"(sin catálogo)"))</f>
        <v/>
      </c>
      <c r="U196" s="3">
        <f>IF(tblOrdenes[[#This Row],[centro_costo]]="","",_xlfn.XLOOKUP(tblOrdenes[[#This Row],[centro_costo]],tblCECO[codigo],tblCECO[area],"(sin catálogo)"))</f>
        <v/>
      </c>
      <c r="V196" s="3">
        <f>IF(tblOrdenes[[#This Row],[centro_costo]]="","",_xlfn.XLOOKUP(tblOrdenes[[#This Row],[centro_costo]],tblCECO[codigo],tblCECO[coordinador],"(sin catálogo)"))</f>
        <v/>
      </c>
      <c r="W196" s="3">
        <f>IF(tblOrdenes[[#This Row],[puesto_trabajo]]="","",_xlfn.XLOOKUP(tblOrdenes[[#This Row],[puesto_trabajo]],tblPuestos[codigo],tblPuestos[especialidad],"(sin catálogo)"))</f>
        <v/>
      </c>
      <c r="X196" s="3">
        <f>IF(tblOrdenes[[#This Row],[cod_actividad]]="","",_xlfn.XLOOKUP(tblOrdenes[[#This Row],[cod_actividad]],tblActividades[codigo],tblActividades[descripcion],"(sin catálogo)"))</f>
        <v/>
      </c>
      <c r="Y196" s="12">
        <f>IF(tblOrdenes[[#This Row],[fecha_inicio]]="","",TODAY()-tblOrdenes[[#This Row],[fecha_inicio]])</f>
        <v/>
      </c>
      <c r="Z196" s="3">
        <f>IF(tblOrdenes[[#This Row],[backlog_dias]]="","",IF(tblOrdenes[[#This Row],[backlog_dias]]&lt;0,"FUTURO",IF(tblOrdenes[[#This Row],[backlog_dias]]&gt;p_dias_backlog_max,"BACKLOG","MES CORRIENTE")))</f>
        <v/>
      </c>
      <c r="AA196" s="3">
        <f>IF(tblOrdenes[[#This Row],[backlog_dias]]="",FALSE,AND(tblOrdenes[[#This Row],[backlog_dias]]&gt;p_dias_backlog_min,tblOrdenes[[#This Row],[backlog_dias]]&lt;=p_dias_backlog_max))</f>
        <v/>
      </c>
      <c r="AB196" s="6" t="inlineStr"/>
      <c r="AC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6" s="10">
        <f>IF(tblOrdenes[[#This Row],[orden]]="","",_xlfn.XLOOKUP(tblOrdenes[[#This Row],[id_operacion]],tblEjecucion[id_operacion],tblEjecucion[precio],0))</f>
        <v/>
      </c>
      <c r="AG196" s="10">
        <f>IF(tblOrdenes[[#This Row],[orden]]="","",MAX(0,_xlfn.XLOOKUP(tblOrdenes[[#This Row],[id_operacion]],tblEjecucion[id_operacion],tblEjecucion[costo_plan_total],0)-tblOrdenes[[#This Row],[costo_servicio]]))</f>
        <v/>
      </c>
      <c r="AH196" s="10">
        <f>IF(tblOrdenes[[#This Row],[orden]]="","",tblOrdenes[[#This Row],[costo_servicio]]+tblOrdenes[[#This Row],[costo_materiales]])</f>
        <v/>
      </c>
      <c r="AI196" s="6" t="inlineStr"/>
      <c r="AJ196" s="6" t="inlineStr"/>
      <c r="AK196" s="6" t="inlineStr"/>
      <c r="AL196" s="3">
        <f>IF(tblOrdenes[[#This Row],[link_checklist]]="","",HYPERLINK(p_ruta_base_checklists&amp;tblOrdenes[[#This Row],[link_checklist]],"abrir"))</f>
        <v/>
      </c>
      <c r="AM196" s="6" t="inlineStr"/>
      <c r="AN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OT-000908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PU-XXX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46161</v>
      </c>
      <c r="K197" s="3" t="n">
        <v>4</v>
      </c>
      <c r="L197" s="10" t="n">
        <v>160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Row],[tipo_ot]]="","",_xlfn.XLOOKUP(tblOrdenes[[#This Row],[tipo_ot]],tblTiposOT[codigo],tblTiposOT[clasificacion],"sin_clasificar"))</f>
        <v/>
      </c>
      <c r="T197" s="3">
        <f>IF(tblOrdenes[[#This Row],[centro_costo]]="","",_xlfn.XLOOKUP(tblOrdenes[[#This Row],[centro_costo]],tblCECO[codigo],tblCECO[linea],"(sin catálogo)"))</f>
        <v/>
      </c>
      <c r="U197" s="3">
        <f>IF(tblOrdenes[[#This Row],[centro_costo]]="","",_xlfn.XLOOKUP(tblOrdenes[[#This Row],[centro_costo]],tblCECO[codigo],tblCECO[area],"(sin catálogo)"))</f>
        <v/>
      </c>
      <c r="V197" s="3">
        <f>IF(tblOrdenes[[#This Row],[centro_costo]]="","",_xlfn.XLOOKUP(tblOrdenes[[#This Row],[centro_costo]],tblCECO[codigo],tblCECO[coordinador],"(sin catálogo)"))</f>
        <v/>
      </c>
      <c r="W197" s="3">
        <f>IF(tblOrdenes[[#This Row],[puesto_trabajo]]="","",_xlfn.XLOOKUP(tblOrdenes[[#This Row],[puesto_trabajo]],tblPuestos[codigo],tblPuestos[especialidad],"(sin catálogo)"))</f>
        <v/>
      </c>
      <c r="X197" s="3">
        <f>IF(tblOrdenes[[#This Row],[cod_actividad]]="","",_xlfn.XLOOKUP(tblOrdenes[[#This Row],[cod_actividad]],tblActividades[codigo],tblActividades[descripcion],"(sin catálogo)"))</f>
        <v/>
      </c>
      <c r="Y197" s="12">
        <f>IF(tblOrdenes[[#This Row],[fecha_inicio]]="","",TODAY()-tblOrdenes[[#This Row],[fecha_inicio]])</f>
        <v/>
      </c>
      <c r="Z197" s="3">
        <f>IF(tblOrdenes[[#This Row],[backlog_dias]]="","",IF(tblOrdenes[[#This Row],[backlog_dias]]&lt;0,"FUTURO",IF(tblOrdenes[[#This Row],[backlog_dias]]&gt;p_dias_backlog_max,"BACKLOG","MES CORRIENTE")))</f>
        <v/>
      </c>
      <c r="AA197" s="3">
        <f>IF(tblOrdenes[[#This Row],[backlog_dias]]="",FALSE,AND(tblOrdenes[[#This Row],[backlog_dias]]&gt;p_dias_backlog_min,tblOrdenes[[#This Row],[backlog_dias]]&lt;=p_dias_backlog_max))</f>
        <v/>
      </c>
      <c r="AB197" s="6" t="inlineStr"/>
      <c r="AC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7" s="10">
        <f>IF(tblOrdenes[[#This Row],[orden]]="","",_xlfn.XLOOKUP(tblOrdenes[[#This Row],[id_operacion]],tblEjecucion[id_operacion],tblEjecucion[precio],0))</f>
        <v/>
      </c>
      <c r="AG197" s="10">
        <f>IF(tblOrdenes[[#This Row],[orden]]="","",MAX(0,_xlfn.XLOOKUP(tblOrdenes[[#This Row],[id_operacion]],tblEjecucion[id_operacion],tblEjecucion[costo_plan_total],0)-tblOrdenes[[#This Row],[costo_servicio]]))</f>
        <v/>
      </c>
      <c r="AH197" s="10">
        <f>IF(tblOrdenes[[#This Row],[orden]]="","",tblOrdenes[[#This Row],[costo_servicio]]+tblOrdenes[[#This Row],[costo_materiales]])</f>
        <v/>
      </c>
      <c r="AI197" s="6" t="inlineStr"/>
      <c r="AJ197" s="6" t="inlineStr"/>
      <c r="AK197" s="6" t="inlineStr"/>
      <c r="AL197" s="3">
        <f>IF(tblOrdenes[[#This Row],[link_checklist]]="","",HYPERLINK(p_ruta_base_checklists&amp;tblOrdenes[[#This Row],[link_checklist]],"abrir"))</f>
        <v/>
      </c>
      <c r="AM197" s="6" t="inlineStr"/>
      <c r="AN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OT-000909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PU-AUT</t>
        </is>
      </c>
      <c r="H198" s="3" t="inlineStr">
        <is>
          <t>ACT-99</t>
        </is>
      </c>
      <c r="I198" s="3" t="inlineStr">
        <is>
          <t>TIPO-C2</t>
        </is>
      </c>
      <c r="J198" s="11" t="n">
        <v>46159</v>
      </c>
      <c r="K198" s="3" t="n">
        <v>4</v>
      </c>
      <c r="L198" s="10" t="n">
        <v>160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Row],[tipo_ot]]="","",_xlfn.XLOOKUP(tblOrdenes[[#This Row],[tipo_ot]],tblTiposOT[codigo],tblTiposOT[clasificacion],"sin_clasificar"))</f>
        <v/>
      </c>
      <c r="T198" s="3">
        <f>IF(tblOrdenes[[#This Row],[centro_costo]]="","",_xlfn.XLOOKUP(tblOrdenes[[#This Row],[centro_costo]],tblCECO[codigo],tblCECO[linea],"(sin catálogo)"))</f>
        <v/>
      </c>
      <c r="U198" s="3">
        <f>IF(tblOrdenes[[#This Row],[centro_costo]]="","",_xlfn.XLOOKUP(tblOrdenes[[#This Row],[centro_costo]],tblCECO[codigo],tblCECO[area],"(sin catálogo)"))</f>
        <v/>
      </c>
      <c r="V198" s="3">
        <f>IF(tblOrdenes[[#This Row],[centro_costo]]="","",_xlfn.XLOOKUP(tblOrdenes[[#This Row],[centro_costo]],tblCECO[codigo],tblCECO[coordinador],"(sin catálogo)"))</f>
        <v/>
      </c>
      <c r="W198" s="3">
        <f>IF(tblOrdenes[[#This Row],[puesto_trabajo]]="","",_xlfn.XLOOKUP(tblOrdenes[[#This Row],[puesto_trabajo]],tblPuestos[codigo],tblPuestos[especialidad],"(sin catálogo)"))</f>
        <v/>
      </c>
      <c r="X198" s="3">
        <f>IF(tblOrdenes[[#This Row],[cod_actividad]]="","",_xlfn.XLOOKUP(tblOrdenes[[#This Row],[cod_actividad]],tblActividades[codigo],tblActividades[descripcion],"(sin catálogo)"))</f>
        <v/>
      </c>
      <c r="Y198" s="12">
        <f>IF(tblOrdenes[[#This Row],[fecha_inicio]]="","",TODAY()-tblOrdenes[[#This Row],[fecha_inicio]])</f>
        <v/>
      </c>
      <c r="Z198" s="3">
        <f>IF(tblOrdenes[[#This Row],[backlog_dias]]="","",IF(tblOrdenes[[#This Row],[backlog_dias]]&lt;0,"FUTURO",IF(tblOrdenes[[#This Row],[backlog_dias]]&gt;p_dias_backlog_max,"BACKLOG","MES CORRIENTE")))</f>
        <v/>
      </c>
      <c r="AA198" s="3">
        <f>IF(tblOrdenes[[#This Row],[backlog_dias]]="",FALSE,AND(tblOrdenes[[#This Row],[backlog_dias]]&gt;p_dias_backlog_min,tblOrdenes[[#This Row],[backlog_dias]]&lt;=p_dias_backlog_max))</f>
        <v/>
      </c>
      <c r="AB198" s="6" t="inlineStr"/>
      <c r="AC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8" s="10">
        <f>IF(tblOrdenes[[#This Row],[orden]]="","",_xlfn.XLOOKUP(tblOrdenes[[#This Row],[id_operacion]],tblEjecucion[id_operacion],tblEjecucion[precio],0))</f>
        <v/>
      </c>
      <c r="AG198" s="10">
        <f>IF(tblOrdenes[[#This Row],[orden]]="","",MAX(0,_xlfn.XLOOKUP(tblOrdenes[[#This Row],[id_operacion]],tblEjecucion[id_operacion],tblEjecucion[costo_plan_total],0)-tblOrdenes[[#This Row],[costo_servicio]]))</f>
        <v/>
      </c>
      <c r="AH198" s="10">
        <f>IF(tblOrdenes[[#This Row],[orden]]="","",tblOrdenes[[#This Row],[costo_servicio]]+tblOrdenes[[#This Row],[costo_materiales]])</f>
        <v/>
      </c>
      <c r="AI198" s="6" t="inlineStr"/>
      <c r="AJ198" s="6" t="inlineStr"/>
      <c r="AK198" s="6" t="inlineStr"/>
      <c r="AL198" s="3">
        <f>IF(tblOrdenes[[#This Row],[link_checklist]]="","",HYPERLINK(p_ruta_base_checklists&amp;tblOrdenes[[#This Row],[link_checklist]],"abrir"))</f>
        <v/>
      </c>
      <c r="AM198" s="6" t="inlineStr"/>
      <c r="AN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1" t="n">
        <v>46188</v>
      </c>
      <c r="K199" s="3" t="n">
        <v>2</v>
      </c>
      <c r="L199" s="10" t="n">
        <v>80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Row],[tipo_ot]]="","",_xlfn.XLOOKUP(tblOrdenes[[#This Row],[tipo_ot]],tblTiposOT[codigo],tblTiposOT[clasificacion],"sin_clasificar"))</f>
        <v/>
      </c>
      <c r="T199" s="3">
        <f>IF(tblOrdenes[[#This Row],[centro_costo]]="","",_xlfn.XLOOKUP(tblOrdenes[[#This Row],[centro_costo]],tblCECO[codigo],tblCECO[linea],"(sin catálogo)"))</f>
        <v/>
      </c>
      <c r="U199" s="3">
        <f>IF(tblOrdenes[[#This Row],[centro_costo]]="","",_xlfn.XLOOKUP(tblOrdenes[[#This Row],[centro_costo]],tblCECO[codigo],tblCECO[area],"(sin catálogo)"))</f>
        <v/>
      </c>
      <c r="V199" s="3">
        <f>IF(tblOrdenes[[#This Row],[centro_costo]]="","",_xlfn.XLOOKUP(tblOrdenes[[#This Row],[centro_costo]],tblCECO[codigo],tblCECO[coordinador],"(sin catálogo)"))</f>
        <v/>
      </c>
      <c r="W199" s="3">
        <f>IF(tblOrdenes[[#This Row],[puesto_trabajo]]="","",_xlfn.XLOOKUP(tblOrdenes[[#This Row],[puesto_trabajo]],tblPuestos[codigo],tblPuestos[especialidad],"(sin catálogo)"))</f>
        <v/>
      </c>
      <c r="X199" s="3">
        <f>IF(tblOrdenes[[#This Row],[cod_actividad]]="","",_xlfn.XLOOKUP(tblOrdenes[[#This Row],[cod_actividad]],tblActividades[codigo],tblActividades[descripcion],"(sin catálogo)"))</f>
        <v/>
      </c>
      <c r="Y199" s="12">
        <f>IF(tblOrdenes[[#This Row],[fecha_inicio]]="","",TODAY()-tblOrdenes[[#This Row],[fecha_inicio]])</f>
        <v/>
      </c>
      <c r="Z199" s="3">
        <f>IF(tblOrdenes[[#This Row],[backlog_dias]]="","",IF(tblOrdenes[[#This Row],[backlog_dias]]&lt;0,"FUTURO",IF(tblOrdenes[[#This Row],[backlog_dias]]&gt;p_dias_backlog_max,"BACKLOG","MES CORRIENTE")))</f>
        <v/>
      </c>
      <c r="AA199" s="3">
        <f>IF(tblOrdenes[[#This Row],[backlog_dias]]="",FALSE,AND(tblOrdenes[[#This Row],[backlog_dias]]&gt;p_dias_backlog_min,tblOrdenes[[#This Row],[backlog_dias]]&lt;=p_dias_backlog_max))</f>
        <v/>
      </c>
      <c r="AB199" s="6" t="inlineStr"/>
      <c r="AC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9" s="10">
        <f>IF(tblOrdenes[[#This Row],[orden]]="","",_xlfn.XLOOKUP(tblOrdenes[[#This Row],[id_operacion]],tblEjecucion[id_operacion],tblEjecucion[precio],0))</f>
        <v/>
      </c>
      <c r="AG199" s="10">
        <f>IF(tblOrdenes[[#This Row],[orden]]="","",MAX(0,_xlfn.XLOOKUP(tblOrdenes[[#This Row],[id_operacion]],tblEjecucion[id_operacion],tblEjecucion[costo_plan_total],0)-tblOrdenes[[#This Row],[costo_servicio]]))</f>
        <v/>
      </c>
      <c r="AH199" s="10">
        <f>IF(tblOrdenes[[#This Row],[orden]]="","",tblOrdenes[[#This Row],[costo_servicio]]+tblOrdenes[[#This Row],[costo_materiales]])</f>
        <v/>
      </c>
      <c r="AI199" s="6" t="inlineStr"/>
      <c r="AJ199" s="6" t="inlineStr"/>
      <c r="AK199" s="6" t="inlineStr"/>
      <c r="AL199" s="3">
        <f>IF(tblOrdenes[[#This Row],[link_checklist]]="","",HYPERLINK(p_ruta_base_checklists&amp;tblOrdenes[[#This Row],[link_checklist]],"abrir"))</f>
        <v/>
      </c>
      <c r="AM199" s="6" t="inlineStr"/>
      <c r="AN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1" t="n">
        <v>46187</v>
      </c>
      <c r="K200" s="3" t="n">
        <v>2</v>
      </c>
      <c r="L200" s="10" t="n">
        <v>80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Row],[tipo_ot]]="","",_xlfn.XLOOKUP(tblOrdenes[[#This Row],[tipo_ot]],tblTiposOT[codigo],tblTiposOT[clasificacion],"sin_clasificar"))</f>
        <v/>
      </c>
      <c r="T200" s="3">
        <f>IF(tblOrdenes[[#This Row],[centro_costo]]="","",_xlfn.XLOOKUP(tblOrdenes[[#This Row],[centro_costo]],tblCECO[codigo],tblCECO[linea],"(sin catálogo)"))</f>
        <v/>
      </c>
      <c r="U200" s="3">
        <f>IF(tblOrdenes[[#This Row],[centro_costo]]="","",_xlfn.XLOOKUP(tblOrdenes[[#This Row],[centro_costo]],tblCECO[codigo],tblCECO[area],"(sin catálogo)"))</f>
        <v/>
      </c>
      <c r="V200" s="3">
        <f>IF(tblOrdenes[[#This Row],[centro_costo]]="","",_xlfn.XLOOKUP(tblOrdenes[[#This Row],[centro_costo]],tblCECO[codigo],tblCECO[coordinador],"(sin catálogo)"))</f>
        <v/>
      </c>
      <c r="W200" s="3">
        <f>IF(tblOrdenes[[#This Row],[puesto_trabajo]]="","",_xlfn.XLOOKUP(tblOrdenes[[#This Row],[puesto_trabajo]],tblPuestos[codigo],tblPuestos[especialidad],"(sin catálogo)"))</f>
        <v/>
      </c>
      <c r="X200" s="3">
        <f>IF(tblOrdenes[[#This Row],[cod_actividad]]="","",_xlfn.XLOOKUP(tblOrdenes[[#This Row],[cod_actividad]],tblActividades[codigo],tblActividades[descripcion],"(sin catálogo)"))</f>
        <v/>
      </c>
      <c r="Y200" s="12">
        <f>IF(tblOrdenes[[#This Row],[fecha_inicio]]="","",TODAY()-tblOrdenes[[#This Row],[fecha_inicio]])</f>
        <v/>
      </c>
      <c r="Z200" s="3">
        <f>IF(tblOrdenes[[#This Row],[backlog_dias]]="","",IF(tblOrdenes[[#This Row],[backlog_dias]]&lt;0,"FUTURO",IF(tblOrdenes[[#This Row],[backlog_dias]]&gt;p_dias_backlog_max,"BACKLOG","MES CORRIENTE")))</f>
        <v/>
      </c>
      <c r="AA200" s="3">
        <f>IF(tblOrdenes[[#This Row],[backlog_dias]]="",FALSE,AND(tblOrdenes[[#This Row],[backlog_dias]]&gt;p_dias_backlog_min,tblOrdenes[[#This Row],[backlog_dias]]&lt;=p_dias_backlog_max))</f>
        <v/>
      </c>
      <c r="AB200" s="6" t="inlineStr"/>
      <c r="AC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0" s="10">
        <f>IF(tblOrdenes[[#This Row],[orden]]="","",_xlfn.XLOOKUP(tblOrdenes[[#This Row],[id_operacion]],tblEjecucion[id_operacion],tblEjecucion[precio],0))</f>
        <v/>
      </c>
      <c r="AG200" s="10">
        <f>IF(tblOrdenes[[#This Row],[orden]]="","",MAX(0,_xlfn.XLOOKUP(tblOrdenes[[#This Row],[id_operacion]],tblEjecucion[id_operacion],tblEjecucion[costo_plan_total],0)-tblOrdenes[[#This Row],[costo_servicio]]))</f>
        <v/>
      </c>
      <c r="AH200" s="10">
        <f>IF(tblOrdenes[[#This Row],[orden]]="","",tblOrdenes[[#This Row],[costo_servicio]]+tblOrdenes[[#This Row],[costo_materiales]])</f>
        <v/>
      </c>
      <c r="AI200" s="6" t="inlineStr"/>
      <c r="AJ200" s="6" t="inlineStr"/>
      <c r="AK200" s="6" t="inlineStr"/>
      <c r="AL200" s="3">
        <f>IF(tblOrdenes[[#This Row],[link_checklist]]="","",HYPERLINK(p_ruta_base_checklists&amp;tblOrdenes[[#This Row],[link_checklist]],"abrir"))</f>
        <v/>
      </c>
      <c r="AM200" s="6" t="inlineStr"/>
      <c r="AN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1" t="n">
        <v>46186</v>
      </c>
      <c r="K201" s="3" t="n">
        <v>2</v>
      </c>
      <c r="L201" s="10" t="n">
        <v>80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Row],[tipo_ot]]="","",_xlfn.XLOOKUP(tblOrdenes[[#This Row],[tipo_ot]],tblTiposOT[codigo],tblTiposOT[clasificacion],"sin_clasificar"))</f>
        <v/>
      </c>
      <c r="T201" s="3">
        <f>IF(tblOrdenes[[#This Row],[centro_costo]]="","",_xlfn.XLOOKUP(tblOrdenes[[#This Row],[centro_costo]],tblCECO[codigo],tblCECO[linea],"(sin catálogo)"))</f>
        <v/>
      </c>
      <c r="U201" s="3">
        <f>IF(tblOrdenes[[#This Row],[centro_costo]]="","",_xlfn.XLOOKUP(tblOrdenes[[#This Row],[centro_costo]],tblCECO[codigo],tblCECO[area],"(sin catálogo)"))</f>
        <v/>
      </c>
      <c r="V201" s="3">
        <f>IF(tblOrdenes[[#This Row],[centro_costo]]="","",_xlfn.XLOOKUP(tblOrdenes[[#This Row],[centro_costo]],tblCECO[codigo],tblCECO[coordinador],"(sin catálogo)"))</f>
        <v/>
      </c>
      <c r="W201" s="3">
        <f>IF(tblOrdenes[[#This Row],[puesto_trabajo]]="","",_xlfn.XLOOKUP(tblOrdenes[[#This Row],[puesto_trabajo]],tblPuestos[codigo],tblPuestos[especialidad],"(sin catálogo)"))</f>
        <v/>
      </c>
      <c r="X201" s="3">
        <f>IF(tblOrdenes[[#This Row],[cod_actividad]]="","",_xlfn.XLOOKUP(tblOrdenes[[#This Row],[cod_actividad]],tblActividades[codigo],tblActividades[descripcion],"(sin catálogo)"))</f>
        <v/>
      </c>
      <c r="Y201" s="12">
        <f>IF(tblOrdenes[[#This Row],[fecha_inicio]]="","",TODAY()-tblOrdenes[[#This Row],[fecha_inicio]])</f>
        <v/>
      </c>
      <c r="Z201" s="3">
        <f>IF(tblOrdenes[[#This Row],[backlog_dias]]="","",IF(tblOrdenes[[#This Row],[backlog_dias]]&lt;0,"FUTURO",IF(tblOrdenes[[#This Row],[backlog_dias]]&gt;p_dias_backlog_max,"BACKLOG","MES CORRIENTE")))</f>
        <v/>
      </c>
      <c r="AA201" s="3">
        <f>IF(tblOrdenes[[#This Row],[backlog_dias]]="",FALSE,AND(tblOrdenes[[#This Row],[backlog_dias]]&gt;p_dias_backlog_min,tblOrdenes[[#This Row],[backlog_dias]]&lt;=p_dias_backlog_max))</f>
        <v/>
      </c>
      <c r="AB201" s="6" t="inlineStr"/>
      <c r="AC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1" s="10">
        <f>IF(tblOrdenes[[#This Row],[orden]]="","",_xlfn.XLOOKUP(tblOrdenes[[#This Row],[id_operacion]],tblEjecucion[id_operacion],tblEjecucion[precio],0))</f>
        <v/>
      </c>
      <c r="AG201" s="10">
        <f>IF(tblOrdenes[[#This Row],[orden]]="","",MAX(0,_xlfn.XLOOKUP(tblOrdenes[[#This Row],[id_operacion]],tblEjecucion[id_operacion],tblEjecucion[costo_plan_total],0)-tblOrdenes[[#This Row],[costo_servicio]]))</f>
        <v/>
      </c>
      <c r="AH201" s="10">
        <f>IF(tblOrdenes[[#This Row],[orden]]="","",tblOrdenes[[#This Row],[costo_servicio]]+tblOrdenes[[#This Row],[costo_materiales]])</f>
        <v/>
      </c>
      <c r="AI201" s="6" t="inlineStr"/>
      <c r="AJ201" s="6" t="inlineStr"/>
      <c r="AK201" s="6" t="inlineStr"/>
      <c r="AL201" s="3">
        <f>IF(tblOrdenes[[#This Row],[link_checklist]]="","",HYPERLINK(p_ruta_base_checklists&amp;tblOrdenes[[#This Row],[link_checklist]],"abrir"))</f>
        <v/>
      </c>
      <c r="AM201" s="6" t="inlineStr"/>
      <c r="AN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1" t="n">
        <v>46185</v>
      </c>
      <c r="K202" s="3" t="n">
        <v>2</v>
      </c>
      <c r="L202" s="10" t="n">
        <v>80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Row],[tipo_ot]]="","",_xlfn.XLOOKUP(tblOrdenes[[#This Row],[tipo_ot]],tblTiposOT[codigo],tblTiposOT[clasificacion],"sin_clasificar"))</f>
        <v/>
      </c>
      <c r="T202" s="3">
        <f>IF(tblOrdenes[[#This Row],[centro_costo]]="","",_xlfn.XLOOKUP(tblOrdenes[[#This Row],[centro_costo]],tblCECO[codigo],tblCECO[linea],"(sin catálogo)"))</f>
        <v/>
      </c>
      <c r="U202" s="3">
        <f>IF(tblOrdenes[[#This Row],[centro_costo]]="","",_xlfn.XLOOKUP(tblOrdenes[[#This Row],[centro_costo]],tblCECO[codigo],tblCECO[area],"(sin catálogo)"))</f>
        <v/>
      </c>
      <c r="V202" s="3">
        <f>IF(tblOrdenes[[#This Row],[centro_costo]]="","",_xlfn.XLOOKUP(tblOrdenes[[#This Row],[centro_costo]],tblCECO[codigo],tblCECO[coordinador],"(sin catálogo)"))</f>
        <v/>
      </c>
      <c r="W202" s="3">
        <f>IF(tblOrdenes[[#This Row],[puesto_trabajo]]="","",_xlfn.XLOOKUP(tblOrdenes[[#This Row],[puesto_trabajo]],tblPuestos[codigo],tblPuestos[especialidad],"(sin catálogo)"))</f>
        <v/>
      </c>
      <c r="X202" s="3">
        <f>IF(tblOrdenes[[#This Row],[cod_actividad]]="","",_xlfn.XLOOKUP(tblOrdenes[[#This Row],[cod_actividad]],tblActividades[codigo],tblActividades[descripcion],"(sin catálogo)"))</f>
        <v/>
      </c>
      <c r="Y202" s="12">
        <f>IF(tblOrdenes[[#This Row],[fecha_inicio]]="","",TODAY()-tblOrdenes[[#This Row],[fecha_inicio]])</f>
        <v/>
      </c>
      <c r="Z202" s="3">
        <f>IF(tblOrdenes[[#This Row],[backlog_dias]]="","",IF(tblOrdenes[[#This Row],[backlog_dias]]&lt;0,"FUTURO",IF(tblOrdenes[[#This Row],[backlog_dias]]&gt;p_dias_backlog_max,"BACKLOG","MES CORRIENTE")))</f>
        <v/>
      </c>
      <c r="AA202" s="3">
        <f>IF(tblOrdenes[[#This Row],[backlog_dias]]="",FALSE,AND(tblOrdenes[[#This Row],[backlog_dias]]&gt;p_dias_backlog_min,tblOrdenes[[#This Row],[backlog_dias]]&lt;=p_dias_backlog_max))</f>
        <v/>
      </c>
      <c r="AB202" s="6" t="inlineStr"/>
      <c r="AC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2" s="10">
        <f>IF(tblOrdenes[[#This Row],[orden]]="","",_xlfn.XLOOKUP(tblOrdenes[[#This Row],[id_operacion]],tblEjecucion[id_operacion],tblEjecucion[precio],0))</f>
        <v/>
      </c>
      <c r="AG202" s="10">
        <f>IF(tblOrdenes[[#This Row],[orden]]="","",MAX(0,_xlfn.XLOOKUP(tblOrdenes[[#This Row],[id_operacion]],tblEjecucion[id_operacion],tblEjecucion[costo_plan_total],0)-tblOrdenes[[#This Row],[costo_servicio]]))</f>
        <v/>
      </c>
      <c r="AH202" s="10">
        <f>IF(tblOrdenes[[#This Row],[orden]]="","",tblOrdenes[[#This Row],[costo_servicio]]+tblOrdenes[[#This Row],[costo_materiales]])</f>
        <v/>
      </c>
      <c r="AI202" s="6" t="inlineStr"/>
      <c r="AJ202" s="6" t="inlineStr"/>
      <c r="AK202" s="6" t="inlineStr"/>
      <c r="AL202" s="3">
        <f>IF(tblOrdenes[[#This Row],[link_checklist]]="","",HYPERLINK(p_ruta_base_checklists&amp;tblOrdenes[[#This Row],[link_checklist]],"abrir"))</f>
        <v/>
      </c>
      <c r="AM202" s="6" t="inlineStr"/>
      <c r="AN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46184</v>
      </c>
      <c r="K203" s="3" t="n">
        <v>2</v>
      </c>
      <c r="L203" s="10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Row],[tipo_ot]]="","",_xlfn.XLOOKUP(tblOrdenes[[#This Row],[tipo_ot]],tblTiposOT[codigo],tblTiposOT[clasificacion],"sin_clasificar"))</f>
        <v/>
      </c>
      <c r="T203" s="3">
        <f>IF(tblOrdenes[[#This Row],[centro_costo]]="","",_xlfn.XLOOKUP(tblOrdenes[[#This Row],[centro_costo]],tblCECO[codigo],tblCECO[linea],"(sin catálogo)"))</f>
        <v/>
      </c>
      <c r="U203" s="3">
        <f>IF(tblOrdenes[[#This Row],[centro_costo]]="","",_xlfn.XLOOKUP(tblOrdenes[[#This Row],[centro_costo]],tblCECO[codigo],tblCECO[area],"(sin catálogo)"))</f>
        <v/>
      </c>
      <c r="V203" s="3">
        <f>IF(tblOrdenes[[#This Row],[centro_costo]]="","",_xlfn.XLOOKUP(tblOrdenes[[#This Row],[centro_costo]],tblCECO[codigo],tblCECO[coordinador],"(sin catálogo)"))</f>
        <v/>
      </c>
      <c r="W203" s="3">
        <f>IF(tblOrdenes[[#This Row],[puesto_trabajo]]="","",_xlfn.XLOOKUP(tblOrdenes[[#This Row],[puesto_trabajo]],tblPuestos[codigo],tblPuestos[especialidad],"(sin catálogo)"))</f>
        <v/>
      </c>
      <c r="X203" s="3">
        <f>IF(tblOrdenes[[#This Row],[cod_actividad]]="","",_xlfn.XLOOKUP(tblOrdenes[[#This Row],[cod_actividad]],tblActividades[codigo],tblActividades[descripcion],"(sin catálogo)"))</f>
        <v/>
      </c>
      <c r="Y203" s="12">
        <f>IF(tblOrdenes[[#This Row],[fecha_inicio]]="","",TODAY()-tblOrdenes[[#This Row],[fecha_inicio]])</f>
        <v/>
      </c>
      <c r="Z203" s="3">
        <f>IF(tblOrdenes[[#This Row],[backlog_dias]]="","",IF(tblOrdenes[[#This Row],[backlog_dias]]&lt;0,"FUTURO",IF(tblOrdenes[[#This Row],[backlog_dias]]&gt;p_dias_backlog_max,"BACKLOG","MES CORRIENTE")))</f>
        <v/>
      </c>
      <c r="AA203" s="3">
        <f>IF(tblOrdenes[[#This Row],[backlog_dias]]="",FALSE,AND(tblOrdenes[[#This Row],[backlog_dias]]&gt;p_dias_backlog_min,tblOrdenes[[#This Row],[backlog_dias]]&lt;=p_dias_backlog_max))</f>
        <v/>
      </c>
      <c r="AB203" s="6" t="inlineStr"/>
      <c r="AC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3" s="10">
        <f>IF(tblOrdenes[[#This Row],[orden]]="","",_xlfn.XLOOKUP(tblOrdenes[[#This Row],[id_operacion]],tblEjecucion[id_operacion],tblEjecucion[precio],0))</f>
        <v/>
      </c>
      <c r="AG203" s="10">
        <f>IF(tblOrdenes[[#This Row],[orden]]="","",MAX(0,_xlfn.XLOOKUP(tblOrdenes[[#This Row],[id_operacion]],tblEjecucion[id_operacion],tblEjecucion[costo_plan_total],0)-tblOrdenes[[#This Row],[costo_servicio]]))</f>
        <v/>
      </c>
      <c r="AH203" s="10">
        <f>IF(tblOrdenes[[#This Row],[orden]]="","",tblOrdenes[[#This Row],[costo_servicio]]+tblOrdenes[[#This Row],[costo_materiales]])</f>
        <v/>
      </c>
      <c r="AI203" s="6" t="inlineStr"/>
      <c r="AJ203" s="6" t="inlineStr"/>
      <c r="AK203" s="6" t="inlineStr"/>
      <c r="AL203" s="3">
        <f>IF(tblOrdenes[[#This Row],[link_checklist]]="","",HYPERLINK(p_ruta_base_checklists&amp;tblOrdenes[[#This Row],[link_checklist]],"abrir"))</f>
        <v/>
      </c>
      <c r="AM203" s="6" t="inlineStr"/>
      <c r="AN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Row],[tipo_ot]]="","",_xlfn.XLOOKUP(tblOrdenes[[#This Row],[tipo_ot]],tblTiposOT[codigo],tblTiposOT[clasificacion],"sin_clasificar"))</f>
        <v/>
      </c>
      <c r="T204" s="3">
        <f>IF(tblOrdenes[[#This Row],[centro_costo]]="","",_xlfn.XLOOKUP(tblOrdenes[[#This Row],[centro_costo]],tblCECO[codigo],tblCECO[linea],"(sin catálogo)"))</f>
        <v/>
      </c>
      <c r="U204" s="3">
        <f>IF(tblOrdenes[[#This Row],[centro_costo]]="","",_xlfn.XLOOKUP(tblOrdenes[[#This Row],[centro_costo]],tblCECO[codigo],tblCECO[area],"(sin catálogo)"))</f>
        <v/>
      </c>
      <c r="V204" s="3">
        <f>IF(tblOrdenes[[#This Row],[centro_costo]]="","",_xlfn.XLOOKUP(tblOrdenes[[#This Row],[centro_costo]],tblCECO[codigo],tblCECO[coordinador],"(sin catálogo)"))</f>
        <v/>
      </c>
      <c r="W204" s="3">
        <f>IF(tblOrdenes[[#This Row],[puesto_trabajo]]="","",_xlfn.XLOOKUP(tblOrdenes[[#This Row],[puesto_trabajo]],tblPuestos[codigo],tblPuestos[especialidad],"(sin catálogo)"))</f>
        <v/>
      </c>
      <c r="X204" s="3">
        <f>IF(tblOrdenes[[#This Row],[cod_actividad]]="","",_xlfn.XLOOKUP(tblOrdenes[[#This Row],[cod_actividad]],tblActividades[codigo],tblActividades[descripcion],"(sin catálogo)"))</f>
        <v/>
      </c>
      <c r="Y204" s="12">
        <f>IF(tblOrdenes[[#This Row],[fecha_inicio]]="","",TODAY()-tblOrdenes[[#This Row],[fecha_inicio]])</f>
        <v/>
      </c>
      <c r="Z204" s="3">
        <f>IF(tblOrdenes[[#This Row],[backlog_dias]]="","",IF(tblOrdenes[[#This Row],[backlog_dias]]&lt;0,"FUTURO",IF(tblOrdenes[[#This Row],[backlog_dias]]&gt;p_dias_backlog_max,"BACKLOG","MES CORRIENTE")))</f>
        <v/>
      </c>
      <c r="AA204" s="3">
        <f>IF(tblOrdenes[[#This Row],[backlog_dias]]="",FALSE,AND(tblOrdenes[[#This Row],[backlog_dias]]&gt;p_dias_backlog_min,tblOrdenes[[#This Row],[backlog_dias]]&lt;=p_dias_backlog_max))</f>
        <v/>
      </c>
      <c r="AB204" s="6" t="n"/>
      <c r="AC2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4" s="10">
        <f>IF(tblOrdenes[[#This Row],[orden]]="","",_xlfn.XLOOKUP(tblOrdenes[[#This Row],[id_operacion]],tblEjecucion[id_operacion],tblEjecucion[precio],0))</f>
        <v/>
      </c>
      <c r="AG204" s="10">
        <f>IF(tblOrdenes[[#This Row],[orden]]="","",MAX(0,_xlfn.XLOOKUP(tblOrdenes[[#This Row],[id_operacion]],tblEjecucion[id_operacion],tblEjecucion[costo_plan_total],0)-tblOrdenes[[#This Row],[costo_servicio]]))</f>
        <v/>
      </c>
      <c r="AH204" s="10">
        <f>IF(tblOrdenes[[#This Row],[orden]]="","",tblOrdenes[[#This Row],[costo_servicio]]+tblOrdenes[[#This Row],[costo_materiales]])</f>
        <v/>
      </c>
      <c r="AI204" s="6" t="n"/>
      <c r="AJ204" s="6" t="n"/>
      <c r="AK204" s="6" t="n"/>
      <c r="AL204" s="3">
        <f>IF(tblOrdenes[[#This Row],[link_checklist]]="","",HYPERLINK(p_ruta_base_checklists&amp;tblOrdenes[[#This Row],[link_checklist]],"abrir"))</f>
        <v/>
      </c>
      <c r="AM204" s="6" t="n"/>
      <c r="AN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Row],[tipo_ot]]="","",_xlfn.XLOOKUP(tblOrdenes[[#This Row],[tipo_ot]],tblTiposOT[codigo],tblTiposOT[clasificacion],"sin_clasificar"))</f>
        <v/>
      </c>
      <c r="T205" s="3">
        <f>IF(tblOrdenes[[#This Row],[centro_costo]]="","",_xlfn.XLOOKUP(tblOrdenes[[#This Row],[centro_costo]],tblCECO[codigo],tblCECO[linea],"(sin catálogo)"))</f>
        <v/>
      </c>
      <c r="U205" s="3">
        <f>IF(tblOrdenes[[#This Row],[centro_costo]]="","",_xlfn.XLOOKUP(tblOrdenes[[#This Row],[centro_costo]],tblCECO[codigo],tblCECO[area],"(sin catálogo)"))</f>
        <v/>
      </c>
      <c r="V205" s="3">
        <f>IF(tblOrdenes[[#This Row],[centro_costo]]="","",_xlfn.XLOOKUP(tblOrdenes[[#This Row],[centro_costo]],tblCECO[codigo],tblCECO[coordinador],"(sin catálogo)"))</f>
        <v/>
      </c>
      <c r="W205" s="3">
        <f>IF(tblOrdenes[[#This Row],[puesto_trabajo]]="","",_xlfn.XLOOKUP(tblOrdenes[[#This Row],[puesto_trabajo]],tblPuestos[codigo],tblPuestos[especialidad],"(sin catálogo)"))</f>
        <v/>
      </c>
      <c r="X205" s="3">
        <f>IF(tblOrdenes[[#This Row],[cod_actividad]]="","",_xlfn.XLOOKUP(tblOrdenes[[#This Row],[cod_actividad]],tblActividades[codigo],tblActividades[descripcion],"(sin catálogo)"))</f>
        <v/>
      </c>
      <c r="Y205" s="12">
        <f>IF(tblOrdenes[[#This Row],[fecha_inicio]]="","",TODAY()-tblOrdenes[[#This Row],[fecha_inicio]])</f>
        <v/>
      </c>
      <c r="Z205" s="3">
        <f>IF(tblOrdenes[[#This Row],[backlog_dias]]="","",IF(tblOrdenes[[#This Row],[backlog_dias]]&lt;0,"FUTURO",IF(tblOrdenes[[#This Row],[backlog_dias]]&gt;p_dias_backlog_max,"BACKLOG","MES CORRIENTE")))</f>
        <v/>
      </c>
      <c r="AA205" s="3">
        <f>IF(tblOrdenes[[#This Row],[backlog_dias]]="",FALSE,AND(tblOrdenes[[#This Row],[backlog_dias]]&gt;p_dias_backlog_min,tblOrdenes[[#This Row],[backlog_dias]]&lt;=p_dias_backlog_max))</f>
        <v/>
      </c>
      <c r="AB205" s="6" t="n"/>
      <c r="AC2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5" s="10">
        <f>IF(tblOrdenes[[#This Row],[orden]]="","",_xlfn.XLOOKUP(tblOrdenes[[#This Row],[id_operacion]],tblEjecucion[id_operacion],tblEjecucion[precio],0))</f>
        <v/>
      </c>
      <c r="AG205" s="10">
        <f>IF(tblOrdenes[[#This Row],[orden]]="","",MAX(0,_xlfn.XLOOKUP(tblOrdenes[[#This Row],[id_operacion]],tblEjecucion[id_operacion],tblEjecucion[costo_plan_total],0)-tblOrdenes[[#This Row],[costo_servicio]]))</f>
        <v/>
      </c>
      <c r="AH205" s="10">
        <f>IF(tblOrdenes[[#This Row],[orden]]="","",tblOrdenes[[#This Row],[costo_servicio]]+tblOrdenes[[#This Row],[costo_materiales]])</f>
        <v/>
      </c>
      <c r="AI205" s="6" t="n"/>
      <c r="AJ205" s="6" t="n"/>
      <c r="AK205" s="6" t="n"/>
      <c r="AL205" s="3">
        <f>IF(tblOrdenes[[#This Row],[link_checklist]]="","",HYPERLINK(p_ruta_base_checklists&amp;tblOrdenes[[#This Row],[link_checklist]],"abrir"))</f>
        <v/>
      </c>
      <c r="AM205" s="6" t="n"/>
      <c r="AN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Row],[tipo_ot]]="","",_xlfn.XLOOKUP(tblOrdenes[[#This Row],[tipo_ot]],tblTiposOT[codigo],tblTiposOT[clasificacion],"sin_clasificar"))</f>
        <v/>
      </c>
      <c r="T206" s="3">
        <f>IF(tblOrdenes[[#This Row],[centro_costo]]="","",_xlfn.XLOOKUP(tblOrdenes[[#This Row],[centro_costo]],tblCECO[codigo],tblCECO[linea],"(sin catálogo)"))</f>
        <v/>
      </c>
      <c r="U206" s="3">
        <f>IF(tblOrdenes[[#This Row],[centro_costo]]="","",_xlfn.XLOOKUP(tblOrdenes[[#This Row],[centro_costo]],tblCECO[codigo],tblCECO[area],"(sin catálogo)"))</f>
        <v/>
      </c>
      <c r="V206" s="3">
        <f>IF(tblOrdenes[[#This Row],[centro_costo]]="","",_xlfn.XLOOKUP(tblOrdenes[[#This Row],[centro_costo]],tblCECO[codigo],tblCECO[coordinador],"(sin catálogo)"))</f>
        <v/>
      </c>
      <c r="W206" s="3">
        <f>IF(tblOrdenes[[#This Row],[puesto_trabajo]]="","",_xlfn.XLOOKUP(tblOrdenes[[#This Row],[puesto_trabajo]],tblPuestos[codigo],tblPuestos[especialidad],"(sin catálogo)"))</f>
        <v/>
      </c>
      <c r="X206" s="3">
        <f>IF(tblOrdenes[[#This Row],[cod_actividad]]="","",_xlfn.XLOOKUP(tblOrdenes[[#This Row],[cod_actividad]],tblActividades[codigo],tblActividades[descripcion],"(sin catálogo)"))</f>
        <v/>
      </c>
      <c r="Y206" s="12">
        <f>IF(tblOrdenes[[#This Row],[fecha_inicio]]="","",TODAY()-tblOrdenes[[#This Row],[fecha_inicio]])</f>
        <v/>
      </c>
      <c r="Z206" s="3">
        <f>IF(tblOrdenes[[#This Row],[backlog_dias]]="","",IF(tblOrdenes[[#This Row],[backlog_dias]]&lt;0,"FUTURO",IF(tblOrdenes[[#This Row],[backlog_dias]]&gt;p_dias_backlog_max,"BACKLOG","MES CORRIENTE")))</f>
        <v/>
      </c>
      <c r="AA206" s="3">
        <f>IF(tblOrdenes[[#This Row],[backlog_dias]]="",FALSE,AND(tblOrdenes[[#This Row],[backlog_dias]]&gt;p_dias_backlog_min,tblOrdenes[[#This Row],[backlog_dias]]&lt;=p_dias_backlog_max))</f>
        <v/>
      </c>
      <c r="AB206" s="6" t="n"/>
      <c r="AC2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6" s="10">
        <f>IF(tblOrdenes[[#This Row],[orden]]="","",_xlfn.XLOOKUP(tblOrdenes[[#This Row],[id_operacion]],tblEjecucion[id_operacion],tblEjecucion[precio],0))</f>
        <v/>
      </c>
      <c r="AG206" s="10">
        <f>IF(tblOrdenes[[#This Row],[orden]]="","",MAX(0,_xlfn.XLOOKUP(tblOrdenes[[#This Row],[id_operacion]],tblEjecucion[id_operacion],tblEjecucion[costo_plan_total],0)-tblOrdenes[[#This Row],[costo_servicio]]))</f>
        <v/>
      </c>
      <c r="AH206" s="10">
        <f>IF(tblOrdenes[[#This Row],[orden]]="","",tblOrdenes[[#This Row],[costo_servicio]]+tblOrdenes[[#This Row],[costo_materiales]])</f>
        <v/>
      </c>
      <c r="AI206" s="6" t="n"/>
      <c r="AJ206" s="6" t="n"/>
      <c r="AK206" s="6" t="n"/>
      <c r="AL206" s="3">
        <f>IF(tblOrdenes[[#This Row],[link_checklist]]="","",HYPERLINK(p_ruta_base_checklists&amp;tblOrdenes[[#This Row],[link_checklist]],"abrir"))</f>
        <v/>
      </c>
      <c r="AM206" s="6" t="n"/>
      <c r="AN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Row],[tipo_ot]]="","",_xlfn.XLOOKUP(tblOrdenes[[#This Row],[tipo_ot]],tblTiposOT[codigo],tblTiposOT[clasificacion],"sin_clasificar"))</f>
        <v/>
      </c>
      <c r="T207" s="3">
        <f>IF(tblOrdenes[[#This Row],[centro_costo]]="","",_xlfn.XLOOKUP(tblOrdenes[[#This Row],[centro_costo]],tblCECO[codigo],tblCECO[linea],"(sin catálogo)"))</f>
        <v/>
      </c>
      <c r="U207" s="3">
        <f>IF(tblOrdenes[[#This Row],[centro_costo]]="","",_xlfn.XLOOKUP(tblOrdenes[[#This Row],[centro_costo]],tblCECO[codigo],tblCECO[area],"(sin catálogo)"))</f>
        <v/>
      </c>
      <c r="V207" s="3">
        <f>IF(tblOrdenes[[#This Row],[centro_costo]]="","",_xlfn.XLOOKUP(tblOrdenes[[#This Row],[centro_costo]],tblCECO[codigo],tblCECO[coordinador],"(sin catálogo)"))</f>
        <v/>
      </c>
      <c r="W207" s="3">
        <f>IF(tblOrdenes[[#This Row],[puesto_trabajo]]="","",_xlfn.XLOOKUP(tblOrdenes[[#This Row],[puesto_trabajo]],tblPuestos[codigo],tblPuestos[especialidad],"(sin catálogo)"))</f>
        <v/>
      </c>
      <c r="X207" s="3">
        <f>IF(tblOrdenes[[#This Row],[cod_actividad]]="","",_xlfn.XLOOKUP(tblOrdenes[[#This Row],[cod_actividad]],tblActividades[codigo],tblActividades[descripcion],"(sin catálogo)"))</f>
        <v/>
      </c>
      <c r="Y207" s="12">
        <f>IF(tblOrdenes[[#This Row],[fecha_inicio]]="","",TODAY()-tblOrdenes[[#This Row],[fecha_inicio]])</f>
        <v/>
      </c>
      <c r="Z207" s="3">
        <f>IF(tblOrdenes[[#This Row],[backlog_dias]]="","",IF(tblOrdenes[[#This Row],[backlog_dias]]&lt;0,"FUTURO",IF(tblOrdenes[[#This Row],[backlog_dias]]&gt;p_dias_backlog_max,"BACKLOG","MES CORRIENTE")))</f>
        <v/>
      </c>
      <c r="AA207" s="3">
        <f>IF(tblOrdenes[[#This Row],[backlog_dias]]="",FALSE,AND(tblOrdenes[[#This Row],[backlog_dias]]&gt;p_dias_backlog_min,tblOrdenes[[#This Row],[backlog_dias]]&lt;=p_dias_backlog_max))</f>
        <v/>
      </c>
      <c r="AB207" s="6" t="n"/>
      <c r="AC2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7" s="10">
        <f>IF(tblOrdenes[[#This Row],[orden]]="","",_xlfn.XLOOKUP(tblOrdenes[[#This Row],[id_operacion]],tblEjecucion[id_operacion],tblEjecucion[precio],0))</f>
        <v/>
      </c>
      <c r="AG207" s="10">
        <f>IF(tblOrdenes[[#This Row],[orden]]="","",MAX(0,_xlfn.XLOOKUP(tblOrdenes[[#This Row],[id_operacion]],tblEjecucion[id_operacion],tblEjecucion[costo_plan_total],0)-tblOrdenes[[#This Row],[costo_servicio]]))</f>
        <v/>
      </c>
      <c r="AH207" s="10">
        <f>IF(tblOrdenes[[#This Row],[orden]]="","",tblOrdenes[[#This Row],[costo_servicio]]+tblOrdenes[[#This Row],[costo_materiales]])</f>
        <v/>
      </c>
      <c r="AI207" s="6" t="n"/>
      <c r="AJ207" s="6" t="n"/>
      <c r="AK207" s="6" t="n"/>
      <c r="AL207" s="3">
        <f>IF(tblOrdenes[[#This Row],[link_checklist]]="","",HYPERLINK(p_ruta_base_checklists&amp;tblOrdenes[[#This Row],[link_checklist]],"abrir"))</f>
        <v/>
      </c>
      <c r="AM207" s="6" t="n"/>
      <c r="AN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Row],[tipo_ot]]="","",_xlfn.XLOOKUP(tblOrdenes[[#This Row],[tipo_ot]],tblTiposOT[codigo],tblTiposOT[clasificacion],"sin_clasificar"))</f>
        <v/>
      </c>
      <c r="T208" s="3">
        <f>IF(tblOrdenes[[#This Row],[centro_costo]]="","",_xlfn.XLOOKUP(tblOrdenes[[#This Row],[centro_costo]],tblCECO[codigo],tblCECO[linea],"(sin catálogo)"))</f>
        <v/>
      </c>
      <c r="U208" s="3">
        <f>IF(tblOrdenes[[#This Row],[centro_costo]]="","",_xlfn.XLOOKUP(tblOrdenes[[#This Row],[centro_costo]],tblCECO[codigo],tblCECO[area],"(sin catálogo)"))</f>
        <v/>
      </c>
      <c r="V208" s="3">
        <f>IF(tblOrdenes[[#This Row],[centro_costo]]="","",_xlfn.XLOOKUP(tblOrdenes[[#This Row],[centro_costo]],tblCECO[codigo],tblCECO[coordinador],"(sin catálogo)"))</f>
        <v/>
      </c>
      <c r="W208" s="3">
        <f>IF(tblOrdenes[[#This Row],[puesto_trabajo]]="","",_xlfn.XLOOKUP(tblOrdenes[[#This Row],[puesto_trabajo]],tblPuestos[codigo],tblPuestos[especialidad],"(sin catálogo)"))</f>
        <v/>
      </c>
      <c r="X208" s="3">
        <f>IF(tblOrdenes[[#This Row],[cod_actividad]]="","",_xlfn.XLOOKUP(tblOrdenes[[#This Row],[cod_actividad]],tblActividades[codigo],tblActividades[descripcion],"(sin catálogo)"))</f>
        <v/>
      </c>
      <c r="Y208" s="12">
        <f>IF(tblOrdenes[[#This Row],[fecha_inicio]]="","",TODAY()-tblOrdenes[[#This Row],[fecha_inicio]])</f>
        <v/>
      </c>
      <c r="Z208" s="3">
        <f>IF(tblOrdenes[[#This Row],[backlog_dias]]="","",IF(tblOrdenes[[#This Row],[backlog_dias]]&lt;0,"FUTURO",IF(tblOrdenes[[#This Row],[backlog_dias]]&gt;p_dias_backlog_max,"BACKLOG","MES CORRIENTE")))</f>
        <v/>
      </c>
      <c r="AA208" s="3">
        <f>IF(tblOrdenes[[#This Row],[backlog_dias]]="",FALSE,AND(tblOrdenes[[#This Row],[backlog_dias]]&gt;p_dias_backlog_min,tblOrdenes[[#This Row],[backlog_dias]]&lt;=p_dias_backlog_max))</f>
        <v/>
      </c>
      <c r="AB208" s="6" t="n"/>
      <c r="AC2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8" s="10">
        <f>IF(tblOrdenes[[#This Row],[orden]]="","",_xlfn.XLOOKUP(tblOrdenes[[#This Row],[id_operacion]],tblEjecucion[id_operacion],tblEjecucion[precio],0))</f>
        <v/>
      </c>
      <c r="AG208" s="10">
        <f>IF(tblOrdenes[[#This Row],[orden]]="","",MAX(0,_xlfn.XLOOKUP(tblOrdenes[[#This Row],[id_operacion]],tblEjecucion[id_operacion],tblEjecucion[costo_plan_total],0)-tblOrdenes[[#This Row],[costo_servicio]]))</f>
        <v/>
      </c>
      <c r="AH208" s="10">
        <f>IF(tblOrdenes[[#This Row],[orden]]="","",tblOrdenes[[#This Row],[costo_servicio]]+tblOrdenes[[#This Row],[costo_materiales]])</f>
        <v/>
      </c>
      <c r="AI208" s="6" t="n"/>
      <c r="AJ208" s="6" t="n"/>
      <c r="AK208" s="6" t="n"/>
      <c r="AL208" s="3">
        <f>IF(tblOrdenes[[#This Row],[link_checklist]]="","",HYPERLINK(p_ruta_base_checklists&amp;tblOrdenes[[#This Row],[link_checklist]],"abrir"))</f>
        <v/>
      </c>
      <c r="AM208" s="6" t="n"/>
      <c r="AN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Row],[tipo_ot]]="","",_xlfn.XLOOKUP(tblOrdenes[[#This Row],[tipo_ot]],tblTiposOT[codigo],tblTiposOT[clasificacion],"sin_clasificar"))</f>
        <v/>
      </c>
      <c r="T209" s="3">
        <f>IF(tblOrdenes[[#This Row],[centro_costo]]="","",_xlfn.XLOOKUP(tblOrdenes[[#This Row],[centro_costo]],tblCECO[codigo],tblCECO[linea],"(sin catálogo)"))</f>
        <v/>
      </c>
      <c r="U209" s="3">
        <f>IF(tblOrdenes[[#This Row],[centro_costo]]="","",_xlfn.XLOOKUP(tblOrdenes[[#This Row],[centro_costo]],tblCECO[codigo],tblCECO[area],"(sin catálogo)"))</f>
        <v/>
      </c>
      <c r="V209" s="3">
        <f>IF(tblOrdenes[[#This Row],[centro_costo]]="","",_xlfn.XLOOKUP(tblOrdenes[[#This Row],[centro_costo]],tblCECO[codigo],tblCECO[coordinador],"(sin catálogo)"))</f>
        <v/>
      </c>
      <c r="W209" s="3">
        <f>IF(tblOrdenes[[#This Row],[puesto_trabajo]]="","",_xlfn.XLOOKUP(tblOrdenes[[#This Row],[puesto_trabajo]],tblPuestos[codigo],tblPuestos[especialidad],"(sin catálogo)"))</f>
        <v/>
      </c>
      <c r="X209" s="3">
        <f>IF(tblOrdenes[[#This Row],[cod_actividad]]="","",_xlfn.XLOOKUP(tblOrdenes[[#This Row],[cod_actividad]],tblActividades[codigo],tblActividades[descripcion],"(sin catálogo)"))</f>
        <v/>
      </c>
      <c r="Y209" s="12">
        <f>IF(tblOrdenes[[#This Row],[fecha_inicio]]="","",TODAY()-tblOrdenes[[#This Row],[fecha_inicio]])</f>
        <v/>
      </c>
      <c r="Z209" s="3">
        <f>IF(tblOrdenes[[#This Row],[backlog_dias]]="","",IF(tblOrdenes[[#This Row],[backlog_dias]]&lt;0,"FUTURO",IF(tblOrdenes[[#This Row],[backlog_dias]]&gt;p_dias_backlog_max,"BACKLOG","MES CORRIENTE")))</f>
        <v/>
      </c>
      <c r="AA209" s="3">
        <f>IF(tblOrdenes[[#This Row],[backlog_dias]]="",FALSE,AND(tblOrdenes[[#This Row],[backlog_dias]]&gt;p_dias_backlog_min,tblOrdenes[[#This Row],[backlog_dias]]&lt;=p_dias_backlog_max))</f>
        <v/>
      </c>
      <c r="AB209" s="6" t="n"/>
      <c r="AC2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9" s="10">
        <f>IF(tblOrdenes[[#This Row],[orden]]="","",_xlfn.XLOOKUP(tblOrdenes[[#This Row],[id_operacion]],tblEjecucion[id_operacion],tblEjecucion[precio],0))</f>
        <v/>
      </c>
      <c r="AG209" s="10">
        <f>IF(tblOrdenes[[#This Row],[orden]]="","",MAX(0,_xlfn.XLOOKUP(tblOrdenes[[#This Row],[id_operacion]],tblEjecucion[id_operacion],tblEjecucion[costo_plan_total],0)-tblOrdenes[[#This Row],[costo_servicio]]))</f>
        <v/>
      </c>
      <c r="AH209" s="10">
        <f>IF(tblOrdenes[[#This Row],[orden]]="","",tblOrdenes[[#This Row],[costo_servicio]]+tblOrdenes[[#This Row],[costo_materiales]])</f>
        <v/>
      </c>
      <c r="AI209" s="6" t="n"/>
      <c r="AJ209" s="6" t="n"/>
      <c r="AK209" s="6" t="n"/>
      <c r="AL209" s="3">
        <f>IF(tblOrdenes[[#This Row],[link_checklist]]="","",HYPERLINK(p_ruta_base_checklists&amp;tblOrdenes[[#This Row],[link_checklist]],"abrir"))</f>
        <v/>
      </c>
      <c r="AM209" s="6" t="n"/>
      <c r="AN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Row],[tipo_ot]]="","",_xlfn.XLOOKUP(tblOrdenes[[#This Row],[tipo_ot]],tblTiposOT[codigo],tblTiposOT[clasificacion],"sin_clasificar"))</f>
        <v/>
      </c>
      <c r="T210" s="3">
        <f>IF(tblOrdenes[[#This Row],[centro_costo]]="","",_xlfn.XLOOKUP(tblOrdenes[[#This Row],[centro_costo]],tblCECO[codigo],tblCECO[linea],"(sin catálogo)"))</f>
        <v/>
      </c>
      <c r="U210" s="3">
        <f>IF(tblOrdenes[[#This Row],[centro_costo]]="","",_xlfn.XLOOKUP(tblOrdenes[[#This Row],[centro_costo]],tblCECO[codigo],tblCECO[area],"(sin catálogo)"))</f>
        <v/>
      </c>
      <c r="V210" s="3">
        <f>IF(tblOrdenes[[#This Row],[centro_costo]]="","",_xlfn.XLOOKUP(tblOrdenes[[#This Row],[centro_costo]],tblCECO[codigo],tblCECO[coordinador],"(sin catálogo)"))</f>
        <v/>
      </c>
      <c r="W210" s="3">
        <f>IF(tblOrdenes[[#This Row],[puesto_trabajo]]="","",_xlfn.XLOOKUP(tblOrdenes[[#This Row],[puesto_trabajo]],tblPuestos[codigo],tblPuestos[especialidad],"(sin catálogo)"))</f>
        <v/>
      </c>
      <c r="X210" s="3">
        <f>IF(tblOrdenes[[#This Row],[cod_actividad]]="","",_xlfn.XLOOKUP(tblOrdenes[[#This Row],[cod_actividad]],tblActividades[codigo],tblActividades[descripcion],"(sin catálogo)"))</f>
        <v/>
      </c>
      <c r="Y210" s="12">
        <f>IF(tblOrdenes[[#This Row],[fecha_inicio]]="","",TODAY()-tblOrdenes[[#This Row],[fecha_inicio]])</f>
        <v/>
      </c>
      <c r="Z210" s="3">
        <f>IF(tblOrdenes[[#This Row],[backlog_dias]]="","",IF(tblOrdenes[[#This Row],[backlog_dias]]&lt;0,"FUTURO",IF(tblOrdenes[[#This Row],[backlog_dias]]&gt;p_dias_backlog_max,"BACKLOG","MES CORRIENTE")))</f>
        <v/>
      </c>
      <c r="AA210" s="3">
        <f>IF(tblOrdenes[[#This Row],[backlog_dias]]="",FALSE,AND(tblOrdenes[[#This Row],[backlog_dias]]&gt;p_dias_backlog_min,tblOrdenes[[#This Row],[backlog_dias]]&lt;=p_dias_backlog_max))</f>
        <v/>
      </c>
      <c r="AB210" s="6" t="n"/>
      <c r="AC2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0" s="10">
        <f>IF(tblOrdenes[[#This Row],[orden]]="","",_xlfn.XLOOKUP(tblOrdenes[[#This Row],[id_operacion]],tblEjecucion[id_operacion],tblEjecucion[precio],0))</f>
        <v/>
      </c>
      <c r="AG210" s="10">
        <f>IF(tblOrdenes[[#This Row],[orden]]="","",MAX(0,_xlfn.XLOOKUP(tblOrdenes[[#This Row],[id_operacion]],tblEjecucion[id_operacion],tblEjecucion[costo_plan_total],0)-tblOrdenes[[#This Row],[costo_servicio]]))</f>
        <v/>
      </c>
      <c r="AH210" s="10">
        <f>IF(tblOrdenes[[#This Row],[orden]]="","",tblOrdenes[[#This Row],[costo_servicio]]+tblOrdenes[[#This Row],[costo_materiales]])</f>
        <v/>
      </c>
      <c r="AI210" s="6" t="n"/>
      <c r="AJ210" s="6" t="n"/>
      <c r="AK210" s="6" t="n"/>
      <c r="AL210" s="3">
        <f>IF(tblOrdenes[[#This Row],[link_checklist]]="","",HYPERLINK(p_ruta_base_checklists&amp;tblOrdenes[[#This Row],[link_checklist]],"abrir"))</f>
        <v/>
      </c>
      <c r="AM210" s="6" t="n"/>
      <c r="AN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Row],[tipo_ot]]="","",_xlfn.XLOOKUP(tblOrdenes[[#This Row],[tipo_ot]],tblTiposOT[codigo],tblTiposOT[clasificacion],"sin_clasificar"))</f>
        <v/>
      </c>
      <c r="T211" s="3">
        <f>IF(tblOrdenes[[#This Row],[centro_costo]]="","",_xlfn.XLOOKUP(tblOrdenes[[#This Row],[centro_costo]],tblCECO[codigo],tblCECO[linea],"(sin catálogo)"))</f>
        <v/>
      </c>
      <c r="U211" s="3">
        <f>IF(tblOrdenes[[#This Row],[centro_costo]]="","",_xlfn.XLOOKUP(tblOrdenes[[#This Row],[centro_costo]],tblCECO[codigo],tblCECO[area],"(sin catálogo)"))</f>
        <v/>
      </c>
      <c r="V211" s="3">
        <f>IF(tblOrdenes[[#This Row],[centro_costo]]="","",_xlfn.XLOOKUP(tblOrdenes[[#This Row],[centro_costo]],tblCECO[codigo],tblCECO[coordinador],"(sin catálogo)"))</f>
        <v/>
      </c>
      <c r="W211" s="3">
        <f>IF(tblOrdenes[[#This Row],[puesto_trabajo]]="","",_xlfn.XLOOKUP(tblOrdenes[[#This Row],[puesto_trabajo]],tblPuestos[codigo],tblPuestos[especialidad],"(sin catálogo)"))</f>
        <v/>
      </c>
      <c r="X211" s="3">
        <f>IF(tblOrdenes[[#This Row],[cod_actividad]]="","",_xlfn.XLOOKUP(tblOrdenes[[#This Row],[cod_actividad]],tblActividades[codigo],tblActividades[descripcion],"(sin catálogo)"))</f>
        <v/>
      </c>
      <c r="Y211" s="12">
        <f>IF(tblOrdenes[[#This Row],[fecha_inicio]]="","",TODAY()-tblOrdenes[[#This Row],[fecha_inicio]])</f>
        <v/>
      </c>
      <c r="Z211" s="3">
        <f>IF(tblOrdenes[[#This Row],[backlog_dias]]="","",IF(tblOrdenes[[#This Row],[backlog_dias]]&lt;0,"FUTURO",IF(tblOrdenes[[#This Row],[backlog_dias]]&gt;p_dias_backlog_max,"BACKLOG","MES CORRIENTE")))</f>
        <v/>
      </c>
      <c r="AA211" s="3">
        <f>IF(tblOrdenes[[#This Row],[backlog_dias]]="",FALSE,AND(tblOrdenes[[#This Row],[backlog_dias]]&gt;p_dias_backlog_min,tblOrdenes[[#This Row],[backlog_dias]]&lt;=p_dias_backlog_max))</f>
        <v/>
      </c>
      <c r="AB211" s="6" t="n"/>
      <c r="AC2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1" s="10">
        <f>IF(tblOrdenes[[#This Row],[orden]]="","",_xlfn.XLOOKUP(tblOrdenes[[#This Row],[id_operacion]],tblEjecucion[id_operacion],tblEjecucion[precio],0))</f>
        <v/>
      </c>
      <c r="AG211" s="10">
        <f>IF(tblOrdenes[[#This Row],[orden]]="","",MAX(0,_xlfn.XLOOKUP(tblOrdenes[[#This Row],[id_operacion]],tblEjecucion[id_operacion],tblEjecucion[costo_plan_total],0)-tblOrdenes[[#This Row],[costo_servicio]]))</f>
        <v/>
      </c>
      <c r="AH211" s="10">
        <f>IF(tblOrdenes[[#This Row],[orden]]="","",tblOrdenes[[#This Row],[costo_servicio]]+tblOrdenes[[#This Row],[costo_materiales]])</f>
        <v/>
      </c>
      <c r="AI211" s="6" t="n"/>
      <c r="AJ211" s="6" t="n"/>
      <c r="AK211" s="6" t="n"/>
      <c r="AL211" s="3">
        <f>IF(tblOrdenes[[#This Row],[link_checklist]]="","",HYPERLINK(p_ruta_base_checklists&amp;tblOrdenes[[#This Row],[link_checklist]],"abrir"))</f>
        <v/>
      </c>
      <c r="AM211" s="6" t="n"/>
      <c r="AN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Row],[tipo_ot]]="","",_xlfn.XLOOKUP(tblOrdenes[[#This Row],[tipo_ot]],tblTiposOT[codigo],tblTiposOT[clasificacion],"sin_clasificar"))</f>
        <v/>
      </c>
      <c r="T212" s="3">
        <f>IF(tblOrdenes[[#This Row],[centro_costo]]="","",_xlfn.XLOOKUP(tblOrdenes[[#This Row],[centro_costo]],tblCECO[codigo],tblCECO[linea],"(sin catálogo)"))</f>
        <v/>
      </c>
      <c r="U212" s="3">
        <f>IF(tblOrdenes[[#This Row],[centro_costo]]="","",_xlfn.XLOOKUP(tblOrdenes[[#This Row],[centro_costo]],tblCECO[codigo],tblCECO[area],"(sin catálogo)"))</f>
        <v/>
      </c>
      <c r="V212" s="3">
        <f>IF(tblOrdenes[[#This Row],[centro_costo]]="","",_xlfn.XLOOKUP(tblOrdenes[[#This Row],[centro_costo]],tblCECO[codigo],tblCECO[coordinador],"(sin catálogo)"))</f>
        <v/>
      </c>
      <c r="W212" s="3">
        <f>IF(tblOrdenes[[#This Row],[puesto_trabajo]]="","",_xlfn.XLOOKUP(tblOrdenes[[#This Row],[puesto_trabajo]],tblPuestos[codigo],tblPuestos[especialidad],"(sin catálogo)"))</f>
        <v/>
      </c>
      <c r="X212" s="3">
        <f>IF(tblOrdenes[[#This Row],[cod_actividad]]="","",_xlfn.XLOOKUP(tblOrdenes[[#This Row],[cod_actividad]],tblActividades[codigo],tblActividades[descripcion],"(sin catálogo)"))</f>
        <v/>
      </c>
      <c r="Y212" s="12">
        <f>IF(tblOrdenes[[#This Row],[fecha_inicio]]="","",TODAY()-tblOrdenes[[#This Row],[fecha_inicio]])</f>
        <v/>
      </c>
      <c r="Z212" s="3">
        <f>IF(tblOrdenes[[#This Row],[backlog_dias]]="","",IF(tblOrdenes[[#This Row],[backlog_dias]]&lt;0,"FUTURO",IF(tblOrdenes[[#This Row],[backlog_dias]]&gt;p_dias_backlog_max,"BACKLOG","MES CORRIENTE")))</f>
        <v/>
      </c>
      <c r="AA212" s="3">
        <f>IF(tblOrdenes[[#This Row],[backlog_dias]]="",FALSE,AND(tblOrdenes[[#This Row],[backlog_dias]]&gt;p_dias_backlog_min,tblOrdenes[[#This Row],[backlog_dias]]&lt;=p_dias_backlog_max))</f>
        <v/>
      </c>
      <c r="AB212" s="6" t="n"/>
      <c r="AC2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2" s="10">
        <f>IF(tblOrdenes[[#This Row],[orden]]="","",_xlfn.XLOOKUP(tblOrdenes[[#This Row],[id_operacion]],tblEjecucion[id_operacion],tblEjecucion[precio],0))</f>
        <v/>
      </c>
      <c r="AG212" s="10">
        <f>IF(tblOrdenes[[#This Row],[orden]]="","",MAX(0,_xlfn.XLOOKUP(tblOrdenes[[#This Row],[id_operacion]],tblEjecucion[id_operacion],tblEjecucion[costo_plan_total],0)-tblOrdenes[[#This Row],[costo_servicio]]))</f>
        <v/>
      </c>
      <c r="AH212" s="10">
        <f>IF(tblOrdenes[[#This Row],[orden]]="","",tblOrdenes[[#This Row],[costo_servicio]]+tblOrdenes[[#This Row],[costo_materiales]])</f>
        <v/>
      </c>
      <c r="AI212" s="6" t="n"/>
      <c r="AJ212" s="6" t="n"/>
      <c r="AK212" s="6" t="n"/>
      <c r="AL212" s="3">
        <f>IF(tblOrdenes[[#This Row],[link_checklist]]="","",HYPERLINK(p_ruta_base_checklists&amp;tblOrdenes[[#This Row],[link_checklist]],"abrir"))</f>
        <v/>
      </c>
      <c r="AM212" s="6" t="n"/>
      <c r="AN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Row],[tipo_ot]]="","",_xlfn.XLOOKUP(tblOrdenes[[#This Row],[tipo_ot]],tblTiposOT[codigo],tblTiposOT[clasificacion],"sin_clasificar"))</f>
        <v/>
      </c>
      <c r="T213" s="3">
        <f>IF(tblOrdenes[[#This Row],[centro_costo]]="","",_xlfn.XLOOKUP(tblOrdenes[[#This Row],[centro_costo]],tblCECO[codigo],tblCECO[linea],"(sin catálogo)"))</f>
        <v/>
      </c>
      <c r="U213" s="3">
        <f>IF(tblOrdenes[[#This Row],[centro_costo]]="","",_xlfn.XLOOKUP(tblOrdenes[[#This Row],[centro_costo]],tblCECO[codigo],tblCECO[area],"(sin catálogo)"))</f>
        <v/>
      </c>
      <c r="V213" s="3">
        <f>IF(tblOrdenes[[#This Row],[centro_costo]]="","",_xlfn.XLOOKUP(tblOrdenes[[#This Row],[centro_costo]],tblCECO[codigo],tblCECO[coordinador],"(sin catálogo)"))</f>
        <v/>
      </c>
      <c r="W213" s="3">
        <f>IF(tblOrdenes[[#This Row],[puesto_trabajo]]="","",_xlfn.XLOOKUP(tblOrdenes[[#This Row],[puesto_trabajo]],tblPuestos[codigo],tblPuestos[especialidad],"(sin catálogo)"))</f>
        <v/>
      </c>
      <c r="X213" s="3">
        <f>IF(tblOrdenes[[#This Row],[cod_actividad]]="","",_xlfn.XLOOKUP(tblOrdenes[[#This Row],[cod_actividad]],tblActividades[codigo],tblActividades[descripcion],"(sin catálogo)"))</f>
        <v/>
      </c>
      <c r="Y213" s="12">
        <f>IF(tblOrdenes[[#This Row],[fecha_inicio]]="","",TODAY()-tblOrdenes[[#This Row],[fecha_inicio]])</f>
        <v/>
      </c>
      <c r="Z213" s="3">
        <f>IF(tblOrdenes[[#This Row],[backlog_dias]]="","",IF(tblOrdenes[[#This Row],[backlog_dias]]&lt;0,"FUTURO",IF(tblOrdenes[[#This Row],[backlog_dias]]&gt;p_dias_backlog_max,"BACKLOG","MES CORRIENTE")))</f>
        <v/>
      </c>
      <c r="AA213" s="3">
        <f>IF(tblOrdenes[[#This Row],[backlog_dias]]="",FALSE,AND(tblOrdenes[[#This Row],[backlog_dias]]&gt;p_dias_backlog_min,tblOrdenes[[#This Row],[backlog_dias]]&lt;=p_dias_backlog_max))</f>
        <v/>
      </c>
      <c r="AB213" s="6" t="n"/>
      <c r="AC2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3" s="10">
        <f>IF(tblOrdenes[[#This Row],[orden]]="","",_xlfn.XLOOKUP(tblOrdenes[[#This Row],[id_operacion]],tblEjecucion[id_operacion],tblEjecucion[precio],0))</f>
        <v/>
      </c>
      <c r="AG213" s="10">
        <f>IF(tblOrdenes[[#This Row],[orden]]="","",MAX(0,_xlfn.XLOOKUP(tblOrdenes[[#This Row],[id_operacion]],tblEjecucion[id_operacion],tblEjecucion[costo_plan_total],0)-tblOrdenes[[#This Row],[costo_servicio]]))</f>
        <v/>
      </c>
      <c r="AH213" s="10">
        <f>IF(tblOrdenes[[#This Row],[orden]]="","",tblOrdenes[[#This Row],[costo_servicio]]+tblOrdenes[[#This Row],[costo_materiales]])</f>
        <v/>
      </c>
      <c r="AI213" s="6" t="n"/>
      <c r="AJ213" s="6" t="n"/>
      <c r="AK213" s="6" t="n"/>
      <c r="AL213" s="3">
        <f>IF(tblOrdenes[[#This Row],[link_checklist]]="","",HYPERLINK(p_ruta_base_checklists&amp;tblOrdenes[[#This Row],[link_checklist]],"abrir"))</f>
        <v/>
      </c>
      <c r="AM213" s="6" t="n"/>
      <c r="AN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Row],[tipo_ot]]="","",_xlfn.XLOOKUP(tblOrdenes[[#This Row],[tipo_ot]],tblTiposOT[codigo],tblTiposOT[clasificacion],"sin_clasificar"))</f>
        <v/>
      </c>
      <c r="T214" s="3">
        <f>IF(tblOrdenes[[#This Row],[centro_costo]]="","",_xlfn.XLOOKUP(tblOrdenes[[#This Row],[centro_costo]],tblCECO[codigo],tblCECO[linea],"(sin catálogo)"))</f>
        <v/>
      </c>
      <c r="U214" s="3">
        <f>IF(tblOrdenes[[#This Row],[centro_costo]]="","",_xlfn.XLOOKUP(tblOrdenes[[#This Row],[centro_costo]],tblCECO[codigo],tblCECO[area],"(sin catálogo)"))</f>
        <v/>
      </c>
      <c r="V214" s="3">
        <f>IF(tblOrdenes[[#This Row],[centro_costo]]="","",_xlfn.XLOOKUP(tblOrdenes[[#This Row],[centro_costo]],tblCECO[codigo],tblCECO[coordinador],"(sin catálogo)"))</f>
        <v/>
      </c>
      <c r="W214" s="3">
        <f>IF(tblOrdenes[[#This Row],[puesto_trabajo]]="","",_xlfn.XLOOKUP(tblOrdenes[[#This Row],[puesto_trabajo]],tblPuestos[codigo],tblPuestos[especialidad],"(sin catálogo)"))</f>
        <v/>
      </c>
      <c r="X214" s="3">
        <f>IF(tblOrdenes[[#This Row],[cod_actividad]]="","",_xlfn.XLOOKUP(tblOrdenes[[#This Row],[cod_actividad]],tblActividades[codigo],tblActividades[descripcion],"(sin catálogo)"))</f>
        <v/>
      </c>
      <c r="Y214" s="12">
        <f>IF(tblOrdenes[[#This Row],[fecha_inicio]]="","",TODAY()-tblOrdenes[[#This Row],[fecha_inicio]])</f>
        <v/>
      </c>
      <c r="Z214" s="3">
        <f>IF(tblOrdenes[[#This Row],[backlog_dias]]="","",IF(tblOrdenes[[#This Row],[backlog_dias]]&lt;0,"FUTURO",IF(tblOrdenes[[#This Row],[backlog_dias]]&gt;p_dias_backlog_max,"BACKLOG","MES CORRIENTE")))</f>
        <v/>
      </c>
      <c r="AA214" s="3">
        <f>IF(tblOrdenes[[#This Row],[backlog_dias]]="",FALSE,AND(tblOrdenes[[#This Row],[backlog_dias]]&gt;p_dias_backlog_min,tblOrdenes[[#This Row],[backlog_dias]]&lt;=p_dias_backlog_max))</f>
        <v/>
      </c>
      <c r="AB214" s="6" t="n"/>
      <c r="AC2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4" s="10">
        <f>IF(tblOrdenes[[#This Row],[orden]]="","",_xlfn.XLOOKUP(tblOrdenes[[#This Row],[id_operacion]],tblEjecucion[id_operacion],tblEjecucion[precio],0))</f>
        <v/>
      </c>
      <c r="AG214" s="10">
        <f>IF(tblOrdenes[[#This Row],[orden]]="","",MAX(0,_xlfn.XLOOKUP(tblOrdenes[[#This Row],[id_operacion]],tblEjecucion[id_operacion],tblEjecucion[costo_plan_total],0)-tblOrdenes[[#This Row],[costo_servicio]]))</f>
        <v/>
      </c>
      <c r="AH214" s="10">
        <f>IF(tblOrdenes[[#This Row],[orden]]="","",tblOrdenes[[#This Row],[costo_servicio]]+tblOrdenes[[#This Row],[costo_materiales]])</f>
        <v/>
      </c>
      <c r="AI214" s="6" t="n"/>
      <c r="AJ214" s="6" t="n"/>
      <c r="AK214" s="6" t="n"/>
      <c r="AL214" s="3">
        <f>IF(tblOrdenes[[#This Row],[link_checklist]]="","",HYPERLINK(p_ruta_base_checklists&amp;tblOrdenes[[#This Row],[link_checklist]],"abrir"))</f>
        <v/>
      </c>
      <c r="AM214" s="6" t="n"/>
      <c r="AN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Row],[tipo_ot]]="","",_xlfn.XLOOKUP(tblOrdenes[[#This Row],[tipo_ot]],tblTiposOT[codigo],tblTiposOT[clasificacion],"sin_clasificar"))</f>
        <v/>
      </c>
      <c r="T215" s="3">
        <f>IF(tblOrdenes[[#This Row],[centro_costo]]="","",_xlfn.XLOOKUP(tblOrdenes[[#This Row],[centro_costo]],tblCECO[codigo],tblCECO[linea],"(sin catálogo)"))</f>
        <v/>
      </c>
      <c r="U215" s="3">
        <f>IF(tblOrdenes[[#This Row],[centro_costo]]="","",_xlfn.XLOOKUP(tblOrdenes[[#This Row],[centro_costo]],tblCECO[codigo],tblCECO[area],"(sin catálogo)"))</f>
        <v/>
      </c>
      <c r="V215" s="3">
        <f>IF(tblOrdenes[[#This Row],[centro_costo]]="","",_xlfn.XLOOKUP(tblOrdenes[[#This Row],[centro_costo]],tblCECO[codigo],tblCECO[coordinador],"(sin catálogo)"))</f>
        <v/>
      </c>
      <c r="W215" s="3">
        <f>IF(tblOrdenes[[#This Row],[puesto_trabajo]]="","",_xlfn.XLOOKUP(tblOrdenes[[#This Row],[puesto_trabajo]],tblPuestos[codigo],tblPuestos[especialidad],"(sin catálogo)"))</f>
        <v/>
      </c>
      <c r="X215" s="3">
        <f>IF(tblOrdenes[[#This Row],[cod_actividad]]="","",_xlfn.XLOOKUP(tblOrdenes[[#This Row],[cod_actividad]],tblActividades[codigo],tblActividades[descripcion],"(sin catálogo)"))</f>
        <v/>
      </c>
      <c r="Y215" s="12">
        <f>IF(tblOrdenes[[#This Row],[fecha_inicio]]="","",TODAY()-tblOrdenes[[#This Row],[fecha_inicio]])</f>
        <v/>
      </c>
      <c r="Z215" s="3">
        <f>IF(tblOrdenes[[#This Row],[backlog_dias]]="","",IF(tblOrdenes[[#This Row],[backlog_dias]]&lt;0,"FUTURO",IF(tblOrdenes[[#This Row],[backlog_dias]]&gt;p_dias_backlog_max,"BACKLOG","MES CORRIENTE")))</f>
        <v/>
      </c>
      <c r="AA215" s="3">
        <f>IF(tblOrdenes[[#This Row],[backlog_dias]]="",FALSE,AND(tblOrdenes[[#This Row],[backlog_dias]]&gt;p_dias_backlog_min,tblOrdenes[[#This Row],[backlog_dias]]&lt;=p_dias_backlog_max))</f>
        <v/>
      </c>
      <c r="AB215" s="6" t="n"/>
      <c r="AC2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5" s="10">
        <f>IF(tblOrdenes[[#This Row],[orden]]="","",_xlfn.XLOOKUP(tblOrdenes[[#This Row],[id_operacion]],tblEjecucion[id_operacion],tblEjecucion[precio],0))</f>
        <v/>
      </c>
      <c r="AG215" s="10">
        <f>IF(tblOrdenes[[#This Row],[orden]]="","",MAX(0,_xlfn.XLOOKUP(tblOrdenes[[#This Row],[id_operacion]],tblEjecucion[id_operacion],tblEjecucion[costo_plan_total],0)-tblOrdenes[[#This Row],[costo_servicio]]))</f>
        <v/>
      </c>
      <c r="AH215" s="10">
        <f>IF(tblOrdenes[[#This Row],[orden]]="","",tblOrdenes[[#This Row],[costo_servicio]]+tblOrdenes[[#This Row],[costo_materiales]])</f>
        <v/>
      </c>
      <c r="AI215" s="6" t="n"/>
      <c r="AJ215" s="6" t="n"/>
      <c r="AK215" s="6" t="n"/>
      <c r="AL215" s="3">
        <f>IF(tblOrdenes[[#This Row],[link_checklist]]="","",HYPERLINK(p_ruta_base_checklists&amp;tblOrdenes[[#This Row],[link_checklist]],"abrir"))</f>
        <v/>
      </c>
      <c r="AM215" s="6" t="n"/>
      <c r="AN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Row],[tipo_ot]]="","",_xlfn.XLOOKUP(tblOrdenes[[#This Row],[tipo_ot]],tblTiposOT[codigo],tblTiposOT[clasificacion],"sin_clasificar"))</f>
        <v/>
      </c>
      <c r="T216" s="3">
        <f>IF(tblOrdenes[[#This Row],[centro_costo]]="","",_xlfn.XLOOKUP(tblOrdenes[[#This Row],[centro_costo]],tblCECO[codigo],tblCECO[linea],"(sin catálogo)"))</f>
        <v/>
      </c>
      <c r="U216" s="3">
        <f>IF(tblOrdenes[[#This Row],[centro_costo]]="","",_xlfn.XLOOKUP(tblOrdenes[[#This Row],[centro_costo]],tblCECO[codigo],tblCECO[area],"(sin catálogo)"))</f>
        <v/>
      </c>
      <c r="V216" s="3">
        <f>IF(tblOrdenes[[#This Row],[centro_costo]]="","",_xlfn.XLOOKUP(tblOrdenes[[#This Row],[centro_costo]],tblCECO[codigo],tblCECO[coordinador],"(sin catálogo)"))</f>
        <v/>
      </c>
      <c r="W216" s="3">
        <f>IF(tblOrdenes[[#This Row],[puesto_trabajo]]="","",_xlfn.XLOOKUP(tblOrdenes[[#This Row],[puesto_trabajo]],tblPuestos[codigo],tblPuestos[especialidad],"(sin catálogo)"))</f>
        <v/>
      </c>
      <c r="X216" s="3">
        <f>IF(tblOrdenes[[#This Row],[cod_actividad]]="","",_xlfn.XLOOKUP(tblOrdenes[[#This Row],[cod_actividad]],tblActividades[codigo],tblActividades[descripcion],"(sin catálogo)"))</f>
        <v/>
      </c>
      <c r="Y216" s="12">
        <f>IF(tblOrdenes[[#This Row],[fecha_inicio]]="","",TODAY()-tblOrdenes[[#This Row],[fecha_inicio]])</f>
        <v/>
      </c>
      <c r="Z216" s="3">
        <f>IF(tblOrdenes[[#This Row],[backlog_dias]]="","",IF(tblOrdenes[[#This Row],[backlog_dias]]&lt;0,"FUTURO",IF(tblOrdenes[[#This Row],[backlog_dias]]&gt;p_dias_backlog_max,"BACKLOG","MES CORRIENTE")))</f>
        <v/>
      </c>
      <c r="AA216" s="3">
        <f>IF(tblOrdenes[[#This Row],[backlog_dias]]="",FALSE,AND(tblOrdenes[[#This Row],[backlog_dias]]&gt;p_dias_backlog_min,tblOrdenes[[#This Row],[backlog_dias]]&lt;=p_dias_backlog_max))</f>
        <v/>
      </c>
      <c r="AB216" s="6" t="n"/>
      <c r="AC2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6" s="10">
        <f>IF(tblOrdenes[[#This Row],[orden]]="","",_xlfn.XLOOKUP(tblOrdenes[[#This Row],[id_operacion]],tblEjecucion[id_operacion],tblEjecucion[precio],0))</f>
        <v/>
      </c>
      <c r="AG216" s="10">
        <f>IF(tblOrdenes[[#This Row],[orden]]="","",MAX(0,_xlfn.XLOOKUP(tblOrdenes[[#This Row],[id_operacion]],tblEjecucion[id_operacion],tblEjecucion[costo_plan_total],0)-tblOrdenes[[#This Row],[costo_servicio]]))</f>
        <v/>
      </c>
      <c r="AH216" s="10">
        <f>IF(tblOrdenes[[#This Row],[orden]]="","",tblOrdenes[[#This Row],[costo_servicio]]+tblOrdenes[[#This Row],[costo_materiales]])</f>
        <v/>
      </c>
      <c r="AI216" s="6" t="n"/>
      <c r="AJ216" s="6" t="n"/>
      <c r="AK216" s="6" t="n"/>
      <c r="AL216" s="3">
        <f>IF(tblOrdenes[[#This Row],[link_checklist]]="","",HYPERLINK(p_ruta_base_checklists&amp;tblOrdenes[[#This Row],[link_checklist]],"abrir"))</f>
        <v/>
      </c>
      <c r="AM216" s="6" t="n"/>
      <c r="AN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Row],[tipo_ot]]="","",_xlfn.XLOOKUP(tblOrdenes[[#This Row],[tipo_ot]],tblTiposOT[codigo],tblTiposOT[clasificacion],"sin_clasificar"))</f>
        <v/>
      </c>
      <c r="T217" s="3">
        <f>IF(tblOrdenes[[#This Row],[centro_costo]]="","",_xlfn.XLOOKUP(tblOrdenes[[#This Row],[centro_costo]],tblCECO[codigo],tblCECO[linea],"(sin catálogo)"))</f>
        <v/>
      </c>
      <c r="U217" s="3">
        <f>IF(tblOrdenes[[#This Row],[centro_costo]]="","",_xlfn.XLOOKUP(tblOrdenes[[#This Row],[centro_costo]],tblCECO[codigo],tblCECO[area],"(sin catálogo)"))</f>
        <v/>
      </c>
      <c r="V217" s="3">
        <f>IF(tblOrdenes[[#This Row],[centro_costo]]="","",_xlfn.XLOOKUP(tblOrdenes[[#This Row],[centro_costo]],tblCECO[codigo],tblCECO[coordinador],"(sin catálogo)"))</f>
        <v/>
      </c>
      <c r="W217" s="3">
        <f>IF(tblOrdenes[[#This Row],[puesto_trabajo]]="","",_xlfn.XLOOKUP(tblOrdenes[[#This Row],[puesto_trabajo]],tblPuestos[codigo],tblPuestos[especialidad],"(sin catálogo)"))</f>
        <v/>
      </c>
      <c r="X217" s="3">
        <f>IF(tblOrdenes[[#This Row],[cod_actividad]]="","",_xlfn.XLOOKUP(tblOrdenes[[#This Row],[cod_actividad]],tblActividades[codigo],tblActividades[descripcion],"(sin catálogo)"))</f>
        <v/>
      </c>
      <c r="Y217" s="12">
        <f>IF(tblOrdenes[[#This Row],[fecha_inicio]]="","",TODAY()-tblOrdenes[[#This Row],[fecha_inicio]])</f>
        <v/>
      </c>
      <c r="Z217" s="3">
        <f>IF(tblOrdenes[[#This Row],[backlog_dias]]="","",IF(tblOrdenes[[#This Row],[backlog_dias]]&lt;0,"FUTURO",IF(tblOrdenes[[#This Row],[backlog_dias]]&gt;p_dias_backlog_max,"BACKLOG","MES CORRIENTE")))</f>
        <v/>
      </c>
      <c r="AA217" s="3">
        <f>IF(tblOrdenes[[#This Row],[backlog_dias]]="",FALSE,AND(tblOrdenes[[#This Row],[backlog_dias]]&gt;p_dias_backlog_min,tblOrdenes[[#This Row],[backlog_dias]]&lt;=p_dias_backlog_max))</f>
        <v/>
      </c>
      <c r="AB217" s="6" t="n"/>
      <c r="AC2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7" s="10">
        <f>IF(tblOrdenes[[#This Row],[orden]]="","",_xlfn.XLOOKUP(tblOrdenes[[#This Row],[id_operacion]],tblEjecucion[id_operacion],tblEjecucion[precio],0))</f>
        <v/>
      </c>
      <c r="AG217" s="10">
        <f>IF(tblOrdenes[[#This Row],[orden]]="","",MAX(0,_xlfn.XLOOKUP(tblOrdenes[[#This Row],[id_operacion]],tblEjecucion[id_operacion],tblEjecucion[costo_plan_total],0)-tblOrdenes[[#This Row],[costo_servicio]]))</f>
        <v/>
      </c>
      <c r="AH217" s="10">
        <f>IF(tblOrdenes[[#This Row],[orden]]="","",tblOrdenes[[#This Row],[costo_servicio]]+tblOrdenes[[#This Row],[costo_materiales]])</f>
        <v/>
      </c>
      <c r="AI217" s="6" t="n"/>
      <c r="AJ217" s="6" t="n"/>
      <c r="AK217" s="6" t="n"/>
      <c r="AL217" s="3">
        <f>IF(tblOrdenes[[#This Row],[link_checklist]]="","",HYPERLINK(p_ruta_base_checklists&amp;tblOrdenes[[#This Row],[link_checklist]],"abrir"))</f>
        <v/>
      </c>
      <c r="AM217" s="6" t="n"/>
      <c r="AN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Row],[tipo_ot]]="","",_xlfn.XLOOKUP(tblOrdenes[[#This Row],[tipo_ot]],tblTiposOT[codigo],tblTiposOT[clasificacion],"sin_clasificar"))</f>
        <v/>
      </c>
      <c r="T218" s="3">
        <f>IF(tblOrdenes[[#This Row],[centro_costo]]="","",_xlfn.XLOOKUP(tblOrdenes[[#This Row],[centro_costo]],tblCECO[codigo],tblCECO[linea],"(sin catálogo)"))</f>
        <v/>
      </c>
      <c r="U218" s="3">
        <f>IF(tblOrdenes[[#This Row],[centro_costo]]="","",_xlfn.XLOOKUP(tblOrdenes[[#This Row],[centro_costo]],tblCECO[codigo],tblCECO[area],"(sin catálogo)"))</f>
        <v/>
      </c>
      <c r="V218" s="3">
        <f>IF(tblOrdenes[[#This Row],[centro_costo]]="","",_xlfn.XLOOKUP(tblOrdenes[[#This Row],[centro_costo]],tblCECO[codigo],tblCECO[coordinador],"(sin catálogo)"))</f>
        <v/>
      </c>
      <c r="W218" s="3">
        <f>IF(tblOrdenes[[#This Row],[puesto_trabajo]]="","",_xlfn.XLOOKUP(tblOrdenes[[#This Row],[puesto_trabajo]],tblPuestos[codigo],tblPuestos[especialidad],"(sin catálogo)"))</f>
        <v/>
      </c>
      <c r="X218" s="3">
        <f>IF(tblOrdenes[[#This Row],[cod_actividad]]="","",_xlfn.XLOOKUP(tblOrdenes[[#This Row],[cod_actividad]],tblActividades[codigo],tblActividades[descripcion],"(sin catálogo)"))</f>
        <v/>
      </c>
      <c r="Y218" s="12">
        <f>IF(tblOrdenes[[#This Row],[fecha_inicio]]="","",TODAY()-tblOrdenes[[#This Row],[fecha_inicio]])</f>
        <v/>
      </c>
      <c r="Z218" s="3">
        <f>IF(tblOrdenes[[#This Row],[backlog_dias]]="","",IF(tblOrdenes[[#This Row],[backlog_dias]]&lt;0,"FUTURO",IF(tblOrdenes[[#This Row],[backlog_dias]]&gt;p_dias_backlog_max,"BACKLOG","MES CORRIENTE")))</f>
        <v/>
      </c>
      <c r="AA218" s="3">
        <f>IF(tblOrdenes[[#This Row],[backlog_dias]]="",FALSE,AND(tblOrdenes[[#This Row],[backlog_dias]]&gt;p_dias_backlog_min,tblOrdenes[[#This Row],[backlog_dias]]&lt;=p_dias_backlog_max))</f>
        <v/>
      </c>
      <c r="AB218" s="6" t="n"/>
      <c r="AC2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8" s="10">
        <f>IF(tblOrdenes[[#This Row],[orden]]="","",_xlfn.XLOOKUP(tblOrdenes[[#This Row],[id_operacion]],tblEjecucion[id_operacion],tblEjecucion[precio],0))</f>
        <v/>
      </c>
      <c r="AG218" s="10">
        <f>IF(tblOrdenes[[#This Row],[orden]]="","",MAX(0,_xlfn.XLOOKUP(tblOrdenes[[#This Row],[id_operacion]],tblEjecucion[id_operacion],tblEjecucion[costo_plan_total],0)-tblOrdenes[[#This Row],[costo_servicio]]))</f>
        <v/>
      </c>
      <c r="AH218" s="10">
        <f>IF(tblOrdenes[[#This Row],[orden]]="","",tblOrdenes[[#This Row],[costo_servicio]]+tblOrdenes[[#This Row],[costo_materiales]])</f>
        <v/>
      </c>
      <c r="AI218" s="6" t="n"/>
      <c r="AJ218" s="6" t="n"/>
      <c r="AK218" s="6" t="n"/>
      <c r="AL218" s="3">
        <f>IF(tblOrdenes[[#This Row],[link_checklist]]="","",HYPERLINK(p_ruta_base_checklists&amp;tblOrdenes[[#This Row],[link_checklist]],"abrir"))</f>
        <v/>
      </c>
      <c r="AM218" s="6" t="n"/>
      <c r="AN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Row],[tipo_ot]]="","",_xlfn.XLOOKUP(tblOrdenes[[#This Row],[tipo_ot]],tblTiposOT[codigo],tblTiposOT[clasificacion],"sin_clasificar"))</f>
        <v/>
      </c>
      <c r="T219" s="3">
        <f>IF(tblOrdenes[[#This Row],[centro_costo]]="","",_xlfn.XLOOKUP(tblOrdenes[[#This Row],[centro_costo]],tblCECO[codigo],tblCECO[linea],"(sin catálogo)"))</f>
        <v/>
      </c>
      <c r="U219" s="3">
        <f>IF(tblOrdenes[[#This Row],[centro_costo]]="","",_xlfn.XLOOKUP(tblOrdenes[[#This Row],[centro_costo]],tblCECO[codigo],tblCECO[area],"(sin catálogo)"))</f>
        <v/>
      </c>
      <c r="V219" s="3">
        <f>IF(tblOrdenes[[#This Row],[centro_costo]]="","",_xlfn.XLOOKUP(tblOrdenes[[#This Row],[centro_costo]],tblCECO[codigo],tblCECO[coordinador],"(sin catálogo)"))</f>
        <v/>
      </c>
      <c r="W219" s="3">
        <f>IF(tblOrdenes[[#This Row],[puesto_trabajo]]="","",_xlfn.XLOOKUP(tblOrdenes[[#This Row],[puesto_trabajo]],tblPuestos[codigo],tblPuestos[especialidad],"(sin catálogo)"))</f>
        <v/>
      </c>
      <c r="X219" s="3">
        <f>IF(tblOrdenes[[#This Row],[cod_actividad]]="","",_xlfn.XLOOKUP(tblOrdenes[[#This Row],[cod_actividad]],tblActividades[codigo],tblActividades[descripcion],"(sin catálogo)"))</f>
        <v/>
      </c>
      <c r="Y219" s="12">
        <f>IF(tblOrdenes[[#This Row],[fecha_inicio]]="","",TODAY()-tblOrdenes[[#This Row],[fecha_inicio]])</f>
        <v/>
      </c>
      <c r="Z219" s="3">
        <f>IF(tblOrdenes[[#This Row],[backlog_dias]]="","",IF(tblOrdenes[[#This Row],[backlog_dias]]&lt;0,"FUTURO",IF(tblOrdenes[[#This Row],[backlog_dias]]&gt;p_dias_backlog_max,"BACKLOG","MES CORRIENTE")))</f>
        <v/>
      </c>
      <c r="AA219" s="3">
        <f>IF(tblOrdenes[[#This Row],[backlog_dias]]="",FALSE,AND(tblOrdenes[[#This Row],[backlog_dias]]&gt;p_dias_backlog_min,tblOrdenes[[#This Row],[backlog_dias]]&lt;=p_dias_backlog_max))</f>
        <v/>
      </c>
      <c r="AB219" s="6" t="n"/>
      <c r="AC2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9" s="10">
        <f>IF(tblOrdenes[[#This Row],[orden]]="","",_xlfn.XLOOKUP(tblOrdenes[[#This Row],[id_operacion]],tblEjecucion[id_operacion],tblEjecucion[precio],0))</f>
        <v/>
      </c>
      <c r="AG219" s="10">
        <f>IF(tblOrdenes[[#This Row],[orden]]="","",MAX(0,_xlfn.XLOOKUP(tblOrdenes[[#This Row],[id_operacion]],tblEjecucion[id_operacion],tblEjecucion[costo_plan_total],0)-tblOrdenes[[#This Row],[costo_servicio]]))</f>
        <v/>
      </c>
      <c r="AH219" s="10">
        <f>IF(tblOrdenes[[#This Row],[orden]]="","",tblOrdenes[[#This Row],[costo_servicio]]+tblOrdenes[[#This Row],[costo_materiales]])</f>
        <v/>
      </c>
      <c r="AI219" s="6" t="n"/>
      <c r="AJ219" s="6" t="n"/>
      <c r="AK219" s="6" t="n"/>
      <c r="AL219" s="3">
        <f>IF(tblOrdenes[[#This Row],[link_checklist]]="","",HYPERLINK(p_ruta_base_checklists&amp;tblOrdenes[[#This Row],[link_checklist]],"abrir"))</f>
        <v/>
      </c>
      <c r="AM219" s="6" t="n"/>
      <c r="AN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Row],[tipo_ot]]="","",_xlfn.XLOOKUP(tblOrdenes[[#This Row],[tipo_ot]],tblTiposOT[codigo],tblTiposOT[clasificacion],"sin_clasificar"))</f>
        <v/>
      </c>
      <c r="T220" s="3">
        <f>IF(tblOrdenes[[#This Row],[centro_costo]]="","",_xlfn.XLOOKUP(tblOrdenes[[#This Row],[centro_costo]],tblCECO[codigo],tblCECO[linea],"(sin catálogo)"))</f>
        <v/>
      </c>
      <c r="U220" s="3">
        <f>IF(tblOrdenes[[#This Row],[centro_costo]]="","",_xlfn.XLOOKUP(tblOrdenes[[#This Row],[centro_costo]],tblCECO[codigo],tblCECO[area],"(sin catálogo)"))</f>
        <v/>
      </c>
      <c r="V220" s="3">
        <f>IF(tblOrdenes[[#This Row],[centro_costo]]="","",_xlfn.XLOOKUP(tblOrdenes[[#This Row],[centro_costo]],tblCECO[codigo],tblCECO[coordinador],"(sin catálogo)"))</f>
        <v/>
      </c>
      <c r="W220" s="3">
        <f>IF(tblOrdenes[[#This Row],[puesto_trabajo]]="","",_xlfn.XLOOKUP(tblOrdenes[[#This Row],[puesto_trabajo]],tblPuestos[codigo],tblPuestos[especialidad],"(sin catálogo)"))</f>
        <v/>
      </c>
      <c r="X220" s="3">
        <f>IF(tblOrdenes[[#This Row],[cod_actividad]]="","",_xlfn.XLOOKUP(tblOrdenes[[#This Row],[cod_actividad]],tblActividades[codigo],tblActividades[descripcion],"(sin catálogo)"))</f>
        <v/>
      </c>
      <c r="Y220" s="12">
        <f>IF(tblOrdenes[[#This Row],[fecha_inicio]]="","",TODAY()-tblOrdenes[[#This Row],[fecha_inicio]])</f>
        <v/>
      </c>
      <c r="Z220" s="3">
        <f>IF(tblOrdenes[[#This Row],[backlog_dias]]="","",IF(tblOrdenes[[#This Row],[backlog_dias]]&lt;0,"FUTURO",IF(tblOrdenes[[#This Row],[backlog_dias]]&gt;p_dias_backlog_max,"BACKLOG","MES CORRIENTE")))</f>
        <v/>
      </c>
      <c r="AA220" s="3">
        <f>IF(tblOrdenes[[#This Row],[backlog_dias]]="",FALSE,AND(tblOrdenes[[#This Row],[backlog_dias]]&gt;p_dias_backlog_min,tblOrdenes[[#This Row],[backlog_dias]]&lt;=p_dias_backlog_max))</f>
        <v/>
      </c>
      <c r="AB220" s="6" t="n"/>
      <c r="AC2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0" s="10">
        <f>IF(tblOrdenes[[#This Row],[orden]]="","",_xlfn.XLOOKUP(tblOrdenes[[#This Row],[id_operacion]],tblEjecucion[id_operacion],tblEjecucion[precio],0))</f>
        <v/>
      </c>
      <c r="AG220" s="10">
        <f>IF(tblOrdenes[[#This Row],[orden]]="","",MAX(0,_xlfn.XLOOKUP(tblOrdenes[[#This Row],[id_operacion]],tblEjecucion[id_operacion],tblEjecucion[costo_plan_total],0)-tblOrdenes[[#This Row],[costo_servicio]]))</f>
        <v/>
      </c>
      <c r="AH220" s="10">
        <f>IF(tblOrdenes[[#This Row],[orden]]="","",tblOrdenes[[#This Row],[costo_servicio]]+tblOrdenes[[#This Row],[costo_materiales]])</f>
        <v/>
      </c>
      <c r="AI220" s="6" t="n"/>
      <c r="AJ220" s="6" t="n"/>
      <c r="AK220" s="6" t="n"/>
      <c r="AL220" s="3">
        <f>IF(tblOrdenes[[#This Row],[link_checklist]]="","",HYPERLINK(p_ruta_base_checklists&amp;tblOrdenes[[#This Row],[link_checklist]],"abrir"))</f>
        <v/>
      </c>
      <c r="AM220" s="6" t="n"/>
      <c r="AN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Row],[tipo_ot]]="","",_xlfn.XLOOKUP(tblOrdenes[[#This Row],[tipo_ot]],tblTiposOT[codigo],tblTiposOT[clasificacion],"sin_clasificar"))</f>
        <v/>
      </c>
      <c r="T221" s="3">
        <f>IF(tblOrdenes[[#This Row],[centro_costo]]="","",_xlfn.XLOOKUP(tblOrdenes[[#This Row],[centro_costo]],tblCECO[codigo],tblCECO[linea],"(sin catálogo)"))</f>
        <v/>
      </c>
      <c r="U221" s="3">
        <f>IF(tblOrdenes[[#This Row],[centro_costo]]="","",_xlfn.XLOOKUP(tblOrdenes[[#This Row],[centro_costo]],tblCECO[codigo],tblCECO[area],"(sin catálogo)"))</f>
        <v/>
      </c>
      <c r="V221" s="3">
        <f>IF(tblOrdenes[[#This Row],[centro_costo]]="","",_xlfn.XLOOKUP(tblOrdenes[[#This Row],[centro_costo]],tblCECO[codigo],tblCECO[coordinador],"(sin catálogo)"))</f>
        <v/>
      </c>
      <c r="W221" s="3">
        <f>IF(tblOrdenes[[#This Row],[puesto_trabajo]]="","",_xlfn.XLOOKUP(tblOrdenes[[#This Row],[puesto_trabajo]],tblPuestos[codigo],tblPuestos[especialidad],"(sin catálogo)"))</f>
        <v/>
      </c>
      <c r="X221" s="3">
        <f>IF(tblOrdenes[[#This Row],[cod_actividad]]="","",_xlfn.XLOOKUP(tblOrdenes[[#This Row],[cod_actividad]],tblActividades[codigo],tblActividades[descripcion],"(sin catálogo)"))</f>
        <v/>
      </c>
      <c r="Y221" s="12">
        <f>IF(tblOrdenes[[#This Row],[fecha_inicio]]="","",TODAY()-tblOrdenes[[#This Row],[fecha_inicio]])</f>
        <v/>
      </c>
      <c r="Z221" s="3">
        <f>IF(tblOrdenes[[#This Row],[backlog_dias]]="","",IF(tblOrdenes[[#This Row],[backlog_dias]]&lt;0,"FUTURO",IF(tblOrdenes[[#This Row],[backlog_dias]]&gt;p_dias_backlog_max,"BACKLOG","MES CORRIENTE")))</f>
        <v/>
      </c>
      <c r="AA221" s="3">
        <f>IF(tblOrdenes[[#This Row],[backlog_dias]]="",FALSE,AND(tblOrdenes[[#This Row],[backlog_dias]]&gt;p_dias_backlog_min,tblOrdenes[[#This Row],[backlog_dias]]&lt;=p_dias_backlog_max))</f>
        <v/>
      </c>
      <c r="AB221" s="6" t="n"/>
      <c r="AC2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1" s="10">
        <f>IF(tblOrdenes[[#This Row],[orden]]="","",_xlfn.XLOOKUP(tblOrdenes[[#This Row],[id_operacion]],tblEjecucion[id_operacion],tblEjecucion[precio],0))</f>
        <v/>
      </c>
      <c r="AG221" s="10">
        <f>IF(tblOrdenes[[#This Row],[orden]]="","",MAX(0,_xlfn.XLOOKUP(tblOrdenes[[#This Row],[id_operacion]],tblEjecucion[id_operacion],tblEjecucion[costo_plan_total],0)-tblOrdenes[[#This Row],[costo_servicio]]))</f>
        <v/>
      </c>
      <c r="AH221" s="10">
        <f>IF(tblOrdenes[[#This Row],[orden]]="","",tblOrdenes[[#This Row],[costo_servicio]]+tblOrdenes[[#This Row],[costo_materiales]])</f>
        <v/>
      </c>
      <c r="AI221" s="6" t="n"/>
      <c r="AJ221" s="6" t="n"/>
      <c r="AK221" s="6" t="n"/>
      <c r="AL221" s="3">
        <f>IF(tblOrdenes[[#This Row],[link_checklist]]="","",HYPERLINK(p_ruta_base_checklists&amp;tblOrdenes[[#This Row],[link_checklist]],"abrir"))</f>
        <v/>
      </c>
      <c r="AM221" s="6" t="n"/>
      <c r="AN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Row],[tipo_ot]]="","",_xlfn.XLOOKUP(tblOrdenes[[#This Row],[tipo_ot]],tblTiposOT[codigo],tblTiposOT[clasificacion],"sin_clasificar"))</f>
        <v/>
      </c>
      <c r="T222" s="3">
        <f>IF(tblOrdenes[[#This Row],[centro_costo]]="","",_xlfn.XLOOKUP(tblOrdenes[[#This Row],[centro_costo]],tblCECO[codigo],tblCECO[linea],"(sin catálogo)"))</f>
        <v/>
      </c>
      <c r="U222" s="3">
        <f>IF(tblOrdenes[[#This Row],[centro_costo]]="","",_xlfn.XLOOKUP(tblOrdenes[[#This Row],[centro_costo]],tblCECO[codigo],tblCECO[area],"(sin catálogo)"))</f>
        <v/>
      </c>
      <c r="V222" s="3">
        <f>IF(tblOrdenes[[#This Row],[centro_costo]]="","",_xlfn.XLOOKUP(tblOrdenes[[#This Row],[centro_costo]],tblCECO[codigo],tblCECO[coordinador],"(sin catálogo)"))</f>
        <v/>
      </c>
      <c r="W222" s="3">
        <f>IF(tblOrdenes[[#This Row],[puesto_trabajo]]="","",_xlfn.XLOOKUP(tblOrdenes[[#This Row],[puesto_trabajo]],tblPuestos[codigo],tblPuestos[especialidad],"(sin catálogo)"))</f>
        <v/>
      </c>
      <c r="X222" s="3">
        <f>IF(tblOrdenes[[#This Row],[cod_actividad]]="","",_xlfn.XLOOKUP(tblOrdenes[[#This Row],[cod_actividad]],tblActividades[codigo],tblActividades[descripcion],"(sin catálogo)"))</f>
        <v/>
      </c>
      <c r="Y222" s="12">
        <f>IF(tblOrdenes[[#This Row],[fecha_inicio]]="","",TODAY()-tblOrdenes[[#This Row],[fecha_inicio]])</f>
        <v/>
      </c>
      <c r="Z222" s="3">
        <f>IF(tblOrdenes[[#This Row],[backlog_dias]]="","",IF(tblOrdenes[[#This Row],[backlog_dias]]&lt;0,"FUTURO",IF(tblOrdenes[[#This Row],[backlog_dias]]&gt;p_dias_backlog_max,"BACKLOG","MES CORRIENTE")))</f>
        <v/>
      </c>
      <c r="AA222" s="3">
        <f>IF(tblOrdenes[[#This Row],[backlog_dias]]="",FALSE,AND(tblOrdenes[[#This Row],[backlog_dias]]&gt;p_dias_backlog_min,tblOrdenes[[#This Row],[backlog_dias]]&lt;=p_dias_backlog_max))</f>
        <v/>
      </c>
      <c r="AB222" s="6" t="n"/>
      <c r="AC2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2" s="10">
        <f>IF(tblOrdenes[[#This Row],[orden]]="","",_xlfn.XLOOKUP(tblOrdenes[[#This Row],[id_operacion]],tblEjecucion[id_operacion],tblEjecucion[precio],0))</f>
        <v/>
      </c>
      <c r="AG222" s="10">
        <f>IF(tblOrdenes[[#This Row],[orden]]="","",MAX(0,_xlfn.XLOOKUP(tblOrdenes[[#This Row],[id_operacion]],tblEjecucion[id_operacion],tblEjecucion[costo_plan_total],0)-tblOrdenes[[#This Row],[costo_servicio]]))</f>
        <v/>
      </c>
      <c r="AH222" s="10">
        <f>IF(tblOrdenes[[#This Row],[orden]]="","",tblOrdenes[[#This Row],[costo_servicio]]+tblOrdenes[[#This Row],[costo_materiales]])</f>
        <v/>
      </c>
      <c r="AI222" s="6" t="n"/>
      <c r="AJ222" s="6" t="n"/>
      <c r="AK222" s="6" t="n"/>
      <c r="AL222" s="3">
        <f>IF(tblOrdenes[[#This Row],[link_checklist]]="","",HYPERLINK(p_ruta_base_checklists&amp;tblOrdenes[[#This Row],[link_checklist]],"abrir"))</f>
        <v/>
      </c>
      <c r="AM222" s="6" t="n"/>
      <c r="AN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Row],[tipo_ot]]="","",_xlfn.XLOOKUP(tblOrdenes[[#This Row],[tipo_ot]],tblTiposOT[codigo],tblTiposOT[clasificacion],"sin_clasificar"))</f>
        <v/>
      </c>
      <c r="T223" s="3">
        <f>IF(tblOrdenes[[#This Row],[centro_costo]]="","",_xlfn.XLOOKUP(tblOrdenes[[#This Row],[centro_costo]],tblCECO[codigo],tblCECO[linea],"(sin catálogo)"))</f>
        <v/>
      </c>
      <c r="U223" s="3">
        <f>IF(tblOrdenes[[#This Row],[centro_costo]]="","",_xlfn.XLOOKUP(tblOrdenes[[#This Row],[centro_costo]],tblCECO[codigo],tblCECO[area],"(sin catálogo)"))</f>
        <v/>
      </c>
      <c r="V223" s="3">
        <f>IF(tblOrdenes[[#This Row],[centro_costo]]="","",_xlfn.XLOOKUP(tblOrdenes[[#This Row],[centro_costo]],tblCECO[codigo],tblCECO[coordinador],"(sin catálogo)"))</f>
        <v/>
      </c>
      <c r="W223" s="3">
        <f>IF(tblOrdenes[[#This Row],[puesto_trabajo]]="","",_xlfn.XLOOKUP(tblOrdenes[[#This Row],[puesto_trabajo]],tblPuestos[codigo],tblPuestos[especialidad],"(sin catálogo)"))</f>
        <v/>
      </c>
      <c r="X223" s="3">
        <f>IF(tblOrdenes[[#This Row],[cod_actividad]]="","",_xlfn.XLOOKUP(tblOrdenes[[#This Row],[cod_actividad]],tblActividades[codigo],tblActividades[descripcion],"(sin catálogo)"))</f>
        <v/>
      </c>
      <c r="Y223" s="12">
        <f>IF(tblOrdenes[[#This Row],[fecha_inicio]]="","",TODAY()-tblOrdenes[[#This Row],[fecha_inicio]])</f>
        <v/>
      </c>
      <c r="Z223" s="3">
        <f>IF(tblOrdenes[[#This Row],[backlog_dias]]="","",IF(tblOrdenes[[#This Row],[backlog_dias]]&lt;0,"FUTURO",IF(tblOrdenes[[#This Row],[backlog_dias]]&gt;p_dias_backlog_max,"BACKLOG","MES CORRIENTE")))</f>
        <v/>
      </c>
      <c r="AA223" s="3">
        <f>IF(tblOrdenes[[#This Row],[backlog_dias]]="",FALSE,AND(tblOrdenes[[#This Row],[backlog_dias]]&gt;p_dias_backlog_min,tblOrdenes[[#This Row],[backlog_dias]]&lt;=p_dias_backlog_max))</f>
        <v/>
      </c>
      <c r="AB223" s="6" t="n"/>
      <c r="AC2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3" s="10">
        <f>IF(tblOrdenes[[#This Row],[orden]]="","",_xlfn.XLOOKUP(tblOrdenes[[#This Row],[id_operacion]],tblEjecucion[id_operacion],tblEjecucion[precio],0))</f>
        <v/>
      </c>
      <c r="AG223" s="10">
        <f>IF(tblOrdenes[[#This Row],[orden]]="","",MAX(0,_xlfn.XLOOKUP(tblOrdenes[[#This Row],[id_operacion]],tblEjecucion[id_operacion],tblEjecucion[costo_plan_total],0)-tblOrdenes[[#This Row],[costo_servicio]]))</f>
        <v/>
      </c>
      <c r="AH223" s="10">
        <f>IF(tblOrdenes[[#This Row],[orden]]="","",tblOrdenes[[#This Row],[costo_servicio]]+tblOrdenes[[#This Row],[costo_materiales]])</f>
        <v/>
      </c>
      <c r="AI223" s="6" t="n"/>
      <c r="AJ223" s="6" t="n"/>
      <c r="AK223" s="6" t="n"/>
      <c r="AL223" s="3">
        <f>IF(tblOrdenes[[#This Row],[link_checklist]]="","",HYPERLINK(p_ruta_base_checklists&amp;tblOrdenes[[#This Row],[link_checklist]],"abrir"))</f>
        <v/>
      </c>
      <c r="AM223" s="6" t="n"/>
      <c r="AN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Row],[tipo_ot]]="","",_xlfn.XLOOKUP(tblOrdenes[[#This Row],[tipo_ot]],tblTiposOT[codigo],tblTiposOT[clasificacion],"sin_clasificar"))</f>
        <v/>
      </c>
      <c r="T224" s="3">
        <f>IF(tblOrdenes[[#This Row],[centro_costo]]="","",_xlfn.XLOOKUP(tblOrdenes[[#This Row],[centro_costo]],tblCECO[codigo],tblCECO[linea],"(sin catálogo)"))</f>
        <v/>
      </c>
      <c r="U224" s="3">
        <f>IF(tblOrdenes[[#This Row],[centro_costo]]="","",_xlfn.XLOOKUP(tblOrdenes[[#This Row],[centro_costo]],tblCECO[codigo],tblCECO[area],"(sin catálogo)"))</f>
        <v/>
      </c>
      <c r="V224" s="3">
        <f>IF(tblOrdenes[[#This Row],[centro_costo]]="","",_xlfn.XLOOKUP(tblOrdenes[[#This Row],[centro_costo]],tblCECO[codigo],tblCECO[coordinador],"(sin catálogo)"))</f>
        <v/>
      </c>
      <c r="W224" s="3">
        <f>IF(tblOrdenes[[#This Row],[puesto_trabajo]]="","",_xlfn.XLOOKUP(tblOrdenes[[#This Row],[puesto_trabajo]],tblPuestos[codigo],tblPuestos[especialidad],"(sin catálogo)"))</f>
        <v/>
      </c>
      <c r="X224" s="3">
        <f>IF(tblOrdenes[[#This Row],[cod_actividad]]="","",_xlfn.XLOOKUP(tblOrdenes[[#This Row],[cod_actividad]],tblActividades[codigo],tblActividades[descripcion],"(sin catálogo)"))</f>
        <v/>
      </c>
      <c r="Y224" s="12">
        <f>IF(tblOrdenes[[#This Row],[fecha_inicio]]="","",TODAY()-tblOrdenes[[#This Row],[fecha_inicio]])</f>
        <v/>
      </c>
      <c r="Z224" s="3">
        <f>IF(tblOrdenes[[#This Row],[backlog_dias]]="","",IF(tblOrdenes[[#This Row],[backlog_dias]]&lt;0,"FUTURO",IF(tblOrdenes[[#This Row],[backlog_dias]]&gt;p_dias_backlog_max,"BACKLOG","MES CORRIENTE")))</f>
        <v/>
      </c>
      <c r="AA224" s="3">
        <f>IF(tblOrdenes[[#This Row],[backlog_dias]]="",FALSE,AND(tblOrdenes[[#This Row],[backlog_dias]]&gt;p_dias_backlog_min,tblOrdenes[[#This Row],[backlog_dias]]&lt;=p_dias_backlog_max))</f>
        <v/>
      </c>
      <c r="AB224" s="6" t="n"/>
      <c r="AC2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4" s="10">
        <f>IF(tblOrdenes[[#This Row],[orden]]="","",_xlfn.XLOOKUP(tblOrdenes[[#This Row],[id_operacion]],tblEjecucion[id_operacion],tblEjecucion[precio],0))</f>
        <v/>
      </c>
      <c r="AG224" s="10">
        <f>IF(tblOrdenes[[#This Row],[orden]]="","",MAX(0,_xlfn.XLOOKUP(tblOrdenes[[#This Row],[id_operacion]],tblEjecucion[id_operacion],tblEjecucion[costo_plan_total],0)-tblOrdenes[[#This Row],[costo_servicio]]))</f>
        <v/>
      </c>
      <c r="AH224" s="10">
        <f>IF(tblOrdenes[[#This Row],[orden]]="","",tblOrdenes[[#This Row],[costo_servicio]]+tblOrdenes[[#This Row],[costo_materiales]])</f>
        <v/>
      </c>
      <c r="AI224" s="6" t="n"/>
      <c r="AJ224" s="6" t="n"/>
      <c r="AK224" s="6" t="n"/>
      <c r="AL224" s="3">
        <f>IF(tblOrdenes[[#This Row],[link_checklist]]="","",HYPERLINK(p_ruta_base_checklists&amp;tblOrdenes[[#This Row],[link_checklist]],"abrir"))</f>
        <v/>
      </c>
      <c r="AM224" s="6" t="n"/>
      <c r="AN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Row],[tipo_ot]]="","",_xlfn.XLOOKUP(tblOrdenes[[#This Row],[tipo_ot]],tblTiposOT[codigo],tblTiposOT[clasificacion],"sin_clasificar"))</f>
        <v/>
      </c>
      <c r="T225" s="3">
        <f>IF(tblOrdenes[[#This Row],[centro_costo]]="","",_xlfn.XLOOKUP(tblOrdenes[[#This Row],[centro_costo]],tblCECO[codigo],tblCECO[linea],"(sin catálogo)"))</f>
        <v/>
      </c>
      <c r="U225" s="3">
        <f>IF(tblOrdenes[[#This Row],[centro_costo]]="","",_xlfn.XLOOKUP(tblOrdenes[[#This Row],[centro_costo]],tblCECO[codigo],tblCECO[area],"(sin catálogo)"))</f>
        <v/>
      </c>
      <c r="V225" s="3">
        <f>IF(tblOrdenes[[#This Row],[centro_costo]]="","",_xlfn.XLOOKUP(tblOrdenes[[#This Row],[centro_costo]],tblCECO[codigo],tblCECO[coordinador],"(sin catálogo)"))</f>
        <v/>
      </c>
      <c r="W225" s="3">
        <f>IF(tblOrdenes[[#This Row],[puesto_trabajo]]="","",_xlfn.XLOOKUP(tblOrdenes[[#This Row],[puesto_trabajo]],tblPuestos[codigo],tblPuestos[especialidad],"(sin catálogo)"))</f>
        <v/>
      </c>
      <c r="X225" s="3">
        <f>IF(tblOrdenes[[#This Row],[cod_actividad]]="","",_xlfn.XLOOKUP(tblOrdenes[[#This Row],[cod_actividad]],tblActividades[codigo],tblActividades[descripcion],"(sin catálogo)"))</f>
        <v/>
      </c>
      <c r="Y225" s="12">
        <f>IF(tblOrdenes[[#This Row],[fecha_inicio]]="","",TODAY()-tblOrdenes[[#This Row],[fecha_inicio]])</f>
        <v/>
      </c>
      <c r="Z225" s="3">
        <f>IF(tblOrdenes[[#This Row],[backlog_dias]]="","",IF(tblOrdenes[[#This Row],[backlog_dias]]&lt;0,"FUTURO",IF(tblOrdenes[[#This Row],[backlog_dias]]&gt;p_dias_backlog_max,"BACKLOG","MES CORRIENTE")))</f>
        <v/>
      </c>
      <c r="AA225" s="3">
        <f>IF(tblOrdenes[[#This Row],[backlog_dias]]="",FALSE,AND(tblOrdenes[[#This Row],[backlog_dias]]&gt;p_dias_backlog_min,tblOrdenes[[#This Row],[backlog_dias]]&lt;=p_dias_backlog_max))</f>
        <v/>
      </c>
      <c r="AB225" s="6" t="n"/>
      <c r="AC2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5" s="10">
        <f>IF(tblOrdenes[[#This Row],[orden]]="","",_xlfn.XLOOKUP(tblOrdenes[[#This Row],[id_operacion]],tblEjecucion[id_operacion],tblEjecucion[precio],0))</f>
        <v/>
      </c>
      <c r="AG225" s="10">
        <f>IF(tblOrdenes[[#This Row],[orden]]="","",MAX(0,_xlfn.XLOOKUP(tblOrdenes[[#This Row],[id_operacion]],tblEjecucion[id_operacion],tblEjecucion[costo_plan_total],0)-tblOrdenes[[#This Row],[costo_servicio]]))</f>
        <v/>
      </c>
      <c r="AH225" s="10">
        <f>IF(tblOrdenes[[#This Row],[orden]]="","",tblOrdenes[[#This Row],[costo_servicio]]+tblOrdenes[[#This Row],[costo_materiales]])</f>
        <v/>
      </c>
      <c r="AI225" s="6" t="n"/>
      <c r="AJ225" s="6" t="n"/>
      <c r="AK225" s="6" t="n"/>
      <c r="AL225" s="3">
        <f>IF(tblOrdenes[[#This Row],[link_checklist]]="","",HYPERLINK(p_ruta_base_checklists&amp;tblOrdenes[[#This Row],[link_checklist]],"abrir"))</f>
        <v/>
      </c>
      <c r="AM225" s="6" t="n"/>
      <c r="AN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Row],[tipo_ot]]="","",_xlfn.XLOOKUP(tblOrdenes[[#This Row],[tipo_ot]],tblTiposOT[codigo],tblTiposOT[clasificacion],"sin_clasificar"))</f>
        <v/>
      </c>
      <c r="T226" s="3">
        <f>IF(tblOrdenes[[#This Row],[centro_costo]]="","",_xlfn.XLOOKUP(tblOrdenes[[#This Row],[centro_costo]],tblCECO[codigo],tblCECO[linea],"(sin catálogo)"))</f>
        <v/>
      </c>
      <c r="U226" s="3">
        <f>IF(tblOrdenes[[#This Row],[centro_costo]]="","",_xlfn.XLOOKUP(tblOrdenes[[#This Row],[centro_costo]],tblCECO[codigo],tblCECO[area],"(sin catálogo)"))</f>
        <v/>
      </c>
      <c r="V226" s="3">
        <f>IF(tblOrdenes[[#This Row],[centro_costo]]="","",_xlfn.XLOOKUP(tblOrdenes[[#This Row],[centro_costo]],tblCECO[codigo],tblCECO[coordinador],"(sin catálogo)"))</f>
        <v/>
      </c>
      <c r="W226" s="3">
        <f>IF(tblOrdenes[[#This Row],[puesto_trabajo]]="","",_xlfn.XLOOKUP(tblOrdenes[[#This Row],[puesto_trabajo]],tblPuestos[codigo],tblPuestos[especialidad],"(sin catálogo)"))</f>
        <v/>
      </c>
      <c r="X226" s="3">
        <f>IF(tblOrdenes[[#This Row],[cod_actividad]]="","",_xlfn.XLOOKUP(tblOrdenes[[#This Row],[cod_actividad]],tblActividades[codigo],tblActividades[descripcion],"(sin catálogo)"))</f>
        <v/>
      </c>
      <c r="Y226" s="12">
        <f>IF(tblOrdenes[[#This Row],[fecha_inicio]]="","",TODAY()-tblOrdenes[[#This Row],[fecha_inicio]])</f>
        <v/>
      </c>
      <c r="Z226" s="3">
        <f>IF(tblOrdenes[[#This Row],[backlog_dias]]="","",IF(tblOrdenes[[#This Row],[backlog_dias]]&lt;0,"FUTURO",IF(tblOrdenes[[#This Row],[backlog_dias]]&gt;p_dias_backlog_max,"BACKLOG","MES CORRIENTE")))</f>
        <v/>
      </c>
      <c r="AA226" s="3">
        <f>IF(tblOrdenes[[#This Row],[backlog_dias]]="",FALSE,AND(tblOrdenes[[#This Row],[backlog_dias]]&gt;p_dias_backlog_min,tblOrdenes[[#This Row],[backlog_dias]]&lt;=p_dias_backlog_max))</f>
        <v/>
      </c>
      <c r="AB226" s="6" t="n"/>
      <c r="AC2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6" s="10">
        <f>IF(tblOrdenes[[#This Row],[orden]]="","",_xlfn.XLOOKUP(tblOrdenes[[#This Row],[id_operacion]],tblEjecucion[id_operacion],tblEjecucion[precio],0))</f>
        <v/>
      </c>
      <c r="AG226" s="10">
        <f>IF(tblOrdenes[[#This Row],[orden]]="","",MAX(0,_xlfn.XLOOKUP(tblOrdenes[[#This Row],[id_operacion]],tblEjecucion[id_operacion],tblEjecucion[costo_plan_total],0)-tblOrdenes[[#This Row],[costo_servicio]]))</f>
        <v/>
      </c>
      <c r="AH226" s="10">
        <f>IF(tblOrdenes[[#This Row],[orden]]="","",tblOrdenes[[#This Row],[costo_servicio]]+tblOrdenes[[#This Row],[costo_materiales]])</f>
        <v/>
      </c>
      <c r="AI226" s="6" t="n"/>
      <c r="AJ226" s="6" t="n"/>
      <c r="AK226" s="6" t="n"/>
      <c r="AL226" s="3">
        <f>IF(tblOrdenes[[#This Row],[link_checklist]]="","",HYPERLINK(p_ruta_base_checklists&amp;tblOrdenes[[#This Row],[link_checklist]],"abrir"))</f>
        <v/>
      </c>
      <c r="AM226" s="6" t="n"/>
      <c r="AN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Row],[tipo_ot]]="","",_xlfn.XLOOKUP(tblOrdenes[[#This Row],[tipo_ot]],tblTiposOT[codigo],tblTiposOT[clasificacion],"sin_clasificar"))</f>
        <v/>
      </c>
      <c r="T227" s="3">
        <f>IF(tblOrdenes[[#This Row],[centro_costo]]="","",_xlfn.XLOOKUP(tblOrdenes[[#This Row],[centro_costo]],tblCECO[codigo],tblCECO[linea],"(sin catálogo)"))</f>
        <v/>
      </c>
      <c r="U227" s="3">
        <f>IF(tblOrdenes[[#This Row],[centro_costo]]="","",_xlfn.XLOOKUP(tblOrdenes[[#This Row],[centro_costo]],tblCECO[codigo],tblCECO[area],"(sin catálogo)"))</f>
        <v/>
      </c>
      <c r="V227" s="3">
        <f>IF(tblOrdenes[[#This Row],[centro_costo]]="","",_xlfn.XLOOKUP(tblOrdenes[[#This Row],[centro_costo]],tblCECO[codigo],tblCECO[coordinador],"(sin catálogo)"))</f>
        <v/>
      </c>
      <c r="W227" s="3">
        <f>IF(tblOrdenes[[#This Row],[puesto_trabajo]]="","",_xlfn.XLOOKUP(tblOrdenes[[#This Row],[puesto_trabajo]],tblPuestos[codigo],tblPuestos[especialidad],"(sin catálogo)"))</f>
        <v/>
      </c>
      <c r="X227" s="3">
        <f>IF(tblOrdenes[[#This Row],[cod_actividad]]="","",_xlfn.XLOOKUP(tblOrdenes[[#This Row],[cod_actividad]],tblActividades[codigo],tblActividades[descripcion],"(sin catálogo)"))</f>
        <v/>
      </c>
      <c r="Y227" s="12">
        <f>IF(tblOrdenes[[#This Row],[fecha_inicio]]="","",TODAY()-tblOrdenes[[#This Row],[fecha_inicio]])</f>
        <v/>
      </c>
      <c r="Z227" s="3">
        <f>IF(tblOrdenes[[#This Row],[backlog_dias]]="","",IF(tblOrdenes[[#This Row],[backlog_dias]]&lt;0,"FUTURO",IF(tblOrdenes[[#This Row],[backlog_dias]]&gt;p_dias_backlog_max,"BACKLOG","MES CORRIENTE")))</f>
        <v/>
      </c>
      <c r="AA227" s="3">
        <f>IF(tblOrdenes[[#This Row],[backlog_dias]]="",FALSE,AND(tblOrdenes[[#This Row],[backlog_dias]]&gt;p_dias_backlog_min,tblOrdenes[[#This Row],[backlog_dias]]&lt;=p_dias_backlog_max))</f>
        <v/>
      </c>
      <c r="AB227" s="6" t="n"/>
      <c r="AC2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7" s="10">
        <f>IF(tblOrdenes[[#This Row],[orden]]="","",_xlfn.XLOOKUP(tblOrdenes[[#This Row],[id_operacion]],tblEjecucion[id_operacion],tblEjecucion[precio],0))</f>
        <v/>
      </c>
      <c r="AG227" s="10">
        <f>IF(tblOrdenes[[#This Row],[orden]]="","",MAX(0,_xlfn.XLOOKUP(tblOrdenes[[#This Row],[id_operacion]],tblEjecucion[id_operacion],tblEjecucion[costo_plan_total],0)-tblOrdenes[[#This Row],[costo_servicio]]))</f>
        <v/>
      </c>
      <c r="AH227" s="10">
        <f>IF(tblOrdenes[[#This Row],[orden]]="","",tblOrdenes[[#This Row],[costo_servicio]]+tblOrdenes[[#This Row],[costo_materiales]])</f>
        <v/>
      </c>
      <c r="AI227" s="6" t="n"/>
      <c r="AJ227" s="6" t="n"/>
      <c r="AK227" s="6" t="n"/>
      <c r="AL227" s="3">
        <f>IF(tblOrdenes[[#This Row],[link_checklist]]="","",HYPERLINK(p_ruta_base_checklists&amp;tblOrdenes[[#This Row],[link_checklist]],"abrir"))</f>
        <v/>
      </c>
      <c r="AM227" s="6" t="n"/>
      <c r="AN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Row],[tipo_ot]]="","",_xlfn.XLOOKUP(tblOrdenes[[#This Row],[tipo_ot]],tblTiposOT[codigo],tblTiposOT[clasificacion],"sin_clasificar"))</f>
        <v/>
      </c>
      <c r="T228" s="3">
        <f>IF(tblOrdenes[[#This Row],[centro_costo]]="","",_xlfn.XLOOKUP(tblOrdenes[[#This Row],[centro_costo]],tblCECO[codigo],tblCECO[linea],"(sin catálogo)"))</f>
        <v/>
      </c>
      <c r="U228" s="3">
        <f>IF(tblOrdenes[[#This Row],[centro_costo]]="","",_xlfn.XLOOKUP(tblOrdenes[[#This Row],[centro_costo]],tblCECO[codigo],tblCECO[area],"(sin catálogo)"))</f>
        <v/>
      </c>
      <c r="V228" s="3">
        <f>IF(tblOrdenes[[#This Row],[centro_costo]]="","",_xlfn.XLOOKUP(tblOrdenes[[#This Row],[centro_costo]],tblCECO[codigo],tblCECO[coordinador],"(sin catálogo)"))</f>
        <v/>
      </c>
      <c r="W228" s="3">
        <f>IF(tblOrdenes[[#This Row],[puesto_trabajo]]="","",_xlfn.XLOOKUP(tblOrdenes[[#This Row],[puesto_trabajo]],tblPuestos[codigo],tblPuestos[especialidad],"(sin catálogo)"))</f>
        <v/>
      </c>
      <c r="X228" s="3">
        <f>IF(tblOrdenes[[#This Row],[cod_actividad]]="","",_xlfn.XLOOKUP(tblOrdenes[[#This Row],[cod_actividad]],tblActividades[codigo],tblActividades[descripcion],"(sin catálogo)"))</f>
        <v/>
      </c>
      <c r="Y228" s="12">
        <f>IF(tblOrdenes[[#This Row],[fecha_inicio]]="","",TODAY()-tblOrdenes[[#This Row],[fecha_inicio]])</f>
        <v/>
      </c>
      <c r="Z228" s="3">
        <f>IF(tblOrdenes[[#This Row],[backlog_dias]]="","",IF(tblOrdenes[[#This Row],[backlog_dias]]&lt;0,"FUTURO",IF(tblOrdenes[[#This Row],[backlog_dias]]&gt;p_dias_backlog_max,"BACKLOG","MES CORRIENTE")))</f>
        <v/>
      </c>
      <c r="AA228" s="3">
        <f>IF(tblOrdenes[[#This Row],[backlog_dias]]="",FALSE,AND(tblOrdenes[[#This Row],[backlog_dias]]&gt;p_dias_backlog_min,tblOrdenes[[#This Row],[backlog_dias]]&lt;=p_dias_backlog_max))</f>
        <v/>
      </c>
      <c r="AB228" s="6" t="n"/>
      <c r="AC2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8" s="10">
        <f>IF(tblOrdenes[[#This Row],[orden]]="","",_xlfn.XLOOKUP(tblOrdenes[[#This Row],[id_operacion]],tblEjecucion[id_operacion],tblEjecucion[precio],0))</f>
        <v/>
      </c>
      <c r="AG228" s="10">
        <f>IF(tblOrdenes[[#This Row],[orden]]="","",MAX(0,_xlfn.XLOOKUP(tblOrdenes[[#This Row],[id_operacion]],tblEjecucion[id_operacion],tblEjecucion[costo_plan_total],0)-tblOrdenes[[#This Row],[costo_servicio]]))</f>
        <v/>
      </c>
      <c r="AH228" s="10">
        <f>IF(tblOrdenes[[#This Row],[orden]]="","",tblOrdenes[[#This Row],[costo_servicio]]+tblOrdenes[[#This Row],[costo_materiales]])</f>
        <v/>
      </c>
      <c r="AI228" s="6" t="n"/>
      <c r="AJ228" s="6" t="n"/>
      <c r="AK228" s="6" t="n"/>
      <c r="AL228" s="3">
        <f>IF(tblOrdenes[[#This Row],[link_checklist]]="","",HYPERLINK(p_ruta_base_checklists&amp;tblOrdenes[[#This Row],[link_checklist]],"abrir"))</f>
        <v/>
      </c>
      <c r="AM228" s="6" t="n"/>
      <c r="AN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Row],[tipo_ot]]="","",_xlfn.XLOOKUP(tblOrdenes[[#This Row],[tipo_ot]],tblTiposOT[codigo],tblTiposOT[clasificacion],"sin_clasificar"))</f>
        <v/>
      </c>
      <c r="T229" s="3">
        <f>IF(tblOrdenes[[#This Row],[centro_costo]]="","",_xlfn.XLOOKUP(tblOrdenes[[#This Row],[centro_costo]],tblCECO[codigo],tblCECO[linea],"(sin catálogo)"))</f>
        <v/>
      </c>
      <c r="U229" s="3">
        <f>IF(tblOrdenes[[#This Row],[centro_costo]]="","",_xlfn.XLOOKUP(tblOrdenes[[#This Row],[centro_costo]],tblCECO[codigo],tblCECO[area],"(sin catálogo)"))</f>
        <v/>
      </c>
      <c r="V229" s="3">
        <f>IF(tblOrdenes[[#This Row],[centro_costo]]="","",_xlfn.XLOOKUP(tblOrdenes[[#This Row],[centro_costo]],tblCECO[codigo],tblCECO[coordinador],"(sin catálogo)"))</f>
        <v/>
      </c>
      <c r="W229" s="3">
        <f>IF(tblOrdenes[[#This Row],[puesto_trabajo]]="","",_xlfn.XLOOKUP(tblOrdenes[[#This Row],[puesto_trabajo]],tblPuestos[codigo],tblPuestos[especialidad],"(sin catálogo)"))</f>
        <v/>
      </c>
      <c r="X229" s="3">
        <f>IF(tblOrdenes[[#This Row],[cod_actividad]]="","",_xlfn.XLOOKUP(tblOrdenes[[#This Row],[cod_actividad]],tblActividades[codigo],tblActividades[descripcion],"(sin catálogo)"))</f>
        <v/>
      </c>
      <c r="Y229" s="12">
        <f>IF(tblOrdenes[[#This Row],[fecha_inicio]]="","",TODAY()-tblOrdenes[[#This Row],[fecha_inicio]])</f>
        <v/>
      </c>
      <c r="Z229" s="3">
        <f>IF(tblOrdenes[[#This Row],[backlog_dias]]="","",IF(tblOrdenes[[#This Row],[backlog_dias]]&lt;0,"FUTURO",IF(tblOrdenes[[#This Row],[backlog_dias]]&gt;p_dias_backlog_max,"BACKLOG","MES CORRIENTE")))</f>
        <v/>
      </c>
      <c r="AA229" s="3">
        <f>IF(tblOrdenes[[#This Row],[backlog_dias]]="",FALSE,AND(tblOrdenes[[#This Row],[backlog_dias]]&gt;p_dias_backlog_min,tblOrdenes[[#This Row],[backlog_dias]]&lt;=p_dias_backlog_max))</f>
        <v/>
      </c>
      <c r="AB229" s="6" t="n"/>
      <c r="AC2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9" s="10">
        <f>IF(tblOrdenes[[#This Row],[orden]]="","",_xlfn.XLOOKUP(tblOrdenes[[#This Row],[id_operacion]],tblEjecucion[id_operacion],tblEjecucion[precio],0))</f>
        <v/>
      </c>
      <c r="AG229" s="10">
        <f>IF(tblOrdenes[[#This Row],[orden]]="","",MAX(0,_xlfn.XLOOKUP(tblOrdenes[[#This Row],[id_operacion]],tblEjecucion[id_operacion],tblEjecucion[costo_plan_total],0)-tblOrdenes[[#This Row],[costo_servicio]]))</f>
        <v/>
      </c>
      <c r="AH229" s="10">
        <f>IF(tblOrdenes[[#This Row],[orden]]="","",tblOrdenes[[#This Row],[costo_servicio]]+tblOrdenes[[#This Row],[costo_materiales]])</f>
        <v/>
      </c>
      <c r="AI229" s="6" t="n"/>
      <c r="AJ229" s="6" t="n"/>
      <c r="AK229" s="6" t="n"/>
      <c r="AL229" s="3">
        <f>IF(tblOrdenes[[#This Row],[link_checklist]]="","",HYPERLINK(p_ruta_base_checklists&amp;tblOrdenes[[#This Row],[link_checklist]],"abrir"))</f>
        <v/>
      </c>
      <c r="AM229" s="6" t="n"/>
      <c r="AN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Row],[tipo_ot]]="","",_xlfn.XLOOKUP(tblOrdenes[[#This Row],[tipo_ot]],tblTiposOT[codigo],tblTiposOT[clasificacion],"sin_clasificar"))</f>
        <v/>
      </c>
      <c r="T230" s="3">
        <f>IF(tblOrdenes[[#This Row],[centro_costo]]="","",_xlfn.XLOOKUP(tblOrdenes[[#This Row],[centro_costo]],tblCECO[codigo],tblCECO[linea],"(sin catálogo)"))</f>
        <v/>
      </c>
      <c r="U230" s="3">
        <f>IF(tblOrdenes[[#This Row],[centro_costo]]="","",_xlfn.XLOOKUP(tblOrdenes[[#This Row],[centro_costo]],tblCECO[codigo],tblCECO[area],"(sin catálogo)"))</f>
        <v/>
      </c>
      <c r="V230" s="3">
        <f>IF(tblOrdenes[[#This Row],[centro_costo]]="","",_xlfn.XLOOKUP(tblOrdenes[[#This Row],[centro_costo]],tblCECO[codigo],tblCECO[coordinador],"(sin catálogo)"))</f>
        <v/>
      </c>
      <c r="W230" s="3">
        <f>IF(tblOrdenes[[#This Row],[puesto_trabajo]]="","",_xlfn.XLOOKUP(tblOrdenes[[#This Row],[puesto_trabajo]],tblPuestos[codigo],tblPuestos[especialidad],"(sin catálogo)"))</f>
        <v/>
      </c>
      <c r="X230" s="3">
        <f>IF(tblOrdenes[[#This Row],[cod_actividad]]="","",_xlfn.XLOOKUP(tblOrdenes[[#This Row],[cod_actividad]],tblActividades[codigo],tblActividades[descripcion],"(sin catálogo)"))</f>
        <v/>
      </c>
      <c r="Y230" s="12">
        <f>IF(tblOrdenes[[#This Row],[fecha_inicio]]="","",TODAY()-tblOrdenes[[#This Row],[fecha_inicio]])</f>
        <v/>
      </c>
      <c r="Z230" s="3">
        <f>IF(tblOrdenes[[#This Row],[backlog_dias]]="","",IF(tblOrdenes[[#This Row],[backlog_dias]]&lt;0,"FUTURO",IF(tblOrdenes[[#This Row],[backlog_dias]]&gt;p_dias_backlog_max,"BACKLOG","MES CORRIENTE")))</f>
        <v/>
      </c>
      <c r="AA230" s="3">
        <f>IF(tblOrdenes[[#This Row],[backlog_dias]]="",FALSE,AND(tblOrdenes[[#This Row],[backlog_dias]]&gt;p_dias_backlog_min,tblOrdenes[[#This Row],[backlog_dias]]&lt;=p_dias_backlog_max))</f>
        <v/>
      </c>
      <c r="AB230" s="6" t="n"/>
      <c r="AC2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0" s="10">
        <f>IF(tblOrdenes[[#This Row],[orden]]="","",_xlfn.XLOOKUP(tblOrdenes[[#This Row],[id_operacion]],tblEjecucion[id_operacion],tblEjecucion[precio],0))</f>
        <v/>
      </c>
      <c r="AG230" s="10">
        <f>IF(tblOrdenes[[#This Row],[orden]]="","",MAX(0,_xlfn.XLOOKUP(tblOrdenes[[#This Row],[id_operacion]],tblEjecucion[id_operacion],tblEjecucion[costo_plan_total],0)-tblOrdenes[[#This Row],[costo_servicio]]))</f>
        <v/>
      </c>
      <c r="AH230" s="10">
        <f>IF(tblOrdenes[[#This Row],[orden]]="","",tblOrdenes[[#This Row],[costo_servicio]]+tblOrdenes[[#This Row],[costo_materiales]])</f>
        <v/>
      </c>
      <c r="AI230" s="6" t="n"/>
      <c r="AJ230" s="6" t="n"/>
      <c r="AK230" s="6" t="n"/>
      <c r="AL230" s="3">
        <f>IF(tblOrdenes[[#This Row],[link_checklist]]="","",HYPERLINK(p_ruta_base_checklists&amp;tblOrdenes[[#This Row],[link_checklist]],"abrir"))</f>
        <v/>
      </c>
      <c r="AM230" s="6" t="n"/>
      <c r="AN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Row],[tipo_ot]]="","",_xlfn.XLOOKUP(tblOrdenes[[#This Row],[tipo_ot]],tblTiposOT[codigo],tblTiposOT[clasificacion],"sin_clasificar"))</f>
        <v/>
      </c>
      <c r="T231" s="3">
        <f>IF(tblOrdenes[[#This Row],[centro_costo]]="","",_xlfn.XLOOKUP(tblOrdenes[[#This Row],[centro_costo]],tblCECO[codigo],tblCECO[linea],"(sin catálogo)"))</f>
        <v/>
      </c>
      <c r="U231" s="3">
        <f>IF(tblOrdenes[[#This Row],[centro_costo]]="","",_xlfn.XLOOKUP(tblOrdenes[[#This Row],[centro_costo]],tblCECO[codigo],tblCECO[area],"(sin catálogo)"))</f>
        <v/>
      </c>
      <c r="V231" s="3">
        <f>IF(tblOrdenes[[#This Row],[centro_costo]]="","",_xlfn.XLOOKUP(tblOrdenes[[#This Row],[centro_costo]],tblCECO[codigo],tblCECO[coordinador],"(sin catálogo)"))</f>
        <v/>
      </c>
      <c r="W231" s="3">
        <f>IF(tblOrdenes[[#This Row],[puesto_trabajo]]="","",_xlfn.XLOOKUP(tblOrdenes[[#This Row],[puesto_trabajo]],tblPuestos[codigo],tblPuestos[especialidad],"(sin catálogo)"))</f>
        <v/>
      </c>
      <c r="X231" s="3">
        <f>IF(tblOrdenes[[#This Row],[cod_actividad]]="","",_xlfn.XLOOKUP(tblOrdenes[[#This Row],[cod_actividad]],tblActividades[codigo],tblActividades[descripcion],"(sin catálogo)"))</f>
        <v/>
      </c>
      <c r="Y231" s="12">
        <f>IF(tblOrdenes[[#This Row],[fecha_inicio]]="","",TODAY()-tblOrdenes[[#This Row],[fecha_inicio]])</f>
        <v/>
      </c>
      <c r="Z231" s="3">
        <f>IF(tblOrdenes[[#This Row],[backlog_dias]]="","",IF(tblOrdenes[[#This Row],[backlog_dias]]&lt;0,"FUTURO",IF(tblOrdenes[[#This Row],[backlog_dias]]&gt;p_dias_backlog_max,"BACKLOG","MES CORRIENTE")))</f>
        <v/>
      </c>
      <c r="AA231" s="3">
        <f>IF(tblOrdenes[[#This Row],[backlog_dias]]="",FALSE,AND(tblOrdenes[[#This Row],[backlog_dias]]&gt;p_dias_backlog_min,tblOrdenes[[#This Row],[backlog_dias]]&lt;=p_dias_backlog_max))</f>
        <v/>
      </c>
      <c r="AB231" s="6" t="n"/>
      <c r="AC2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1" s="10">
        <f>IF(tblOrdenes[[#This Row],[orden]]="","",_xlfn.XLOOKUP(tblOrdenes[[#This Row],[id_operacion]],tblEjecucion[id_operacion],tblEjecucion[precio],0))</f>
        <v/>
      </c>
      <c r="AG231" s="10">
        <f>IF(tblOrdenes[[#This Row],[orden]]="","",MAX(0,_xlfn.XLOOKUP(tblOrdenes[[#This Row],[id_operacion]],tblEjecucion[id_operacion],tblEjecucion[costo_plan_total],0)-tblOrdenes[[#This Row],[costo_servicio]]))</f>
        <v/>
      </c>
      <c r="AH231" s="10">
        <f>IF(tblOrdenes[[#This Row],[orden]]="","",tblOrdenes[[#This Row],[costo_servicio]]+tblOrdenes[[#This Row],[costo_materiales]])</f>
        <v/>
      </c>
      <c r="AI231" s="6" t="n"/>
      <c r="AJ231" s="6" t="n"/>
      <c r="AK231" s="6" t="n"/>
      <c r="AL231" s="3">
        <f>IF(tblOrdenes[[#This Row],[link_checklist]]="","",HYPERLINK(p_ruta_base_checklists&amp;tblOrdenes[[#This Row],[link_checklist]],"abrir"))</f>
        <v/>
      </c>
      <c r="AM231" s="6" t="n"/>
      <c r="AN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Row],[tipo_ot]]="","",_xlfn.XLOOKUP(tblOrdenes[[#This Row],[tipo_ot]],tblTiposOT[codigo],tblTiposOT[clasificacion],"sin_clasificar"))</f>
        <v/>
      </c>
      <c r="T232" s="3">
        <f>IF(tblOrdenes[[#This Row],[centro_costo]]="","",_xlfn.XLOOKUP(tblOrdenes[[#This Row],[centro_costo]],tblCECO[codigo],tblCECO[linea],"(sin catálogo)"))</f>
        <v/>
      </c>
      <c r="U232" s="3">
        <f>IF(tblOrdenes[[#This Row],[centro_costo]]="","",_xlfn.XLOOKUP(tblOrdenes[[#This Row],[centro_costo]],tblCECO[codigo],tblCECO[area],"(sin catálogo)"))</f>
        <v/>
      </c>
      <c r="V232" s="3">
        <f>IF(tblOrdenes[[#This Row],[centro_costo]]="","",_xlfn.XLOOKUP(tblOrdenes[[#This Row],[centro_costo]],tblCECO[codigo],tblCECO[coordinador],"(sin catálogo)"))</f>
        <v/>
      </c>
      <c r="W232" s="3">
        <f>IF(tblOrdenes[[#This Row],[puesto_trabajo]]="","",_xlfn.XLOOKUP(tblOrdenes[[#This Row],[puesto_trabajo]],tblPuestos[codigo],tblPuestos[especialidad],"(sin catálogo)"))</f>
        <v/>
      </c>
      <c r="X232" s="3">
        <f>IF(tblOrdenes[[#This Row],[cod_actividad]]="","",_xlfn.XLOOKUP(tblOrdenes[[#This Row],[cod_actividad]],tblActividades[codigo],tblActividades[descripcion],"(sin catálogo)"))</f>
        <v/>
      </c>
      <c r="Y232" s="12">
        <f>IF(tblOrdenes[[#This Row],[fecha_inicio]]="","",TODAY()-tblOrdenes[[#This Row],[fecha_inicio]])</f>
        <v/>
      </c>
      <c r="Z232" s="3">
        <f>IF(tblOrdenes[[#This Row],[backlog_dias]]="","",IF(tblOrdenes[[#This Row],[backlog_dias]]&lt;0,"FUTURO",IF(tblOrdenes[[#This Row],[backlog_dias]]&gt;p_dias_backlog_max,"BACKLOG","MES CORRIENTE")))</f>
        <v/>
      </c>
      <c r="AA232" s="3">
        <f>IF(tblOrdenes[[#This Row],[backlog_dias]]="",FALSE,AND(tblOrdenes[[#This Row],[backlog_dias]]&gt;p_dias_backlog_min,tblOrdenes[[#This Row],[backlog_dias]]&lt;=p_dias_backlog_max))</f>
        <v/>
      </c>
      <c r="AB232" s="6" t="n"/>
      <c r="AC2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2" s="10">
        <f>IF(tblOrdenes[[#This Row],[orden]]="","",_xlfn.XLOOKUP(tblOrdenes[[#This Row],[id_operacion]],tblEjecucion[id_operacion],tblEjecucion[precio],0))</f>
        <v/>
      </c>
      <c r="AG232" s="10">
        <f>IF(tblOrdenes[[#This Row],[orden]]="","",MAX(0,_xlfn.XLOOKUP(tblOrdenes[[#This Row],[id_operacion]],tblEjecucion[id_operacion],tblEjecucion[costo_plan_total],0)-tblOrdenes[[#This Row],[costo_servicio]]))</f>
        <v/>
      </c>
      <c r="AH232" s="10">
        <f>IF(tblOrdenes[[#This Row],[orden]]="","",tblOrdenes[[#This Row],[costo_servicio]]+tblOrdenes[[#This Row],[costo_materiales]])</f>
        <v/>
      </c>
      <c r="AI232" s="6" t="n"/>
      <c r="AJ232" s="6" t="n"/>
      <c r="AK232" s="6" t="n"/>
      <c r="AL232" s="3">
        <f>IF(tblOrdenes[[#This Row],[link_checklist]]="","",HYPERLINK(p_ruta_base_checklists&amp;tblOrdenes[[#This Row],[link_checklist]],"abrir"))</f>
        <v/>
      </c>
      <c r="AM232" s="6" t="n"/>
      <c r="AN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Row],[tipo_ot]]="","",_xlfn.XLOOKUP(tblOrdenes[[#This Row],[tipo_ot]],tblTiposOT[codigo],tblTiposOT[clasificacion],"sin_clasificar"))</f>
        <v/>
      </c>
      <c r="T233" s="3">
        <f>IF(tblOrdenes[[#This Row],[centro_costo]]="","",_xlfn.XLOOKUP(tblOrdenes[[#This Row],[centro_costo]],tblCECO[codigo],tblCECO[linea],"(sin catálogo)"))</f>
        <v/>
      </c>
      <c r="U233" s="3">
        <f>IF(tblOrdenes[[#This Row],[centro_costo]]="","",_xlfn.XLOOKUP(tblOrdenes[[#This Row],[centro_costo]],tblCECO[codigo],tblCECO[area],"(sin catálogo)"))</f>
        <v/>
      </c>
      <c r="V233" s="3">
        <f>IF(tblOrdenes[[#This Row],[centro_costo]]="","",_xlfn.XLOOKUP(tblOrdenes[[#This Row],[centro_costo]],tblCECO[codigo],tblCECO[coordinador],"(sin catálogo)"))</f>
        <v/>
      </c>
      <c r="W233" s="3">
        <f>IF(tblOrdenes[[#This Row],[puesto_trabajo]]="","",_xlfn.XLOOKUP(tblOrdenes[[#This Row],[puesto_trabajo]],tblPuestos[codigo],tblPuestos[especialidad],"(sin catálogo)"))</f>
        <v/>
      </c>
      <c r="X233" s="3">
        <f>IF(tblOrdenes[[#This Row],[cod_actividad]]="","",_xlfn.XLOOKUP(tblOrdenes[[#This Row],[cod_actividad]],tblActividades[codigo],tblActividades[descripcion],"(sin catálogo)"))</f>
        <v/>
      </c>
      <c r="Y233" s="12">
        <f>IF(tblOrdenes[[#This Row],[fecha_inicio]]="","",TODAY()-tblOrdenes[[#This Row],[fecha_inicio]])</f>
        <v/>
      </c>
      <c r="Z233" s="3">
        <f>IF(tblOrdenes[[#This Row],[backlog_dias]]="","",IF(tblOrdenes[[#This Row],[backlog_dias]]&lt;0,"FUTURO",IF(tblOrdenes[[#This Row],[backlog_dias]]&gt;p_dias_backlog_max,"BACKLOG","MES CORRIENTE")))</f>
        <v/>
      </c>
      <c r="AA233" s="3">
        <f>IF(tblOrdenes[[#This Row],[backlog_dias]]="",FALSE,AND(tblOrdenes[[#This Row],[backlog_dias]]&gt;p_dias_backlog_min,tblOrdenes[[#This Row],[backlog_dias]]&lt;=p_dias_backlog_max))</f>
        <v/>
      </c>
      <c r="AB233" s="6" t="n"/>
      <c r="AC2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3" s="10">
        <f>IF(tblOrdenes[[#This Row],[orden]]="","",_xlfn.XLOOKUP(tblOrdenes[[#This Row],[id_operacion]],tblEjecucion[id_operacion],tblEjecucion[precio],0))</f>
        <v/>
      </c>
      <c r="AG233" s="10">
        <f>IF(tblOrdenes[[#This Row],[orden]]="","",MAX(0,_xlfn.XLOOKUP(tblOrdenes[[#This Row],[id_operacion]],tblEjecucion[id_operacion],tblEjecucion[costo_plan_total],0)-tblOrdenes[[#This Row],[costo_servicio]]))</f>
        <v/>
      </c>
      <c r="AH233" s="10">
        <f>IF(tblOrdenes[[#This Row],[orden]]="","",tblOrdenes[[#This Row],[costo_servicio]]+tblOrdenes[[#This Row],[costo_materiales]])</f>
        <v/>
      </c>
      <c r="AI233" s="6" t="n"/>
      <c r="AJ233" s="6" t="n"/>
      <c r="AK233" s="6" t="n"/>
      <c r="AL233" s="3">
        <f>IF(tblOrdenes[[#This Row],[link_checklist]]="","",HYPERLINK(p_ruta_base_checklists&amp;tblOrdenes[[#This Row],[link_checklist]],"abrir"))</f>
        <v/>
      </c>
      <c r="AM233" s="6" t="n"/>
      <c r="AN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Row],[tipo_ot]]="","",_xlfn.XLOOKUP(tblOrdenes[[#This Row],[tipo_ot]],tblTiposOT[codigo],tblTiposOT[clasificacion],"sin_clasificar"))</f>
        <v/>
      </c>
      <c r="T234" s="3">
        <f>IF(tblOrdenes[[#This Row],[centro_costo]]="","",_xlfn.XLOOKUP(tblOrdenes[[#This Row],[centro_costo]],tblCECO[codigo],tblCECO[linea],"(sin catálogo)"))</f>
        <v/>
      </c>
      <c r="U234" s="3">
        <f>IF(tblOrdenes[[#This Row],[centro_costo]]="","",_xlfn.XLOOKUP(tblOrdenes[[#This Row],[centro_costo]],tblCECO[codigo],tblCECO[area],"(sin catálogo)"))</f>
        <v/>
      </c>
      <c r="V234" s="3">
        <f>IF(tblOrdenes[[#This Row],[centro_costo]]="","",_xlfn.XLOOKUP(tblOrdenes[[#This Row],[centro_costo]],tblCECO[codigo],tblCECO[coordinador],"(sin catálogo)"))</f>
        <v/>
      </c>
      <c r="W234" s="3">
        <f>IF(tblOrdenes[[#This Row],[puesto_trabajo]]="","",_xlfn.XLOOKUP(tblOrdenes[[#This Row],[puesto_trabajo]],tblPuestos[codigo],tblPuestos[especialidad],"(sin catálogo)"))</f>
        <v/>
      </c>
      <c r="X234" s="3">
        <f>IF(tblOrdenes[[#This Row],[cod_actividad]]="","",_xlfn.XLOOKUP(tblOrdenes[[#This Row],[cod_actividad]],tblActividades[codigo],tblActividades[descripcion],"(sin catálogo)"))</f>
        <v/>
      </c>
      <c r="Y234" s="12">
        <f>IF(tblOrdenes[[#This Row],[fecha_inicio]]="","",TODAY()-tblOrdenes[[#This Row],[fecha_inicio]])</f>
        <v/>
      </c>
      <c r="Z234" s="3">
        <f>IF(tblOrdenes[[#This Row],[backlog_dias]]="","",IF(tblOrdenes[[#This Row],[backlog_dias]]&lt;0,"FUTURO",IF(tblOrdenes[[#This Row],[backlog_dias]]&gt;p_dias_backlog_max,"BACKLOG","MES CORRIENTE")))</f>
        <v/>
      </c>
      <c r="AA234" s="3">
        <f>IF(tblOrdenes[[#This Row],[backlog_dias]]="",FALSE,AND(tblOrdenes[[#This Row],[backlog_dias]]&gt;p_dias_backlog_min,tblOrdenes[[#This Row],[backlog_dias]]&lt;=p_dias_backlog_max))</f>
        <v/>
      </c>
      <c r="AB234" s="6" t="n"/>
      <c r="AC2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4" s="10">
        <f>IF(tblOrdenes[[#This Row],[orden]]="","",_xlfn.XLOOKUP(tblOrdenes[[#This Row],[id_operacion]],tblEjecucion[id_operacion],tblEjecucion[precio],0))</f>
        <v/>
      </c>
      <c r="AG234" s="10">
        <f>IF(tblOrdenes[[#This Row],[orden]]="","",MAX(0,_xlfn.XLOOKUP(tblOrdenes[[#This Row],[id_operacion]],tblEjecucion[id_operacion],tblEjecucion[costo_plan_total],0)-tblOrdenes[[#This Row],[costo_servicio]]))</f>
        <v/>
      </c>
      <c r="AH234" s="10">
        <f>IF(tblOrdenes[[#This Row],[orden]]="","",tblOrdenes[[#This Row],[costo_servicio]]+tblOrdenes[[#This Row],[costo_materiales]])</f>
        <v/>
      </c>
      <c r="AI234" s="6" t="n"/>
      <c r="AJ234" s="6" t="n"/>
      <c r="AK234" s="6" t="n"/>
      <c r="AL234" s="3">
        <f>IF(tblOrdenes[[#This Row],[link_checklist]]="","",HYPERLINK(p_ruta_base_checklists&amp;tblOrdenes[[#This Row],[link_checklist]],"abrir"))</f>
        <v/>
      </c>
      <c r="AM234" s="6" t="n"/>
      <c r="AN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Row],[tipo_ot]]="","",_xlfn.XLOOKUP(tblOrdenes[[#This Row],[tipo_ot]],tblTiposOT[codigo],tblTiposOT[clasificacion],"sin_clasificar"))</f>
        <v/>
      </c>
      <c r="T235" s="3">
        <f>IF(tblOrdenes[[#This Row],[centro_costo]]="","",_xlfn.XLOOKUP(tblOrdenes[[#This Row],[centro_costo]],tblCECO[codigo],tblCECO[linea],"(sin catálogo)"))</f>
        <v/>
      </c>
      <c r="U235" s="3">
        <f>IF(tblOrdenes[[#This Row],[centro_costo]]="","",_xlfn.XLOOKUP(tblOrdenes[[#This Row],[centro_costo]],tblCECO[codigo],tblCECO[area],"(sin catálogo)"))</f>
        <v/>
      </c>
      <c r="V235" s="3">
        <f>IF(tblOrdenes[[#This Row],[centro_costo]]="","",_xlfn.XLOOKUP(tblOrdenes[[#This Row],[centro_costo]],tblCECO[codigo],tblCECO[coordinador],"(sin catálogo)"))</f>
        <v/>
      </c>
      <c r="W235" s="3">
        <f>IF(tblOrdenes[[#This Row],[puesto_trabajo]]="","",_xlfn.XLOOKUP(tblOrdenes[[#This Row],[puesto_trabajo]],tblPuestos[codigo],tblPuestos[especialidad],"(sin catálogo)"))</f>
        <v/>
      </c>
      <c r="X235" s="3">
        <f>IF(tblOrdenes[[#This Row],[cod_actividad]]="","",_xlfn.XLOOKUP(tblOrdenes[[#This Row],[cod_actividad]],tblActividades[codigo],tblActividades[descripcion],"(sin catálogo)"))</f>
        <v/>
      </c>
      <c r="Y235" s="12">
        <f>IF(tblOrdenes[[#This Row],[fecha_inicio]]="","",TODAY()-tblOrdenes[[#This Row],[fecha_inicio]])</f>
        <v/>
      </c>
      <c r="Z235" s="3">
        <f>IF(tblOrdenes[[#This Row],[backlog_dias]]="","",IF(tblOrdenes[[#This Row],[backlog_dias]]&lt;0,"FUTURO",IF(tblOrdenes[[#This Row],[backlog_dias]]&gt;p_dias_backlog_max,"BACKLOG","MES CORRIENTE")))</f>
        <v/>
      </c>
      <c r="AA235" s="3">
        <f>IF(tblOrdenes[[#This Row],[backlog_dias]]="",FALSE,AND(tblOrdenes[[#This Row],[backlog_dias]]&gt;p_dias_backlog_min,tblOrdenes[[#This Row],[backlog_dias]]&lt;=p_dias_backlog_max))</f>
        <v/>
      </c>
      <c r="AB235" s="6" t="n"/>
      <c r="AC2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5" s="10">
        <f>IF(tblOrdenes[[#This Row],[orden]]="","",_xlfn.XLOOKUP(tblOrdenes[[#This Row],[id_operacion]],tblEjecucion[id_operacion],tblEjecucion[precio],0))</f>
        <v/>
      </c>
      <c r="AG235" s="10">
        <f>IF(tblOrdenes[[#This Row],[orden]]="","",MAX(0,_xlfn.XLOOKUP(tblOrdenes[[#This Row],[id_operacion]],tblEjecucion[id_operacion],tblEjecucion[costo_plan_total],0)-tblOrdenes[[#This Row],[costo_servicio]]))</f>
        <v/>
      </c>
      <c r="AH235" s="10">
        <f>IF(tblOrdenes[[#This Row],[orden]]="","",tblOrdenes[[#This Row],[costo_servicio]]+tblOrdenes[[#This Row],[costo_materiales]])</f>
        <v/>
      </c>
      <c r="AI235" s="6" t="n"/>
      <c r="AJ235" s="6" t="n"/>
      <c r="AK235" s="6" t="n"/>
      <c r="AL235" s="3">
        <f>IF(tblOrdenes[[#This Row],[link_checklist]]="","",HYPERLINK(p_ruta_base_checklists&amp;tblOrdenes[[#This Row],[link_checklist]],"abrir"))</f>
        <v/>
      </c>
      <c r="AM235" s="6" t="n"/>
      <c r="AN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Row],[tipo_ot]]="","",_xlfn.XLOOKUP(tblOrdenes[[#This Row],[tipo_ot]],tblTiposOT[codigo],tblTiposOT[clasificacion],"sin_clasificar"))</f>
        <v/>
      </c>
      <c r="T236" s="3">
        <f>IF(tblOrdenes[[#This Row],[centro_costo]]="","",_xlfn.XLOOKUP(tblOrdenes[[#This Row],[centro_costo]],tblCECO[codigo],tblCECO[linea],"(sin catálogo)"))</f>
        <v/>
      </c>
      <c r="U236" s="3">
        <f>IF(tblOrdenes[[#This Row],[centro_costo]]="","",_xlfn.XLOOKUP(tblOrdenes[[#This Row],[centro_costo]],tblCECO[codigo],tblCECO[area],"(sin catálogo)"))</f>
        <v/>
      </c>
      <c r="V236" s="3">
        <f>IF(tblOrdenes[[#This Row],[centro_costo]]="","",_xlfn.XLOOKUP(tblOrdenes[[#This Row],[centro_costo]],tblCECO[codigo],tblCECO[coordinador],"(sin catálogo)"))</f>
        <v/>
      </c>
      <c r="W236" s="3">
        <f>IF(tblOrdenes[[#This Row],[puesto_trabajo]]="","",_xlfn.XLOOKUP(tblOrdenes[[#This Row],[puesto_trabajo]],tblPuestos[codigo],tblPuestos[especialidad],"(sin catálogo)"))</f>
        <v/>
      </c>
      <c r="X236" s="3">
        <f>IF(tblOrdenes[[#This Row],[cod_actividad]]="","",_xlfn.XLOOKUP(tblOrdenes[[#This Row],[cod_actividad]],tblActividades[codigo],tblActividades[descripcion],"(sin catálogo)"))</f>
        <v/>
      </c>
      <c r="Y236" s="12">
        <f>IF(tblOrdenes[[#This Row],[fecha_inicio]]="","",TODAY()-tblOrdenes[[#This Row],[fecha_inicio]])</f>
        <v/>
      </c>
      <c r="Z236" s="3">
        <f>IF(tblOrdenes[[#This Row],[backlog_dias]]="","",IF(tblOrdenes[[#This Row],[backlog_dias]]&lt;0,"FUTURO",IF(tblOrdenes[[#This Row],[backlog_dias]]&gt;p_dias_backlog_max,"BACKLOG","MES CORRIENTE")))</f>
        <v/>
      </c>
      <c r="AA236" s="3">
        <f>IF(tblOrdenes[[#This Row],[backlog_dias]]="",FALSE,AND(tblOrdenes[[#This Row],[backlog_dias]]&gt;p_dias_backlog_min,tblOrdenes[[#This Row],[backlog_dias]]&lt;=p_dias_backlog_max))</f>
        <v/>
      </c>
      <c r="AB236" s="6" t="n"/>
      <c r="AC2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6" s="10">
        <f>IF(tblOrdenes[[#This Row],[orden]]="","",_xlfn.XLOOKUP(tblOrdenes[[#This Row],[id_operacion]],tblEjecucion[id_operacion],tblEjecucion[precio],0))</f>
        <v/>
      </c>
      <c r="AG236" s="10">
        <f>IF(tblOrdenes[[#This Row],[orden]]="","",MAX(0,_xlfn.XLOOKUP(tblOrdenes[[#This Row],[id_operacion]],tblEjecucion[id_operacion],tblEjecucion[costo_plan_total],0)-tblOrdenes[[#This Row],[costo_servicio]]))</f>
        <v/>
      </c>
      <c r="AH236" s="10">
        <f>IF(tblOrdenes[[#This Row],[orden]]="","",tblOrdenes[[#This Row],[costo_servicio]]+tblOrdenes[[#This Row],[costo_materiales]])</f>
        <v/>
      </c>
      <c r="AI236" s="6" t="n"/>
      <c r="AJ236" s="6" t="n"/>
      <c r="AK236" s="6" t="n"/>
      <c r="AL236" s="3">
        <f>IF(tblOrdenes[[#This Row],[link_checklist]]="","",HYPERLINK(p_ruta_base_checklists&amp;tblOrdenes[[#This Row],[link_checklist]],"abrir"))</f>
        <v/>
      </c>
      <c r="AM236" s="6" t="n"/>
      <c r="AN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Row],[tipo_ot]]="","",_xlfn.XLOOKUP(tblOrdenes[[#This Row],[tipo_ot]],tblTiposOT[codigo],tblTiposOT[clasificacion],"sin_clasificar"))</f>
        <v/>
      </c>
      <c r="T237" s="3">
        <f>IF(tblOrdenes[[#This Row],[centro_costo]]="","",_xlfn.XLOOKUP(tblOrdenes[[#This Row],[centro_costo]],tblCECO[codigo],tblCECO[linea],"(sin catálogo)"))</f>
        <v/>
      </c>
      <c r="U237" s="3">
        <f>IF(tblOrdenes[[#This Row],[centro_costo]]="","",_xlfn.XLOOKUP(tblOrdenes[[#This Row],[centro_costo]],tblCECO[codigo],tblCECO[area],"(sin catálogo)"))</f>
        <v/>
      </c>
      <c r="V237" s="3">
        <f>IF(tblOrdenes[[#This Row],[centro_costo]]="","",_xlfn.XLOOKUP(tblOrdenes[[#This Row],[centro_costo]],tblCECO[codigo],tblCECO[coordinador],"(sin catálogo)"))</f>
        <v/>
      </c>
      <c r="W237" s="3">
        <f>IF(tblOrdenes[[#This Row],[puesto_trabajo]]="","",_xlfn.XLOOKUP(tblOrdenes[[#This Row],[puesto_trabajo]],tblPuestos[codigo],tblPuestos[especialidad],"(sin catálogo)"))</f>
        <v/>
      </c>
      <c r="X237" s="3">
        <f>IF(tblOrdenes[[#This Row],[cod_actividad]]="","",_xlfn.XLOOKUP(tblOrdenes[[#This Row],[cod_actividad]],tblActividades[codigo],tblActividades[descripcion],"(sin catálogo)"))</f>
        <v/>
      </c>
      <c r="Y237" s="12">
        <f>IF(tblOrdenes[[#This Row],[fecha_inicio]]="","",TODAY()-tblOrdenes[[#This Row],[fecha_inicio]])</f>
        <v/>
      </c>
      <c r="Z237" s="3">
        <f>IF(tblOrdenes[[#This Row],[backlog_dias]]="","",IF(tblOrdenes[[#This Row],[backlog_dias]]&lt;0,"FUTURO",IF(tblOrdenes[[#This Row],[backlog_dias]]&gt;p_dias_backlog_max,"BACKLOG","MES CORRIENTE")))</f>
        <v/>
      </c>
      <c r="AA237" s="3">
        <f>IF(tblOrdenes[[#This Row],[backlog_dias]]="",FALSE,AND(tblOrdenes[[#This Row],[backlog_dias]]&gt;p_dias_backlog_min,tblOrdenes[[#This Row],[backlog_dias]]&lt;=p_dias_backlog_max))</f>
        <v/>
      </c>
      <c r="AB237" s="6" t="n"/>
      <c r="AC2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7" s="10">
        <f>IF(tblOrdenes[[#This Row],[orden]]="","",_xlfn.XLOOKUP(tblOrdenes[[#This Row],[id_operacion]],tblEjecucion[id_operacion],tblEjecucion[precio],0))</f>
        <v/>
      </c>
      <c r="AG237" s="10">
        <f>IF(tblOrdenes[[#This Row],[orden]]="","",MAX(0,_xlfn.XLOOKUP(tblOrdenes[[#This Row],[id_operacion]],tblEjecucion[id_operacion],tblEjecucion[costo_plan_total],0)-tblOrdenes[[#This Row],[costo_servicio]]))</f>
        <v/>
      </c>
      <c r="AH237" s="10">
        <f>IF(tblOrdenes[[#This Row],[orden]]="","",tblOrdenes[[#This Row],[costo_servicio]]+tblOrdenes[[#This Row],[costo_materiales]])</f>
        <v/>
      </c>
      <c r="AI237" s="6" t="n"/>
      <c r="AJ237" s="6" t="n"/>
      <c r="AK237" s="6" t="n"/>
      <c r="AL237" s="3">
        <f>IF(tblOrdenes[[#This Row],[link_checklist]]="","",HYPERLINK(p_ruta_base_checklists&amp;tblOrdenes[[#This Row],[link_checklist]],"abrir"))</f>
        <v/>
      </c>
      <c r="AM237" s="6" t="n"/>
      <c r="AN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Row],[tipo_ot]]="","",_xlfn.XLOOKUP(tblOrdenes[[#This Row],[tipo_ot]],tblTiposOT[codigo],tblTiposOT[clasificacion],"sin_clasificar"))</f>
        <v/>
      </c>
      <c r="T238" s="3">
        <f>IF(tblOrdenes[[#This Row],[centro_costo]]="","",_xlfn.XLOOKUP(tblOrdenes[[#This Row],[centro_costo]],tblCECO[codigo],tblCECO[linea],"(sin catálogo)"))</f>
        <v/>
      </c>
      <c r="U238" s="3">
        <f>IF(tblOrdenes[[#This Row],[centro_costo]]="","",_xlfn.XLOOKUP(tblOrdenes[[#This Row],[centro_costo]],tblCECO[codigo],tblCECO[area],"(sin catálogo)"))</f>
        <v/>
      </c>
      <c r="V238" s="3">
        <f>IF(tblOrdenes[[#This Row],[centro_costo]]="","",_xlfn.XLOOKUP(tblOrdenes[[#This Row],[centro_costo]],tblCECO[codigo],tblCECO[coordinador],"(sin catálogo)"))</f>
        <v/>
      </c>
      <c r="W238" s="3">
        <f>IF(tblOrdenes[[#This Row],[puesto_trabajo]]="","",_xlfn.XLOOKUP(tblOrdenes[[#This Row],[puesto_trabajo]],tblPuestos[codigo],tblPuestos[especialidad],"(sin catálogo)"))</f>
        <v/>
      </c>
      <c r="X238" s="3">
        <f>IF(tblOrdenes[[#This Row],[cod_actividad]]="","",_xlfn.XLOOKUP(tblOrdenes[[#This Row],[cod_actividad]],tblActividades[codigo],tblActividades[descripcion],"(sin catálogo)"))</f>
        <v/>
      </c>
      <c r="Y238" s="12">
        <f>IF(tblOrdenes[[#This Row],[fecha_inicio]]="","",TODAY()-tblOrdenes[[#This Row],[fecha_inicio]])</f>
        <v/>
      </c>
      <c r="Z238" s="3">
        <f>IF(tblOrdenes[[#This Row],[backlog_dias]]="","",IF(tblOrdenes[[#This Row],[backlog_dias]]&lt;0,"FUTURO",IF(tblOrdenes[[#This Row],[backlog_dias]]&gt;p_dias_backlog_max,"BACKLOG","MES CORRIENTE")))</f>
        <v/>
      </c>
      <c r="AA238" s="3">
        <f>IF(tblOrdenes[[#This Row],[backlog_dias]]="",FALSE,AND(tblOrdenes[[#This Row],[backlog_dias]]&gt;p_dias_backlog_min,tblOrdenes[[#This Row],[backlog_dias]]&lt;=p_dias_backlog_max))</f>
        <v/>
      </c>
      <c r="AB238" s="6" t="n"/>
      <c r="AC2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8" s="10">
        <f>IF(tblOrdenes[[#This Row],[orden]]="","",_xlfn.XLOOKUP(tblOrdenes[[#This Row],[id_operacion]],tblEjecucion[id_operacion],tblEjecucion[precio],0))</f>
        <v/>
      </c>
      <c r="AG238" s="10">
        <f>IF(tblOrdenes[[#This Row],[orden]]="","",MAX(0,_xlfn.XLOOKUP(tblOrdenes[[#This Row],[id_operacion]],tblEjecucion[id_operacion],tblEjecucion[costo_plan_total],0)-tblOrdenes[[#This Row],[costo_servicio]]))</f>
        <v/>
      </c>
      <c r="AH238" s="10">
        <f>IF(tblOrdenes[[#This Row],[orden]]="","",tblOrdenes[[#This Row],[costo_servicio]]+tblOrdenes[[#This Row],[costo_materiales]])</f>
        <v/>
      </c>
      <c r="AI238" s="6" t="n"/>
      <c r="AJ238" s="6" t="n"/>
      <c r="AK238" s="6" t="n"/>
      <c r="AL238" s="3">
        <f>IF(tblOrdenes[[#This Row],[link_checklist]]="","",HYPERLINK(p_ruta_base_checklists&amp;tblOrdenes[[#This Row],[link_checklist]],"abrir"))</f>
        <v/>
      </c>
      <c r="AM238" s="6" t="n"/>
      <c r="AN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Row],[tipo_ot]]="","",_xlfn.XLOOKUP(tblOrdenes[[#This Row],[tipo_ot]],tblTiposOT[codigo],tblTiposOT[clasificacion],"sin_clasificar"))</f>
        <v/>
      </c>
      <c r="T239" s="3">
        <f>IF(tblOrdenes[[#This Row],[centro_costo]]="","",_xlfn.XLOOKUP(tblOrdenes[[#This Row],[centro_costo]],tblCECO[codigo],tblCECO[linea],"(sin catálogo)"))</f>
        <v/>
      </c>
      <c r="U239" s="3">
        <f>IF(tblOrdenes[[#This Row],[centro_costo]]="","",_xlfn.XLOOKUP(tblOrdenes[[#This Row],[centro_costo]],tblCECO[codigo],tblCECO[area],"(sin catálogo)"))</f>
        <v/>
      </c>
      <c r="V239" s="3">
        <f>IF(tblOrdenes[[#This Row],[centro_costo]]="","",_xlfn.XLOOKUP(tblOrdenes[[#This Row],[centro_costo]],tblCECO[codigo],tblCECO[coordinador],"(sin catálogo)"))</f>
        <v/>
      </c>
      <c r="W239" s="3">
        <f>IF(tblOrdenes[[#This Row],[puesto_trabajo]]="","",_xlfn.XLOOKUP(tblOrdenes[[#This Row],[puesto_trabajo]],tblPuestos[codigo],tblPuestos[especialidad],"(sin catálogo)"))</f>
        <v/>
      </c>
      <c r="X239" s="3">
        <f>IF(tblOrdenes[[#This Row],[cod_actividad]]="","",_xlfn.XLOOKUP(tblOrdenes[[#This Row],[cod_actividad]],tblActividades[codigo],tblActividades[descripcion],"(sin catálogo)"))</f>
        <v/>
      </c>
      <c r="Y239" s="12">
        <f>IF(tblOrdenes[[#This Row],[fecha_inicio]]="","",TODAY()-tblOrdenes[[#This Row],[fecha_inicio]])</f>
        <v/>
      </c>
      <c r="Z239" s="3">
        <f>IF(tblOrdenes[[#This Row],[backlog_dias]]="","",IF(tblOrdenes[[#This Row],[backlog_dias]]&lt;0,"FUTURO",IF(tblOrdenes[[#This Row],[backlog_dias]]&gt;p_dias_backlog_max,"BACKLOG","MES CORRIENTE")))</f>
        <v/>
      </c>
      <c r="AA239" s="3">
        <f>IF(tblOrdenes[[#This Row],[backlog_dias]]="",FALSE,AND(tblOrdenes[[#This Row],[backlog_dias]]&gt;p_dias_backlog_min,tblOrdenes[[#This Row],[backlog_dias]]&lt;=p_dias_backlog_max))</f>
        <v/>
      </c>
      <c r="AB239" s="6" t="n"/>
      <c r="AC2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9" s="10">
        <f>IF(tblOrdenes[[#This Row],[orden]]="","",_xlfn.XLOOKUP(tblOrdenes[[#This Row],[id_operacion]],tblEjecucion[id_operacion],tblEjecucion[precio],0))</f>
        <v/>
      </c>
      <c r="AG239" s="10">
        <f>IF(tblOrdenes[[#This Row],[orden]]="","",MAX(0,_xlfn.XLOOKUP(tblOrdenes[[#This Row],[id_operacion]],tblEjecucion[id_operacion],tblEjecucion[costo_plan_total],0)-tblOrdenes[[#This Row],[costo_servicio]]))</f>
        <v/>
      </c>
      <c r="AH239" s="10">
        <f>IF(tblOrdenes[[#This Row],[orden]]="","",tblOrdenes[[#This Row],[costo_servicio]]+tblOrdenes[[#This Row],[costo_materiales]])</f>
        <v/>
      </c>
      <c r="AI239" s="6" t="n"/>
      <c r="AJ239" s="6" t="n"/>
      <c r="AK239" s="6" t="n"/>
      <c r="AL239" s="3">
        <f>IF(tblOrdenes[[#This Row],[link_checklist]]="","",HYPERLINK(p_ruta_base_checklists&amp;tblOrdenes[[#This Row],[link_checklist]],"abrir"))</f>
        <v/>
      </c>
      <c r="AM239" s="6" t="n"/>
      <c r="AN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Row],[tipo_ot]]="","",_xlfn.XLOOKUP(tblOrdenes[[#This Row],[tipo_ot]],tblTiposOT[codigo],tblTiposOT[clasificacion],"sin_clasificar"))</f>
        <v/>
      </c>
      <c r="T240" s="3">
        <f>IF(tblOrdenes[[#This Row],[centro_costo]]="","",_xlfn.XLOOKUP(tblOrdenes[[#This Row],[centro_costo]],tblCECO[codigo],tblCECO[linea],"(sin catálogo)"))</f>
        <v/>
      </c>
      <c r="U240" s="3">
        <f>IF(tblOrdenes[[#This Row],[centro_costo]]="","",_xlfn.XLOOKUP(tblOrdenes[[#This Row],[centro_costo]],tblCECO[codigo],tblCECO[area],"(sin catálogo)"))</f>
        <v/>
      </c>
      <c r="V240" s="3">
        <f>IF(tblOrdenes[[#This Row],[centro_costo]]="","",_xlfn.XLOOKUP(tblOrdenes[[#This Row],[centro_costo]],tblCECO[codigo],tblCECO[coordinador],"(sin catálogo)"))</f>
        <v/>
      </c>
      <c r="W240" s="3">
        <f>IF(tblOrdenes[[#This Row],[puesto_trabajo]]="","",_xlfn.XLOOKUP(tblOrdenes[[#This Row],[puesto_trabajo]],tblPuestos[codigo],tblPuestos[especialidad],"(sin catálogo)"))</f>
        <v/>
      </c>
      <c r="X240" s="3">
        <f>IF(tblOrdenes[[#This Row],[cod_actividad]]="","",_xlfn.XLOOKUP(tblOrdenes[[#This Row],[cod_actividad]],tblActividades[codigo],tblActividades[descripcion],"(sin catálogo)"))</f>
        <v/>
      </c>
      <c r="Y240" s="12">
        <f>IF(tblOrdenes[[#This Row],[fecha_inicio]]="","",TODAY()-tblOrdenes[[#This Row],[fecha_inicio]])</f>
        <v/>
      </c>
      <c r="Z240" s="3">
        <f>IF(tblOrdenes[[#This Row],[backlog_dias]]="","",IF(tblOrdenes[[#This Row],[backlog_dias]]&lt;0,"FUTURO",IF(tblOrdenes[[#This Row],[backlog_dias]]&gt;p_dias_backlog_max,"BACKLOG","MES CORRIENTE")))</f>
        <v/>
      </c>
      <c r="AA240" s="3">
        <f>IF(tblOrdenes[[#This Row],[backlog_dias]]="",FALSE,AND(tblOrdenes[[#This Row],[backlog_dias]]&gt;p_dias_backlog_min,tblOrdenes[[#This Row],[backlog_dias]]&lt;=p_dias_backlog_max))</f>
        <v/>
      </c>
      <c r="AB240" s="6" t="n"/>
      <c r="AC2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0" s="10">
        <f>IF(tblOrdenes[[#This Row],[orden]]="","",_xlfn.XLOOKUP(tblOrdenes[[#This Row],[id_operacion]],tblEjecucion[id_operacion],tblEjecucion[precio],0))</f>
        <v/>
      </c>
      <c r="AG240" s="10">
        <f>IF(tblOrdenes[[#This Row],[orden]]="","",MAX(0,_xlfn.XLOOKUP(tblOrdenes[[#This Row],[id_operacion]],tblEjecucion[id_operacion],tblEjecucion[costo_plan_total],0)-tblOrdenes[[#This Row],[costo_servicio]]))</f>
        <v/>
      </c>
      <c r="AH240" s="10">
        <f>IF(tblOrdenes[[#This Row],[orden]]="","",tblOrdenes[[#This Row],[costo_servicio]]+tblOrdenes[[#This Row],[costo_materiales]])</f>
        <v/>
      </c>
      <c r="AI240" s="6" t="n"/>
      <c r="AJ240" s="6" t="n"/>
      <c r="AK240" s="6" t="n"/>
      <c r="AL240" s="3">
        <f>IF(tblOrdenes[[#This Row],[link_checklist]]="","",HYPERLINK(p_ruta_base_checklists&amp;tblOrdenes[[#This Row],[link_checklist]],"abrir"))</f>
        <v/>
      </c>
      <c r="AM240" s="6" t="n"/>
      <c r="AN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Row],[tipo_ot]]="","",_xlfn.XLOOKUP(tblOrdenes[[#This Row],[tipo_ot]],tblTiposOT[codigo],tblTiposOT[clasificacion],"sin_clasificar"))</f>
        <v/>
      </c>
      <c r="T241" s="3">
        <f>IF(tblOrdenes[[#This Row],[centro_costo]]="","",_xlfn.XLOOKUP(tblOrdenes[[#This Row],[centro_costo]],tblCECO[codigo],tblCECO[linea],"(sin catálogo)"))</f>
        <v/>
      </c>
      <c r="U241" s="3">
        <f>IF(tblOrdenes[[#This Row],[centro_costo]]="","",_xlfn.XLOOKUP(tblOrdenes[[#This Row],[centro_costo]],tblCECO[codigo],tblCECO[area],"(sin catálogo)"))</f>
        <v/>
      </c>
      <c r="V241" s="3">
        <f>IF(tblOrdenes[[#This Row],[centro_costo]]="","",_xlfn.XLOOKUP(tblOrdenes[[#This Row],[centro_costo]],tblCECO[codigo],tblCECO[coordinador],"(sin catálogo)"))</f>
        <v/>
      </c>
      <c r="W241" s="3">
        <f>IF(tblOrdenes[[#This Row],[puesto_trabajo]]="","",_xlfn.XLOOKUP(tblOrdenes[[#This Row],[puesto_trabajo]],tblPuestos[codigo],tblPuestos[especialidad],"(sin catálogo)"))</f>
        <v/>
      </c>
      <c r="X241" s="3">
        <f>IF(tblOrdenes[[#This Row],[cod_actividad]]="","",_xlfn.XLOOKUP(tblOrdenes[[#This Row],[cod_actividad]],tblActividades[codigo],tblActividades[descripcion],"(sin catálogo)"))</f>
        <v/>
      </c>
      <c r="Y241" s="12">
        <f>IF(tblOrdenes[[#This Row],[fecha_inicio]]="","",TODAY()-tblOrdenes[[#This Row],[fecha_inicio]])</f>
        <v/>
      </c>
      <c r="Z241" s="3">
        <f>IF(tblOrdenes[[#This Row],[backlog_dias]]="","",IF(tblOrdenes[[#This Row],[backlog_dias]]&lt;0,"FUTURO",IF(tblOrdenes[[#This Row],[backlog_dias]]&gt;p_dias_backlog_max,"BACKLOG","MES CORRIENTE")))</f>
        <v/>
      </c>
      <c r="AA241" s="3">
        <f>IF(tblOrdenes[[#This Row],[backlog_dias]]="",FALSE,AND(tblOrdenes[[#This Row],[backlog_dias]]&gt;p_dias_backlog_min,tblOrdenes[[#This Row],[backlog_dias]]&lt;=p_dias_backlog_max))</f>
        <v/>
      </c>
      <c r="AB241" s="6" t="n"/>
      <c r="AC2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1" s="10">
        <f>IF(tblOrdenes[[#This Row],[orden]]="","",_xlfn.XLOOKUP(tblOrdenes[[#This Row],[id_operacion]],tblEjecucion[id_operacion],tblEjecucion[precio],0))</f>
        <v/>
      </c>
      <c r="AG241" s="10">
        <f>IF(tblOrdenes[[#This Row],[orden]]="","",MAX(0,_xlfn.XLOOKUP(tblOrdenes[[#This Row],[id_operacion]],tblEjecucion[id_operacion],tblEjecucion[costo_plan_total],0)-tblOrdenes[[#This Row],[costo_servicio]]))</f>
        <v/>
      </c>
      <c r="AH241" s="10">
        <f>IF(tblOrdenes[[#This Row],[orden]]="","",tblOrdenes[[#This Row],[costo_servicio]]+tblOrdenes[[#This Row],[costo_materiales]])</f>
        <v/>
      </c>
      <c r="AI241" s="6" t="n"/>
      <c r="AJ241" s="6" t="n"/>
      <c r="AK241" s="6" t="n"/>
      <c r="AL241" s="3">
        <f>IF(tblOrdenes[[#This Row],[link_checklist]]="","",HYPERLINK(p_ruta_base_checklists&amp;tblOrdenes[[#This Row],[link_checklist]],"abrir"))</f>
        <v/>
      </c>
      <c r="AM241" s="6" t="n"/>
      <c r="AN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Row],[tipo_ot]]="","",_xlfn.XLOOKUP(tblOrdenes[[#This Row],[tipo_ot]],tblTiposOT[codigo],tblTiposOT[clasificacion],"sin_clasificar"))</f>
        <v/>
      </c>
      <c r="T242" s="3">
        <f>IF(tblOrdenes[[#This Row],[centro_costo]]="","",_xlfn.XLOOKUP(tblOrdenes[[#This Row],[centro_costo]],tblCECO[codigo],tblCECO[linea],"(sin catálogo)"))</f>
        <v/>
      </c>
      <c r="U242" s="3">
        <f>IF(tblOrdenes[[#This Row],[centro_costo]]="","",_xlfn.XLOOKUP(tblOrdenes[[#This Row],[centro_costo]],tblCECO[codigo],tblCECO[area],"(sin catálogo)"))</f>
        <v/>
      </c>
      <c r="V242" s="3">
        <f>IF(tblOrdenes[[#This Row],[centro_costo]]="","",_xlfn.XLOOKUP(tblOrdenes[[#This Row],[centro_costo]],tblCECO[codigo],tblCECO[coordinador],"(sin catálogo)"))</f>
        <v/>
      </c>
      <c r="W242" s="3">
        <f>IF(tblOrdenes[[#This Row],[puesto_trabajo]]="","",_xlfn.XLOOKUP(tblOrdenes[[#This Row],[puesto_trabajo]],tblPuestos[codigo],tblPuestos[especialidad],"(sin catálogo)"))</f>
        <v/>
      </c>
      <c r="X242" s="3">
        <f>IF(tblOrdenes[[#This Row],[cod_actividad]]="","",_xlfn.XLOOKUP(tblOrdenes[[#This Row],[cod_actividad]],tblActividades[codigo],tblActividades[descripcion],"(sin catálogo)"))</f>
        <v/>
      </c>
      <c r="Y242" s="12">
        <f>IF(tblOrdenes[[#This Row],[fecha_inicio]]="","",TODAY()-tblOrdenes[[#This Row],[fecha_inicio]])</f>
        <v/>
      </c>
      <c r="Z242" s="3">
        <f>IF(tblOrdenes[[#This Row],[backlog_dias]]="","",IF(tblOrdenes[[#This Row],[backlog_dias]]&lt;0,"FUTURO",IF(tblOrdenes[[#This Row],[backlog_dias]]&gt;p_dias_backlog_max,"BACKLOG","MES CORRIENTE")))</f>
        <v/>
      </c>
      <c r="AA242" s="3">
        <f>IF(tblOrdenes[[#This Row],[backlog_dias]]="",FALSE,AND(tblOrdenes[[#This Row],[backlog_dias]]&gt;p_dias_backlog_min,tblOrdenes[[#This Row],[backlog_dias]]&lt;=p_dias_backlog_max))</f>
        <v/>
      </c>
      <c r="AB242" s="6" t="n"/>
      <c r="AC2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2" s="10">
        <f>IF(tblOrdenes[[#This Row],[orden]]="","",_xlfn.XLOOKUP(tblOrdenes[[#This Row],[id_operacion]],tblEjecucion[id_operacion],tblEjecucion[precio],0))</f>
        <v/>
      </c>
      <c r="AG242" s="10">
        <f>IF(tblOrdenes[[#This Row],[orden]]="","",MAX(0,_xlfn.XLOOKUP(tblOrdenes[[#This Row],[id_operacion]],tblEjecucion[id_operacion],tblEjecucion[costo_plan_total],0)-tblOrdenes[[#This Row],[costo_servicio]]))</f>
        <v/>
      </c>
      <c r="AH242" s="10">
        <f>IF(tblOrdenes[[#This Row],[orden]]="","",tblOrdenes[[#This Row],[costo_servicio]]+tblOrdenes[[#This Row],[costo_materiales]])</f>
        <v/>
      </c>
      <c r="AI242" s="6" t="n"/>
      <c r="AJ242" s="6" t="n"/>
      <c r="AK242" s="6" t="n"/>
      <c r="AL242" s="3">
        <f>IF(tblOrdenes[[#This Row],[link_checklist]]="","",HYPERLINK(p_ruta_base_checklists&amp;tblOrdenes[[#This Row],[link_checklist]],"abrir"))</f>
        <v/>
      </c>
      <c r="AM242" s="6" t="n"/>
      <c r="AN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Row],[tipo_ot]]="","",_xlfn.XLOOKUP(tblOrdenes[[#This Row],[tipo_ot]],tblTiposOT[codigo],tblTiposOT[clasificacion],"sin_clasificar"))</f>
        <v/>
      </c>
      <c r="T243" s="3">
        <f>IF(tblOrdenes[[#This Row],[centro_costo]]="","",_xlfn.XLOOKUP(tblOrdenes[[#This Row],[centro_costo]],tblCECO[codigo],tblCECO[linea],"(sin catálogo)"))</f>
        <v/>
      </c>
      <c r="U243" s="3">
        <f>IF(tblOrdenes[[#This Row],[centro_costo]]="","",_xlfn.XLOOKUP(tblOrdenes[[#This Row],[centro_costo]],tblCECO[codigo],tblCECO[area],"(sin catálogo)"))</f>
        <v/>
      </c>
      <c r="V243" s="3">
        <f>IF(tblOrdenes[[#This Row],[centro_costo]]="","",_xlfn.XLOOKUP(tblOrdenes[[#This Row],[centro_costo]],tblCECO[codigo],tblCECO[coordinador],"(sin catálogo)"))</f>
        <v/>
      </c>
      <c r="W243" s="3">
        <f>IF(tblOrdenes[[#This Row],[puesto_trabajo]]="","",_xlfn.XLOOKUP(tblOrdenes[[#This Row],[puesto_trabajo]],tblPuestos[codigo],tblPuestos[especialidad],"(sin catálogo)"))</f>
        <v/>
      </c>
      <c r="X243" s="3">
        <f>IF(tblOrdenes[[#This Row],[cod_actividad]]="","",_xlfn.XLOOKUP(tblOrdenes[[#This Row],[cod_actividad]],tblActividades[codigo],tblActividades[descripcion],"(sin catálogo)"))</f>
        <v/>
      </c>
      <c r="Y243" s="12">
        <f>IF(tblOrdenes[[#This Row],[fecha_inicio]]="","",TODAY()-tblOrdenes[[#This Row],[fecha_inicio]])</f>
        <v/>
      </c>
      <c r="Z243" s="3">
        <f>IF(tblOrdenes[[#This Row],[backlog_dias]]="","",IF(tblOrdenes[[#This Row],[backlog_dias]]&lt;0,"FUTURO",IF(tblOrdenes[[#This Row],[backlog_dias]]&gt;p_dias_backlog_max,"BACKLOG","MES CORRIENTE")))</f>
        <v/>
      </c>
      <c r="AA243" s="3">
        <f>IF(tblOrdenes[[#This Row],[backlog_dias]]="",FALSE,AND(tblOrdenes[[#This Row],[backlog_dias]]&gt;p_dias_backlog_min,tblOrdenes[[#This Row],[backlog_dias]]&lt;=p_dias_backlog_max))</f>
        <v/>
      </c>
      <c r="AB243" s="6" t="n"/>
      <c r="AC2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3" s="10">
        <f>IF(tblOrdenes[[#This Row],[orden]]="","",_xlfn.XLOOKUP(tblOrdenes[[#This Row],[id_operacion]],tblEjecucion[id_operacion],tblEjecucion[precio],0))</f>
        <v/>
      </c>
      <c r="AG243" s="10">
        <f>IF(tblOrdenes[[#This Row],[orden]]="","",MAX(0,_xlfn.XLOOKUP(tblOrdenes[[#This Row],[id_operacion]],tblEjecucion[id_operacion],tblEjecucion[costo_plan_total],0)-tblOrdenes[[#This Row],[costo_servicio]]))</f>
        <v/>
      </c>
      <c r="AH243" s="10">
        <f>IF(tblOrdenes[[#This Row],[orden]]="","",tblOrdenes[[#This Row],[costo_servicio]]+tblOrdenes[[#This Row],[costo_materiales]])</f>
        <v/>
      </c>
      <c r="AI243" s="6" t="n"/>
      <c r="AJ243" s="6" t="n"/>
      <c r="AK243" s="6" t="n"/>
      <c r="AL243" s="3">
        <f>IF(tblOrdenes[[#This Row],[link_checklist]]="","",HYPERLINK(p_ruta_base_checklists&amp;tblOrdenes[[#This Row],[link_checklist]],"abrir"))</f>
        <v/>
      </c>
      <c r="AM243" s="6" t="n"/>
      <c r="AN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Row],[tipo_ot]]="","",_xlfn.XLOOKUP(tblOrdenes[[#This Row],[tipo_ot]],tblTiposOT[codigo],tblTiposOT[clasificacion],"sin_clasificar"))</f>
        <v/>
      </c>
      <c r="T244" s="3">
        <f>IF(tblOrdenes[[#This Row],[centro_costo]]="","",_xlfn.XLOOKUP(tblOrdenes[[#This Row],[centro_costo]],tblCECO[codigo],tblCECO[linea],"(sin catálogo)"))</f>
        <v/>
      </c>
      <c r="U244" s="3">
        <f>IF(tblOrdenes[[#This Row],[centro_costo]]="","",_xlfn.XLOOKUP(tblOrdenes[[#This Row],[centro_costo]],tblCECO[codigo],tblCECO[area],"(sin catálogo)"))</f>
        <v/>
      </c>
      <c r="V244" s="3">
        <f>IF(tblOrdenes[[#This Row],[centro_costo]]="","",_xlfn.XLOOKUP(tblOrdenes[[#This Row],[centro_costo]],tblCECO[codigo],tblCECO[coordinador],"(sin catálogo)"))</f>
        <v/>
      </c>
      <c r="W244" s="3">
        <f>IF(tblOrdenes[[#This Row],[puesto_trabajo]]="","",_xlfn.XLOOKUP(tblOrdenes[[#This Row],[puesto_trabajo]],tblPuestos[codigo],tblPuestos[especialidad],"(sin catálogo)"))</f>
        <v/>
      </c>
      <c r="X244" s="3">
        <f>IF(tblOrdenes[[#This Row],[cod_actividad]]="","",_xlfn.XLOOKUP(tblOrdenes[[#This Row],[cod_actividad]],tblActividades[codigo],tblActividades[descripcion],"(sin catálogo)"))</f>
        <v/>
      </c>
      <c r="Y244" s="12">
        <f>IF(tblOrdenes[[#This Row],[fecha_inicio]]="","",TODAY()-tblOrdenes[[#This Row],[fecha_inicio]])</f>
        <v/>
      </c>
      <c r="Z244" s="3">
        <f>IF(tblOrdenes[[#This Row],[backlog_dias]]="","",IF(tblOrdenes[[#This Row],[backlog_dias]]&lt;0,"FUTURO",IF(tblOrdenes[[#This Row],[backlog_dias]]&gt;p_dias_backlog_max,"BACKLOG","MES CORRIENTE")))</f>
        <v/>
      </c>
      <c r="AA244" s="3">
        <f>IF(tblOrdenes[[#This Row],[backlog_dias]]="",FALSE,AND(tblOrdenes[[#This Row],[backlog_dias]]&gt;p_dias_backlog_min,tblOrdenes[[#This Row],[backlog_dias]]&lt;=p_dias_backlog_max))</f>
        <v/>
      </c>
      <c r="AB244" s="6" t="n"/>
      <c r="AC2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4" s="10">
        <f>IF(tblOrdenes[[#This Row],[orden]]="","",_xlfn.XLOOKUP(tblOrdenes[[#This Row],[id_operacion]],tblEjecucion[id_operacion],tblEjecucion[precio],0))</f>
        <v/>
      </c>
      <c r="AG244" s="10">
        <f>IF(tblOrdenes[[#This Row],[orden]]="","",MAX(0,_xlfn.XLOOKUP(tblOrdenes[[#This Row],[id_operacion]],tblEjecucion[id_operacion],tblEjecucion[costo_plan_total],0)-tblOrdenes[[#This Row],[costo_servicio]]))</f>
        <v/>
      </c>
      <c r="AH244" s="10">
        <f>IF(tblOrdenes[[#This Row],[orden]]="","",tblOrdenes[[#This Row],[costo_servicio]]+tblOrdenes[[#This Row],[costo_materiales]])</f>
        <v/>
      </c>
      <c r="AI244" s="6" t="n"/>
      <c r="AJ244" s="6" t="n"/>
      <c r="AK244" s="6" t="n"/>
      <c r="AL244" s="3">
        <f>IF(tblOrdenes[[#This Row],[link_checklist]]="","",HYPERLINK(p_ruta_base_checklists&amp;tblOrdenes[[#This Row],[link_checklist]],"abrir"))</f>
        <v/>
      </c>
      <c r="AM244" s="6" t="n"/>
      <c r="AN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Row],[tipo_ot]]="","",_xlfn.XLOOKUP(tblOrdenes[[#This Row],[tipo_ot]],tblTiposOT[codigo],tblTiposOT[clasificacion],"sin_clasificar"))</f>
        <v/>
      </c>
      <c r="T245" s="3">
        <f>IF(tblOrdenes[[#This Row],[centro_costo]]="","",_xlfn.XLOOKUP(tblOrdenes[[#This Row],[centro_costo]],tblCECO[codigo],tblCECO[linea],"(sin catálogo)"))</f>
        <v/>
      </c>
      <c r="U245" s="3">
        <f>IF(tblOrdenes[[#This Row],[centro_costo]]="","",_xlfn.XLOOKUP(tblOrdenes[[#This Row],[centro_costo]],tblCECO[codigo],tblCECO[area],"(sin catálogo)"))</f>
        <v/>
      </c>
      <c r="V245" s="3">
        <f>IF(tblOrdenes[[#This Row],[centro_costo]]="","",_xlfn.XLOOKUP(tblOrdenes[[#This Row],[centro_costo]],tblCECO[codigo],tblCECO[coordinador],"(sin catálogo)"))</f>
        <v/>
      </c>
      <c r="W245" s="3">
        <f>IF(tblOrdenes[[#This Row],[puesto_trabajo]]="","",_xlfn.XLOOKUP(tblOrdenes[[#This Row],[puesto_trabajo]],tblPuestos[codigo],tblPuestos[especialidad],"(sin catálogo)"))</f>
        <v/>
      </c>
      <c r="X245" s="3">
        <f>IF(tblOrdenes[[#This Row],[cod_actividad]]="","",_xlfn.XLOOKUP(tblOrdenes[[#This Row],[cod_actividad]],tblActividades[codigo],tblActividades[descripcion],"(sin catálogo)"))</f>
        <v/>
      </c>
      <c r="Y245" s="12">
        <f>IF(tblOrdenes[[#This Row],[fecha_inicio]]="","",TODAY()-tblOrdenes[[#This Row],[fecha_inicio]])</f>
        <v/>
      </c>
      <c r="Z245" s="3">
        <f>IF(tblOrdenes[[#This Row],[backlog_dias]]="","",IF(tblOrdenes[[#This Row],[backlog_dias]]&lt;0,"FUTURO",IF(tblOrdenes[[#This Row],[backlog_dias]]&gt;p_dias_backlog_max,"BACKLOG","MES CORRIENTE")))</f>
        <v/>
      </c>
      <c r="AA245" s="3">
        <f>IF(tblOrdenes[[#This Row],[backlog_dias]]="",FALSE,AND(tblOrdenes[[#This Row],[backlog_dias]]&gt;p_dias_backlog_min,tblOrdenes[[#This Row],[backlog_dias]]&lt;=p_dias_backlog_max))</f>
        <v/>
      </c>
      <c r="AB245" s="6" t="n"/>
      <c r="AC2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5" s="10">
        <f>IF(tblOrdenes[[#This Row],[orden]]="","",_xlfn.XLOOKUP(tblOrdenes[[#This Row],[id_operacion]],tblEjecucion[id_operacion],tblEjecucion[precio],0))</f>
        <v/>
      </c>
      <c r="AG245" s="10">
        <f>IF(tblOrdenes[[#This Row],[orden]]="","",MAX(0,_xlfn.XLOOKUP(tblOrdenes[[#This Row],[id_operacion]],tblEjecucion[id_operacion],tblEjecucion[costo_plan_total],0)-tblOrdenes[[#This Row],[costo_servicio]]))</f>
        <v/>
      </c>
      <c r="AH245" s="10">
        <f>IF(tblOrdenes[[#This Row],[orden]]="","",tblOrdenes[[#This Row],[costo_servicio]]+tblOrdenes[[#This Row],[costo_materiales]])</f>
        <v/>
      </c>
      <c r="AI245" s="6" t="n"/>
      <c r="AJ245" s="6" t="n"/>
      <c r="AK245" s="6" t="n"/>
      <c r="AL245" s="3">
        <f>IF(tblOrdenes[[#This Row],[link_checklist]]="","",HYPERLINK(p_ruta_base_checklists&amp;tblOrdenes[[#This Row],[link_checklist]],"abrir"))</f>
        <v/>
      </c>
      <c r="AM245" s="6" t="n"/>
      <c r="AN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Row],[tipo_ot]]="","",_xlfn.XLOOKUP(tblOrdenes[[#This Row],[tipo_ot]],tblTiposOT[codigo],tblTiposOT[clasificacion],"sin_clasificar"))</f>
        <v/>
      </c>
      <c r="T246" s="3">
        <f>IF(tblOrdenes[[#This Row],[centro_costo]]="","",_xlfn.XLOOKUP(tblOrdenes[[#This Row],[centro_costo]],tblCECO[codigo],tblCECO[linea],"(sin catálogo)"))</f>
        <v/>
      </c>
      <c r="U246" s="3">
        <f>IF(tblOrdenes[[#This Row],[centro_costo]]="","",_xlfn.XLOOKUP(tblOrdenes[[#This Row],[centro_costo]],tblCECO[codigo],tblCECO[area],"(sin catálogo)"))</f>
        <v/>
      </c>
      <c r="V246" s="3">
        <f>IF(tblOrdenes[[#This Row],[centro_costo]]="","",_xlfn.XLOOKUP(tblOrdenes[[#This Row],[centro_costo]],tblCECO[codigo],tblCECO[coordinador],"(sin catálogo)"))</f>
        <v/>
      </c>
      <c r="W246" s="3">
        <f>IF(tblOrdenes[[#This Row],[puesto_trabajo]]="","",_xlfn.XLOOKUP(tblOrdenes[[#This Row],[puesto_trabajo]],tblPuestos[codigo],tblPuestos[especialidad],"(sin catálogo)"))</f>
        <v/>
      </c>
      <c r="X246" s="3">
        <f>IF(tblOrdenes[[#This Row],[cod_actividad]]="","",_xlfn.XLOOKUP(tblOrdenes[[#This Row],[cod_actividad]],tblActividades[codigo],tblActividades[descripcion],"(sin catálogo)"))</f>
        <v/>
      </c>
      <c r="Y246" s="12">
        <f>IF(tblOrdenes[[#This Row],[fecha_inicio]]="","",TODAY()-tblOrdenes[[#This Row],[fecha_inicio]])</f>
        <v/>
      </c>
      <c r="Z246" s="3">
        <f>IF(tblOrdenes[[#This Row],[backlog_dias]]="","",IF(tblOrdenes[[#This Row],[backlog_dias]]&lt;0,"FUTURO",IF(tblOrdenes[[#This Row],[backlog_dias]]&gt;p_dias_backlog_max,"BACKLOG","MES CORRIENTE")))</f>
        <v/>
      </c>
      <c r="AA246" s="3">
        <f>IF(tblOrdenes[[#This Row],[backlog_dias]]="",FALSE,AND(tblOrdenes[[#This Row],[backlog_dias]]&gt;p_dias_backlog_min,tblOrdenes[[#This Row],[backlog_dias]]&lt;=p_dias_backlog_max))</f>
        <v/>
      </c>
      <c r="AB246" s="6" t="n"/>
      <c r="AC2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6" s="10">
        <f>IF(tblOrdenes[[#This Row],[orden]]="","",_xlfn.XLOOKUP(tblOrdenes[[#This Row],[id_operacion]],tblEjecucion[id_operacion],tblEjecucion[precio],0))</f>
        <v/>
      </c>
      <c r="AG246" s="10">
        <f>IF(tblOrdenes[[#This Row],[orden]]="","",MAX(0,_xlfn.XLOOKUP(tblOrdenes[[#This Row],[id_operacion]],tblEjecucion[id_operacion],tblEjecucion[costo_plan_total],0)-tblOrdenes[[#This Row],[costo_servicio]]))</f>
        <v/>
      </c>
      <c r="AH246" s="10">
        <f>IF(tblOrdenes[[#This Row],[orden]]="","",tblOrdenes[[#This Row],[costo_servicio]]+tblOrdenes[[#This Row],[costo_materiales]])</f>
        <v/>
      </c>
      <c r="AI246" s="6" t="n"/>
      <c r="AJ246" s="6" t="n"/>
      <c r="AK246" s="6" t="n"/>
      <c r="AL246" s="3">
        <f>IF(tblOrdenes[[#This Row],[link_checklist]]="","",HYPERLINK(p_ruta_base_checklists&amp;tblOrdenes[[#This Row],[link_checklist]],"abrir"))</f>
        <v/>
      </c>
      <c r="AM246" s="6" t="n"/>
      <c r="AN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Row],[tipo_ot]]="","",_xlfn.XLOOKUP(tblOrdenes[[#This Row],[tipo_ot]],tblTiposOT[codigo],tblTiposOT[clasificacion],"sin_clasificar"))</f>
        <v/>
      </c>
      <c r="T247" s="3">
        <f>IF(tblOrdenes[[#This Row],[centro_costo]]="","",_xlfn.XLOOKUP(tblOrdenes[[#This Row],[centro_costo]],tblCECO[codigo],tblCECO[linea],"(sin catálogo)"))</f>
        <v/>
      </c>
      <c r="U247" s="3">
        <f>IF(tblOrdenes[[#This Row],[centro_costo]]="","",_xlfn.XLOOKUP(tblOrdenes[[#This Row],[centro_costo]],tblCECO[codigo],tblCECO[area],"(sin catálogo)"))</f>
        <v/>
      </c>
      <c r="V247" s="3">
        <f>IF(tblOrdenes[[#This Row],[centro_costo]]="","",_xlfn.XLOOKUP(tblOrdenes[[#This Row],[centro_costo]],tblCECO[codigo],tblCECO[coordinador],"(sin catálogo)"))</f>
        <v/>
      </c>
      <c r="W247" s="3">
        <f>IF(tblOrdenes[[#This Row],[puesto_trabajo]]="","",_xlfn.XLOOKUP(tblOrdenes[[#This Row],[puesto_trabajo]],tblPuestos[codigo],tblPuestos[especialidad],"(sin catálogo)"))</f>
        <v/>
      </c>
      <c r="X247" s="3">
        <f>IF(tblOrdenes[[#This Row],[cod_actividad]]="","",_xlfn.XLOOKUP(tblOrdenes[[#This Row],[cod_actividad]],tblActividades[codigo],tblActividades[descripcion],"(sin catálogo)"))</f>
        <v/>
      </c>
      <c r="Y247" s="12">
        <f>IF(tblOrdenes[[#This Row],[fecha_inicio]]="","",TODAY()-tblOrdenes[[#This Row],[fecha_inicio]])</f>
        <v/>
      </c>
      <c r="Z247" s="3">
        <f>IF(tblOrdenes[[#This Row],[backlog_dias]]="","",IF(tblOrdenes[[#This Row],[backlog_dias]]&lt;0,"FUTURO",IF(tblOrdenes[[#This Row],[backlog_dias]]&gt;p_dias_backlog_max,"BACKLOG","MES CORRIENTE")))</f>
        <v/>
      </c>
      <c r="AA247" s="3">
        <f>IF(tblOrdenes[[#This Row],[backlog_dias]]="",FALSE,AND(tblOrdenes[[#This Row],[backlog_dias]]&gt;p_dias_backlog_min,tblOrdenes[[#This Row],[backlog_dias]]&lt;=p_dias_backlog_max))</f>
        <v/>
      </c>
      <c r="AB247" s="6" t="n"/>
      <c r="AC2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7" s="10">
        <f>IF(tblOrdenes[[#This Row],[orden]]="","",_xlfn.XLOOKUP(tblOrdenes[[#This Row],[id_operacion]],tblEjecucion[id_operacion],tblEjecucion[precio],0))</f>
        <v/>
      </c>
      <c r="AG247" s="10">
        <f>IF(tblOrdenes[[#This Row],[orden]]="","",MAX(0,_xlfn.XLOOKUP(tblOrdenes[[#This Row],[id_operacion]],tblEjecucion[id_operacion],tblEjecucion[costo_plan_total],0)-tblOrdenes[[#This Row],[costo_servicio]]))</f>
        <v/>
      </c>
      <c r="AH247" s="10">
        <f>IF(tblOrdenes[[#This Row],[orden]]="","",tblOrdenes[[#This Row],[costo_servicio]]+tblOrdenes[[#This Row],[costo_materiales]])</f>
        <v/>
      </c>
      <c r="AI247" s="6" t="n"/>
      <c r="AJ247" s="6" t="n"/>
      <c r="AK247" s="6" t="n"/>
      <c r="AL247" s="3">
        <f>IF(tblOrdenes[[#This Row],[link_checklist]]="","",HYPERLINK(p_ruta_base_checklists&amp;tblOrdenes[[#This Row],[link_checklist]],"abrir"))</f>
        <v/>
      </c>
      <c r="AM247" s="6" t="n"/>
      <c r="AN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Row],[tipo_ot]]="","",_xlfn.XLOOKUP(tblOrdenes[[#This Row],[tipo_ot]],tblTiposOT[codigo],tblTiposOT[clasificacion],"sin_clasificar"))</f>
        <v/>
      </c>
      <c r="T248" s="3">
        <f>IF(tblOrdenes[[#This Row],[centro_costo]]="","",_xlfn.XLOOKUP(tblOrdenes[[#This Row],[centro_costo]],tblCECO[codigo],tblCECO[linea],"(sin catálogo)"))</f>
        <v/>
      </c>
      <c r="U248" s="3">
        <f>IF(tblOrdenes[[#This Row],[centro_costo]]="","",_xlfn.XLOOKUP(tblOrdenes[[#This Row],[centro_costo]],tblCECO[codigo],tblCECO[area],"(sin catálogo)"))</f>
        <v/>
      </c>
      <c r="V248" s="3">
        <f>IF(tblOrdenes[[#This Row],[centro_costo]]="","",_xlfn.XLOOKUP(tblOrdenes[[#This Row],[centro_costo]],tblCECO[codigo],tblCECO[coordinador],"(sin catálogo)"))</f>
        <v/>
      </c>
      <c r="W248" s="3">
        <f>IF(tblOrdenes[[#This Row],[puesto_trabajo]]="","",_xlfn.XLOOKUP(tblOrdenes[[#This Row],[puesto_trabajo]],tblPuestos[codigo],tblPuestos[especialidad],"(sin catálogo)"))</f>
        <v/>
      </c>
      <c r="X248" s="3">
        <f>IF(tblOrdenes[[#This Row],[cod_actividad]]="","",_xlfn.XLOOKUP(tblOrdenes[[#This Row],[cod_actividad]],tblActividades[codigo],tblActividades[descripcion],"(sin catálogo)"))</f>
        <v/>
      </c>
      <c r="Y248" s="12">
        <f>IF(tblOrdenes[[#This Row],[fecha_inicio]]="","",TODAY()-tblOrdenes[[#This Row],[fecha_inicio]])</f>
        <v/>
      </c>
      <c r="Z248" s="3">
        <f>IF(tblOrdenes[[#This Row],[backlog_dias]]="","",IF(tblOrdenes[[#This Row],[backlog_dias]]&lt;0,"FUTURO",IF(tblOrdenes[[#This Row],[backlog_dias]]&gt;p_dias_backlog_max,"BACKLOG","MES CORRIENTE")))</f>
        <v/>
      </c>
      <c r="AA248" s="3">
        <f>IF(tblOrdenes[[#This Row],[backlog_dias]]="",FALSE,AND(tblOrdenes[[#This Row],[backlog_dias]]&gt;p_dias_backlog_min,tblOrdenes[[#This Row],[backlog_dias]]&lt;=p_dias_backlog_max))</f>
        <v/>
      </c>
      <c r="AB248" s="6" t="n"/>
      <c r="AC2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8" s="10">
        <f>IF(tblOrdenes[[#This Row],[orden]]="","",_xlfn.XLOOKUP(tblOrdenes[[#This Row],[id_operacion]],tblEjecucion[id_operacion],tblEjecucion[precio],0))</f>
        <v/>
      </c>
      <c r="AG248" s="10">
        <f>IF(tblOrdenes[[#This Row],[orden]]="","",MAX(0,_xlfn.XLOOKUP(tblOrdenes[[#This Row],[id_operacion]],tblEjecucion[id_operacion],tblEjecucion[costo_plan_total],0)-tblOrdenes[[#This Row],[costo_servicio]]))</f>
        <v/>
      </c>
      <c r="AH248" s="10">
        <f>IF(tblOrdenes[[#This Row],[orden]]="","",tblOrdenes[[#This Row],[costo_servicio]]+tblOrdenes[[#This Row],[costo_materiales]])</f>
        <v/>
      </c>
      <c r="AI248" s="6" t="n"/>
      <c r="AJ248" s="6" t="n"/>
      <c r="AK248" s="6" t="n"/>
      <c r="AL248" s="3">
        <f>IF(tblOrdenes[[#This Row],[link_checklist]]="","",HYPERLINK(p_ruta_base_checklists&amp;tblOrdenes[[#This Row],[link_checklist]],"abrir"))</f>
        <v/>
      </c>
      <c r="AM248" s="6" t="n"/>
      <c r="AN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Row],[tipo_ot]]="","",_xlfn.XLOOKUP(tblOrdenes[[#This Row],[tipo_ot]],tblTiposOT[codigo],tblTiposOT[clasificacion],"sin_clasificar"))</f>
        <v/>
      </c>
      <c r="T249" s="3">
        <f>IF(tblOrdenes[[#This Row],[centro_costo]]="","",_xlfn.XLOOKUP(tblOrdenes[[#This Row],[centro_costo]],tblCECO[codigo],tblCECO[linea],"(sin catálogo)"))</f>
        <v/>
      </c>
      <c r="U249" s="3">
        <f>IF(tblOrdenes[[#This Row],[centro_costo]]="","",_xlfn.XLOOKUP(tblOrdenes[[#This Row],[centro_costo]],tblCECO[codigo],tblCECO[area],"(sin catálogo)"))</f>
        <v/>
      </c>
      <c r="V249" s="3">
        <f>IF(tblOrdenes[[#This Row],[centro_costo]]="","",_xlfn.XLOOKUP(tblOrdenes[[#This Row],[centro_costo]],tblCECO[codigo],tblCECO[coordinador],"(sin catálogo)"))</f>
        <v/>
      </c>
      <c r="W249" s="3">
        <f>IF(tblOrdenes[[#This Row],[puesto_trabajo]]="","",_xlfn.XLOOKUP(tblOrdenes[[#This Row],[puesto_trabajo]],tblPuestos[codigo],tblPuestos[especialidad],"(sin catálogo)"))</f>
        <v/>
      </c>
      <c r="X249" s="3">
        <f>IF(tblOrdenes[[#This Row],[cod_actividad]]="","",_xlfn.XLOOKUP(tblOrdenes[[#This Row],[cod_actividad]],tblActividades[codigo],tblActividades[descripcion],"(sin catálogo)"))</f>
        <v/>
      </c>
      <c r="Y249" s="12">
        <f>IF(tblOrdenes[[#This Row],[fecha_inicio]]="","",TODAY()-tblOrdenes[[#This Row],[fecha_inicio]])</f>
        <v/>
      </c>
      <c r="Z249" s="3">
        <f>IF(tblOrdenes[[#This Row],[backlog_dias]]="","",IF(tblOrdenes[[#This Row],[backlog_dias]]&lt;0,"FUTURO",IF(tblOrdenes[[#This Row],[backlog_dias]]&gt;p_dias_backlog_max,"BACKLOG","MES CORRIENTE")))</f>
        <v/>
      </c>
      <c r="AA249" s="3">
        <f>IF(tblOrdenes[[#This Row],[backlog_dias]]="",FALSE,AND(tblOrdenes[[#This Row],[backlog_dias]]&gt;p_dias_backlog_min,tblOrdenes[[#This Row],[backlog_dias]]&lt;=p_dias_backlog_max))</f>
        <v/>
      </c>
      <c r="AB249" s="6" t="n"/>
      <c r="AC2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9" s="10">
        <f>IF(tblOrdenes[[#This Row],[orden]]="","",_xlfn.XLOOKUP(tblOrdenes[[#This Row],[id_operacion]],tblEjecucion[id_operacion],tblEjecucion[precio],0))</f>
        <v/>
      </c>
      <c r="AG249" s="10">
        <f>IF(tblOrdenes[[#This Row],[orden]]="","",MAX(0,_xlfn.XLOOKUP(tblOrdenes[[#This Row],[id_operacion]],tblEjecucion[id_operacion],tblEjecucion[costo_plan_total],0)-tblOrdenes[[#This Row],[costo_servicio]]))</f>
        <v/>
      </c>
      <c r="AH249" s="10">
        <f>IF(tblOrdenes[[#This Row],[orden]]="","",tblOrdenes[[#This Row],[costo_servicio]]+tblOrdenes[[#This Row],[costo_materiales]])</f>
        <v/>
      </c>
      <c r="AI249" s="6" t="n"/>
      <c r="AJ249" s="6" t="n"/>
      <c r="AK249" s="6" t="n"/>
      <c r="AL249" s="3">
        <f>IF(tblOrdenes[[#This Row],[link_checklist]]="","",HYPERLINK(p_ruta_base_checklists&amp;tblOrdenes[[#This Row],[link_checklist]],"abrir"))</f>
        <v/>
      </c>
      <c r="AM249" s="6" t="n"/>
      <c r="AN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Row],[tipo_ot]]="","",_xlfn.XLOOKUP(tblOrdenes[[#This Row],[tipo_ot]],tblTiposOT[codigo],tblTiposOT[clasificacion],"sin_clasificar"))</f>
        <v/>
      </c>
      <c r="T250" s="3">
        <f>IF(tblOrdenes[[#This Row],[centro_costo]]="","",_xlfn.XLOOKUP(tblOrdenes[[#This Row],[centro_costo]],tblCECO[codigo],tblCECO[linea],"(sin catálogo)"))</f>
        <v/>
      </c>
      <c r="U250" s="3">
        <f>IF(tblOrdenes[[#This Row],[centro_costo]]="","",_xlfn.XLOOKUP(tblOrdenes[[#This Row],[centro_costo]],tblCECO[codigo],tblCECO[area],"(sin catálogo)"))</f>
        <v/>
      </c>
      <c r="V250" s="3">
        <f>IF(tblOrdenes[[#This Row],[centro_costo]]="","",_xlfn.XLOOKUP(tblOrdenes[[#This Row],[centro_costo]],tblCECO[codigo],tblCECO[coordinador],"(sin catálogo)"))</f>
        <v/>
      </c>
      <c r="W250" s="3">
        <f>IF(tblOrdenes[[#This Row],[puesto_trabajo]]="","",_xlfn.XLOOKUP(tblOrdenes[[#This Row],[puesto_trabajo]],tblPuestos[codigo],tblPuestos[especialidad],"(sin catálogo)"))</f>
        <v/>
      </c>
      <c r="X250" s="3">
        <f>IF(tblOrdenes[[#This Row],[cod_actividad]]="","",_xlfn.XLOOKUP(tblOrdenes[[#This Row],[cod_actividad]],tblActividades[codigo],tblActividades[descripcion],"(sin catálogo)"))</f>
        <v/>
      </c>
      <c r="Y250" s="12">
        <f>IF(tblOrdenes[[#This Row],[fecha_inicio]]="","",TODAY()-tblOrdenes[[#This Row],[fecha_inicio]])</f>
        <v/>
      </c>
      <c r="Z250" s="3">
        <f>IF(tblOrdenes[[#This Row],[backlog_dias]]="","",IF(tblOrdenes[[#This Row],[backlog_dias]]&lt;0,"FUTURO",IF(tblOrdenes[[#This Row],[backlog_dias]]&gt;p_dias_backlog_max,"BACKLOG","MES CORRIENTE")))</f>
        <v/>
      </c>
      <c r="AA250" s="3">
        <f>IF(tblOrdenes[[#This Row],[backlog_dias]]="",FALSE,AND(tblOrdenes[[#This Row],[backlog_dias]]&gt;p_dias_backlog_min,tblOrdenes[[#This Row],[backlog_dias]]&lt;=p_dias_backlog_max))</f>
        <v/>
      </c>
      <c r="AB250" s="6" t="n"/>
      <c r="AC2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0" s="10">
        <f>IF(tblOrdenes[[#This Row],[orden]]="","",_xlfn.XLOOKUP(tblOrdenes[[#This Row],[id_operacion]],tblEjecucion[id_operacion],tblEjecucion[precio],0))</f>
        <v/>
      </c>
      <c r="AG250" s="10">
        <f>IF(tblOrdenes[[#This Row],[orden]]="","",MAX(0,_xlfn.XLOOKUP(tblOrdenes[[#This Row],[id_operacion]],tblEjecucion[id_operacion],tblEjecucion[costo_plan_total],0)-tblOrdenes[[#This Row],[costo_servicio]]))</f>
        <v/>
      </c>
      <c r="AH250" s="10">
        <f>IF(tblOrdenes[[#This Row],[orden]]="","",tblOrdenes[[#This Row],[costo_servicio]]+tblOrdenes[[#This Row],[costo_materiales]])</f>
        <v/>
      </c>
      <c r="AI250" s="6" t="n"/>
      <c r="AJ250" s="6" t="n"/>
      <c r="AK250" s="6" t="n"/>
      <c r="AL250" s="3">
        <f>IF(tblOrdenes[[#This Row],[link_checklist]]="","",HYPERLINK(p_ruta_base_checklists&amp;tblOrdenes[[#This Row],[link_checklist]],"abrir"))</f>
        <v/>
      </c>
      <c r="AM250" s="6" t="n"/>
      <c r="AN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Row],[tipo_ot]]="","",_xlfn.XLOOKUP(tblOrdenes[[#This Row],[tipo_ot]],tblTiposOT[codigo],tblTiposOT[clasificacion],"sin_clasificar"))</f>
        <v/>
      </c>
      <c r="T251" s="3">
        <f>IF(tblOrdenes[[#This Row],[centro_costo]]="","",_xlfn.XLOOKUP(tblOrdenes[[#This Row],[centro_costo]],tblCECO[codigo],tblCECO[linea],"(sin catálogo)"))</f>
        <v/>
      </c>
      <c r="U251" s="3">
        <f>IF(tblOrdenes[[#This Row],[centro_costo]]="","",_xlfn.XLOOKUP(tblOrdenes[[#This Row],[centro_costo]],tblCECO[codigo],tblCECO[area],"(sin catálogo)"))</f>
        <v/>
      </c>
      <c r="V251" s="3">
        <f>IF(tblOrdenes[[#This Row],[centro_costo]]="","",_xlfn.XLOOKUP(tblOrdenes[[#This Row],[centro_costo]],tblCECO[codigo],tblCECO[coordinador],"(sin catálogo)"))</f>
        <v/>
      </c>
      <c r="W251" s="3">
        <f>IF(tblOrdenes[[#This Row],[puesto_trabajo]]="","",_xlfn.XLOOKUP(tblOrdenes[[#This Row],[puesto_trabajo]],tblPuestos[codigo],tblPuestos[especialidad],"(sin catálogo)"))</f>
        <v/>
      </c>
      <c r="X251" s="3">
        <f>IF(tblOrdenes[[#This Row],[cod_actividad]]="","",_xlfn.XLOOKUP(tblOrdenes[[#This Row],[cod_actividad]],tblActividades[codigo],tblActividades[descripcion],"(sin catálogo)"))</f>
        <v/>
      </c>
      <c r="Y251" s="12">
        <f>IF(tblOrdenes[[#This Row],[fecha_inicio]]="","",TODAY()-tblOrdenes[[#This Row],[fecha_inicio]])</f>
        <v/>
      </c>
      <c r="Z251" s="3">
        <f>IF(tblOrdenes[[#This Row],[backlog_dias]]="","",IF(tblOrdenes[[#This Row],[backlog_dias]]&lt;0,"FUTURO",IF(tblOrdenes[[#This Row],[backlog_dias]]&gt;p_dias_backlog_max,"BACKLOG","MES CORRIENTE")))</f>
        <v/>
      </c>
      <c r="AA251" s="3">
        <f>IF(tblOrdenes[[#This Row],[backlog_dias]]="",FALSE,AND(tblOrdenes[[#This Row],[backlog_dias]]&gt;p_dias_backlog_min,tblOrdenes[[#This Row],[backlog_dias]]&lt;=p_dias_backlog_max))</f>
        <v/>
      </c>
      <c r="AB251" s="6" t="n"/>
      <c r="AC2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1" s="10">
        <f>IF(tblOrdenes[[#This Row],[orden]]="","",_xlfn.XLOOKUP(tblOrdenes[[#This Row],[id_operacion]],tblEjecucion[id_operacion],tblEjecucion[precio],0))</f>
        <v/>
      </c>
      <c r="AG251" s="10">
        <f>IF(tblOrdenes[[#This Row],[orden]]="","",MAX(0,_xlfn.XLOOKUP(tblOrdenes[[#This Row],[id_operacion]],tblEjecucion[id_operacion],tblEjecucion[costo_plan_total],0)-tblOrdenes[[#This Row],[costo_servicio]]))</f>
        <v/>
      </c>
      <c r="AH251" s="10">
        <f>IF(tblOrdenes[[#This Row],[orden]]="","",tblOrdenes[[#This Row],[costo_servicio]]+tblOrdenes[[#This Row],[costo_materiales]])</f>
        <v/>
      </c>
      <c r="AI251" s="6" t="n"/>
      <c r="AJ251" s="6" t="n"/>
      <c r="AK251" s="6" t="n"/>
      <c r="AL251" s="3">
        <f>IF(tblOrdenes[[#This Row],[link_checklist]]="","",HYPERLINK(p_ruta_base_checklists&amp;tblOrdenes[[#This Row],[link_checklist]],"abrir"))</f>
        <v/>
      </c>
      <c r="AM251" s="6" t="n"/>
      <c r="AN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Row],[tipo_ot]]="","",_xlfn.XLOOKUP(tblOrdenes[[#This Row],[tipo_ot]],tblTiposOT[codigo],tblTiposOT[clasificacion],"sin_clasificar"))</f>
        <v/>
      </c>
      <c r="T252" s="3">
        <f>IF(tblOrdenes[[#This Row],[centro_costo]]="","",_xlfn.XLOOKUP(tblOrdenes[[#This Row],[centro_costo]],tblCECO[codigo],tblCECO[linea],"(sin catálogo)"))</f>
        <v/>
      </c>
      <c r="U252" s="3">
        <f>IF(tblOrdenes[[#This Row],[centro_costo]]="","",_xlfn.XLOOKUP(tblOrdenes[[#This Row],[centro_costo]],tblCECO[codigo],tblCECO[area],"(sin catálogo)"))</f>
        <v/>
      </c>
      <c r="V252" s="3">
        <f>IF(tblOrdenes[[#This Row],[centro_costo]]="","",_xlfn.XLOOKUP(tblOrdenes[[#This Row],[centro_costo]],tblCECO[codigo],tblCECO[coordinador],"(sin catálogo)"))</f>
        <v/>
      </c>
      <c r="W252" s="3">
        <f>IF(tblOrdenes[[#This Row],[puesto_trabajo]]="","",_xlfn.XLOOKUP(tblOrdenes[[#This Row],[puesto_trabajo]],tblPuestos[codigo],tblPuestos[especialidad],"(sin catálogo)"))</f>
        <v/>
      </c>
      <c r="X252" s="3">
        <f>IF(tblOrdenes[[#This Row],[cod_actividad]]="","",_xlfn.XLOOKUP(tblOrdenes[[#This Row],[cod_actividad]],tblActividades[codigo],tblActividades[descripcion],"(sin catálogo)"))</f>
        <v/>
      </c>
      <c r="Y252" s="12">
        <f>IF(tblOrdenes[[#This Row],[fecha_inicio]]="","",TODAY()-tblOrdenes[[#This Row],[fecha_inicio]])</f>
        <v/>
      </c>
      <c r="Z252" s="3">
        <f>IF(tblOrdenes[[#This Row],[backlog_dias]]="","",IF(tblOrdenes[[#This Row],[backlog_dias]]&lt;0,"FUTURO",IF(tblOrdenes[[#This Row],[backlog_dias]]&gt;p_dias_backlog_max,"BACKLOG","MES CORRIENTE")))</f>
        <v/>
      </c>
      <c r="AA252" s="3">
        <f>IF(tblOrdenes[[#This Row],[backlog_dias]]="",FALSE,AND(tblOrdenes[[#This Row],[backlog_dias]]&gt;p_dias_backlog_min,tblOrdenes[[#This Row],[backlog_dias]]&lt;=p_dias_backlog_max))</f>
        <v/>
      </c>
      <c r="AB252" s="6" t="n"/>
      <c r="AC2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2" s="10">
        <f>IF(tblOrdenes[[#This Row],[orden]]="","",_xlfn.XLOOKUP(tblOrdenes[[#This Row],[id_operacion]],tblEjecucion[id_operacion],tblEjecucion[precio],0))</f>
        <v/>
      </c>
      <c r="AG252" s="10">
        <f>IF(tblOrdenes[[#This Row],[orden]]="","",MAX(0,_xlfn.XLOOKUP(tblOrdenes[[#This Row],[id_operacion]],tblEjecucion[id_operacion],tblEjecucion[costo_plan_total],0)-tblOrdenes[[#This Row],[costo_servicio]]))</f>
        <v/>
      </c>
      <c r="AH252" s="10">
        <f>IF(tblOrdenes[[#This Row],[orden]]="","",tblOrdenes[[#This Row],[costo_servicio]]+tblOrdenes[[#This Row],[costo_materiales]])</f>
        <v/>
      </c>
      <c r="AI252" s="6" t="n"/>
      <c r="AJ252" s="6" t="n"/>
      <c r="AK252" s="6" t="n"/>
      <c r="AL252" s="3">
        <f>IF(tblOrdenes[[#This Row],[link_checklist]]="","",HYPERLINK(p_ruta_base_checklists&amp;tblOrdenes[[#This Row],[link_checklist]],"abrir"))</f>
        <v/>
      </c>
      <c r="AM252" s="6" t="n"/>
      <c r="AN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Row],[tipo_ot]]="","",_xlfn.XLOOKUP(tblOrdenes[[#This Row],[tipo_ot]],tblTiposOT[codigo],tblTiposOT[clasificacion],"sin_clasificar"))</f>
        <v/>
      </c>
      <c r="T253" s="3">
        <f>IF(tblOrdenes[[#This Row],[centro_costo]]="","",_xlfn.XLOOKUP(tblOrdenes[[#This Row],[centro_costo]],tblCECO[codigo],tblCECO[linea],"(sin catálogo)"))</f>
        <v/>
      </c>
      <c r="U253" s="3">
        <f>IF(tblOrdenes[[#This Row],[centro_costo]]="","",_xlfn.XLOOKUP(tblOrdenes[[#This Row],[centro_costo]],tblCECO[codigo],tblCECO[area],"(sin catálogo)"))</f>
        <v/>
      </c>
      <c r="V253" s="3">
        <f>IF(tblOrdenes[[#This Row],[centro_costo]]="","",_xlfn.XLOOKUP(tblOrdenes[[#This Row],[centro_costo]],tblCECO[codigo],tblCECO[coordinador],"(sin catálogo)"))</f>
        <v/>
      </c>
      <c r="W253" s="3">
        <f>IF(tblOrdenes[[#This Row],[puesto_trabajo]]="","",_xlfn.XLOOKUP(tblOrdenes[[#This Row],[puesto_trabajo]],tblPuestos[codigo],tblPuestos[especialidad],"(sin catálogo)"))</f>
        <v/>
      </c>
      <c r="X253" s="3">
        <f>IF(tblOrdenes[[#This Row],[cod_actividad]]="","",_xlfn.XLOOKUP(tblOrdenes[[#This Row],[cod_actividad]],tblActividades[codigo],tblActividades[descripcion],"(sin catálogo)"))</f>
        <v/>
      </c>
      <c r="Y253" s="12">
        <f>IF(tblOrdenes[[#This Row],[fecha_inicio]]="","",TODAY()-tblOrdenes[[#This Row],[fecha_inicio]])</f>
        <v/>
      </c>
      <c r="Z253" s="3">
        <f>IF(tblOrdenes[[#This Row],[backlog_dias]]="","",IF(tblOrdenes[[#This Row],[backlog_dias]]&lt;0,"FUTURO",IF(tblOrdenes[[#This Row],[backlog_dias]]&gt;p_dias_backlog_max,"BACKLOG","MES CORRIENTE")))</f>
        <v/>
      </c>
      <c r="AA253" s="3">
        <f>IF(tblOrdenes[[#This Row],[backlog_dias]]="",FALSE,AND(tblOrdenes[[#This Row],[backlog_dias]]&gt;p_dias_backlog_min,tblOrdenes[[#This Row],[backlog_dias]]&lt;=p_dias_backlog_max))</f>
        <v/>
      </c>
      <c r="AB253" s="6" t="n"/>
      <c r="AC2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3" s="10">
        <f>IF(tblOrdenes[[#This Row],[orden]]="","",_xlfn.XLOOKUP(tblOrdenes[[#This Row],[id_operacion]],tblEjecucion[id_operacion],tblEjecucion[precio],0))</f>
        <v/>
      </c>
      <c r="AG253" s="10">
        <f>IF(tblOrdenes[[#This Row],[orden]]="","",MAX(0,_xlfn.XLOOKUP(tblOrdenes[[#This Row],[id_operacion]],tblEjecucion[id_operacion],tblEjecucion[costo_plan_total],0)-tblOrdenes[[#This Row],[costo_servicio]]))</f>
        <v/>
      </c>
      <c r="AH253" s="10">
        <f>IF(tblOrdenes[[#This Row],[orden]]="","",tblOrdenes[[#This Row],[costo_servicio]]+tblOrdenes[[#This Row],[costo_materiales]])</f>
        <v/>
      </c>
      <c r="AI253" s="6" t="n"/>
      <c r="AJ253" s="6" t="n"/>
      <c r="AK253" s="6" t="n"/>
      <c r="AL253" s="3">
        <f>IF(tblOrdenes[[#This Row],[link_checklist]]="","",HYPERLINK(p_ruta_base_checklists&amp;tblOrdenes[[#This Row],[link_checklist]],"abrir"))</f>
        <v/>
      </c>
      <c r="AM253" s="6" t="n"/>
      <c r="AN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Row],[tipo_ot]]="","",_xlfn.XLOOKUP(tblOrdenes[[#This Row],[tipo_ot]],tblTiposOT[codigo],tblTiposOT[clasificacion],"sin_clasificar"))</f>
        <v/>
      </c>
      <c r="T254" s="3">
        <f>IF(tblOrdenes[[#This Row],[centro_costo]]="","",_xlfn.XLOOKUP(tblOrdenes[[#This Row],[centro_costo]],tblCECO[codigo],tblCECO[linea],"(sin catálogo)"))</f>
        <v/>
      </c>
      <c r="U254" s="3">
        <f>IF(tblOrdenes[[#This Row],[centro_costo]]="","",_xlfn.XLOOKUP(tblOrdenes[[#This Row],[centro_costo]],tblCECO[codigo],tblCECO[area],"(sin catálogo)"))</f>
        <v/>
      </c>
      <c r="V254" s="3">
        <f>IF(tblOrdenes[[#This Row],[centro_costo]]="","",_xlfn.XLOOKUP(tblOrdenes[[#This Row],[centro_costo]],tblCECO[codigo],tblCECO[coordinador],"(sin catálogo)"))</f>
        <v/>
      </c>
      <c r="W254" s="3">
        <f>IF(tblOrdenes[[#This Row],[puesto_trabajo]]="","",_xlfn.XLOOKUP(tblOrdenes[[#This Row],[puesto_trabajo]],tblPuestos[codigo],tblPuestos[especialidad],"(sin catálogo)"))</f>
        <v/>
      </c>
      <c r="X254" s="3">
        <f>IF(tblOrdenes[[#This Row],[cod_actividad]]="","",_xlfn.XLOOKUP(tblOrdenes[[#This Row],[cod_actividad]],tblActividades[codigo],tblActividades[descripcion],"(sin catálogo)"))</f>
        <v/>
      </c>
      <c r="Y254" s="12">
        <f>IF(tblOrdenes[[#This Row],[fecha_inicio]]="","",TODAY()-tblOrdenes[[#This Row],[fecha_inicio]])</f>
        <v/>
      </c>
      <c r="Z254" s="3">
        <f>IF(tblOrdenes[[#This Row],[backlog_dias]]="","",IF(tblOrdenes[[#This Row],[backlog_dias]]&lt;0,"FUTURO",IF(tblOrdenes[[#This Row],[backlog_dias]]&gt;p_dias_backlog_max,"BACKLOG","MES CORRIENTE")))</f>
        <v/>
      </c>
      <c r="AA254" s="3">
        <f>IF(tblOrdenes[[#This Row],[backlog_dias]]="",FALSE,AND(tblOrdenes[[#This Row],[backlog_dias]]&gt;p_dias_backlog_min,tblOrdenes[[#This Row],[backlog_dias]]&lt;=p_dias_backlog_max))</f>
        <v/>
      </c>
      <c r="AB254" s="6" t="n"/>
      <c r="AC2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4" s="10">
        <f>IF(tblOrdenes[[#This Row],[orden]]="","",_xlfn.XLOOKUP(tblOrdenes[[#This Row],[id_operacion]],tblEjecucion[id_operacion],tblEjecucion[precio],0))</f>
        <v/>
      </c>
      <c r="AG254" s="10">
        <f>IF(tblOrdenes[[#This Row],[orden]]="","",MAX(0,_xlfn.XLOOKUP(tblOrdenes[[#This Row],[id_operacion]],tblEjecucion[id_operacion],tblEjecucion[costo_plan_total],0)-tblOrdenes[[#This Row],[costo_servicio]]))</f>
        <v/>
      </c>
      <c r="AH254" s="10">
        <f>IF(tblOrdenes[[#This Row],[orden]]="","",tblOrdenes[[#This Row],[costo_servicio]]+tblOrdenes[[#This Row],[costo_materiales]])</f>
        <v/>
      </c>
      <c r="AI254" s="6" t="n"/>
      <c r="AJ254" s="6" t="n"/>
      <c r="AK254" s="6" t="n"/>
      <c r="AL254" s="3">
        <f>IF(tblOrdenes[[#This Row],[link_checklist]]="","",HYPERLINK(p_ruta_base_checklists&amp;tblOrdenes[[#This Row],[link_checklist]],"abrir"))</f>
        <v/>
      </c>
      <c r="AM254" s="6" t="n"/>
      <c r="AN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Row],[tipo_ot]]="","",_xlfn.XLOOKUP(tblOrdenes[[#This Row],[tipo_ot]],tblTiposOT[codigo],tblTiposOT[clasificacion],"sin_clasificar"))</f>
        <v/>
      </c>
      <c r="T255" s="3">
        <f>IF(tblOrdenes[[#This Row],[centro_costo]]="","",_xlfn.XLOOKUP(tblOrdenes[[#This Row],[centro_costo]],tblCECO[codigo],tblCECO[linea],"(sin catálogo)"))</f>
        <v/>
      </c>
      <c r="U255" s="3">
        <f>IF(tblOrdenes[[#This Row],[centro_costo]]="","",_xlfn.XLOOKUP(tblOrdenes[[#This Row],[centro_costo]],tblCECO[codigo],tblCECO[area],"(sin catálogo)"))</f>
        <v/>
      </c>
      <c r="V255" s="3">
        <f>IF(tblOrdenes[[#This Row],[centro_costo]]="","",_xlfn.XLOOKUP(tblOrdenes[[#This Row],[centro_costo]],tblCECO[codigo],tblCECO[coordinador],"(sin catálogo)"))</f>
        <v/>
      </c>
      <c r="W255" s="3">
        <f>IF(tblOrdenes[[#This Row],[puesto_trabajo]]="","",_xlfn.XLOOKUP(tblOrdenes[[#This Row],[puesto_trabajo]],tblPuestos[codigo],tblPuestos[especialidad],"(sin catálogo)"))</f>
        <v/>
      </c>
      <c r="X255" s="3">
        <f>IF(tblOrdenes[[#This Row],[cod_actividad]]="","",_xlfn.XLOOKUP(tblOrdenes[[#This Row],[cod_actividad]],tblActividades[codigo],tblActividades[descripcion],"(sin catálogo)"))</f>
        <v/>
      </c>
      <c r="Y255" s="12">
        <f>IF(tblOrdenes[[#This Row],[fecha_inicio]]="","",TODAY()-tblOrdenes[[#This Row],[fecha_inicio]])</f>
        <v/>
      </c>
      <c r="Z255" s="3">
        <f>IF(tblOrdenes[[#This Row],[backlog_dias]]="","",IF(tblOrdenes[[#This Row],[backlog_dias]]&lt;0,"FUTURO",IF(tblOrdenes[[#This Row],[backlog_dias]]&gt;p_dias_backlog_max,"BACKLOG","MES CORRIENTE")))</f>
        <v/>
      </c>
      <c r="AA255" s="3">
        <f>IF(tblOrdenes[[#This Row],[backlog_dias]]="",FALSE,AND(tblOrdenes[[#This Row],[backlog_dias]]&gt;p_dias_backlog_min,tblOrdenes[[#This Row],[backlog_dias]]&lt;=p_dias_backlog_max))</f>
        <v/>
      </c>
      <c r="AB255" s="6" t="n"/>
      <c r="AC2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5" s="10">
        <f>IF(tblOrdenes[[#This Row],[orden]]="","",_xlfn.XLOOKUP(tblOrdenes[[#This Row],[id_operacion]],tblEjecucion[id_operacion],tblEjecucion[precio],0))</f>
        <v/>
      </c>
      <c r="AG255" s="10">
        <f>IF(tblOrdenes[[#This Row],[orden]]="","",MAX(0,_xlfn.XLOOKUP(tblOrdenes[[#This Row],[id_operacion]],tblEjecucion[id_operacion],tblEjecucion[costo_plan_total],0)-tblOrdenes[[#This Row],[costo_servicio]]))</f>
        <v/>
      </c>
      <c r="AH255" s="10">
        <f>IF(tblOrdenes[[#This Row],[orden]]="","",tblOrdenes[[#This Row],[costo_servicio]]+tblOrdenes[[#This Row],[costo_materiales]])</f>
        <v/>
      </c>
      <c r="AI255" s="6" t="n"/>
      <c r="AJ255" s="6" t="n"/>
      <c r="AK255" s="6" t="n"/>
      <c r="AL255" s="3">
        <f>IF(tblOrdenes[[#This Row],[link_checklist]]="","",HYPERLINK(p_ruta_base_checklists&amp;tblOrdenes[[#This Row],[link_checklist]],"abrir"))</f>
        <v/>
      </c>
      <c r="AM255" s="6" t="n"/>
      <c r="AN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Row],[tipo_ot]]="","",_xlfn.XLOOKUP(tblOrdenes[[#This Row],[tipo_ot]],tblTiposOT[codigo],tblTiposOT[clasificacion],"sin_clasificar"))</f>
        <v/>
      </c>
      <c r="T256" s="3">
        <f>IF(tblOrdenes[[#This Row],[centro_costo]]="","",_xlfn.XLOOKUP(tblOrdenes[[#This Row],[centro_costo]],tblCECO[codigo],tblCECO[linea],"(sin catálogo)"))</f>
        <v/>
      </c>
      <c r="U256" s="3">
        <f>IF(tblOrdenes[[#This Row],[centro_costo]]="","",_xlfn.XLOOKUP(tblOrdenes[[#This Row],[centro_costo]],tblCECO[codigo],tblCECO[area],"(sin catálogo)"))</f>
        <v/>
      </c>
      <c r="V256" s="3">
        <f>IF(tblOrdenes[[#This Row],[centro_costo]]="","",_xlfn.XLOOKUP(tblOrdenes[[#This Row],[centro_costo]],tblCECO[codigo],tblCECO[coordinador],"(sin catálogo)"))</f>
        <v/>
      </c>
      <c r="W256" s="3">
        <f>IF(tblOrdenes[[#This Row],[puesto_trabajo]]="","",_xlfn.XLOOKUP(tblOrdenes[[#This Row],[puesto_trabajo]],tblPuestos[codigo],tblPuestos[especialidad],"(sin catálogo)"))</f>
        <v/>
      </c>
      <c r="X256" s="3">
        <f>IF(tblOrdenes[[#This Row],[cod_actividad]]="","",_xlfn.XLOOKUP(tblOrdenes[[#This Row],[cod_actividad]],tblActividades[codigo],tblActividades[descripcion],"(sin catálogo)"))</f>
        <v/>
      </c>
      <c r="Y256" s="12">
        <f>IF(tblOrdenes[[#This Row],[fecha_inicio]]="","",TODAY()-tblOrdenes[[#This Row],[fecha_inicio]])</f>
        <v/>
      </c>
      <c r="Z256" s="3">
        <f>IF(tblOrdenes[[#This Row],[backlog_dias]]="","",IF(tblOrdenes[[#This Row],[backlog_dias]]&lt;0,"FUTURO",IF(tblOrdenes[[#This Row],[backlog_dias]]&gt;p_dias_backlog_max,"BACKLOG","MES CORRIENTE")))</f>
        <v/>
      </c>
      <c r="AA256" s="3">
        <f>IF(tblOrdenes[[#This Row],[backlog_dias]]="",FALSE,AND(tblOrdenes[[#This Row],[backlog_dias]]&gt;p_dias_backlog_min,tblOrdenes[[#This Row],[backlog_dias]]&lt;=p_dias_backlog_max))</f>
        <v/>
      </c>
      <c r="AB256" s="6" t="n"/>
      <c r="AC2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6" s="10">
        <f>IF(tblOrdenes[[#This Row],[orden]]="","",_xlfn.XLOOKUP(tblOrdenes[[#This Row],[id_operacion]],tblEjecucion[id_operacion],tblEjecucion[precio],0))</f>
        <v/>
      </c>
      <c r="AG256" s="10">
        <f>IF(tblOrdenes[[#This Row],[orden]]="","",MAX(0,_xlfn.XLOOKUP(tblOrdenes[[#This Row],[id_operacion]],tblEjecucion[id_operacion],tblEjecucion[costo_plan_total],0)-tblOrdenes[[#This Row],[costo_servicio]]))</f>
        <v/>
      </c>
      <c r="AH256" s="10">
        <f>IF(tblOrdenes[[#This Row],[orden]]="","",tblOrdenes[[#This Row],[costo_servicio]]+tblOrdenes[[#This Row],[costo_materiales]])</f>
        <v/>
      </c>
      <c r="AI256" s="6" t="n"/>
      <c r="AJ256" s="6" t="n"/>
      <c r="AK256" s="6" t="n"/>
      <c r="AL256" s="3">
        <f>IF(tblOrdenes[[#This Row],[link_checklist]]="","",HYPERLINK(p_ruta_base_checklists&amp;tblOrdenes[[#This Row],[link_checklist]],"abrir"))</f>
        <v/>
      </c>
      <c r="AM256" s="6" t="n"/>
      <c r="AN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Row],[tipo_ot]]="","",_xlfn.XLOOKUP(tblOrdenes[[#This Row],[tipo_ot]],tblTiposOT[codigo],tblTiposOT[clasificacion],"sin_clasificar"))</f>
        <v/>
      </c>
      <c r="T257" s="3">
        <f>IF(tblOrdenes[[#This Row],[centro_costo]]="","",_xlfn.XLOOKUP(tblOrdenes[[#This Row],[centro_costo]],tblCECO[codigo],tblCECO[linea],"(sin catálogo)"))</f>
        <v/>
      </c>
      <c r="U257" s="3">
        <f>IF(tblOrdenes[[#This Row],[centro_costo]]="","",_xlfn.XLOOKUP(tblOrdenes[[#This Row],[centro_costo]],tblCECO[codigo],tblCECO[area],"(sin catálogo)"))</f>
        <v/>
      </c>
      <c r="V257" s="3">
        <f>IF(tblOrdenes[[#This Row],[centro_costo]]="","",_xlfn.XLOOKUP(tblOrdenes[[#This Row],[centro_costo]],tblCECO[codigo],tblCECO[coordinador],"(sin catálogo)"))</f>
        <v/>
      </c>
      <c r="W257" s="3">
        <f>IF(tblOrdenes[[#This Row],[puesto_trabajo]]="","",_xlfn.XLOOKUP(tblOrdenes[[#This Row],[puesto_trabajo]],tblPuestos[codigo],tblPuestos[especialidad],"(sin catálogo)"))</f>
        <v/>
      </c>
      <c r="X257" s="3">
        <f>IF(tblOrdenes[[#This Row],[cod_actividad]]="","",_xlfn.XLOOKUP(tblOrdenes[[#This Row],[cod_actividad]],tblActividades[codigo],tblActividades[descripcion],"(sin catálogo)"))</f>
        <v/>
      </c>
      <c r="Y257" s="12">
        <f>IF(tblOrdenes[[#This Row],[fecha_inicio]]="","",TODAY()-tblOrdenes[[#This Row],[fecha_inicio]])</f>
        <v/>
      </c>
      <c r="Z257" s="3">
        <f>IF(tblOrdenes[[#This Row],[backlog_dias]]="","",IF(tblOrdenes[[#This Row],[backlog_dias]]&lt;0,"FUTURO",IF(tblOrdenes[[#This Row],[backlog_dias]]&gt;p_dias_backlog_max,"BACKLOG","MES CORRIENTE")))</f>
        <v/>
      </c>
      <c r="AA257" s="3">
        <f>IF(tblOrdenes[[#This Row],[backlog_dias]]="",FALSE,AND(tblOrdenes[[#This Row],[backlog_dias]]&gt;p_dias_backlog_min,tblOrdenes[[#This Row],[backlog_dias]]&lt;=p_dias_backlog_max))</f>
        <v/>
      </c>
      <c r="AB257" s="6" t="n"/>
      <c r="AC2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7" s="10">
        <f>IF(tblOrdenes[[#This Row],[orden]]="","",_xlfn.XLOOKUP(tblOrdenes[[#This Row],[id_operacion]],tblEjecucion[id_operacion],tblEjecucion[precio],0))</f>
        <v/>
      </c>
      <c r="AG257" s="10">
        <f>IF(tblOrdenes[[#This Row],[orden]]="","",MAX(0,_xlfn.XLOOKUP(tblOrdenes[[#This Row],[id_operacion]],tblEjecucion[id_operacion],tblEjecucion[costo_plan_total],0)-tblOrdenes[[#This Row],[costo_servicio]]))</f>
        <v/>
      </c>
      <c r="AH257" s="10">
        <f>IF(tblOrdenes[[#This Row],[orden]]="","",tblOrdenes[[#This Row],[costo_servicio]]+tblOrdenes[[#This Row],[costo_materiales]])</f>
        <v/>
      </c>
      <c r="AI257" s="6" t="n"/>
      <c r="AJ257" s="6" t="n"/>
      <c r="AK257" s="6" t="n"/>
      <c r="AL257" s="3">
        <f>IF(tblOrdenes[[#This Row],[link_checklist]]="","",HYPERLINK(p_ruta_base_checklists&amp;tblOrdenes[[#This Row],[link_checklist]],"abrir"))</f>
        <v/>
      </c>
      <c r="AM257" s="6" t="n"/>
      <c r="AN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Row],[tipo_ot]]="","",_xlfn.XLOOKUP(tblOrdenes[[#This Row],[tipo_ot]],tblTiposOT[codigo],tblTiposOT[clasificacion],"sin_clasificar"))</f>
        <v/>
      </c>
      <c r="T258" s="3">
        <f>IF(tblOrdenes[[#This Row],[centro_costo]]="","",_xlfn.XLOOKUP(tblOrdenes[[#This Row],[centro_costo]],tblCECO[codigo],tblCECO[linea],"(sin catálogo)"))</f>
        <v/>
      </c>
      <c r="U258" s="3">
        <f>IF(tblOrdenes[[#This Row],[centro_costo]]="","",_xlfn.XLOOKUP(tblOrdenes[[#This Row],[centro_costo]],tblCECO[codigo],tblCECO[area],"(sin catálogo)"))</f>
        <v/>
      </c>
      <c r="V258" s="3">
        <f>IF(tblOrdenes[[#This Row],[centro_costo]]="","",_xlfn.XLOOKUP(tblOrdenes[[#This Row],[centro_costo]],tblCECO[codigo],tblCECO[coordinador],"(sin catálogo)"))</f>
        <v/>
      </c>
      <c r="W258" s="3">
        <f>IF(tblOrdenes[[#This Row],[puesto_trabajo]]="","",_xlfn.XLOOKUP(tblOrdenes[[#This Row],[puesto_trabajo]],tblPuestos[codigo],tblPuestos[especialidad],"(sin catálogo)"))</f>
        <v/>
      </c>
      <c r="X258" s="3">
        <f>IF(tblOrdenes[[#This Row],[cod_actividad]]="","",_xlfn.XLOOKUP(tblOrdenes[[#This Row],[cod_actividad]],tblActividades[codigo],tblActividades[descripcion],"(sin catálogo)"))</f>
        <v/>
      </c>
      <c r="Y258" s="12">
        <f>IF(tblOrdenes[[#This Row],[fecha_inicio]]="","",TODAY()-tblOrdenes[[#This Row],[fecha_inicio]])</f>
        <v/>
      </c>
      <c r="Z258" s="3">
        <f>IF(tblOrdenes[[#This Row],[backlog_dias]]="","",IF(tblOrdenes[[#This Row],[backlog_dias]]&lt;0,"FUTURO",IF(tblOrdenes[[#This Row],[backlog_dias]]&gt;p_dias_backlog_max,"BACKLOG","MES CORRIENTE")))</f>
        <v/>
      </c>
      <c r="AA258" s="3">
        <f>IF(tblOrdenes[[#This Row],[backlog_dias]]="",FALSE,AND(tblOrdenes[[#This Row],[backlog_dias]]&gt;p_dias_backlog_min,tblOrdenes[[#This Row],[backlog_dias]]&lt;=p_dias_backlog_max))</f>
        <v/>
      </c>
      <c r="AB258" s="6" t="n"/>
      <c r="AC2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8" s="10">
        <f>IF(tblOrdenes[[#This Row],[orden]]="","",_xlfn.XLOOKUP(tblOrdenes[[#This Row],[id_operacion]],tblEjecucion[id_operacion],tblEjecucion[precio],0))</f>
        <v/>
      </c>
      <c r="AG258" s="10">
        <f>IF(tblOrdenes[[#This Row],[orden]]="","",MAX(0,_xlfn.XLOOKUP(tblOrdenes[[#This Row],[id_operacion]],tblEjecucion[id_operacion],tblEjecucion[costo_plan_total],0)-tblOrdenes[[#This Row],[costo_servicio]]))</f>
        <v/>
      </c>
      <c r="AH258" s="10">
        <f>IF(tblOrdenes[[#This Row],[orden]]="","",tblOrdenes[[#This Row],[costo_servicio]]+tblOrdenes[[#This Row],[costo_materiales]])</f>
        <v/>
      </c>
      <c r="AI258" s="6" t="n"/>
      <c r="AJ258" s="6" t="n"/>
      <c r="AK258" s="6" t="n"/>
      <c r="AL258" s="3">
        <f>IF(tblOrdenes[[#This Row],[link_checklist]]="","",HYPERLINK(p_ruta_base_checklists&amp;tblOrdenes[[#This Row],[link_checklist]],"abrir"))</f>
        <v/>
      </c>
      <c r="AM258" s="6" t="n"/>
      <c r="AN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Row],[tipo_ot]]="","",_xlfn.XLOOKUP(tblOrdenes[[#This Row],[tipo_ot]],tblTiposOT[codigo],tblTiposOT[clasificacion],"sin_clasificar"))</f>
        <v/>
      </c>
      <c r="T259" s="3">
        <f>IF(tblOrdenes[[#This Row],[centro_costo]]="","",_xlfn.XLOOKUP(tblOrdenes[[#This Row],[centro_costo]],tblCECO[codigo],tblCECO[linea],"(sin catálogo)"))</f>
        <v/>
      </c>
      <c r="U259" s="3">
        <f>IF(tblOrdenes[[#This Row],[centro_costo]]="","",_xlfn.XLOOKUP(tblOrdenes[[#This Row],[centro_costo]],tblCECO[codigo],tblCECO[area],"(sin catálogo)"))</f>
        <v/>
      </c>
      <c r="V259" s="3">
        <f>IF(tblOrdenes[[#This Row],[centro_costo]]="","",_xlfn.XLOOKUP(tblOrdenes[[#This Row],[centro_costo]],tblCECO[codigo],tblCECO[coordinador],"(sin catálogo)"))</f>
        <v/>
      </c>
      <c r="W259" s="3">
        <f>IF(tblOrdenes[[#This Row],[puesto_trabajo]]="","",_xlfn.XLOOKUP(tblOrdenes[[#This Row],[puesto_trabajo]],tblPuestos[codigo],tblPuestos[especialidad],"(sin catálogo)"))</f>
        <v/>
      </c>
      <c r="X259" s="3">
        <f>IF(tblOrdenes[[#This Row],[cod_actividad]]="","",_xlfn.XLOOKUP(tblOrdenes[[#This Row],[cod_actividad]],tblActividades[codigo],tblActividades[descripcion],"(sin catálogo)"))</f>
        <v/>
      </c>
      <c r="Y259" s="12">
        <f>IF(tblOrdenes[[#This Row],[fecha_inicio]]="","",TODAY()-tblOrdenes[[#This Row],[fecha_inicio]])</f>
        <v/>
      </c>
      <c r="Z259" s="3">
        <f>IF(tblOrdenes[[#This Row],[backlog_dias]]="","",IF(tblOrdenes[[#This Row],[backlog_dias]]&lt;0,"FUTURO",IF(tblOrdenes[[#This Row],[backlog_dias]]&gt;p_dias_backlog_max,"BACKLOG","MES CORRIENTE")))</f>
        <v/>
      </c>
      <c r="AA259" s="3">
        <f>IF(tblOrdenes[[#This Row],[backlog_dias]]="",FALSE,AND(tblOrdenes[[#This Row],[backlog_dias]]&gt;p_dias_backlog_min,tblOrdenes[[#This Row],[backlog_dias]]&lt;=p_dias_backlog_max))</f>
        <v/>
      </c>
      <c r="AB259" s="6" t="n"/>
      <c r="AC2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9" s="10">
        <f>IF(tblOrdenes[[#This Row],[orden]]="","",_xlfn.XLOOKUP(tblOrdenes[[#This Row],[id_operacion]],tblEjecucion[id_operacion],tblEjecucion[precio],0))</f>
        <v/>
      </c>
      <c r="AG259" s="10">
        <f>IF(tblOrdenes[[#This Row],[orden]]="","",MAX(0,_xlfn.XLOOKUP(tblOrdenes[[#This Row],[id_operacion]],tblEjecucion[id_operacion],tblEjecucion[costo_plan_total],0)-tblOrdenes[[#This Row],[costo_servicio]]))</f>
        <v/>
      </c>
      <c r="AH259" s="10">
        <f>IF(tblOrdenes[[#This Row],[orden]]="","",tblOrdenes[[#This Row],[costo_servicio]]+tblOrdenes[[#This Row],[costo_materiales]])</f>
        <v/>
      </c>
      <c r="AI259" s="6" t="n"/>
      <c r="AJ259" s="6" t="n"/>
      <c r="AK259" s="6" t="n"/>
      <c r="AL259" s="3">
        <f>IF(tblOrdenes[[#This Row],[link_checklist]]="","",HYPERLINK(p_ruta_base_checklists&amp;tblOrdenes[[#This Row],[link_checklist]],"abrir"))</f>
        <v/>
      </c>
      <c r="AM259" s="6" t="n"/>
      <c r="AN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Row],[tipo_ot]]="","",_xlfn.XLOOKUP(tblOrdenes[[#This Row],[tipo_ot]],tblTiposOT[codigo],tblTiposOT[clasificacion],"sin_clasificar"))</f>
        <v/>
      </c>
      <c r="T260" s="3">
        <f>IF(tblOrdenes[[#This Row],[centro_costo]]="","",_xlfn.XLOOKUP(tblOrdenes[[#This Row],[centro_costo]],tblCECO[codigo],tblCECO[linea],"(sin catálogo)"))</f>
        <v/>
      </c>
      <c r="U260" s="3">
        <f>IF(tblOrdenes[[#This Row],[centro_costo]]="","",_xlfn.XLOOKUP(tblOrdenes[[#This Row],[centro_costo]],tblCECO[codigo],tblCECO[area],"(sin catálogo)"))</f>
        <v/>
      </c>
      <c r="V260" s="3">
        <f>IF(tblOrdenes[[#This Row],[centro_costo]]="","",_xlfn.XLOOKUP(tblOrdenes[[#This Row],[centro_costo]],tblCECO[codigo],tblCECO[coordinador],"(sin catálogo)"))</f>
        <v/>
      </c>
      <c r="W260" s="3">
        <f>IF(tblOrdenes[[#This Row],[puesto_trabajo]]="","",_xlfn.XLOOKUP(tblOrdenes[[#This Row],[puesto_trabajo]],tblPuestos[codigo],tblPuestos[especialidad],"(sin catálogo)"))</f>
        <v/>
      </c>
      <c r="X260" s="3">
        <f>IF(tblOrdenes[[#This Row],[cod_actividad]]="","",_xlfn.XLOOKUP(tblOrdenes[[#This Row],[cod_actividad]],tblActividades[codigo],tblActividades[descripcion],"(sin catálogo)"))</f>
        <v/>
      </c>
      <c r="Y260" s="12">
        <f>IF(tblOrdenes[[#This Row],[fecha_inicio]]="","",TODAY()-tblOrdenes[[#This Row],[fecha_inicio]])</f>
        <v/>
      </c>
      <c r="Z260" s="3">
        <f>IF(tblOrdenes[[#This Row],[backlog_dias]]="","",IF(tblOrdenes[[#This Row],[backlog_dias]]&lt;0,"FUTURO",IF(tblOrdenes[[#This Row],[backlog_dias]]&gt;p_dias_backlog_max,"BACKLOG","MES CORRIENTE")))</f>
        <v/>
      </c>
      <c r="AA260" s="3">
        <f>IF(tblOrdenes[[#This Row],[backlog_dias]]="",FALSE,AND(tblOrdenes[[#This Row],[backlog_dias]]&gt;p_dias_backlog_min,tblOrdenes[[#This Row],[backlog_dias]]&lt;=p_dias_backlog_max))</f>
        <v/>
      </c>
      <c r="AB260" s="6" t="n"/>
      <c r="AC2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0" s="10">
        <f>IF(tblOrdenes[[#This Row],[orden]]="","",_xlfn.XLOOKUP(tblOrdenes[[#This Row],[id_operacion]],tblEjecucion[id_operacion],tblEjecucion[precio],0))</f>
        <v/>
      </c>
      <c r="AG260" s="10">
        <f>IF(tblOrdenes[[#This Row],[orden]]="","",MAX(0,_xlfn.XLOOKUP(tblOrdenes[[#This Row],[id_operacion]],tblEjecucion[id_operacion],tblEjecucion[costo_plan_total],0)-tblOrdenes[[#This Row],[costo_servicio]]))</f>
        <v/>
      </c>
      <c r="AH260" s="10">
        <f>IF(tblOrdenes[[#This Row],[orden]]="","",tblOrdenes[[#This Row],[costo_servicio]]+tblOrdenes[[#This Row],[costo_materiales]])</f>
        <v/>
      </c>
      <c r="AI260" s="6" t="n"/>
      <c r="AJ260" s="6" t="n"/>
      <c r="AK260" s="6" t="n"/>
      <c r="AL260" s="3">
        <f>IF(tblOrdenes[[#This Row],[link_checklist]]="","",HYPERLINK(p_ruta_base_checklists&amp;tblOrdenes[[#This Row],[link_checklist]],"abrir"))</f>
        <v/>
      </c>
      <c r="AM260" s="6" t="n"/>
      <c r="AN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Row],[tipo_ot]]="","",_xlfn.XLOOKUP(tblOrdenes[[#This Row],[tipo_ot]],tblTiposOT[codigo],tblTiposOT[clasificacion],"sin_clasificar"))</f>
        <v/>
      </c>
      <c r="T261" s="3">
        <f>IF(tblOrdenes[[#This Row],[centro_costo]]="","",_xlfn.XLOOKUP(tblOrdenes[[#This Row],[centro_costo]],tblCECO[codigo],tblCECO[linea],"(sin catálogo)"))</f>
        <v/>
      </c>
      <c r="U261" s="3">
        <f>IF(tblOrdenes[[#This Row],[centro_costo]]="","",_xlfn.XLOOKUP(tblOrdenes[[#This Row],[centro_costo]],tblCECO[codigo],tblCECO[area],"(sin catálogo)"))</f>
        <v/>
      </c>
      <c r="V261" s="3">
        <f>IF(tblOrdenes[[#This Row],[centro_costo]]="","",_xlfn.XLOOKUP(tblOrdenes[[#This Row],[centro_costo]],tblCECO[codigo],tblCECO[coordinador],"(sin catálogo)"))</f>
        <v/>
      </c>
      <c r="W261" s="3">
        <f>IF(tblOrdenes[[#This Row],[puesto_trabajo]]="","",_xlfn.XLOOKUP(tblOrdenes[[#This Row],[puesto_trabajo]],tblPuestos[codigo],tblPuestos[especialidad],"(sin catálogo)"))</f>
        <v/>
      </c>
      <c r="X261" s="3">
        <f>IF(tblOrdenes[[#This Row],[cod_actividad]]="","",_xlfn.XLOOKUP(tblOrdenes[[#This Row],[cod_actividad]],tblActividades[codigo],tblActividades[descripcion],"(sin catálogo)"))</f>
        <v/>
      </c>
      <c r="Y261" s="12">
        <f>IF(tblOrdenes[[#This Row],[fecha_inicio]]="","",TODAY()-tblOrdenes[[#This Row],[fecha_inicio]])</f>
        <v/>
      </c>
      <c r="Z261" s="3">
        <f>IF(tblOrdenes[[#This Row],[backlog_dias]]="","",IF(tblOrdenes[[#This Row],[backlog_dias]]&lt;0,"FUTURO",IF(tblOrdenes[[#This Row],[backlog_dias]]&gt;p_dias_backlog_max,"BACKLOG","MES CORRIENTE")))</f>
        <v/>
      </c>
      <c r="AA261" s="3">
        <f>IF(tblOrdenes[[#This Row],[backlog_dias]]="",FALSE,AND(tblOrdenes[[#This Row],[backlog_dias]]&gt;p_dias_backlog_min,tblOrdenes[[#This Row],[backlog_dias]]&lt;=p_dias_backlog_max))</f>
        <v/>
      </c>
      <c r="AB261" s="6" t="n"/>
      <c r="AC2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1" s="10">
        <f>IF(tblOrdenes[[#This Row],[orden]]="","",_xlfn.XLOOKUP(tblOrdenes[[#This Row],[id_operacion]],tblEjecucion[id_operacion],tblEjecucion[precio],0))</f>
        <v/>
      </c>
      <c r="AG261" s="10">
        <f>IF(tblOrdenes[[#This Row],[orden]]="","",MAX(0,_xlfn.XLOOKUP(tblOrdenes[[#This Row],[id_operacion]],tblEjecucion[id_operacion],tblEjecucion[costo_plan_total],0)-tblOrdenes[[#This Row],[costo_servicio]]))</f>
        <v/>
      </c>
      <c r="AH261" s="10">
        <f>IF(tblOrdenes[[#This Row],[orden]]="","",tblOrdenes[[#This Row],[costo_servicio]]+tblOrdenes[[#This Row],[costo_materiales]])</f>
        <v/>
      </c>
      <c r="AI261" s="6" t="n"/>
      <c r="AJ261" s="6" t="n"/>
      <c r="AK261" s="6" t="n"/>
      <c r="AL261" s="3">
        <f>IF(tblOrdenes[[#This Row],[link_checklist]]="","",HYPERLINK(p_ruta_base_checklists&amp;tblOrdenes[[#This Row],[link_checklist]],"abrir"))</f>
        <v/>
      </c>
      <c r="AM261" s="6" t="n"/>
      <c r="AN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Row],[tipo_ot]]="","",_xlfn.XLOOKUP(tblOrdenes[[#This Row],[tipo_ot]],tblTiposOT[codigo],tblTiposOT[clasificacion],"sin_clasificar"))</f>
        <v/>
      </c>
      <c r="T262" s="3">
        <f>IF(tblOrdenes[[#This Row],[centro_costo]]="","",_xlfn.XLOOKUP(tblOrdenes[[#This Row],[centro_costo]],tblCECO[codigo],tblCECO[linea],"(sin catálogo)"))</f>
        <v/>
      </c>
      <c r="U262" s="3">
        <f>IF(tblOrdenes[[#This Row],[centro_costo]]="","",_xlfn.XLOOKUP(tblOrdenes[[#This Row],[centro_costo]],tblCECO[codigo],tblCECO[area],"(sin catálogo)"))</f>
        <v/>
      </c>
      <c r="V262" s="3">
        <f>IF(tblOrdenes[[#This Row],[centro_costo]]="","",_xlfn.XLOOKUP(tblOrdenes[[#This Row],[centro_costo]],tblCECO[codigo],tblCECO[coordinador],"(sin catálogo)"))</f>
        <v/>
      </c>
      <c r="W262" s="3">
        <f>IF(tblOrdenes[[#This Row],[puesto_trabajo]]="","",_xlfn.XLOOKUP(tblOrdenes[[#This Row],[puesto_trabajo]],tblPuestos[codigo],tblPuestos[especialidad],"(sin catálogo)"))</f>
        <v/>
      </c>
      <c r="X262" s="3">
        <f>IF(tblOrdenes[[#This Row],[cod_actividad]]="","",_xlfn.XLOOKUP(tblOrdenes[[#This Row],[cod_actividad]],tblActividades[codigo],tblActividades[descripcion],"(sin catálogo)"))</f>
        <v/>
      </c>
      <c r="Y262" s="12">
        <f>IF(tblOrdenes[[#This Row],[fecha_inicio]]="","",TODAY()-tblOrdenes[[#This Row],[fecha_inicio]])</f>
        <v/>
      </c>
      <c r="Z262" s="3">
        <f>IF(tblOrdenes[[#This Row],[backlog_dias]]="","",IF(tblOrdenes[[#This Row],[backlog_dias]]&lt;0,"FUTURO",IF(tblOrdenes[[#This Row],[backlog_dias]]&gt;p_dias_backlog_max,"BACKLOG","MES CORRIENTE")))</f>
        <v/>
      </c>
      <c r="AA262" s="3">
        <f>IF(tblOrdenes[[#This Row],[backlog_dias]]="",FALSE,AND(tblOrdenes[[#This Row],[backlog_dias]]&gt;p_dias_backlog_min,tblOrdenes[[#This Row],[backlog_dias]]&lt;=p_dias_backlog_max))</f>
        <v/>
      </c>
      <c r="AB262" s="6" t="n"/>
      <c r="AC2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2" s="10">
        <f>IF(tblOrdenes[[#This Row],[orden]]="","",_xlfn.XLOOKUP(tblOrdenes[[#This Row],[id_operacion]],tblEjecucion[id_operacion],tblEjecucion[precio],0))</f>
        <v/>
      </c>
      <c r="AG262" s="10">
        <f>IF(tblOrdenes[[#This Row],[orden]]="","",MAX(0,_xlfn.XLOOKUP(tblOrdenes[[#This Row],[id_operacion]],tblEjecucion[id_operacion],tblEjecucion[costo_plan_total],0)-tblOrdenes[[#This Row],[costo_servicio]]))</f>
        <v/>
      </c>
      <c r="AH262" s="10">
        <f>IF(tblOrdenes[[#This Row],[orden]]="","",tblOrdenes[[#This Row],[costo_servicio]]+tblOrdenes[[#This Row],[costo_materiales]])</f>
        <v/>
      </c>
      <c r="AI262" s="6" t="n"/>
      <c r="AJ262" s="6" t="n"/>
      <c r="AK262" s="6" t="n"/>
      <c r="AL262" s="3">
        <f>IF(tblOrdenes[[#This Row],[link_checklist]]="","",HYPERLINK(p_ruta_base_checklists&amp;tblOrdenes[[#This Row],[link_checklist]],"abrir"))</f>
        <v/>
      </c>
      <c r="AM262" s="6" t="n"/>
      <c r="AN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Row],[tipo_ot]]="","",_xlfn.XLOOKUP(tblOrdenes[[#This Row],[tipo_ot]],tblTiposOT[codigo],tblTiposOT[clasificacion],"sin_clasificar"))</f>
        <v/>
      </c>
      <c r="T263" s="3">
        <f>IF(tblOrdenes[[#This Row],[centro_costo]]="","",_xlfn.XLOOKUP(tblOrdenes[[#This Row],[centro_costo]],tblCECO[codigo],tblCECO[linea],"(sin catálogo)"))</f>
        <v/>
      </c>
      <c r="U263" s="3">
        <f>IF(tblOrdenes[[#This Row],[centro_costo]]="","",_xlfn.XLOOKUP(tblOrdenes[[#This Row],[centro_costo]],tblCECO[codigo],tblCECO[area],"(sin catálogo)"))</f>
        <v/>
      </c>
      <c r="V263" s="3">
        <f>IF(tblOrdenes[[#This Row],[centro_costo]]="","",_xlfn.XLOOKUP(tblOrdenes[[#This Row],[centro_costo]],tblCECO[codigo],tblCECO[coordinador],"(sin catálogo)"))</f>
        <v/>
      </c>
      <c r="W263" s="3">
        <f>IF(tblOrdenes[[#This Row],[puesto_trabajo]]="","",_xlfn.XLOOKUP(tblOrdenes[[#This Row],[puesto_trabajo]],tblPuestos[codigo],tblPuestos[especialidad],"(sin catálogo)"))</f>
        <v/>
      </c>
      <c r="X263" s="3">
        <f>IF(tblOrdenes[[#This Row],[cod_actividad]]="","",_xlfn.XLOOKUP(tblOrdenes[[#This Row],[cod_actividad]],tblActividades[codigo],tblActividades[descripcion],"(sin catálogo)"))</f>
        <v/>
      </c>
      <c r="Y263" s="12">
        <f>IF(tblOrdenes[[#This Row],[fecha_inicio]]="","",TODAY()-tblOrdenes[[#This Row],[fecha_inicio]])</f>
        <v/>
      </c>
      <c r="Z263" s="3">
        <f>IF(tblOrdenes[[#This Row],[backlog_dias]]="","",IF(tblOrdenes[[#This Row],[backlog_dias]]&lt;0,"FUTURO",IF(tblOrdenes[[#This Row],[backlog_dias]]&gt;p_dias_backlog_max,"BACKLOG","MES CORRIENTE")))</f>
        <v/>
      </c>
      <c r="AA263" s="3">
        <f>IF(tblOrdenes[[#This Row],[backlog_dias]]="",FALSE,AND(tblOrdenes[[#This Row],[backlog_dias]]&gt;p_dias_backlog_min,tblOrdenes[[#This Row],[backlog_dias]]&lt;=p_dias_backlog_max))</f>
        <v/>
      </c>
      <c r="AB263" s="6" t="n"/>
      <c r="AC2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3" s="10">
        <f>IF(tblOrdenes[[#This Row],[orden]]="","",_xlfn.XLOOKUP(tblOrdenes[[#This Row],[id_operacion]],tblEjecucion[id_operacion],tblEjecucion[precio],0))</f>
        <v/>
      </c>
      <c r="AG263" s="10">
        <f>IF(tblOrdenes[[#This Row],[orden]]="","",MAX(0,_xlfn.XLOOKUP(tblOrdenes[[#This Row],[id_operacion]],tblEjecucion[id_operacion],tblEjecucion[costo_plan_total],0)-tblOrdenes[[#This Row],[costo_servicio]]))</f>
        <v/>
      </c>
      <c r="AH263" s="10">
        <f>IF(tblOrdenes[[#This Row],[orden]]="","",tblOrdenes[[#This Row],[costo_servicio]]+tblOrdenes[[#This Row],[costo_materiales]])</f>
        <v/>
      </c>
      <c r="AI263" s="6" t="n"/>
      <c r="AJ263" s="6" t="n"/>
      <c r="AK263" s="6" t="n"/>
      <c r="AL263" s="3">
        <f>IF(tblOrdenes[[#This Row],[link_checklist]]="","",HYPERLINK(p_ruta_base_checklists&amp;tblOrdenes[[#This Row],[link_checklist]],"abrir"))</f>
        <v/>
      </c>
      <c r="AM263" s="6" t="n"/>
      <c r="AN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Row],[tipo_ot]]="","",_xlfn.XLOOKUP(tblOrdenes[[#This Row],[tipo_ot]],tblTiposOT[codigo],tblTiposOT[clasificacion],"sin_clasificar"))</f>
        <v/>
      </c>
      <c r="T264" s="3">
        <f>IF(tblOrdenes[[#This Row],[centro_costo]]="","",_xlfn.XLOOKUP(tblOrdenes[[#This Row],[centro_costo]],tblCECO[codigo],tblCECO[linea],"(sin catálogo)"))</f>
        <v/>
      </c>
      <c r="U264" s="3">
        <f>IF(tblOrdenes[[#This Row],[centro_costo]]="","",_xlfn.XLOOKUP(tblOrdenes[[#This Row],[centro_costo]],tblCECO[codigo],tblCECO[area],"(sin catálogo)"))</f>
        <v/>
      </c>
      <c r="V264" s="3">
        <f>IF(tblOrdenes[[#This Row],[centro_costo]]="","",_xlfn.XLOOKUP(tblOrdenes[[#This Row],[centro_costo]],tblCECO[codigo],tblCECO[coordinador],"(sin catálogo)"))</f>
        <v/>
      </c>
      <c r="W264" s="3">
        <f>IF(tblOrdenes[[#This Row],[puesto_trabajo]]="","",_xlfn.XLOOKUP(tblOrdenes[[#This Row],[puesto_trabajo]],tblPuestos[codigo],tblPuestos[especialidad],"(sin catálogo)"))</f>
        <v/>
      </c>
      <c r="X264" s="3">
        <f>IF(tblOrdenes[[#This Row],[cod_actividad]]="","",_xlfn.XLOOKUP(tblOrdenes[[#This Row],[cod_actividad]],tblActividades[codigo],tblActividades[descripcion],"(sin catálogo)"))</f>
        <v/>
      </c>
      <c r="Y264" s="12">
        <f>IF(tblOrdenes[[#This Row],[fecha_inicio]]="","",TODAY()-tblOrdenes[[#This Row],[fecha_inicio]])</f>
        <v/>
      </c>
      <c r="Z264" s="3">
        <f>IF(tblOrdenes[[#This Row],[backlog_dias]]="","",IF(tblOrdenes[[#This Row],[backlog_dias]]&lt;0,"FUTURO",IF(tblOrdenes[[#This Row],[backlog_dias]]&gt;p_dias_backlog_max,"BACKLOG","MES CORRIENTE")))</f>
        <v/>
      </c>
      <c r="AA264" s="3">
        <f>IF(tblOrdenes[[#This Row],[backlog_dias]]="",FALSE,AND(tblOrdenes[[#This Row],[backlog_dias]]&gt;p_dias_backlog_min,tblOrdenes[[#This Row],[backlog_dias]]&lt;=p_dias_backlog_max))</f>
        <v/>
      </c>
      <c r="AB264" s="6" t="n"/>
      <c r="AC2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4" s="10">
        <f>IF(tblOrdenes[[#This Row],[orden]]="","",_xlfn.XLOOKUP(tblOrdenes[[#This Row],[id_operacion]],tblEjecucion[id_operacion],tblEjecucion[precio],0))</f>
        <v/>
      </c>
      <c r="AG264" s="10">
        <f>IF(tblOrdenes[[#This Row],[orden]]="","",MAX(0,_xlfn.XLOOKUP(tblOrdenes[[#This Row],[id_operacion]],tblEjecucion[id_operacion],tblEjecucion[costo_plan_total],0)-tblOrdenes[[#This Row],[costo_servicio]]))</f>
        <v/>
      </c>
      <c r="AH264" s="10">
        <f>IF(tblOrdenes[[#This Row],[orden]]="","",tblOrdenes[[#This Row],[costo_servicio]]+tblOrdenes[[#This Row],[costo_materiales]])</f>
        <v/>
      </c>
      <c r="AI264" s="6" t="n"/>
      <c r="AJ264" s="6" t="n"/>
      <c r="AK264" s="6" t="n"/>
      <c r="AL264" s="3">
        <f>IF(tblOrdenes[[#This Row],[link_checklist]]="","",HYPERLINK(p_ruta_base_checklists&amp;tblOrdenes[[#This Row],[link_checklist]],"abrir"))</f>
        <v/>
      </c>
      <c r="AM264" s="6" t="n"/>
      <c r="AN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Row],[tipo_ot]]="","",_xlfn.XLOOKUP(tblOrdenes[[#This Row],[tipo_ot]],tblTiposOT[codigo],tblTiposOT[clasificacion],"sin_clasificar"))</f>
        <v/>
      </c>
      <c r="T265" s="3">
        <f>IF(tblOrdenes[[#This Row],[centro_costo]]="","",_xlfn.XLOOKUP(tblOrdenes[[#This Row],[centro_costo]],tblCECO[codigo],tblCECO[linea],"(sin catálogo)"))</f>
        <v/>
      </c>
      <c r="U265" s="3">
        <f>IF(tblOrdenes[[#This Row],[centro_costo]]="","",_xlfn.XLOOKUP(tblOrdenes[[#This Row],[centro_costo]],tblCECO[codigo],tblCECO[area],"(sin catálogo)"))</f>
        <v/>
      </c>
      <c r="V265" s="3">
        <f>IF(tblOrdenes[[#This Row],[centro_costo]]="","",_xlfn.XLOOKUP(tblOrdenes[[#This Row],[centro_costo]],tblCECO[codigo],tblCECO[coordinador],"(sin catálogo)"))</f>
        <v/>
      </c>
      <c r="W265" s="3">
        <f>IF(tblOrdenes[[#This Row],[puesto_trabajo]]="","",_xlfn.XLOOKUP(tblOrdenes[[#This Row],[puesto_trabajo]],tblPuestos[codigo],tblPuestos[especialidad],"(sin catálogo)"))</f>
        <v/>
      </c>
      <c r="X265" s="3">
        <f>IF(tblOrdenes[[#This Row],[cod_actividad]]="","",_xlfn.XLOOKUP(tblOrdenes[[#This Row],[cod_actividad]],tblActividades[codigo],tblActividades[descripcion],"(sin catálogo)"))</f>
        <v/>
      </c>
      <c r="Y265" s="12">
        <f>IF(tblOrdenes[[#This Row],[fecha_inicio]]="","",TODAY()-tblOrdenes[[#This Row],[fecha_inicio]])</f>
        <v/>
      </c>
      <c r="Z265" s="3">
        <f>IF(tblOrdenes[[#This Row],[backlog_dias]]="","",IF(tblOrdenes[[#This Row],[backlog_dias]]&lt;0,"FUTURO",IF(tblOrdenes[[#This Row],[backlog_dias]]&gt;p_dias_backlog_max,"BACKLOG","MES CORRIENTE")))</f>
        <v/>
      </c>
      <c r="AA265" s="3">
        <f>IF(tblOrdenes[[#This Row],[backlog_dias]]="",FALSE,AND(tblOrdenes[[#This Row],[backlog_dias]]&gt;p_dias_backlog_min,tblOrdenes[[#This Row],[backlog_dias]]&lt;=p_dias_backlog_max))</f>
        <v/>
      </c>
      <c r="AB265" s="6" t="n"/>
      <c r="AC2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5" s="10">
        <f>IF(tblOrdenes[[#This Row],[orden]]="","",_xlfn.XLOOKUP(tblOrdenes[[#This Row],[id_operacion]],tblEjecucion[id_operacion],tblEjecucion[precio],0))</f>
        <v/>
      </c>
      <c r="AG265" s="10">
        <f>IF(tblOrdenes[[#This Row],[orden]]="","",MAX(0,_xlfn.XLOOKUP(tblOrdenes[[#This Row],[id_operacion]],tblEjecucion[id_operacion],tblEjecucion[costo_plan_total],0)-tblOrdenes[[#This Row],[costo_servicio]]))</f>
        <v/>
      </c>
      <c r="AH265" s="10">
        <f>IF(tblOrdenes[[#This Row],[orden]]="","",tblOrdenes[[#This Row],[costo_servicio]]+tblOrdenes[[#This Row],[costo_materiales]])</f>
        <v/>
      </c>
      <c r="AI265" s="6" t="n"/>
      <c r="AJ265" s="6" t="n"/>
      <c r="AK265" s="6" t="n"/>
      <c r="AL265" s="3">
        <f>IF(tblOrdenes[[#This Row],[link_checklist]]="","",HYPERLINK(p_ruta_base_checklists&amp;tblOrdenes[[#This Row],[link_checklist]],"abrir"))</f>
        <v/>
      </c>
      <c r="AM265" s="6" t="n"/>
      <c r="AN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Row],[tipo_ot]]="","",_xlfn.XLOOKUP(tblOrdenes[[#This Row],[tipo_ot]],tblTiposOT[codigo],tblTiposOT[clasificacion],"sin_clasificar"))</f>
        <v/>
      </c>
      <c r="T266" s="3">
        <f>IF(tblOrdenes[[#This Row],[centro_costo]]="","",_xlfn.XLOOKUP(tblOrdenes[[#This Row],[centro_costo]],tblCECO[codigo],tblCECO[linea],"(sin catálogo)"))</f>
        <v/>
      </c>
      <c r="U266" s="3">
        <f>IF(tblOrdenes[[#This Row],[centro_costo]]="","",_xlfn.XLOOKUP(tblOrdenes[[#This Row],[centro_costo]],tblCECO[codigo],tblCECO[area],"(sin catálogo)"))</f>
        <v/>
      </c>
      <c r="V266" s="3">
        <f>IF(tblOrdenes[[#This Row],[centro_costo]]="","",_xlfn.XLOOKUP(tblOrdenes[[#This Row],[centro_costo]],tblCECO[codigo],tblCECO[coordinador],"(sin catálogo)"))</f>
        <v/>
      </c>
      <c r="W266" s="3">
        <f>IF(tblOrdenes[[#This Row],[puesto_trabajo]]="","",_xlfn.XLOOKUP(tblOrdenes[[#This Row],[puesto_trabajo]],tblPuestos[codigo],tblPuestos[especialidad],"(sin catálogo)"))</f>
        <v/>
      </c>
      <c r="X266" s="3">
        <f>IF(tblOrdenes[[#This Row],[cod_actividad]]="","",_xlfn.XLOOKUP(tblOrdenes[[#This Row],[cod_actividad]],tblActividades[codigo],tblActividades[descripcion],"(sin catálogo)"))</f>
        <v/>
      </c>
      <c r="Y266" s="12">
        <f>IF(tblOrdenes[[#This Row],[fecha_inicio]]="","",TODAY()-tblOrdenes[[#This Row],[fecha_inicio]])</f>
        <v/>
      </c>
      <c r="Z266" s="3">
        <f>IF(tblOrdenes[[#This Row],[backlog_dias]]="","",IF(tblOrdenes[[#This Row],[backlog_dias]]&lt;0,"FUTURO",IF(tblOrdenes[[#This Row],[backlog_dias]]&gt;p_dias_backlog_max,"BACKLOG","MES CORRIENTE")))</f>
        <v/>
      </c>
      <c r="AA266" s="3">
        <f>IF(tblOrdenes[[#This Row],[backlog_dias]]="",FALSE,AND(tblOrdenes[[#This Row],[backlog_dias]]&gt;p_dias_backlog_min,tblOrdenes[[#This Row],[backlog_dias]]&lt;=p_dias_backlog_max))</f>
        <v/>
      </c>
      <c r="AB266" s="6" t="n"/>
      <c r="AC2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6" s="10">
        <f>IF(tblOrdenes[[#This Row],[orden]]="","",_xlfn.XLOOKUP(tblOrdenes[[#This Row],[id_operacion]],tblEjecucion[id_operacion],tblEjecucion[precio],0))</f>
        <v/>
      </c>
      <c r="AG266" s="10">
        <f>IF(tblOrdenes[[#This Row],[orden]]="","",MAX(0,_xlfn.XLOOKUP(tblOrdenes[[#This Row],[id_operacion]],tblEjecucion[id_operacion],tblEjecucion[costo_plan_total],0)-tblOrdenes[[#This Row],[costo_servicio]]))</f>
        <v/>
      </c>
      <c r="AH266" s="10">
        <f>IF(tblOrdenes[[#This Row],[orden]]="","",tblOrdenes[[#This Row],[costo_servicio]]+tblOrdenes[[#This Row],[costo_materiales]])</f>
        <v/>
      </c>
      <c r="AI266" s="6" t="n"/>
      <c r="AJ266" s="6" t="n"/>
      <c r="AK266" s="6" t="n"/>
      <c r="AL266" s="3">
        <f>IF(tblOrdenes[[#This Row],[link_checklist]]="","",HYPERLINK(p_ruta_base_checklists&amp;tblOrdenes[[#This Row],[link_checklist]],"abrir"))</f>
        <v/>
      </c>
      <c r="AM266" s="6" t="n"/>
      <c r="AN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Row],[tipo_ot]]="","",_xlfn.XLOOKUP(tblOrdenes[[#This Row],[tipo_ot]],tblTiposOT[codigo],tblTiposOT[clasificacion],"sin_clasificar"))</f>
        <v/>
      </c>
      <c r="T267" s="3">
        <f>IF(tblOrdenes[[#This Row],[centro_costo]]="","",_xlfn.XLOOKUP(tblOrdenes[[#This Row],[centro_costo]],tblCECO[codigo],tblCECO[linea],"(sin catálogo)"))</f>
        <v/>
      </c>
      <c r="U267" s="3">
        <f>IF(tblOrdenes[[#This Row],[centro_costo]]="","",_xlfn.XLOOKUP(tblOrdenes[[#This Row],[centro_costo]],tblCECO[codigo],tblCECO[area],"(sin catálogo)"))</f>
        <v/>
      </c>
      <c r="V267" s="3">
        <f>IF(tblOrdenes[[#This Row],[centro_costo]]="","",_xlfn.XLOOKUP(tblOrdenes[[#This Row],[centro_costo]],tblCECO[codigo],tblCECO[coordinador],"(sin catálogo)"))</f>
        <v/>
      </c>
      <c r="W267" s="3">
        <f>IF(tblOrdenes[[#This Row],[puesto_trabajo]]="","",_xlfn.XLOOKUP(tblOrdenes[[#This Row],[puesto_trabajo]],tblPuestos[codigo],tblPuestos[especialidad],"(sin catálogo)"))</f>
        <v/>
      </c>
      <c r="X267" s="3">
        <f>IF(tblOrdenes[[#This Row],[cod_actividad]]="","",_xlfn.XLOOKUP(tblOrdenes[[#This Row],[cod_actividad]],tblActividades[codigo],tblActividades[descripcion],"(sin catálogo)"))</f>
        <v/>
      </c>
      <c r="Y267" s="12">
        <f>IF(tblOrdenes[[#This Row],[fecha_inicio]]="","",TODAY()-tblOrdenes[[#This Row],[fecha_inicio]])</f>
        <v/>
      </c>
      <c r="Z267" s="3">
        <f>IF(tblOrdenes[[#This Row],[backlog_dias]]="","",IF(tblOrdenes[[#This Row],[backlog_dias]]&lt;0,"FUTURO",IF(tblOrdenes[[#This Row],[backlog_dias]]&gt;p_dias_backlog_max,"BACKLOG","MES CORRIENTE")))</f>
        <v/>
      </c>
      <c r="AA267" s="3">
        <f>IF(tblOrdenes[[#This Row],[backlog_dias]]="",FALSE,AND(tblOrdenes[[#This Row],[backlog_dias]]&gt;p_dias_backlog_min,tblOrdenes[[#This Row],[backlog_dias]]&lt;=p_dias_backlog_max))</f>
        <v/>
      </c>
      <c r="AB267" s="6" t="n"/>
      <c r="AC2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7" s="10">
        <f>IF(tblOrdenes[[#This Row],[orden]]="","",_xlfn.XLOOKUP(tblOrdenes[[#This Row],[id_operacion]],tblEjecucion[id_operacion],tblEjecucion[precio],0))</f>
        <v/>
      </c>
      <c r="AG267" s="10">
        <f>IF(tblOrdenes[[#This Row],[orden]]="","",MAX(0,_xlfn.XLOOKUP(tblOrdenes[[#This Row],[id_operacion]],tblEjecucion[id_operacion],tblEjecucion[costo_plan_total],0)-tblOrdenes[[#This Row],[costo_servicio]]))</f>
        <v/>
      </c>
      <c r="AH267" s="10">
        <f>IF(tblOrdenes[[#This Row],[orden]]="","",tblOrdenes[[#This Row],[costo_servicio]]+tblOrdenes[[#This Row],[costo_materiales]])</f>
        <v/>
      </c>
      <c r="AI267" s="6" t="n"/>
      <c r="AJ267" s="6" t="n"/>
      <c r="AK267" s="6" t="n"/>
      <c r="AL267" s="3">
        <f>IF(tblOrdenes[[#This Row],[link_checklist]]="","",HYPERLINK(p_ruta_base_checklists&amp;tblOrdenes[[#This Row],[link_checklist]],"abrir"))</f>
        <v/>
      </c>
      <c r="AM267" s="6" t="n"/>
      <c r="AN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Row],[tipo_ot]]="","",_xlfn.XLOOKUP(tblOrdenes[[#This Row],[tipo_ot]],tblTiposOT[codigo],tblTiposOT[clasificacion],"sin_clasificar"))</f>
        <v/>
      </c>
      <c r="T268" s="3">
        <f>IF(tblOrdenes[[#This Row],[centro_costo]]="","",_xlfn.XLOOKUP(tblOrdenes[[#This Row],[centro_costo]],tblCECO[codigo],tblCECO[linea],"(sin catálogo)"))</f>
        <v/>
      </c>
      <c r="U268" s="3">
        <f>IF(tblOrdenes[[#This Row],[centro_costo]]="","",_xlfn.XLOOKUP(tblOrdenes[[#This Row],[centro_costo]],tblCECO[codigo],tblCECO[area],"(sin catálogo)"))</f>
        <v/>
      </c>
      <c r="V268" s="3">
        <f>IF(tblOrdenes[[#This Row],[centro_costo]]="","",_xlfn.XLOOKUP(tblOrdenes[[#This Row],[centro_costo]],tblCECO[codigo],tblCECO[coordinador],"(sin catálogo)"))</f>
        <v/>
      </c>
      <c r="W268" s="3">
        <f>IF(tblOrdenes[[#This Row],[puesto_trabajo]]="","",_xlfn.XLOOKUP(tblOrdenes[[#This Row],[puesto_trabajo]],tblPuestos[codigo],tblPuestos[especialidad],"(sin catálogo)"))</f>
        <v/>
      </c>
      <c r="X268" s="3">
        <f>IF(tblOrdenes[[#This Row],[cod_actividad]]="","",_xlfn.XLOOKUP(tblOrdenes[[#This Row],[cod_actividad]],tblActividades[codigo],tblActividades[descripcion],"(sin catálogo)"))</f>
        <v/>
      </c>
      <c r="Y268" s="12">
        <f>IF(tblOrdenes[[#This Row],[fecha_inicio]]="","",TODAY()-tblOrdenes[[#This Row],[fecha_inicio]])</f>
        <v/>
      </c>
      <c r="Z268" s="3">
        <f>IF(tblOrdenes[[#This Row],[backlog_dias]]="","",IF(tblOrdenes[[#This Row],[backlog_dias]]&lt;0,"FUTURO",IF(tblOrdenes[[#This Row],[backlog_dias]]&gt;p_dias_backlog_max,"BACKLOG","MES CORRIENTE")))</f>
        <v/>
      </c>
      <c r="AA268" s="3">
        <f>IF(tblOrdenes[[#This Row],[backlog_dias]]="",FALSE,AND(tblOrdenes[[#This Row],[backlog_dias]]&gt;p_dias_backlog_min,tblOrdenes[[#This Row],[backlog_dias]]&lt;=p_dias_backlog_max))</f>
        <v/>
      </c>
      <c r="AB268" s="6" t="n"/>
      <c r="AC2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8" s="10">
        <f>IF(tblOrdenes[[#This Row],[orden]]="","",_xlfn.XLOOKUP(tblOrdenes[[#This Row],[id_operacion]],tblEjecucion[id_operacion],tblEjecucion[precio],0))</f>
        <v/>
      </c>
      <c r="AG268" s="10">
        <f>IF(tblOrdenes[[#This Row],[orden]]="","",MAX(0,_xlfn.XLOOKUP(tblOrdenes[[#This Row],[id_operacion]],tblEjecucion[id_operacion],tblEjecucion[costo_plan_total],0)-tblOrdenes[[#This Row],[costo_servicio]]))</f>
        <v/>
      </c>
      <c r="AH268" s="10">
        <f>IF(tblOrdenes[[#This Row],[orden]]="","",tblOrdenes[[#This Row],[costo_servicio]]+tblOrdenes[[#This Row],[costo_materiales]])</f>
        <v/>
      </c>
      <c r="AI268" s="6" t="n"/>
      <c r="AJ268" s="6" t="n"/>
      <c r="AK268" s="6" t="n"/>
      <c r="AL268" s="3">
        <f>IF(tblOrdenes[[#This Row],[link_checklist]]="","",HYPERLINK(p_ruta_base_checklists&amp;tblOrdenes[[#This Row],[link_checklist]],"abrir"))</f>
        <v/>
      </c>
      <c r="AM268" s="6" t="n"/>
      <c r="AN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Row],[tipo_ot]]="","",_xlfn.XLOOKUP(tblOrdenes[[#This Row],[tipo_ot]],tblTiposOT[codigo],tblTiposOT[clasificacion],"sin_clasificar"))</f>
        <v/>
      </c>
      <c r="T269" s="3">
        <f>IF(tblOrdenes[[#This Row],[centro_costo]]="","",_xlfn.XLOOKUP(tblOrdenes[[#This Row],[centro_costo]],tblCECO[codigo],tblCECO[linea],"(sin catálogo)"))</f>
        <v/>
      </c>
      <c r="U269" s="3">
        <f>IF(tblOrdenes[[#This Row],[centro_costo]]="","",_xlfn.XLOOKUP(tblOrdenes[[#This Row],[centro_costo]],tblCECO[codigo],tblCECO[area],"(sin catálogo)"))</f>
        <v/>
      </c>
      <c r="V269" s="3">
        <f>IF(tblOrdenes[[#This Row],[centro_costo]]="","",_xlfn.XLOOKUP(tblOrdenes[[#This Row],[centro_costo]],tblCECO[codigo],tblCECO[coordinador],"(sin catálogo)"))</f>
        <v/>
      </c>
      <c r="W269" s="3">
        <f>IF(tblOrdenes[[#This Row],[puesto_trabajo]]="","",_xlfn.XLOOKUP(tblOrdenes[[#This Row],[puesto_trabajo]],tblPuestos[codigo],tblPuestos[especialidad],"(sin catálogo)"))</f>
        <v/>
      </c>
      <c r="X269" s="3">
        <f>IF(tblOrdenes[[#This Row],[cod_actividad]]="","",_xlfn.XLOOKUP(tblOrdenes[[#This Row],[cod_actividad]],tblActividades[codigo],tblActividades[descripcion],"(sin catálogo)"))</f>
        <v/>
      </c>
      <c r="Y269" s="12">
        <f>IF(tblOrdenes[[#This Row],[fecha_inicio]]="","",TODAY()-tblOrdenes[[#This Row],[fecha_inicio]])</f>
        <v/>
      </c>
      <c r="Z269" s="3">
        <f>IF(tblOrdenes[[#This Row],[backlog_dias]]="","",IF(tblOrdenes[[#This Row],[backlog_dias]]&lt;0,"FUTURO",IF(tblOrdenes[[#This Row],[backlog_dias]]&gt;p_dias_backlog_max,"BACKLOG","MES CORRIENTE")))</f>
        <v/>
      </c>
      <c r="AA269" s="3">
        <f>IF(tblOrdenes[[#This Row],[backlog_dias]]="",FALSE,AND(tblOrdenes[[#This Row],[backlog_dias]]&gt;p_dias_backlog_min,tblOrdenes[[#This Row],[backlog_dias]]&lt;=p_dias_backlog_max))</f>
        <v/>
      </c>
      <c r="AB269" s="6" t="n"/>
      <c r="AC2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9" s="10">
        <f>IF(tblOrdenes[[#This Row],[orden]]="","",_xlfn.XLOOKUP(tblOrdenes[[#This Row],[id_operacion]],tblEjecucion[id_operacion],tblEjecucion[precio],0))</f>
        <v/>
      </c>
      <c r="AG269" s="10">
        <f>IF(tblOrdenes[[#This Row],[orden]]="","",MAX(0,_xlfn.XLOOKUP(tblOrdenes[[#This Row],[id_operacion]],tblEjecucion[id_operacion],tblEjecucion[costo_plan_total],0)-tblOrdenes[[#This Row],[costo_servicio]]))</f>
        <v/>
      </c>
      <c r="AH269" s="10">
        <f>IF(tblOrdenes[[#This Row],[orden]]="","",tblOrdenes[[#This Row],[costo_servicio]]+tblOrdenes[[#This Row],[costo_materiales]])</f>
        <v/>
      </c>
      <c r="AI269" s="6" t="n"/>
      <c r="AJ269" s="6" t="n"/>
      <c r="AK269" s="6" t="n"/>
      <c r="AL269" s="3">
        <f>IF(tblOrdenes[[#This Row],[link_checklist]]="","",HYPERLINK(p_ruta_base_checklists&amp;tblOrdenes[[#This Row],[link_checklist]],"abrir"))</f>
        <v/>
      </c>
      <c r="AM269" s="6" t="n"/>
      <c r="AN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Row],[tipo_ot]]="","",_xlfn.XLOOKUP(tblOrdenes[[#This Row],[tipo_ot]],tblTiposOT[codigo],tblTiposOT[clasificacion],"sin_clasificar"))</f>
        <v/>
      </c>
      <c r="T270" s="3">
        <f>IF(tblOrdenes[[#This Row],[centro_costo]]="","",_xlfn.XLOOKUP(tblOrdenes[[#This Row],[centro_costo]],tblCECO[codigo],tblCECO[linea],"(sin catálogo)"))</f>
        <v/>
      </c>
      <c r="U270" s="3">
        <f>IF(tblOrdenes[[#This Row],[centro_costo]]="","",_xlfn.XLOOKUP(tblOrdenes[[#This Row],[centro_costo]],tblCECO[codigo],tblCECO[area],"(sin catálogo)"))</f>
        <v/>
      </c>
      <c r="V270" s="3">
        <f>IF(tblOrdenes[[#This Row],[centro_costo]]="","",_xlfn.XLOOKUP(tblOrdenes[[#This Row],[centro_costo]],tblCECO[codigo],tblCECO[coordinador],"(sin catálogo)"))</f>
        <v/>
      </c>
      <c r="W270" s="3">
        <f>IF(tblOrdenes[[#This Row],[puesto_trabajo]]="","",_xlfn.XLOOKUP(tblOrdenes[[#This Row],[puesto_trabajo]],tblPuestos[codigo],tblPuestos[especialidad],"(sin catálogo)"))</f>
        <v/>
      </c>
      <c r="X270" s="3">
        <f>IF(tblOrdenes[[#This Row],[cod_actividad]]="","",_xlfn.XLOOKUP(tblOrdenes[[#This Row],[cod_actividad]],tblActividades[codigo],tblActividades[descripcion],"(sin catálogo)"))</f>
        <v/>
      </c>
      <c r="Y270" s="12">
        <f>IF(tblOrdenes[[#This Row],[fecha_inicio]]="","",TODAY()-tblOrdenes[[#This Row],[fecha_inicio]])</f>
        <v/>
      </c>
      <c r="Z270" s="3">
        <f>IF(tblOrdenes[[#This Row],[backlog_dias]]="","",IF(tblOrdenes[[#This Row],[backlog_dias]]&lt;0,"FUTURO",IF(tblOrdenes[[#This Row],[backlog_dias]]&gt;p_dias_backlog_max,"BACKLOG","MES CORRIENTE")))</f>
        <v/>
      </c>
      <c r="AA270" s="3">
        <f>IF(tblOrdenes[[#This Row],[backlog_dias]]="",FALSE,AND(tblOrdenes[[#This Row],[backlog_dias]]&gt;p_dias_backlog_min,tblOrdenes[[#This Row],[backlog_dias]]&lt;=p_dias_backlog_max))</f>
        <v/>
      </c>
      <c r="AB270" s="6" t="n"/>
      <c r="AC2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0" s="10">
        <f>IF(tblOrdenes[[#This Row],[orden]]="","",_xlfn.XLOOKUP(tblOrdenes[[#This Row],[id_operacion]],tblEjecucion[id_operacion],tblEjecucion[precio],0))</f>
        <v/>
      </c>
      <c r="AG270" s="10">
        <f>IF(tblOrdenes[[#This Row],[orden]]="","",MAX(0,_xlfn.XLOOKUP(tblOrdenes[[#This Row],[id_operacion]],tblEjecucion[id_operacion],tblEjecucion[costo_plan_total],0)-tblOrdenes[[#This Row],[costo_servicio]]))</f>
        <v/>
      </c>
      <c r="AH270" s="10">
        <f>IF(tblOrdenes[[#This Row],[orden]]="","",tblOrdenes[[#This Row],[costo_servicio]]+tblOrdenes[[#This Row],[costo_materiales]])</f>
        <v/>
      </c>
      <c r="AI270" s="6" t="n"/>
      <c r="AJ270" s="6" t="n"/>
      <c r="AK270" s="6" t="n"/>
      <c r="AL270" s="3">
        <f>IF(tblOrdenes[[#This Row],[link_checklist]]="","",HYPERLINK(p_ruta_base_checklists&amp;tblOrdenes[[#This Row],[link_checklist]],"abrir"))</f>
        <v/>
      </c>
      <c r="AM270" s="6" t="n"/>
      <c r="AN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Row],[tipo_ot]]="","",_xlfn.XLOOKUP(tblOrdenes[[#This Row],[tipo_ot]],tblTiposOT[codigo],tblTiposOT[clasificacion],"sin_clasificar"))</f>
        <v/>
      </c>
      <c r="T271" s="3">
        <f>IF(tblOrdenes[[#This Row],[centro_costo]]="","",_xlfn.XLOOKUP(tblOrdenes[[#This Row],[centro_costo]],tblCECO[codigo],tblCECO[linea],"(sin catálogo)"))</f>
        <v/>
      </c>
      <c r="U271" s="3">
        <f>IF(tblOrdenes[[#This Row],[centro_costo]]="","",_xlfn.XLOOKUP(tblOrdenes[[#This Row],[centro_costo]],tblCECO[codigo],tblCECO[area],"(sin catálogo)"))</f>
        <v/>
      </c>
      <c r="V271" s="3">
        <f>IF(tblOrdenes[[#This Row],[centro_costo]]="","",_xlfn.XLOOKUP(tblOrdenes[[#This Row],[centro_costo]],tblCECO[codigo],tblCECO[coordinador],"(sin catálogo)"))</f>
        <v/>
      </c>
      <c r="W271" s="3">
        <f>IF(tblOrdenes[[#This Row],[puesto_trabajo]]="","",_xlfn.XLOOKUP(tblOrdenes[[#This Row],[puesto_trabajo]],tblPuestos[codigo],tblPuestos[especialidad],"(sin catálogo)"))</f>
        <v/>
      </c>
      <c r="X271" s="3">
        <f>IF(tblOrdenes[[#This Row],[cod_actividad]]="","",_xlfn.XLOOKUP(tblOrdenes[[#This Row],[cod_actividad]],tblActividades[codigo],tblActividades[descripcion],"(sin catálogo)"))</f>
        <v/>
      </c>
      <c r="Y271" s="12">
        <f>IF(tblOrdenes[[#This Row],[fecha_inicio]]="","",TODAY()-tblOrdenes[[#This Row],[fecha_inicio]])</f>
        <v/>
      </c>
      <c r="Z271" s="3">
        <f>IF(tblOrdenes[[#This Row],[backlog_dias]]="","",IF(tblOrdenes[[#This Row],[backlog_dias]]&lt;0,"FUTURO",IF(tblOrdenes[[#This Row],[backlog_dias]]&gt;p_dias_backlog_max,"BACKLOG","MES CORRIENTE")))</f>
        <v/>
      </c>
      <c r="AA271" s="3">
        <f>IF(tblOrdenes[[#This Row],[backlog_dias]]="",FALSE,AND(tblOrdenes[[#This Row],[backlog_dias]]&gt;p_dias_backlog_min,tblOrdenes[[#This Row],[backlog_dias]]&lt;=p_dias_backlog_max))</f>
        <v/>
      </c>
      <c r="AB271" s="6" t="n"/>
      <c r="AC2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1" s="10">
        <f>IF(tblOrdenes[[#This Row],[orden]]="","",_xlfn.XLOOKUP(tblOrdenes[[#This Row],[id_operacion]],tblEjecucion[id_operacion],tblEjecucion[precio],0))</f>
        <v/>
      </c>
      <c r="AG271" s="10">
        <f>IF(tblOrdenes[[#This Row],[orden]]="","",MAX(0,_xlfn.XLOOKUP(tblOrdenes[[#This Row],[id_operacion]],tblEjecucion[id_operacion],tblEjecucion[costo_plan_total],0)-tblOrdenes[[#This Row],[costo_servicio]]))</f>
        <v/>
      </c>
      <c r="AH271" s="10">
        <f>IF(tblOrdenes[[#This Row],[orden]]="","",tblOrdenes[[#This Row],[costo_servicio]]+tblOrdenes[[#This Row],[costo_materiales]])</f>
        <v/>
      </c>
      <c r="AI271" s="6" t="n"/>
      <c r="AJ271" s="6" t="n"/>
      <c r="AK271" s="6" t="n"/>
      <c r="AL271" s="3">
        <f>IF(tblOrdenes[[#This Row],[link_checklist]]="","",HYPERLINK(p_ruta_base_checklists&amp;tblOrdenes[[#This Row],[link_checklist]],"abrir"))</f>
        <v/>
      </c>
      <c r="AM271" s="6" t="n"/>
      <c r="AN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Row],[tipo_ot]]="","",_xlfn.XLOOKUP(tblOrdenes[[#This Row],[tipo_ot]],tblTiposOT[codigo],tblTiposOT[clasificacion],"sin_clasificar"))</f>
        <v/>
      </c>
      <c r="T272" s="3">
        <f>IF(tblOrdenes[[#This Row],[centro_costo]]="","",_xlfn.XLOOKUP(tblOrdenes[[#This Row],[centro_costo]],tblCECO[codigo],tblCECO[linea],"(sin catálogo)"))</f>
        <v/>
      </c>
      <c r="U272" s="3">
        <f>IF(tblOrdenes[[#This Row],[centro_costo]]="","",_xlfn.XLOOKUP(tblOrdenes[[#This Row],[centro_costo]],tblCECO[codigo],tblCECO[area],"(sin catálogo)"))</f>
        <v/>
      </c>
      <c r="V272" s="3">
        <f>IF(tblOrdenes[[#This Row],[centro_costo]]="","",_xlfn.XLOOKUP(tblOrdenes[[#This Row],[centro_costo]],tblCECO[codigo],tblCECO[coordinador],"(sin catálogo)"))</f>
        <v/>
      </c>
      <c r="W272" s="3">
        <f>IF(tblOrdenes[[#This Row],[puesto_trabajo]]="","",_xlfn.XLOOKUP(tblOrdenes[[#This Row],[puesto_trabajo]],tblPuestos[codigo],tblPuestos[especialidad],"(sin catálogo)"))</f>
        <v/>
      </c>
      <c r="X272" s="3">
        <f>IF(tblOrdenes[[#This Row],[cod_actividad]]="","",_xlfn.XLOOKUP(tblOrdenes[[#This Row],[cod_actividad]],tblActividades[codigo],tblActividades[descripcion],"(sin catálogo)"))</f>
        <v/>
      </c>
      <c r="Y272" s="12">
        <f>IF(tblOrdenes[[#This Row],[fecha_inicio]]="","",TODAY()-tblOrdenes[[#This Row],[fecha_inicio]])</f>
        <v/>
      </c>
      <c r="Z272" s="3">
        <f>IF(tblOrdenes[[#This Row],[backlog_dias]]="","",IF(tblOrdenes[[#This Row],[backlog_dias]]&lt;0,"FUTURO",IF(tblOrdenes[[#This Row],[backlog_dias]]&gt;p_dias_backlog_max,"BACKLOG","MES CORRIENTE")))</f>
        <v/>
      </c>
      <c r="AA272" s="3">
        <f>IF(tblOrdenes[[#This Row],[backlog_dias]]="",FALSE,AND(tblOrdenes[[#This Row],[backlog_dias]]&gt;p_dias_backlog_min,tblOrdenes[[#This Row],[backlog_dias]]&lt;=p_dias_backlog_max))</f>
        <v/>
      </c>
      <c r="AB272" s="6" t="n"/>
      <c r="AC2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2" s="10">
        <f>IF(tblOrdenes[[#This Row],[orden]]="","",_xlfn.XLOOKUP(tblOrdenes[[#This Row],[id_operacion]],tblEjecucion[id_operacion],tblEjecucion[precio],0))</f>
        <v/>
      </c>
      <c r="AG272" s="10">
        <f>IF(tblOrdenes[[#This Row],[orden]]="","",MAX(0,_xlfn.XLOOKUP(tblOrdenes[[#This Row],[id_operacion]],tblEjecucion[id_operacion],tblEjecucion[costo_plan_total],0)-tblOrdenes[[#This Row],[costo_servicio]]))</f>
        <v/>
      </c>
      <c r="AH272" s="10">
        <f>IF(tblOrdenes[[#This Row],[orden]]="","",tblOrdenes[[#This Row],[costo_servicio]]+tblOrdenes[[#This Row],[costo_materiales]])</f>
        <v/>
      </c>
      <c r="AI272" s="6" t="n"/>
      <c r="AJ272" s="6" t="n"/>
      <c r="AK272" s="6" t="n"/>
      <c r="AL272" s="3">
        <f>IF(tblOrdenes[[#This Row],[link_checklist]]="","",HYPERLINK(p_ruta_base_checklists&amp;tblOrdenes[[#This Row],[link_checklist]],"abrir"))</f>
        <v/>
      </c>
      <c r="AM272" s="6" t="n"/>
      <c r="AN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Row],[tipo_ot]]="","",_xlfn.XLOOKUP(tblOrdenes[[#This Row],[tipo_ot]],tblTiposOT[codigo],tblTiposOT[clasificacion],"sin_clasificar"))</f>
        <v/>
      </c>
      <c r="T273" s="3">
        <f>IF(tblOrdenes[[#This Row],[centro_costo]]="","",_xlfn.XLOOKUP(tblOrdenes[[#This Row],[centro_costo]],tblCECO[codigo],tblCECO[linea],"(sin catálogo)"))</f>
        <v/>
      </c>
      <c r="U273" s="3">
        <f>IF(tblOrdenes[[#This Row],[centro_costo]]="","",_xlfn.XLOOKUP(tblOrdenes[[#This Row],[centro_costo]],tblCECO[codigo],tblCECO[area],"(sin catálogo)"))</f>
        <v/>
      </c>
      <c r="V273" s="3">
        <f>IF(tblOrdenes[[#This Row],[centro_costo]]="","",_xlfn.XLOOKUP(tblOrdenes[[#This Row],[centro_costo]],tblCECO[codigo],tblCECO[coordinador],"(sin catálogo)"))</f>
        <v/>
      </c>
      <c r="W273" s="3">
        <f>IF(tblOrdenes[[#This Row],[puesto_trabajo]]="","",_xlfn.XLOOKUP(tblOrdenes[[#This Row],[puesto_trabajo]],tblPuestos[codigo],tblPuestos[especialidad],"(sin catálogo)"))</f>
        <v/>
      </c>
      <c r="X273" s="3">
        <f>IF(tblOrdenes[[#This Row],[cod_actividad]]="","",_xlfn.XLOOKUP(tblOrdenes[[#This Row],[cod_actividad]],tblActividades[codigo],tblActividades[descripcion],"(sin catálogo)"))</f>
        <v/>
      </c>
      <c r="Y273" s="12">
        <f>IF(tblOrdenes[[#This Row],[fecha_inicio]]="","",TODAY()-tblOrdenes[[#This Row],[fecha_inicio]])</f>
        <v/>
      </c>
      <c r="Z273" s="3">
        <f>IF(tblOrdenes[[#This Row],[backlog_dias]]="","",IF(tblOrdenes[[#This Row],[backlog_dias]]&lt;0,"FUTURO",IF(tblOrdenes[[#This Row],[backlog_dias]]&gt;p_dias_backlog_max,"BACKLOG","MES CORRIENTE")))</f>
        <v/>
      </c>
      <c r="AA273" s="3">
        <f>IF(tblOrdenes[[#This Row],[backlog_dias]]="",FALSE,AND(tblOrdenes[[#This Row],[backlog_dias]]&gt;p_dias_backlog_min,tblOrdenes[[#This Row],[backlog_dias]]&lt;=p_dias_backlog_max))</f>
        <v/>
      </c>
      <c r="AB273" s="6" t="n"/>
      <c r="AC2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3" s="10">
        <f>IF(tblOrdenes[[#This Row],[orden]]="","",_xlfn.XLOOKUP(tblOrdenes[[#This Row],[id_operacion]],tblEjecucion[id_operacion],tblEjecucion[precio],0))</f>
        <v/>
      </c>
      <c r="AG273" s="10">
        <f>IF(tblOrdenes[[#This Row],[orden]]="","",MAX(0,_xlfn.XLOOKUP(tblOrdenes[[#This Row],[id_operacion]],tblEjecucion[id_operacion],tblEjecucion[costo_plan_total],0)-tblOrdenes[[#This Row],[costo_servicio]]))</f>
        <v/>
      </c>
      <c r="AH273" s="10">
        <f>IF(tblOrdenes[[#This Row],[orden]]="","",tblOrdenes[[#This Row],[costo_servicio]]+tblOrdenes[[#This Row],[costo_materiales]])</f>
        <v/>
      </c>
      <c r="AI273" s="6" t="n"/>
      <c r="AJ273" s="6" t="n"/>
      <c r="AK273" s="6" t="n"/>
      <c r="AL273" s="3">
        <f>IF(tblOrdenes[[#This Row],[link_checklist]]="","",HYPERLINK(p_ruta_base_checklists&amp;tblOrdenes[[#This Row],[link_checklist]],"abrir"))</f>
        <v/>
      </c>
      <c r="AM273" s="6" t="n"/>
      <c r="AN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Row],[tipo_ot]]="","",_xlfn.XLOOKUP(tblOrdenes[[#This Row],[tipo_ot]],tblTiposOT[codigo],tblTiposOT[clasificacion],"sin_clasificar"))</f>
        <v/>
      </c>
      <c r="T274" s="3">
        <f>IF(tblOrdenes[[#This Row],[centro_costo]]="","",_xlfn.XLOOKUP(tblOrdenes[[#This Row],[centro_costo]],tblCECO[codigo],tblCECO[linea],"(sin catálogo)"))</f>
        <v/>
      </c>
      <c r="U274" s="3">
        <f>IF(tblOrdenes[[#This Row],[centro_costo]]="","",_xlfn.XLOOKUP(tblOrdenes[[#This Row],[centro_costo]],tblCECO[codigo],tblCECO[area],"(sin catálogo)"))</f>
        <v/>
      </c>
      <c r="V274" s="3">
        <f>IF(tblOrdenes[[#This Row],[centro_costo]]="","",_xlfn.XLOOKUP(tblOrdenes[[#This Row],[centro_costo]],tblCECO[codigo],tblCECO[coordinador],"(sin catálogo)"))</f>
        <v/>
      </c>
      <c r="W274" s="3">
        <f>IF(tblOrdenes[[#This Row],[puesto_trabajo]]="","",_xlfn.XLOOKUP(tblOrdenes[[#This Row],[puesto_trabajo]],tblPuestos[codigo],tblPuestos[especialidad],"(sin catálogo)"))</f>
        <v/>
      </c>
      <c r="X274" s="3">
        <f>IF(tblOrdenes[[#This Row],[cod_actividad]]="","",_xlfn.XLOOKUP(tblOrdenes[[#This Row],[cod_actividad]],tblActividades[codigo],tblActividades[descripcion],"(sin catálogo)"))</f>
        <v/>
      </c>
      <c r="Y274" s="12">
        <f>IF(tblOrdenes[[#This Row],[fecha_inicio]]="","",TODAY()-tblOrdenes[[#This Row],[fecha_inicio]])</f>
        <v/>
      </c>
      <c r="Z274" s="3">
        <f>IF(tblOrdenes[[#This Row],[backlog_dias]]="","",IF(tblOrdenes[[#This Row],[backlog_dias]]&lt;0,"FUTURO",IF(tblOrdenes[[#This Row],[backlog_dias]]&gt;p_dias_backlog_max,"BACKLOG","MES CORRIENTE")))</f>
        <v/>
      </c>
      <c r="AA274" s="3">
        <f>IF(tblOrdenes[[#This Row],[backlog_dias]]="",FALSE,AND(tblOrdenes[[#This Row],[backlog_dias]]&gt;p_dias_backlog_min,tblOrdenes[[#This Row],[backlog_dias]]&lt;=p_dias_backlog_max))</f>
        <v/>
      </c>
      <c r="AB274" s="6" t="n"/>
      <c r="AC2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4" s="10">
        <f>IF(tblOrdenes[[#This Row],[orden]]="","",_xlfn.XLOOKUP(tblOrdenes[[#This Row],[id_operacion]],tblEjecucion[id_operacion],tblEjecucion[precio],0))</f>
        <v/>
      </c>
      <c r="AG274" s="10">
        <f>IF(tblOrdenes[[#This Row],[orden]]="","",MAX(0,_xlfn.XLOOKUP(tblOrdenes[[#This Row],[id_operacion]],tblEjecucion[id_operacion],tblEjecucion[costo_plan_total],0)-tblOrdenes[[#This Row],[costo_servicio]]))</f>
        <v/>
      </c>
      <c r="AH274" s="10">
        <f>IF(tblOrdenes[[#This Row],[orden]]="","",tblOrdenes[[#This Row],[costo_servicio]]+tblOrdenes[[#This Row],[costo_materiales]])</f>
        <v/>
      </c>
      <c r="AI274" s="6" t="n"/>
      <c r="AJ274" s="6" t="n"/>
      <c r="AK274" s="6" t="n"/>
      <c r="AL274" s="3">
        <f>IF(tblOrdenes[[#This Row],[link_checklist]]="","",HYPERLINK(p_ruta_base_checklists&amp;tblOrdenes[[#This Row],[link_checklist]],"abrir"))</f>
        <v/>
      </c>
      <c r="AM274" s="6" t="n"/>
      <c r="AN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Row],[tipo_ot]]="","",_xlfn.XLOOKUP(tblOrdenes[[#This Row],[tipo_ot]],tblTiposOT[codigo],tblTiposOT[clasificacion],"sin_clasificar"))</f>
        <v/>
      </c>
      <c r="T275" s="3">
        <f>IF(tblOrdenes[[#This Row],[centro_costo]]="","",_xlfn.XLOOKUP(tblOrdenes[[#This Row],[centro_costo]],tblCECO[codigo],tblCECO[linea],"(sin catálogo)"))</f>
        <v/>
      </c>
      <c r="U275" s="3">
        <f>IF(tblOrdenes[[#This Row],[centro_costo]]="","",_xlfn.XLOOKUP(tblOrdenes[[#This Row],[centro_costo]],tblCECO[codigo],tblCECO[area],"(sin catálogo)"))</f>
        <v/>
      </c>
      <c r="V275" s="3">
        <f>IF(tblOrdenes[[#This Row],[centro_costo]]="","",_xlfn.XLOOKUP(tblOrdenes[[#This Row],[centro_costo]],tblCECO[codigo],tblCECO[coordinador],"(sin catálogo)"))</f>
        <v/>
      </c>
      <c r="W275" s="3">
        <f>IF(tblOrdenes[[#This Row],[puesto_trabajo]]="","",_xlfn.XLOOKUP(tblOrdenes[[#This Row],[puesto_trabajo]],tblPuestos[codigo],tblPuestos[especialidad],"(sin catálogo)"))</f>
        <v/>
      </c>
      <c r="X275" s="3">
        <f>IF(tblOrdenes[[#This Row],[cod_actividad]]="","",_xlfn.XLOOKUP(tblOrdenes[[#This Row],[cod_actividad]],tblActividades[codigo],tblActividades[descripcion],"(sin catálogo)"))</f>
        <v/>
      </c>
      <c r="Y275" s="12">
        <f>IF(tblOrdenes[[#This Row],[fecha_inicio]]="","",TODAY()-tblOrdenes[[#This Row],[fecha_inicio]])</f>
        <v/>
      </c>
      <c r="Z275" s="3">
        <f>IF(tblOrdenes[[#This Row],[backlog_dias]]="","",IF(tblOrdenes[[#This Row],[backlog_dias]]&lt;0,"FUTURO",IF(tblOrdenes[[#This Row],[backlog_dias]]&gt;p_dias_backlog_max,"BACKLOG","MES CORRIENTE")))</f>
        <v/>
      </c>
      <c r="AA275" s="3">
        <f>IF(tblOrdenes[[#This Row],[backlog_dias]]="",FALSE,AND(tblOrdenes[[#This Row],[backlog_dias]]&gt;p_dias_backlog_min,tblOrdenes[[#This Row],[backlog_dias]]&lt;=p_dias_backlog_max))</f>
        <v/>
      </c>
      <c r="AB275" s="6" t="n"/>
      <c r="AC2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5" s="10">
        <f>IF(tblOrdenes[[#This Row],[orden]]="","",_xlfn.XLOOKUP(tblOrdenes[[#This Row],[id_operacion]],tblEjecucion[id_operacion],tblEjecucion[precio],0))</f>
        <v/>
      </c>
      <c r="AG275" s="10">
        <f>IF(tblOrdenes[[#This Row],[orden]]="","",MAX(0,_xlfn.XLOOKUP(tblOrdenes[[#This Row],[id_operacion]],tblEjecucion[id_operacion],tblEjecucion[costo_plan_total],0)-tblOrdenes[[#This Row],[costo_servicio]]))</f>
        <v/>
      </c>
      <c r="AH275" s="10">
        <f>IF(tblOrdenes[[#This Row],[orden]]="","",tblOrdenes[[#This Row],[costo_servicio]]+tblOrdenes[[#This Row],[costo_materiales]])</f>
        <v/>
      </c>
      <c r="AI275" s="6" t="n"/>
      <c r="AJ275" s="6" t="n"/>
      <c r="AK275" s="6" t="n"/>
      <c r="AL275" s="3">
        <f>IF(tblOrdenes[[#This Row],[link_checklist]]="","",HYPERLINK(p_ruta_base_checklists&amp;tblOrdenes[[#This Row],[link_checklist]],"abrir"))</f>
        <v/>
      </c>
      <c r="AM275" s="6" t="n"/>
      <c r="AN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Row],[tipo_ot]]="","",_xlfn.XLOOKUP(tblOrdenes[[#This Row],[tipo_ot]],tblTiposOT[codigo],tblTiposOT[clasificacion],"sin_clasificar"))</f>
        <v/>
      </c>
      <c r="T276" s="3">
        <f>IF(tblOrdenes[[#This Row],[centro_costo]]="","",_xlfn.XLOOKUP(tblOrdenes[[#This Row],[centro_costo]],tblCECO[codigo],tblCECO[linea],"(sin catálogo)"))</f>
        <v/>
      </c>
      <c r="U276" s="3">
        <f>IF(tblOrdenes[[#This Row],[centro_costo]]="","",_xlfn.XLOOKUP(tblOrdenes[[#This Row],[centro_costo]],tblCECO[codigo],tblCECO[area],"(sin catálogo)"))</f>
        <v/>
      </c>
      <c r="V276" s="3">
        <f>IF(tblOrdenes[[#This Row],[centro_costo]]="","",_xlfn.XLOOKUP(tblOrdenes[[#This Row],[centro_costo]],tblCECO[codigo],tblCECO[coordinador],"(sin catálogo)"))</f>
        <v/>
      </c>
      <c r="W276" s="3">
        <f>IF(tblOrdenes[[#This Row],[puesto_trabajo]]="","",_xlfn.XLOOKUP(tblOrdenes[[#This Row],[puesto_trabajo]],tblPuestos[codigo],tblPuestos[especialidad],"(sin catálogo)"))</f>
        <v/>
      </c>
      <c r="X276" s="3">
        <f>IF(tblOrdenes[[#This Row],[cod_actividad]]="","",_xlfn.XLOOKUP(tblOrdenes[[#This Row],[cod_actividad]],tblActividades[codigo],tblActividades[descripcion],"(sin catálogo)"))</f>
        <v/>
      </c>
      <c r="Y276" s="12">
        <f>IF(tblOrdenes[[#This Row],[fecha_inicio]]="","",TODAY()-tblOrdenes[[#This Row],[fecha_inicio]])</f>
        <v/>
      </c>
      <c r="Z276" s="3">
        <f>IF(tblOrdenes[[#This Row],[backlog_dias]]="","",IF(tblOrdenes[[#This Row],[backlog_dias]]&lt;0,"FUTURO",IF(tblOrdenes[[#This Row],[backlog_dias]]&gt;p_dias_backlog_max,"BACKLOG","MES CORRIENTE")))</f>
        <v/>
      </c>
      <c r="AA276" s="3">
        <f>IF(tblOrdenes[[#This Row],[backlog_dias]]="",FALSE,AND(tblOrdenes[[#This Row],[backlog_dias]]&gt;p_dias_backlog_min,tblOrdenes[[#This Row],[backlog_dias]]&lt;=p_dias_backlog_max))</f>
        <v/>
      </c>
      <c r="AB276" s="6" t="n"/>
      <c r="AC2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6" s="10">
        <f>IF(tblOrdenes[[#This Row],[orden]]="","",_xlfn.XLOOKUP(tblOrdenes[[#This Row],[id_operacion]],tblEjecucion[id_operacion],tblEjecucion[precio],0))</f>
        <v/>
      </c>
      <c r="AG276" s="10">
        <f>IF(tblOrdenes[[#This Row],[orden]]="","",MAX(0,_xlfn.XLOOKUP(tblOrdenes[[#This Row],[id_operacion]],tblEjecucion[id_operacion],tblEjecucion[costo_plan_total],0)-tblOrdenes[[#This Row],[costo_servicio]]))</f>
        <v/>
      </c>
      <c r="AH276" s="10">
        <f>IF(tblOrdenes[[#This Row],[orden]]="","",tblOrdenes[[#This Row],[costo_servicio]]+tblOrdenes[[#This Row],[costo_materiales]])</f>
        <v/>
      </c>
      <c r="AI276" s="6" t="n"/>
      <c r="AJ276" s="6" t="n"/>
      <c r="AK276" s="6" t="n"/>
      <c r="AL276" s="3">
        <f>IF(tblOrdenes[[#This Row],[link_checklist]]="","",HYPERLINK(p_ruta_base_checklists&amp;tblOrdenes[[#This Row],[link_checklist]],"abrir"))</f>
        <v/>
      </c>
      <c r="AM276" s="6" t="n"/>
      <c r="AN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Row],[tipo_ot]]="","",_xlfn.XLOOKUP(tblOrdenes[[#This Row],[tipo_ot]],tblTiposOT[codigo],tblTiposOT[clasificacion],"sin_clasificar"))</f>
        <v/>
      </c>
      <c r="T277" s="3">
        <f>IF(tblOrdenes[[#This Row],[centro_costo]]="","",_xlfn.XLOOKUP(tblOrdenes[[#This Row],[centro_costo]],tblCECO[codigo],tblCECO[linea],"(sin catálogo)"))</f>
        <v/>
      </c>
      <c r="U277" s="3">
        <f>IF(tblOrdenes[[#This Row],[centro_costo]]="","",_xlfn.XLOOKUP(tblOrdenes[[#This Row],[centro_costo]],tblCECO[codigo],tblCECO[area],"(sin catálogo)"))</f>
        <v/>
      </c>
      <c r="V277" s="3">
        <f>IF(tblOrdenes[[#This Row],[centro_costo]]="","",_xlfn.XLOOKUP(tblOrdenes[[#This Row],[centro_costo]],tblCECO[codigo],tblCECO[coordinador],"(sin catálogo)"))</f>
        <v/>
      </c>
      <c r="W277" s="3">
        <f>IF(tblOrdenes[[#This Row],[puesto_trabajo]]="","",_xlfn.XLOOKUP(tblOrdenes[[#This Row],[puesto_trabajo]],tblPuestos[codigo],tblPuestos[especialidad],"(sin catálogo)"))</f>
        <v/>
      </c>
      <c r="X277" s="3">
        <f>IF(tblOrdenes[[#This Row],[cod_actividad]]="","",_xlfn.XLOOKUP(tblOrdenes[[#This Row],[cod_actividad]],tblActividades[codigo],tblActividades[descripcion],"(sin catálogo)"))</f>
        <v/>
      </c>
      <c r="Y277" s="12">
        <f>IF(tblOrdenes[[#This Row],[fecha_inicio]]="","",TODAY()-tblOrdenes[[#This Row],[fecha_inicio]])</f>
        <v/>
      </c>
      <c r="Z277" s="3">
        <f>IF(tblOrdenes[[#This Row],[backlog_dias]]="","",IF(tblOrdenes[[#This Row],[backlog_dias]]&lt;0,"FUTURO",IF(tblOrdenes[[#This Row],[backlog_dias]]&gt;p_dias_backlog_max,"BACKLOG","MES CORRIENTE")))</f>
        <v/>
      </c>
      <c r="AA277" s="3">
        <f>IF(tblOrdenes[[#This Row],[backlog_dias]]="",FALSE,AND(tblOrdenes[[#This Row],[backlog_dias]]&gt;p_dias_backlog_min,tblOrdenes[[#This Row],[backlog_dias]]&lt;=p_dias_backlog_max))</f>
        <v/>
      </c>
      <c r="AB277" s="6" t="n"/>
      <c r="AC2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7" s="10">
        <f>IF(tblOrdenes[[#This Row],[orden]]="","",_xlfn.XLOOKUP(tblOrdenes[[#This Row],[id_operacion]],tblEjecucion[id_operacion],tblEjecucion[precio],0))</f>
        <v/>
      </c>
      <c r="AG277" s="10">
        <f>IF(tblOrdenes[[#This Row],[orden]]="","",MAX(0,_xlfn.XLOOKUP(tblOrdenes[[#This Row],[id_operacion]],tblEjecucion[id_operacion],tblEjecucion[costo_plan_total],0)-tblOrdenes[[#This Row],[costo_servicio]]))</f>
        <v/>
      </c>
      <c r="AH277" s="10">
        <f>IF(tblOrdenes[[#This Row],[orden]]="","",tblOrdenes[[#This Row],[costo_servicio]]+tblOrdenes[[#This Row],[costo_materiales]])</f>
        <v/>
      </c>
      <c r="AI277" s="6" t="n"/>
      <c r="AJ277" s="6" t="n"/>
      <c r="AK277" s="6" t="n"/>
      <c r="AL277" s="3">
        <f>IF(tblOrdenes[[#This Row],[link_checklist]]="","",HYPERLINK(p_ruta_base_checklists&amp;tblOrdenes[[#This Row],[link_checklist]],"abrir"))</f>
        <v/>
      </c>
      <c r="AM277" s="6" t="n"/>
      <c r="AN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Row],[tipo_ot]]="","",_xlfn.XLOOKUP(tblOrdenes[[#This Row],[tipo_ot]],tblTiposOT[codigo],tblTiposOT[clasificacion],"sin_clasificar"))</f>
        <v/>
      </c>
      <c r="T278" s="3">
        <f>IF(tblOrdenes[[#This Row],[centro_costo]]="","",_xlfn.XLOOKUP(tblOrdenes[[#This Row],[centro_costo]],tblCECO[codigo],tblCECO[linea],"(sin catálogo)"))</f>
        <v/>
      </c>
      <c r="U278" s="3">
        <f>IF(tblOrdenes[[#This Row],[centro_costo]]="","",_xlfn.XLOOKUP(tblOrdenes[[#This Row],[centro_costo]],tblCECO[codigo],tblCECO[area],"(sin catálogo)"))</f>
        <v/>
      </c>
      <c r="V278" s="3">
        <f>IF(tblOrdenes[[#This Row],[centro_costo]]="","",_xlfn.XLOOKUP(tblOrdenes[[#This Row],[centro_costo]],tblCECO[codigo],tblCECO[coordinador],"(sin catálogo)"))</f>
        <v/>
      </c>
      <c r="W278" s="3">
        <f>IF(tblOrdenes[[#This Row],[puesto_trabajo]]="","",_xlfn.XLOOKUP(tblOrdenes[[#This Row],[puesto_trabajo]],tblPuestos[codigo],tblPuestos[especialidad],"(sin catálogo)"))</f>
        <v/>
      </c>
      <c r="X278" s="3">
        <f>IF(tblOrdenes[[#This Row],[cod_actividad]]="","",_xlfn.XLOOKUP(tblOrdenes[[#This Row],[cod_actividad]],tblActividades[codigo],tblActividades[descripcion],"(sin catálogo)"))</f>
        <v/>
      </c>
      <c r="Y278" s="12">
        <f>IF(tblOrdenes[[#This Row],[fecha_inicio]]="","",TODAY()-tblOrdenes[[#This Row],[fecha_inicio]])</f>
        <v/>
      </c>
      <c r="Z278" s="3">
        <f>IF(tblOrdenes[[#This Row],[backlog_dias]]="","",IF(tblOrdenes[[#This Row],[backlog_dias]]&lt;0,"FUTURO",IF(tblOrdenes[[#This Row],[backlog_dias]]&gt;p_dias_backlog_max,"BACKLOG","MES CORRIENTE")))</f>
        <v/>
      </c>
      <c r="AA278" s="3">
        <f>IF(tblOrdenes[[#This Row],[backlog_dias]]="",FALSE,AND(tblOrdenes[[#This Row],[backlog_dias]]&gt;p_dias_backlog_min,tblOrdenes[[#This Row],[backlog_dias]]&lt;=p_dias_backlog_max))</f>
        <v/>
      </c>
      <c r="AB278" s="6" t="n"/>
      <c r="AC2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8" s="10">
        <f>IF(tblOrdenes[[#This Row],[orden]]="","",_xlfn.XLOOKUP(tblOrdenes[[#This Row],[id_operacion]],tblEjecucion[id_operacion],tblEjecucion[precio],0))</f>
        <v/>
      </c>
      <c r="AG278" s="10">
        <f>IF(tblOrdenes[[#This Row],[orden]]="","",MAX(0,_xlfn.XLOOKUP(tblOrdenes[[#This Row],[id_operacion]],tblEjecucion[id_operacion],tblEjecucion[costo_plan_total],0)-tblOrdenes[[#This Row],[costo_servicio]]))</f>
        <v/>
      </c>
      <c r="AH278" s="10">
        <f>IF(tblOrdenes[[#This Row],[orden]]="","",tblOrdenes[[#This Row],[costo_servicio]]+tblOrdenes[[#This Row],[costo_materiales]])</f>
        <v/>
      </c>
      <c r="AI278" s="6" t="n"/>
      <c r="AJ278" s="6" t="n"/>
      <c r="AK278" s="6" t="n"/>
      <c r="AL278" s="3">
        <f>IF(tblOrdenes[[#This Row],[link_checklist]]="","",HYPERLINK(p_ruta_base_checklists&amp;tblOrdenes[[#This Row],[link_checklist]],"abrir"))</f>
        <v/>
      </c>
      <c r="AM278" s="6" t="n"/>
      <c r="AN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Row],[tipo_ot]]="","",_xlfn.XLOOKUP(tblOrdenes[[#This Row],[tipo_ot]],tblTiposOT[codigo],tblTiposOT[clasificacion],"sin_clasificar"))</f>
        <v/>
      </c>
      <c r="T279" s="3">
        <f>IF(tblOrdenes[[#This Row],[centro_costo]]="","",_xlfn.XLOOKUP(tblOrdenes[[#This Row],[centro_costo]],tblCECO[codigo],tblCECO[linea],"(sin catálogo)"))</f>
        <v/>
      </c>
      <c r="U279" s="3">
        <f>IF(tblOrdenes[[#This Row],[centro_costo]]="","",_xlfn.XLOOKUP(tblOrdenes[[#This Row],[centro_costo]],tblCECO[codigo],tblCECO[area],"(sin catálogo)"))</f>
        <v/>
      </c>
      <c r="V279" s="3">
        <f>IF(tblOrdenes[[#This Row],[centro_costo]]="","",_xlfn.XLOOKUP(tblOrdenes[[#This Row],[centro_costo]],tblCECO[codigo],tblCECO[coordinador],"(sin catálogo)"))</f>
        <v/>
      </c>
      <c r="W279" s="3">
        <f>IF(tblOrdenes[[#This Row],[puesto_trabajo]]="","",_xlfn.XLOOKUP(tblOrdenes[[#This Row],[puesto_trabajo]],tblPuestos[codigo],tblPuestos[especialidad],"(sin catálogo)"))</f>
        <v/>
      </c>
      <c r="X279" s="3">
        <f>IF(tblOrdenes[[#This Row],[cod_actividad]]="","",_xlfn.XLOOKUP(tblOrdenes[[#This Row],[cod_actividad]],tblActividades[codigo],tblActividades[descripcion],"(sin catálogo)"))</f>
        <v/>
      </c>
      <c r="Y279" s="12">
        <f>IF(tblOrdenes[[#This Row],[fecha_inicio]]="","",TODAY()-tblOrdenes[[#This Row],[fecha_inicio]])</f>
        <v/>
      </c>
      <c r="Z279" s="3">
        <f>IF(tblOrdenes[[#This Row],[backlog_dias]]="","",IF(tblOrdenes[[#This Row],[backlog_dias]]&lt;0,"FUTURO",IF(tblOrdenes[[#This Row],[backlog_dias]]&gt;p_dias_backlog_max,"BACKLOG","MES CORRIENTE")))</f>
        <v/>
      </c>
      <c r="AA279" s="3">
        <f>IF(tblOrdenes[[#This Row],[backlog_dias]]="",FALSE,AND(tblOrdenes[[#This Row],[backlog_dias]]&gt;p_dias_backlog_min,tblOrdenes[[#This Row],[backlog_dias]]&lt;=p_dias_backlog_max))</f>
        <v/>
      </c>
      <c r="AB279" s="6" t="n"/>
      <c r="AC2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9" s="10">
        <f>IF(tblOrdenes[[#This Row],[orden]]="","",_xlfn.XLOOKUP(tblOrdenes[[#This Row],[id_operacion]],tblEjecucion[id_operacion],tblEjecucion[precio],0))</f>
        <v/>
      </c>
      <c r="AG279" s="10">
        <f>IF(tblOrdenes[[#This Row],[orden]]="","",MAX(0,_xlfn.XLOOKUP(tblOrdenes[[#This Row],[id_operacion]],tblEjecucion[id_operacion],tblEjecucion[costo_plan_total],0)-tblOrdenes[[#This Row],[costo_servicio]]))</f>
        <v/>
      </c>
      <c r="AH279" s="10">
        <f>IF(tblOrdenes[[#This Row],[orden]]="","",tblOrdenes[[#This Row],[costo_servicio]]+tblOrdenes[[#This Row],[costo_materiales]])</f>
        <v/>
      </c>
      <c r="AI279" s="6" t="n"/>
      <c r="AJ279" s="6" t="n"/>
      <c r="AK279" s="6" t="n"/>
      <c r="AL279" s="3">
        <f>IF(tblOrdenes[[#This Row],[link_checklist]]="","",HYPERLINK(p_ruta_base_checklists&amp;tblOrdenes[[#This Row],[link_checklist]],"abrir"))</f>
        <v/>
      </c>
      <c r="AM279" s="6" t="n"/>
      <c r="AN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Row],[tipo_ot]]="","",_xlfn.XLOOKUP(tblOrdenes[[#This Row],[tipo_ot]],tblTiposOT[codigo],tblTiposOT[clasificacion],"sin_clasificar"))</f>
        <v/>
      </c>
      <c r="T280" s="3">
        <f>IF(tblOrdenes[[#This Row],[centro_costo]]="","",_xlfn.XLOOKUP(tblOrdenes[[#This Row],[centro_costo]],tblCECO[codigo],tblCECO[linea],"(sin catálogo)"))</f>
        <v/>
      </c>
      <c r="U280" s="3">
        <f>IF(tblOrdenes[[#This Row],[centro_costo]]="","",_xlfn.XLOOKUP(tblOrdenes[[#This Row],[centro_costo]],tblCECO[codigo],tblCECO[area],"(sin catálogo)"))</f>
        <v/>
      </c>
      <c r="V280" s="3">
        <f>IF(tblOrdenes[[#This Row],[centro_costo]]="","",_xlfn.XLOOKUP(tblOrdenes[[#This Row],[centro_costo]],tblCECO[codigo],tblCECO[coordinador],"(sin catálogo)"))</f>
        <v/>
      </c>
      <c r="W280" s="3">
        <f>IF(tblOrdenes[[#This Row],[puesto_trabajo]]="","",_xlfn.XLOOKUP(tblOrdenes[[#This Row],[puesto_trabajo]],tblPuestos[codigo],tblPuestos[especialidad],"(sin catálogo)"))</f>
        <v/>
      </c>
      <c r="X280" s="3">
        <f>IF(tblOrdenes[[#This Row],[cod_actividad]]="","",_xlfn.XLOOKUP(tblOrdenes[[#This Row],[cod_actividad]],tblActividades[codigo],tblActividades[descripcion],"(sin catálogo)"))</f>
        <v/>
      </c>
      <c r="Y280" s="12">
        <f>IF(tblOrdenes[[#This Row],[fecha_inicio]]="","",TODAY()-tblOrdenes[[#This Row],[fecha_inicio]])</f>
        <v/>
      </c>
      <c r="Z280" s="3">
        <f>IF(tblOrdenes[[#This Row],[backlog_dias]]="","",IF(tblOrdenes[[#This Row],[backlog_dias]]&lt;0,"FUTURO",IF(tblOrdenes[[#This Row],[backlog_dias]]&gt;p_dias_backlog_max,"BACKLOG","MES CORRIENTE")))</f>
        <v/>
      </c>
      <c r="AA280" s="3">
        <f>IF(tblOrdenes[[#This Row],[backlog_dias]]="",FALSE,AND(tblOrdenes[[#This Row],[backlog_dias]]&gt;p_dias_backlog_min,tblOrdenes[[#This Row],[backlog_dias]]&lt;=p_dias_backlog_max))</f>
        <v/>
      </c>
      <c r="AB280" s="6" t="n"/>
      <c r="AC2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0" s="10">
        <f>IF(tblOrdenes[[#This Row],[orden]]="","",_xlfn.XLOOKUP(tblOrdenes[[#This Row],[id_operacion]],tblEjecucion[id_operacion],tblEjecucion[precio],0))</f>
        <v/>
      </c>
      <c r="AG280" s="10">
        <f>IF(tblOrdenes[[#This Row],[orden]]="","",MAX(0,_xlfn.XLOOKUP(tblOrdenes[[#This Row],[id_operacion]],tblEjecucion[id_operacion],tblEjecucion[costo_plan_total],0)-tblOrdenes[[#This Row],[costo_servicio]]))</f>
        <v/>
      </c>
      <c r="AH280" s="10">
        <f>IF(tblOrdenes[[#This Row],[orden]]="","",tblOrdenes[[#This Row],[costo_servicio]]+tblOrdenes[[#This Row],[costo_materiales]])</f>
        <v/>
      </c>
      <c r="AI280" s="6" t="n"/>
      <c r="AJ280" s="6" t="n"/>
      <c r="AK280" s="6" t="n"/>
      <c r="AL280" s="3">
        <f>IF(tblOrdenes[[#This Row],[link_checklist]]="","",HYPERLINK(p_ruta_base_checklists&amp;tblOrdenes[[#This Row],[link_checklist]],"abrir"))</f>
        <v/>
      </c>
      <c r="AM280" s="6" t="n"/>
      <c r="AN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Row],[tipo_ot]]="","",_xlfn.XLOOKUP(tblOrdenes[[#This Row],[tipo_ot]],tblTiposOT[codigo],tblTiposOT[clasificacion],"sin_clasificar"))</f>
        <v/>
      </c>
      <c r="T281" s="3">
        <f>IF(tblOrdenes[[#This Row],[centro_costo]]="","",_xlfn.XLOOKUP(tblOrdenes[[#This Row],[centro_costo]],tblCECO[codigo],tblCECO[linea],"(sin catálogo)"))</f>
        <v/>
      </c>
      <c r="U281" s="3">
        <f>IF(tblOrdenes[[#This Row],[centro_costo]]="","",_xlfn.XLOOKUP(tblOrdenes[[#This Row],[centro_costo]],tblCECO[codigo],tblCECO[area],"(sin catálogo)"))</f>
        <v/>
      </c>
      <c r="V281" s="3">
        <f>IF(tblOrdenes[[#This Row],[centro_costo]]="","",_xlfn.XLOOKUP(tblOrdenes[[#This Row],[centro_costo]],tblCECO[codigo],tblCECO[coordinador],"(sin catálogo)"))</f>
        <v/>
      </c>
      <c r="W281" s="3">
        <f>IF(tblOrdenes[[#This Row],[puesto_trabajo]]="","",_xlfn.XLOOKUP(tblOrdenes[[#This Row],[puesto_trabajo]],tblPuestos[codigo],tblPuestos[especialidad],"(sin catálogo)"))</f>
        <v/>
      </c>
      <c r="X281" s="3">
        <f>IF(tblOrdenes[[#This Row],[cod_actividad]]="","",_xlfn.XLOOKUP(tblOrdenes[[#This Row],[cod_actividad]],tblActividades[codigo],tblActividades[descripcion],"(sin catálogo)"))</f>
        <v/>
      </c>
      <c r="Y281" s="12">
        <f>IF(tblOrdenes[[#This Row],[fecha_inicio]]="","",TODAY()-tblOrdenes[[#This Row],[fecha_inicio]])</f>
        <v/>
      </c>
      <c r="Z281" s="3">
        <f>IF(tblOrdenes[[#This Row],[backlog_dias]]="","",IF(tblOrdenes[[#This Row],[backlog_dias]]&lt;0,"FUTURO",IF(tblOrdenes[[#This Row],[backlog_dias]]&gt;p_dias_backlog_max,"BACKLOG","MES CORRIENTE")))</f>
        <v/>
      </c>
      <c r="AA281" s="3">
        <f>IF(tblOrdenes[[#This Row],[backlog_dias]]="",FALSE,AND(tblOrdenes[[#This Row],[backlog_dias]]&gt;p_dias_backlog_min,tblOrdenes[[#This Row],[backlog_dias]]&lt;=p_dias_backlog_max))</f>
        <v/>
      </c>
      <c r="AB281" s="6" t="n"/>
      <c r="AC2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1" s="10">
        <f>IF(tblOrdenes[[#This Row],[orden]]="","",_xlfn.XLOOKUP(tblOrdenes[[#This Row],[id_operacion]],tblEjecucion[id_operacion],tblEjecucion[precio],0))</f>
        <v/>
      </c>
      <c r="AG281" s="10">
        <f>IF(tblOrdenes[[#This Row],[orden]]="","",MAX(0,_xlfn.XLOOKUP(tblOrdenes[[#This Row],[id_operacion]],tblEjecucion[id_operacion],tblEjecucion[costo_plan_total],0)-tblOrdenes[[#This Row],[costo_servicio]]))</f>
        <v/>
      </c>
      <c r="AH281" s="10">
        <f>IF(tblOrdenes[[#This Row],[orden]]="","",tblOrdenes[[#This Row],[costo_servicio]]+tblOrdenes[[#This Row],[costo_materiales]])</f>
        <v/>
      </c>
      <c r="AI281" s="6" t="n"/>
      <c r="AJ281" s="6" t="n"/>
      <c r="AK281" s="6" t="n"/>
      <c r="AL281" s="3">
        <f>IF(tblOrdenes[[#This Row],[link_checklist]]="","",HYPERLINK(p_ruta_base_checklists&amp;tblOrdenes[[#This Row],[link_checklist]],"abrir"))</f>
        <v/>
      </c>
      <c r="AM281" s="6" t="n"/>
      <c r="AN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Row],[tipo_ot]]="","",_xlfn.XLOOKUP(tblOrdenes[[#This Row],[tipo_ot]],tblTiposOT[codigo],tblTiposOT[clasificacion],"sin_clasificar"))</f>
        <v/>
      </c>
      <c r="T282" s="3">
        <f>IF(tblOrdenes[[#This Row],[centro_costo]]="","",_xlfn.XLOOKUP(tblOrdenes[[#This Row],[centro_costo]],tblCECO[codigo],tblCECO[linea],"(sin catálogo)"))</f>
        <v/>
      </c>
      <c r="U282" s="3">
        <f>IF(tblOrdenes[[#This Row],[centro_costo]]="","",_xlfn.XLOOKUP(tblOrdenes[[#This Row],[centro_costo]],tblCECO[codigo],tblCECO[area],"(sin catálogo)"))</f>
        <v/>
      </c>
      <c r="V282" s="3">
        <f>IF(tblOrdenes[[#This Row],[centro_costo]]="","",_xlfn.XLOOKUP(tblOrdenes[[#This Row],[centro_costo]],tblCECO[codigo],tblCECO[coordinador],"(sin catálogo)"))</f>
        <v/>
      </c>
      <c r="W282" s="3">
        <f>IF(tblOrdenes[[#This Row],[puesto_trabajo]]="","",_xlfn.XLOOKUP(tblOrdenes[[#This Row],[puesto_trabajo]],tblPuestos[codigo],tblPuestos[especialidad],"(sin catálogo)"))</f>
        <v/>
      </c>
      <c r="X282" s="3">
        <f>IF(tblOrdenes[[#This Row],[cod_actividad]]="","",_xlfn.XLOOKUP(tblOrdenes[[#This Row],[cod_actividad]],tblActividades[codigo],tblActividades[descripcion],"(sin catálogo)"))</f>
        <v/>
      </c>
      <c r="Y282" s="12">
        <f>IF(tblOrdenes[[#This Row],[fecha_inicio]]="","",TODAY()-tblOrdenes[[#This Row],[fecha_inicio]])</f>
        <v/>
      </c>
      <c r="Z282" s="3">
        <f>IF(tblOrdenes[[#This Row],[backlog_dias]]="","",IF(tblOrdenes[[#This Row],[backlog_dias]]&lt;0,"FUTURO",IF(tblOrdenes[[#This Row],[backlog_dias]]&gt;p_dias_backlog_max,"BACKLOG","MES CORRIENTE")))</f>
        <v/>
      </c>
      <c r="AA282" s="3">
        <f>IF(tblOrdenes[[#This Row],[backlog_dias]]="",FALSE,AND(tblOrdenes[[#This Row],[backlog_dias]]&gt;p_dias_backlog_min,tblOrdenes[[#This Row],[backlog_dias]]&lt;=p_dias_backlog_max))</f>
        <v/>
      </c>
      <c r="AB282" s="6" t="n"/>
      <c r="AC2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2" s="10">
        <f>IF(tblOrdenes[[#This Row],[orden]]="","",_xlfn.XLOOKUP(tblOrdenes[[#This Row],[id_operacion]],tblEjecucion[id_operacion],tblEjecucion[precio],0))</f>
        <v/>
      </c>
      <c r="AG282" s="10">
        <f>IF(tblOrdenes[[#This Row],[orden]]="","",MAX(0,_xlfn.XLOOKUP(tblOrdenes[[#This Row],[id_operacion]],tblEjecucion[id_operacion],tblEjecucion[costo_plan_total],0)-tblOrdenes[[#This Row],[costo_servicio]]))</f>
        <v/>
      </c>
      <c r="AH282" s="10">
        <f>IF(tblOrdenes[[#This Row],[orden]]="","",tblOrdenes[[#This Row],[costo_servicio]]+tblOrdenes[[#This Row],[costo_materiales]])</f>
        <v/>
      </c>
      <c r="AI282" s="6" t="n"/>
      <c r="AJ282" s="6" t="n"/>
      <c r="AK282" s="6" t="n"/>
      <c r="AL282" s="3">
        <f>IF(tblOrdenes[[#This Row],[link_checklist]]="","",HYPERLINK(p_ruta_base_checklists&amp;tblOrdenes[[#This Row],[link_checklist]],"abrir"))</f>
        <v/>
      </c>
      <c r="AM282" s="6" t="n"/>
      <c r="AN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Row],[tipo_ot]]="","",_xlfn.XLOOKUP(tblOrdenes[[#This Row],[tipo_ot]],tblTiposOT[codigo],tblTiposOT[clasificacion],"sin_clasificar"))</f>
        <v/>
      </c>
      <c r="T283" s="3">
        <f>IF(tblOrdenes[[#This Row],[centro_costo]]="","",_xlfn.XLOOKUP(tblOrdenes[[#This Row],[centro_costo]],tblCECO[codigo],tblCECO[linea],"(sin catálogo)"))</f>
        <v/>
      </c>
      <c r="U283" s="3">
        <f>IF(tblOrdenes[[#This Row],[centro_costo]]="","",_xlfn.XLOOKUP(tblOrdenes[[#This Row],[centro_costo]],tblCECO[codigo],tblCECO[area],"(sin catálogo)"))</f>
        <v/>
      </c>
      <c r="V283" s="3">
        <f>IF(tblOrdenes[[#This Row],[centro_costo]]="","",_xlfn.XLOOKUP(tblOrdenes[[#This Row],[centro_costo]],tblCECO[codigo],tblCECO[coordinador],"(sin catálogo)"))</f>
        <v/>
      </c>
      <c r="W283" s="3">
        <f>IF(tblOrdenes[[#This Row],[puesto_trabajo]]="","",_xlfn.XLOOKUP(tblOrdenes[[#This Row],[puesto_trabajo]],tblPuestos[codigo],tblPuestos[especialidad],"(sin catálogo)"))</f>
        <v/>
      </c>
      <c r="X283" s="3">
        <f>IF(tblOrdenes[[#This Row],[cod_actividad]]="","",_xlfn.XLOOKUP(tblOrdenes[[#This Row],[cod_actividad]],tblActividades[codigo],tblActividades[descripcion],"(sin catálogo)"))</f>
        <v/>
      </c>
      <c r="Y283" s="12">
        <f>IF(tblOrdenes[[#This Row],[fecha_inicio]]="","",TODAY()-tblOrdenes[[#This Row],[fecha_inicio]])</f>
        <v/>
      </c>
      <c r="Z283" s="3">
        <f>IF(tblOrdenes[[#This Row],[backlog_dias]]="","",IF(tblOrdenes[[#This Row],[backlog_dias]]&lt;0,"FUTURO",IF(tblOrdenes[[#This Row],[backlog_dias]]&gt;p_dias_backlog_max,"BACKLOG","MES CORRIENTE")))</f>
        <v/>
      </c>
      <c r="AA283" s="3">
        <f>IF(tblOrdenes[[#This Row],[backlog_dias]]="",FALSE,AND(tblOrdenes[[#This Row],[backlog_dias]]&gt;p_dias_backlog_min,tblOrdenes[[#This Row],[backlog_dias]]&lt;=p_dias_backlog_max))</f>
        <v/>
      </c>
      <c r="AB283" s="6" t="n"/>
      <c r="AC2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3" s="10">
        <f>IF(tblOrdenes[[#This Row],[orden]]="","",_xlfn.XLOOKUP(tblOrdenes[[#This Row],[id_operacion]],tblEjecucion[id_operacion],tblEjecucion[precio],0))</f>
        <v/>
      </c>
      <c r="AG283" s="10">
        <f>IF(tblOrdenes[[#This Row],[orden]]="","",MAX(0,_xlfn.XLOOKUP(tblOrdenes[[#This Row],[id_operacion]],tblEjecucion[id_operacion],tblEjecucion[costo_plan_total],0)-tblOrdenes[[#This Row],[costo_servicio]]))</f>
        <v/>
      </c>
      <c r="AH283" s="10">
        <f>IF(tblOrdenes[[#This Row],[orden]]="","",tblOrdenes[[#This Row],[costo_servicio]]+tblOrdenes[[#This Row],[costo_materiales]])</f>
        <v/>
      </c>
      <c r="AI283" s="6" t="n"/>
      <c r="AJ283" s="6" t="n"/>
      <c r="AK283" s="6" t="n"/>
      <c r="AL283" s="3">
        <f>IF(tblOrdenes[[#This Row],[link_checklist]]="","",HYPERLINK(p_ruta_base_checklists&amp;tblOrdenes[[#This Row],[link_checklist]],"abrir"))</f>
        <v/>
      </c>
      <c r="AM283" s="6" t="n"/>
      <c r="AN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Row],[tipo_ot]]="","",_xlfn.XLOOKUP(tblOrdenes[[#This Row],[tipo_ot]],tblTiposOT[codigo],tblTiposOT[clasificacion],"sin_clasificar"))</f>
        <v/>
      </c>
      <c r="T284" s="3">
        <f>IF(tblOrdenes[[#This Row],[centro_costo]]="","",_xlfn.XLOOKUP(tblOrdenes[[#This Row],[centro_costo]],tblCECO[codigo],tblCECO[linea],"(sin catálogo)"))</f>
        <v/>
      </c>
      <c r="U284" s="3">
        <f>IF(tblOrdenes[[#This Row],[centro_costo]]="","",_xlfn.XLOOKUP(tblOrdenes[[#This Row],[centro_costo]],tblCECO[codigo],tblCECO[area],"(sin catálogo)"))</f>
        <v/>
      </c>
      <c r="V284" s="3">
        <f>IF(tblOrdenes[[#This Row],[centro_costo]]="","",_xlfn.XLOOKUP(tblOrdenes[[#This Row],[centro_costo]],tblCECO[codigo],tblCECO[coordinador],"(sin catálogo)"))</f>
        <v/>
      </c>
      <c r="W284" s="3">
        <f>IF(tblOrdenes[[#This Row],[puesto_trabajo]]="","",_xlfn.XLOOKUP(tblOrdenes[[#This Row],[puesto_trabajo]],tblPuestos[codigo],tblPuestos[especialidad],"(sin catálogo)"))</f>
        <v/>
      </c>
      <c r="X284" s="3">
        <f>IF(tblOrdenes[[#This Row],[cod_actividad]]="","",_xlfn.XLOOKUP(tblOrdenes[[#This Row],[cod_actividad]],tblActividades[codigo],tblActividades[descripcion],"(sin catálogo)"))</f>
        <v/>
      </c>
      <c r="Y284" s="12">
        <f>IF(tblOrdenes[[#This Row],[fecha_inicio]]="","",TODAY()-tblOrdenes[[#This Row],[fecha_inicio]])</f>
        <v/>
      </c>
      <c r="Z284" s="3">
        <f>IF(tblOrdenes[[#This Row],[backlog_dias]]="","",IF(tblOrdenes[[#This Row],[backlog_dias]]&lt;0,"FUTURO",IF(tblOrdenes[[#This Row],[backlog_dias]]&gt;p_dias_backlog_max,"BACKLOG","MES CORRIENTE")))</f>
        <v/>
      </c>
      <c r="AA284" s="3">
        <f>IF(tblOrdenes[[#This Row],[backlog_dias]]="",FALSE,AND(tblOrdenes[[#This Row],[backlog_dias]]&gt;p_dias_backlog_min,tblOrdenes[[#This Row],[backlog_dias]]&lt;=p_dias_backlog_max))</f>
        <v/>
      </c>
      <c r="AB284" s="6" t="n"/>
      <c r="AC2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4" s="10">
        <f>IF(tblOrdenes[[#This Row],[orden]]="","",_xlfn.XLOOKUP(tblOrdenes[[#This Row],[id_operacion]],tblEjecucion[id_operacion],tblEjecucion[precio],0))</f>
        <v/>
      </c>
      <c r="AG284" s="10">
        <f>IF(tblOrdenes[[#This Row],[orden]]="","",MAX(0,_xlfn.XLOOKUP(tblOrdenes[[#This Row],[id_operacion]],tblEjecucion[id_operacion],tblEjecucion[costo_plan_total],0)-tblOrdenes[[#This Row],[costo_servicio]]))</f>
        <v/>
      </c>
      <c r="AH284" s="10">
        <f>IF(tblOrdenes[[#This Row],[orden]]="","",tblOrdenes[[#This Row],[costo_servicio]]+tblOrdenes[[#This Row],[costo_materiales]])</f>
        <v/>
      </c>
      <c r="AI284" s="6" t="n"/>
      <c r="AJ284" s="6" t="n"/>
      <c r="AK284" s="6" t="n"/>
      <c r="AL284" s="3">
        <f>IF(tblOrdenes[[#This Row],[link_checklist]]="","",HYPERLINK(p_ruta_base_checklists&amp;tblOrdenes[[#This Row],[link_checklist]],"abrir"))</f>
        <v/>
      </c>
      <c r="AM284" s="6" t="n"/>
      <c r="AN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Row],[tipo_ot]]="","",_xlfn.XLOOKUP(tblOrdenes[[#This Row],[tipo_ot]],tblTiposOT[codigo],tblTiposOT[clasificacion],"sin_clasificar"))</f>
        <v/>
      </c>
      <c r="T285" s="3">
        <f>IF(tblOrdenes[[#This Row],[centro_costo]]="","",_xlfn.XLOOKUP(tblOrdenes[[#This Row],[centro_costo]],tblCECO[codigo],tblCECO[linea],"(sin catálogo)"))</f>
        <v/>
      </c>
      <c r="U285" s="3">
        <f>IF(tblOrdenes[[#This Row],[centro_costo]]="","",_xlfn.XLOOKUP(tblOrdenes[[#This Row],[centro_costo]],tblCECO[codigo],tblCECO[area],"(sin catálogo)"))</f>
        <v/>
      </c>
      <c r="V285" s="3">
        <f>IF(tblOrdenes[[#This Row],[centro_costo]]="","",_xlfn.XLOOKUP(tblOrdenes[[#This Row],[centro_costo]],tblCECO[codigo],tblCECO[coordinador],"(sin catálogo)"))</f>
        <v/>
      </c>
      <c r="W285" s="3">
        <f>IF(tblOrdenes[[#This Row],[puesto_trabajo]]="","",_xlfn.XLOOKUP(tblOrdenes[[#This Row],[puesto_trabajo]],tblPuestos[codigo],tblPuestos[especialidad],"(sin catálogo)"))</f>
        <v/>
      </c>
      <c r="X285" s="3">
        <f>IF(tblOrdenes[[#This Row],[cod_actividad]]="","",_xlfn.XLOOKUP(tblOrdenes[[#This Row],[cod_actividad]],tblActividades[codigo],tblActividades[descripcion],"(sin catálogo)"))</f>
        <v/>
      </c>
      <c r="Y285" s="12">
        <f>IF(tblOrdenes[[#This Row],[fecha_inicio]]="","",TODAY()-tblOrdenes[[#This Row],[fecha_inicio]])</f>
        <v/>
      </c>
      <c r="Z285" s="3">
        <f>IF(tblOrdenes[[#This Row],[backlog_dias]]="","",IF(tblOrdenes[[#This Row],[backlog_dias]]&lt;0,"FUTURO",IF(tblOrdenes[[#This Row],[backlog_dias]]&gt;p_dias_backlog_max,"BACKLOG","MES CORRIENTE")))</f>
        <v/>
      </c>
      <c r="AA285" s="3">
        <f>IF(tblOrdenes[[#This Row],[backlog_dias]]="",FALSE,AND(tblOrdenes[[#This Row],[backlog_dias]]&gt;p_dias_backlog_min,tblOrdenes[[#This Row],[backlog_dias]]&lt;=p_dias_backlog_max))</f>
        <v/>
      </c>
      <c r="AB285" s="6" t="n"/>
      <c r="AC2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5" s="10">
        <f>IF(tblOrdenes[[#This Row],[orden]]="","",_xlfn.XLOOKUP(tblOrdenes[[#This Row],[id_operacion]],tblEjecucion[id_operacion],tblEjecucion[precio],0))</f>
        <v/>
      </c>
      <c r="AG285" s="10">
        <f>IF(tblOrdenes[[#This Row],[orden]]="","",MAX(0,_xlfn.XLOOKUP(tblOrdenes[[#This Row],[id_operacion]],tblEjecucion[id_operacion],tblEjecucion[costo_plan_total],0)-tblOrdenes[[#This Row],[costo_servicio]]))</f>
        <v/>
      </c>
      <c r="AH285" s="10">
        <f>IF(tblOrdenes[[#This Row],[orden]]="","",tblOrdenes[[#This Row],[costo_servicio]]+tblOrdenes[[#This Row],[costo_materiales]])</f>
        <v/>
      </c>
      <c r="AI285" s="6" t="n"/>
      <c r="AJ285" s="6" t="n"/>
      <c r="AK285" s="6" t="n"/>
      <c r="AL285" s="3">
        <f>IF(tblOrdenes[[#This Row],[link_checklist]]="","",HYPERLINK(p_ruta_base_checklists&amp;tblOrdenes[[#This Row],[link_checklist]],"abrir"))</f>
        <v/>
      </c>
      <c r="AM285" s="6" t="n"/>
      <c r="AN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Row],[tipo_ot]]="","",_xlfn.XLOOKUP(tblOrdenes[[#This Row],[tipo_ot]],tblTiposOT[codigo],tblTiposOT[clasificacion],"sin_clasificar"))</f>
        <v/>
      </c>
      <c r="T286" s="3">
        <f>IF(tblOrdenes[[#This Row],[centro_costo]]="","",_xlfn.XLOOKUP(tblOrdenes[[#This Row],[centro_costo]],tblCECO[codigo],tblCECO[linea],"(sin catálogo)"))</f>
        <v/>
      </c>
      <c r="U286" s="3">
        <f>IF(tblOrdenes[[#This Row],[centro_costo]]="","",_xlfn.XLOOKUP(tblOrdenes[[#This Row],[centro_costo]],tblCECO[codigo],tblCECO[area],"(sin catálogo)"))</f>
        <v/>
      </c>
      <c r="V286" s="3">
        <f>IF(tblOrdenes[[#This Row],[centro_costo]]="","",_xlfn.XLOOKUP(tblOrdenes[[#This Row],[centro_costo]],tblCECO[codigo],tblCECO[coordinador],"(sin catálogo)"))</f>
        <v/>
      </c>
      <c r="W286" s="3">
        <f>IF(tblOrdenes[[#This Row],[puesto_trabajo]]="","",_xlfn.XLOOKUP(tblOrdenes[[#This Row],[puesto_trabajo]],tblPuestos[codigo],tblPuestos[especialidad],"(sin catálogo)"))</f>
        <v/>
      </c>
      <c r="X286" s="3">
        <f>IF(tblOrdenes[[#This Row],[cod_actividad]]="","",_xlfn.XLOOKUP(tblOrdenes[[#This Row],[cod_actividad]],tblActividades[codigo],tblActividades[descripcion],"(sin catálogo)"))</f>
        <v/>
      </c>
      <c r="Y286" s="12">
        <f>IF(tblOrdenes[[#This Row],[fecha_inicio]]="","",TODAY()-tblOrdenes[[#This Row],[fecha_inicio]])</f>
        <v/>
      </c>
      <c r="Z286" s="3">
        <f>IF(tblOrdenes[[#This Row],[backlog_dias]]="","",IF(tblOrdenes[[#This Row],[backlog_dias]]&lt;0,"FUTURO",IF(tblOrdenes[[#This Row],[backlog_dias]]&gt;p_dias_backlog_max,"BACKLOG","MES CORRIENTE")))</f>
        <v/>
      </c>
      <c r="AA286" s="3">
        <f>IF(tblOrdenes[[#This Row],[backlog_dias]]="",FALSE,AND(tblOrdenes[[#This Row],[backlog_dias]]&gt;p_dias_backlog_min,tblOrdenes[[#This Row],[backlog_dias]]&lt;=p_dias_backlog_max))</f>
        <v/>
      </c>
      <c r="AB286" s="6" t="n"/>
      <c r="AC2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6" s="10">
        <f>IF(tblOrdenes[[#This Row],[orden]]="","",_xlfn.XLOOKUP(tblOrdenes[[#This Row],[id_operacion]],tblEjecucion[id_operacion],tblEjecucion[precio],0))</f>
        <v/>
      </c>
      <c r="AG286" s="10">
        <f>IF(tblOrdenes[[#This Row],[orden]]="","",MAX(0,_xlfn.XLOOKUP(tblOrdenes[[#This Row],[id_operacion]],tblEjecucion[id_operacion],tblEjecucion[costo_plan_total],0)-tblOrdenes[[#This Row],[costo_servicio]]))</f>
        <v/>
      </c>
      <c r="AH286" s="10">
        <f>IF(tblOrdenes[[#This Row],[orden]]="","",tblOrdenes[[#This Row],[costo_servicio]]+tblOrdenes[[#This Row],[costo_materiales]])</f>
        <v/>
      </c>
      <c r="AI286" s="6" t="n"/>
      <c r="AJ286" s="6" t="n"/>
      <c r="AK286" s="6" t="n"/>
      <c r="AL286" s="3">
        <f>IF(tblOrdenes[[#This Row],[link_checklist]]="","",HYPERLINK(p_ruta_base_checklists&amp;tblOrdenes[[#This Row],[link_checklist]],"abrir"))</f>
        <v/>
      </c>
      <c r="AM286" s="6" t="n"/>
      <c r="AN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Row],[tipo_ot]]="","",_xlfn.XLOOKUP(tblOrdenes[[#This Row],[tipo_ot]],tblTiposOT[codigo],tblTiposOT[clasificacion],"sin_clasificar"))</f>
        <v/>
      </c>
      <c r="T287" s="3">
        <f>IF(tblOrdenes[[#This Row],[centro_costo]]="","",_xlfn.XLOOKUP(tblOrdenes[[#This Row],[centro_costo]],tblCECO[codigo],tblCECO[linea],"(sin catálogo)"))</f>
        <v/>
      </c>
      <c r="U287" s="3">
        <f>IF(tblOrdenes[[#This Row],[centro_costo]]="","",_xlfn.XLOOKUP(tblOrdenes[[#This Row],[centro_costo]],tblCECO[codigo],tblCECO[area],"(sin catálogo)"))</f>
        <v/>
      </c>
      <c r="V287" s="3">
        <f>IF(tblOrdenes[[#This Row],[centro_costo]]="","",_xlfn.XLOOKUP(tblOrdenes[[#This Row],[centro_costo]],tblCECO[codigo],tblCECO[coordinador],"(sin catálogo)"))</f>
        <v/>
      </c>
      <c r="W287" s="3">
        <f>IF(tblOrdenes[[#This Row],[puesto_trabajo]]="","",_xlfn.XLOOKUP(tblOrdenes[[#This Row],[puesto_trabajo]],tblPuestos[codigo],tblPuestos[especialidad],"(sin catálogo)"))</f>
        <v/>
      </c>
      <c r="X287" s="3">
        <f>IF(tblOrdenes[[#This Row],[cod_actividad]]="","",_xlfn.XLOOKUP(tblOrdenes[[#This Row],[cod_actividad]],tblActividades[codigo],tblActividades[descripcion],"(sin catálogo)"))</f>
        <v/>
      </c>
      <c r="Y287" s="12">
        <f>IF(tblOrdenes[[#This Row],[fecha_inicio]]="","",TODAY()-tblOrdenes[[#This Row],[fecha_inicio]])</f>
        <v/>
      </c>
      <c r="Z287" s="3">
        <f>IF(tblOrdenes[[#This Row],[backlog_dias]]="","",IF(tblOrdenes[[#This Row],[backlog_dias]]&lt;0,"FUTURO",IF(tblOrdenes[[#This Row],[backlog_dias]]&gt;p_dias_backlog_max,"BACKLOG","MES CORRIENTE")))</f>
        <v/>
      </c>
      <c r="AA287" s="3">
        <f>IF(tblOrdenes[[#This Row],[backlog_dias]]="",FALSE,AND(tblOrdenes[[#This Row],[backlog_dias]]&gt;p_dias_backlog_min,tblOrdenes[[#This Row],[backlog_dias]]&lt;=p_dias_backlog_max))</f>
        <v/>
      </c>
      <c r="AB287" s="6" t="n"/>
      <c r="AC2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7" s="10">
        <f>IF(tblOrdenes[[#This Row],[orden]]="","",_xlfn.XLOOKUP(tblOrdenes[[#This Row],[id_operacion]],tblEjecucion[id_operacion],tblEjecucion[precio],0))</f>
        <v/>
      </c>
      <c r="AG287" s="10">
        <f>IF(tblOrdenes[[#This Row],[orden]]="","",MAX(0,_xlfn.XLOOKUP(tblOrdenes[[#This Row],[id_operacion]],tblEjecucion[id_operacion],tblEjecucion[costo_plan_total],0)-tblOrdenes[[#This Row],[costo_servicio]]))</f>
        <v/>
      </c>
      <c r="AH287" s="10">
        <f>IF(tblOrdenes[[#This Row],[orden]]="","",tblOrdenes[[#This Row],[costo_servicio]]+tblOrdenes[[#This Row],[costo_materiales]])</f>
        <v/>
      </c>
      <c r="AI287" s="6" t="n"/>
      <c r="AJ287" s="6" t="n"/>
      <c r="AK287" s="6" t="n"/>
      <c r="AL287" s="3">
        <f>IF(tblOrdenes[[#This Row],[link_checklist]]="","",HYPERLINK(p_ruta_base_checklists&amp;tblOrdenes[[#This Row],[link_checklist]],"abrir"))</f>
        <v/>
      </c>
      <c r="AM287" s="6" t="n"/>
      <c r="AN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Row],[tipo_ot]]="","",_xlfn.XLOOKUP(tblOrdenes[[#This Row],[tipo_ot]],tblTiposOT[codigo],tblTiposOT[clasificacion],"sin_clasificar"))</f>
        <v/>
      </c>
      <c r="T288" s="3">
        <f>IF(tblOrdenes[[#This Row],[centro_costo]]="","",_xlfn.XLOOKUP(tblOrdenes[[#This Row],[centro_costo]],tblCECO[codigo],tblCECO[linea],"(sin catálogo)"))</f>
        <v/>
      </c>
      <c r="U288" s="3">
        <f>IF(tblOrdenes[[#This Row],[centro_costo]]="","",_xlfn.XLOOKUP(tblOrdenes[[#This Row],[centro_costo]],tblCECO[codigo],tblCECO[area],"(sin catálogo)"))</f>
        <v/>
      </c>
      <c r="V288" s="3">
        <f>IF(tblOrdenes[[#This Row],[centro_costo]]="","",_xlfn.XLOOKUP(tblOrdenes[[#This Row],[centro_costo]],tblCECO[codigo],tblCECO[coordinador],"(sin catálogo)"))</f>
        <v/>
      </c>
      <c r="W288" s="3">
        <f>IF(tblOrdenes[[#This Row],[puesto_trabajo]]="","",_xlfn.XLOOKUP(tblOrdenes[[#This Row],[puesto_trabajo]],tblPuestos[codigo],tblPuestos[especialidad],"(sin catálogo)"))</f>
        <v/>
      </c>
      <c r="X288" s="3">
        <f>IF(tblOrdenes[[#This Row],[cod_actividad]]="","",_xlfn.XLOOKUP(tblOrdenes[[#This Row],[cod_actividad]],tblActividades[codigo],tblActividades[descripcion],"(sin catálogo)"))</f>
        <v/>
      </c>
      <c r="Y288" s="12">
        <f>IF(tblOrdenes[[#This Row],[fecha_inicio]]="","",TODAY()-tblOrdenes[[#This Row],[fecha_inicio]])</f>
        <v/>
      </c>
      <c r="Z288" s="3">
        <f>IF(tblOrdenes[[#This Row],[backlog_dias]]="","",IF(tblOrdenes[[#This Row],[backlog_dias]]&lt;0,"FUTURO",IF(tblOrdenes[[#This Row],[backlog_dias]]&gt;p_dias_backlog_max,"BACKLOG","MES CORRIENTE")))</f>
        <v/>
      </c>
      <c r="AA288" s="3">
        <f>IF(tblOrdenes[[#This Row],[backlog_dias]]="",FALSE,AND(tblOrdenes[[#This Row],[backlog_dias]]&gt;p_dias_backlog_min,tblOrdenes[[#This Row],[backlog_dias]]&lt;=p_dias_backlog_max))</f>
        <v/>
      </c>
      <c r="AB288" s="6" t="n"/>
      <c r="AC2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8" s="10">
        <f>IF(tblOrdenes[[#This Row],[orden]]="","",_xlfn.XLOOKUP(tblOrdenes[[#This Row],[id_operacion]],tblEjecucion[id_operacion],tblEjecucion[precio],0))</f>
        <v/>
      </c>
      <c r="AG288" s="10">
        <f>IF(tblOrdenes[[#This Row],[orden]]="","",MAX(0,_xlfn.XLOOKUP(tblOrdenes[[#This Row],[id_operacion]],tblEjecucion[id_operacion],tblEjecucion[costo_plan_total],0)-tblOrdenes[[#This Row],[costo_servicio]]))</f>
        <v/>
      </c>
      <c r="AH288" s="10">
        <f>IF(tblOrdenes[[#This Row],[orden]]="","",tblOrdenes[[#This Row],[costo_servicio]]+tblOrdenes[[#This Row],[costo_materiales]])</f>
        <v/>
      </c>
      <c r="AI288" s="6" t="n"/>
      <c r="AJ288" s="6" t="n"/>
      <c r="AK288" s="6" t="n"/>
      <c r="AL288" s="3">
        <f>IF(tblOrdenes[[#This Row],[link_checklist]]="","",HYPERLINK(p_ruta_base_checklists&amp;tblOrdenes[[#This Row],[link_checklist]],"abrir"))</f>
        <v/>
      </c>
      <c r="AM288" s="6" t="n"/>
      <c r="AN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Row],[tipo_ot]]="","",_xlfn.XLOOKUP(tblOrdenes[[#This Row],[tipo_ot]],tblTiposOT[codigo],tblTiposOT[clasificacion],"sin_clasificar"))</f>
        <v/>
      </c>
      <c r="T289" s="3">
        <f>IF(tblOrdenes[[#This Row],[centro_costo]]="","",_xlfn.XLOOKUP(tblOrdenes[[#This Row],[centro_costo]],tblCECO[codigo],tblCECO[linea],"(sin catálogo)"))</f>
        <v/>
      </c>
      <c r="U289" s="3">
        <f>IF(tblOrdenes[[#This Row],[centro_costo]]="","",_xlfn.XLOOKUP(tblOrdenes[[#This Row],[centro_costo]],tblCECO[codigo],tblCECO[area],"(sin catálogo)"))</f>
        <v/>
      </c>
      <c r="V289" s="3">
        <f>IF(tblOrdenes[[#This Row],[centro_costo]]="","",_xlfn.XLOOKUP(tblOrdenes[[#This Row],[centro_costo]],tblCECO[codigo],tblCECO[coordinador],"(sin catálogo)"))</f>
        <v/>
      </c>
      <c r="W289" s="3">
        <f>IF(tblOrdenes[[#This Row],[puesto_trabajo]]="","",_xlfn.XLOOKUP(tblOrdenes[[#This Row],[puesto_trabajo]],tblPuestos[codigo],tblPuestos[especialidad],"(sin catálogo)"))</f>
        <v/>
      </c>
      <c r="X289" s="3">
        <f>IF(tblOrdenes[[#This Row],[cod_actividad]]="","",_xlfn.XLOOKUP(tblOrdenes[[#This Row],[cod_actividad]],tblActividades[codigo],tblActividades[descripcion],"(sin catálogo)"))</f>
        <v/>
      </c>
      <c r="Y289" s="12">
        <f>IF(tblOrdenes[[#This Row],[fecha_inicio]]="","",TODAY()-tblOrdenes[[#This Row],[fecha_inicio]])</f>
        <v/>
      </c>
      <c r="Z289" s="3">
        <f>IF(tblOrdenes[[#This Row],[backlog_dias]]="","",IF(tblOrdenes[[#This Row],[backlog_dias]]&lt;0,"FUTURO",IF(tblOrdenes[[#This Row],[backlog_dias]]&gt;p_dias_backlog_max,"BACKLOG","MES CORRIENTE")))</f>
        <v/>
      </c>
      <c r="AA289" s="3">
        <f>IF(tblOrdenes[[#This Row],[backlog_dias]]="",FALSE,AND(tblOrdenes[[#This Row],[backlog_dias]]&gt;p_dias_backlog_min,tblOrdenes[[#This Row],[backlog_dias]]&lt;=p_dias_backlog_max))</f>
        <v/>
      </c>
      <c r="AB289" s="6" t="n"/>
      <c r="AC2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9" s="10">
        <f>IF(tblOrdenes[[#This Row],[orden]]="","",_xlfn.XLOOKUP(tblOrdenes[[#This Row],[id_operacion]],tblEjecucion[id_operacion],tblEjecucion[precio],0))</f>
        <v/>
      </c>
      <c r="AG289" s="10">
        <f>IF(tblOrdenes[[#This Row],[orden]]="","",MAX(0,_xlfn.XLOOKUP(tblOrdenes[[#This Row],[id_operacion]],tblEjecucion[id_operacion],tblEjecucion[costo_plan_total],0)-tblOrdenes[[#This Row],[costo_servicio]]))</f>
        <v/>
      </c>
      <c r="AH289" s="10">
        <f>IF(tblOrdenes[[#This Row],[orden]]="","",tblOrdenes[[#This Row],[costo_servicio]]+tblOrdenes[[#This Row],[costo_materiales]])</f>
        <v/>
      </c>
      <c r="AI289" s="6" t="n"/>
      <c r="AJ289" s="6" t="n"/>
      <c r="AK289" s="6" t="n"/>
      <c r="AL289" s="3">
        <f>IF(tblOrdenes[[#This Row],[link_checklist]]="","",HYPERLINK(p_ruta_base_checklists&amp;tblOrdenes[[#This Row],[link_checklist]],"abrir"))</f>
        <v/>
      </c>
      <c r="AM289" s="6" t="n"/>
      <c r="AN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Row],[tipo_ot]]="","",_xlfn.XLOOKUP(tblOrdenes[[#This Row],[tipo_ot]],tblTiposOT[codigo],tblTiposOT[clasificacion],"sin_clasificar"))</f>
        <v/>
      </c>
      <c r="T290" s="3">
        <f>IF(tblOrdenes[[#This Row],[centro_costo]]="","",_xlfn.XLOOKUP(tblOrdenes[[#This Row],[centro_costo]],tblCECO[codigo],tblCECO[linea],"(sin catálogo)"))</f>
        <v/>
      </c>
      <c r="U290" s="3">
        <f>IF(tblOrdenes[[#This Row],[centro_costo]]="","",_xlfn.XLOOKUP(tblOrdenes[[#This Row],[centro_costo]],tblCECO[codigo],tblCECO[area],"(sin catálogo)"))</f>
        <v/>
      </c>
      <c r="V290" s="3">
        <f>IF(tblOrdenes[[#This Row],[centro_costo]]="","",_xlfn.XLOOKUP(tblOrdenes[[#This Row],[centro_costo]],tblCECO[codigo],tblCECO[coordinador],"(sin catálogo)"))</f>
        <v/>
      </c>
      <c r="W290" s="3">
        <f>IF(tblOrdenes[[#This Row],[puesto_trabajo]]="","",_xlfn.XLOOKUP(tblOrdenes[[#This Row],[puesto_trabajo]],tblPuestos[codigo],tblPuestos[especialidad],"(sin catálogo)"))</f>
        <v/>
      </c>
      <c r="X290" s="3">
        <f>IF(tblOrdenes[[#This Row],[cod_actividad]]="","",_xlfn.XLOOKUP(tblOrdenes[[#This Row],[cod_actividad]],tblActividades[codigo],tblActividades[descripcion],"(sin catálogo)"))</f>
        <v/>
      </c>
      <c r="Y290" s="12">
        <f>IF(tblOrdenes[[#This Row],[fecha_inicio]]="","",TODAY()-tblOrdenes[[#This Row],[fecha_inicio]])</f>
        <v/>
      </c>
      <c r="Z290" s="3">
        <f>IF(tblOrdenes[[#This Row],[backlog_dias]]="","",IF(tblOrdenes[[#This Row],[backlog_dias]]&lt;0,"FUTURO",IF(tblOrdenes[[#This Row],[backlog_dias]]&gt;p_dias_backlog_max,"BACKLOG","MES CORRIENTE")))</f>
        <v/>
      </c>
      <c r="AA290" s="3">
        <f>IF(tblOrdenes[[#This Row],[backlog_dias]]="",FALSE,AND(tblOrdenes[[#This Row],[backlog_dias]]&gt;p_dias_backlog_min,tblOrdenes[[#This Row],[backlog_dias]]&lt;=p_dias_backlog_max))</f>
        <v/>
      </c>
      <c r="AB290" s="6" t="n"/>
      <c r="AC2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0" s="10">
        <f>IF(tblOrdenes[[#This Row],[orden]]="","",_xlfn.XLOOKUP(tblOrdenes[[#This Row],[id_operacion]],tblEjecucion[id_operacion],tblEjecucion[precio],0))</f>
        <v/>
      </c>
      <c r="AG290" s="10">
        <f>IF(tblOrdenes[[#This Row],[orden]]="","",MAX(0,_xlfn.XLOOKUP(tblOrdenes[[#This Row],[id_operacion]],tblEjecucion[id_operacion],tblEjecucion[costo_plan_total],0)-tblOrdenes[[#This Row],[costo_servicio]]))</f>
        <v/>
      </c>
      <c r="AH290" s="10">
        <f>IF(tblOrdenes[[#This Row],[orden]]="","",tblOrdenes[[#This Row],[costo_servicio]]+tblOrdenes[[#This Row],[costo_materiales]])</f>
        <v/>
      </c>
      <c r="AI290" s="6" t="n"/>
      <c r="AJ290" s="6" t="n"/>
      <c r="AK290" s="6" t="n"/>
      <c r="AL290" s="3">
        <f>IF(tblOrdenes[[#This Row],[link_checklist]]="","",HYPERLINK(p_ruta_base_checklists&amp;tblOrdenes[[#This Row],[link_checklist]],"abrir"))</f>
        <v/>
      </c>
      <c r="AM290" s="6" t="n"/>
      <c r="AN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Row],[tipo_ot]]="","",_xlfn.XLOOKUP(tblOrdenes[[#This Row],[tipo_ot]],tblTiposOT[codigo],tblTiposOT[clasificacion],"sin_clasificar"))</f>
        <v/>
      </c>
      <c r="T291" s="3">
        <f>IF(tblOrdenes[[#This Row],[centro_costo]]="","",_xlfn.XLOOKUP(tblOrdenes[[#This Row],[centro_costo]],tblCECO[codigo],tblCECO[linea],"(sin catálogo)"))</f>
        <v/>
      </c>
      <c r="U291" s="3">
        <f>IF(tblOrdenes[[#This Row],[centro_costo]]="","",_xlfn.XLOOKUP(tblOrdenes[[#This Row],[centro_costo]],tblCECO[codigo],tblCECO[area],"(sin catálogo)"))</f>
        <v/>
      </c>
      <c r="V291" s="3">
        <f>IF(tblOrdenes[[#This Row],[centro_costo]]="","",_xlfn.XLOOKUP(tblOrdenes[[#This Row],[centro_costo]],tblCECO[codigo],tblCECO[coordinador],"(sin catálogo)"))</f>
        <v/>
      </c>
      <c r="W291" s="3">
        <f>IF(tblOrdenes[[#This Row],[puesto_trabajo]]="","",_xlfn.XLOOKUP(tblOrdenes[[#This Row],[puesto_trabajo]],tblPuestos[codigo],tblPuestos[especialidad],"(sin catálogo)"))</f>
        <v/>
      </c>
      <c r="X291" s="3">
        <f>IF(tblOrdenes[[#This Row],[cod_actividad]]="","",_xlfn.XLOOKUP(tblOrdenes[[#This Row],[cod_actividad]],tblActividades[codigo],tblActividades[descripcion],"(sin catálogo)"))</f>
        <v/>
      </c>
      <c r="Y291" s="12">
        <f>IF(tblOrdenes[[#This Row],[fecha_inicio]]="","",TODAY()-tblOrdenes[[#This Row],[fecha_inicio]])</f>
        <v/>
      </c>
      <c r="Z291" s="3">
        <f>IF(tblOrdenes[[#This Row],[backlog_dias]]="","",IF(tblOrdenes[[#This Row],[backlog_dias]]&lt;0,"FUTURO",IF(tblOrdenes[[#This Row],[backlog_dias]]&gt;p_dias_backlog_max,"BACKLOG","MES CORRIENTE")))</f>
        <v/>
      </c>
      <c r="AA291" s="3">
        <f>IF(tblOrdenes[[#This Row],[backlog_dias]]="",FALSE,AND(tblOrdenes[[#This Row],[backlog_dias]]&gt;p_dias_backlog_min,tblOrdenes[[#This Row],[backlog_dias]]&lt;=p_dias_backlog_max))</f>
        <v/>
      </c>
      <c r="AB291" s="6" t="n"/>
      <c r="AC2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1" s="10">
        <f>IF(tblOrdenes[[#This Row],[orden]]="","",_xlfn.XLOOKUP(tblOrdenes[[#This Row],[id_operacion]],tblEjecucion[id_operacion],tblEjecucion[precio],0))</f>
        <v/>
      </c>
      <c r="AG291" s="10">
        <f>IF(tblOrdenes[[#This Row],[orden]]="","",MAX(0,_xlfn.XLOOKUP(tblOrdenes[[#This Row],[id_operacion]],tblEjecucion[id_operacion],tblEjecucion[costo_plan_total],0)-tblOrdenes[[#This Row],[costo_servicio]]))</f>
        <v/>
      </c>
      <c r="AH291" s="10">
        <f>IF(tblOrdenes[[#This Row],[orden]]="","",tblOrdenes[[#This Row],[costo_servicio]]+tblOrdenes[[#This Row],[costo_materiales]])</f>
        <v/>
      </c>
      <c r="AI291" s="6" t="n"/>
      <c r="AJ291" s="6" t="n"/>
      <c r="AK291" s="6" t="n"/>
      <c r="AL291" s="3">
        <f>IF(tblOrdenes[[#This Row],[link_checklist]]="","",HYPERLINK(p_ruta_base_checklists&amp;tblOrdenes[[#This Row],[link_checklist]],"abrir"))</f>
        <v/>
      </c>
      <c r="AM291" s="6" t="n"/>
      <c r="AN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Row],[tipo_ot]]="","",_xlfn.XLOOKUP(tblOrdenes[[#This Row],[tipo_ot]],tblTiposOT[codigo],tblTiposOT[clasificacion],"sin_clasificar"))</f>
        <v/>
      </c>
      <c r="T292" s="3">
        <f>IF(tblOrdenes[[#This Row],[centro_costo]]="","",_xlfn.XLOOKUP(tblOrdenes[[#This Row],[centro_costo]],tblCECO[codigo],tblCECO[linea],"(sin catálogo)"))</f>
        <v/>
      </c>
      <c r="U292" s="3">
        <f>IF(tblOrdenes[[#This Row],[centro_costo]]="","",_xlfn.XLOOKUP(tblOrdenes[[#This Row],[centro_costo]],tblCECO[codigo],tblCECO[area],"(sin catálogo)"))</f>
        <v/>
      </c>
      <c r="V292" s="3">
        <f>IF(tblOrdenes[[#This Row],[centro_costo]]="","",_xlfn.XLOOKUP(tblOrdenes[[#This Row],[centro_costo]],tblCECO[codigo],tblCECO[coordinador],"(sin catálogo)"))</f>
        <v/>
      </c>
      <c r="W292" s="3">
        <f>IF(tblOrdenes[[#This Row],[puesto_trabajo]]="","",_xlfn.XLOOKUP(tblOrdenes[[#This Row],[puesto_trabajo]],tblPuestos[codigo],tblPuestos[especialidad],"(sin catálogo)"))</f>
        <v/>
      </c>
      <c r="X292" s="3">
        <f>IF(tblOrdenes[[#This Row],[cod_actividad]]="","",_xlfn.XLOOKUP(tblOrdenes[[#This Row],[cod_actividad]],tblActividades[codigo],tblActividades[descripcion],"(sin catálogo)"))</f>
        <v/>
      </c>
      <c r="Y292" s="12">
        <f>IF(tblOrdenes[[#This Row],[fecha_inicio]]="","",TODAY()-tblOrdenes[[#This Row],[fecha_inicio]])</f>
        <v/>
      </c>
      <c r="Z292" s="3">
        <f>IF(tblOrdenes[[#This Row],[backlog_dias]]="","",IF(tblOrdenes[[#This Row],[backlog_dias]]&lt;0,"FUTURO",IF(tblOrdenes[[#This Row],[backlog_dias]]&gt;p_dias_backlog_max,"BACKLOG","MES CORRIENTE")))</f>
        <v/>
      </c>
      <c r="AA292" s="3">
        <f>IF(tblOrdenes[[#This Row],[backlog_dias]]="",FALSE,AND(tblOrdenes[[#This Row],[backlog_dias]]&gt;p_dias_backlog_min,tblOrdenes[[#This Row],[backlog_dias]]&lt;=p_dias_backlog_max))</f>
        <v/>
      </c>
      <c r="AB292" s="6" t="n"/>
      <c r="AC2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2" s="10">
        <f>IF(tblOrdenes[[#This Row],[orden]]="","",_xlfn.XLOOKUP(tblOrdenes[[#This Row],[id_operacion]],tblEjecucion[id_operacion],tblEjecucion[precio],0))</f>
        <v/>
      </c>
      <c r="AG292" s="10">
        <f>IF(tblOrdenes[[#This Row],[orden]]="","",MAX(0,_xlfn.XLOOKUP(tblOrdenes[[#This Row],[id_operacion]],tblEjecucion[id_operacion],tblEjecucion[costo_plan_total],0)-tblOrdenes[[#This Row],[costo_servicio]]))</f>
        <v/>
      </c>
      <c r="AH292" s="10">
        <f>IF(tblOrdenes[[#This Row],[orden]]="","",tblOrdenes[[#This Row],[costo_servicio]]+tblOrdenes[[#This Row],[costo_materiales]])</f>
        <v/>
      </c>
      <c r="AI292" s="6" t="n"/>
      <c r="AJ292" s="6" t="n"/>
      <c r="AK292" s="6" t="n"/>
      <c r="AL292" s="3">
        <f>IF(tblOrdenes[[#This Row],[link_checklist]]="","",HYPERLINK(p_ruta_base_checklists&amp;tblOrdenes[[#This Row],[link_checklist]],"abrir"))</f>
        <v/>
      </c>
      <c r="AM292" s="6" t="n"/>
      <c r="AN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Row],[tipo_ot]]="","",_xlfn.XLOOKUP(tblOrdenes[[#This Row],[tipo_ot]],tblTiposOT[codigo],tblTiposOT[clasificacion],"sin_clasificar"))</f>
        <v/>
      </c>
      <c r="T293" s="3">
        <f>IF(tblOrdenes[[#This Row],[centro_costo]]="","",_xlfn.XLOOKUP(tblOrdenes[[#This Row],[centro_costo]],tblCECO[codigo],tblCECO[linea],"(sin catálogo)"))</f>
        <v/>
      </c>
      <c r="U293" s="3">
        <f>IF(tblOrdenes[[#This Row],[centro_costo]]="","",_xlfn.XLOOKUP(tblOrdenes[[#This Row],[centro_costo]],tblCECO[codigo],tblCECO[area],"(sin catálogo)"))</f>
        <v/>
      </c>
      <c r="V293" s="3">
        <f>IF(tblOrdenes[[#This Row],[centro_costo]]="","",_xlfn.XLOOKUP(tblOrdenes[[#This Row],[centro_costo]],tblCECO[codigo],tblCECO[coordinador],"(sin catálogo)"))</f>
        <v/>
      </c>
      <c r="W293" s="3">
        <f>IF(tblOrdenes[[#This Row],[puesto_trabajo]]="","",_xlfn.XLOOKUP(tblOrdenes[[#This Row],[puesto_trabajo]],tblPuestos[codigo],tblPuestos[especialidad],"(sin catálogo)"))</f>
        <v/>
      </c>
      <c r="X293" s="3">
        <f>IF(tblOrdenes[[#This Row],[cod_actividad]]="","",_xlfn.XLOOKUP(tblOrdenes[[#This Row],[cod_actividad]],tblActividades[codigo],tblActividades[descripcion],"(sin catálogo)"))</f>
        <v/>
      </c>
      <c r="Y293" s="12">
        <f>IF(tblOrdenes[[#This Row],[fecha_inicio]]="","",TODAY()-tblOrdenes[[#This Row],[fecha_inicio]])</f>
        <v/>
      </c>
      <c r="Z293" s="3">
        <f>IF(tblOrdenes[[#This Row],[backlog_dias]]="","",IF(tblOrdenes[[#This Row],[backlog_dias]]&lt;0,"FUTURO",IF(tblOrdenes[[#This Row],[backlog_dias]]&gt;p_dias_backlog_max,"BACKLOG","MES CORRIENTE")))</f>
        <v/>
      </c>
      <c r="AA293" s="3">
        <f>IF(tblOrdenes[[#This Row],[backlog_dias]]="",FALSE,AND(tblOrdenes[[#This Row],[backlog_dias]]&gt;p_dias_backlog_min,tblOrdenes[[#This Row],[backlog_dias]]&lt;=p_dias_backlog_max))</f>
        <v/>
      </c>
      <c r="AB293" s="6" t="n"/>
      <c r="AC2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3" s="10">
        <f>IF(tblOrdenes[[#This Row],[orden]]="","",_xlfn.XLOOKUP(tblOrdenes[[#This Row],[id_operacion]],tblEjecucion[id_operacion],tblEjecucion[precio],0))</f>
        <v/>
      </c>
      <c r="AG293" s="10">
        <f>IF(tblOrdenes[[#This Row],[orden]]="","",MAX(0,_xlfn.XLOOKUP(tblOrdenes[[#This Row],[id_operacion]],tblEjecucion[id_operacion],tblEjecucion[costo_plan_total],0)-tblOrdenes[[#This Row],[costo_servicio]]))</f>
        <v/>
      </c>
      <c r="AH293" s="10">
        <f>IF(tblOrdenes[[#This Row],[orden]]="","",tblOrdenes[[#This Row],[costo_servicio]]+tblOrdenes[[#This Row],[costo_materiales]])</f>
        <v/>
      </c>
      <c r="AI293" s="6" t="n"/>
      <c r="AJ293" s="6" t="n"/>
      <c r="AK293" s="6" t="n"/>
      <c r="AL293" s="3">
        <f>IF(tblOrdenes[[#This Row],[link_checklist]]="","",HYPERLINK(p_ruta_base_checklists&amp;tblOrdenes[[#This Row],[link_checklist]],"abrir"))</f>
        <v/>
      </c>
      <c r="AM293" s="6" t="n"/>
      <c r="AN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Row],[tipo_ot]]="","",_xlfn.XLOOKUP(tblOrdenes[[#This Row],[tipo_ot]],tblTiposOT[codigo],tblTiposOT[clasificacion],"sin_clasificar"))</f>
        <v/>
      </c>
      <c r="T294" s="3">
        <f>IF(tblOrdenes[[#This Row],[centro_costo]]="","",_xlfn.XLOOKUP(tblOrdenes[[#This Row],[centro_costo]],tblCECO[codigo],tblCECO[linea],"(sin catálogo)"))</f>
        <v/>
      </c>
      <c r="U294" s="3">
        <f>IF(tblOrdenes[[#This Row],[centro_costo]]="","",_xlfn.XLOOKUP(tblOrdenes[[#This Row],[centro_costo]],tblCECO[codigo],tblCECO[area],"(sin catálogo)"))</f>
        <v/>
      </c>
      <c r="V294" s="3">
        <f>IF(tblOrdenes[[#This Row],[centro_costo]]="","",_xlfn.XLOOKUP(tblOrdenes[[#This Row],[centro_costo]],tblCECO[codigo],tblCECO[coordinador],"(sin catálogo)"))</f>
        <v/>
      </c>
      <c r="W294" s="3">
        <f>IF(tblOrdenes[[#This Row],[puesto_trabajo]]="","",_xlfn.XLOOKUP(tblOrdenes[[#This Row],[puesto_trabajo]],tblPuestos[codigo],tblPuestos[especialidad],"(sin catálogo)"))</f>
        <v/>
      </c>
      <c r="X294" s="3">
        <f>IF(tblOrdenes[[#This Row],[cod_actividad]]="","",_xlfn.XLOOKUP(tblOrdenes[[#This Row],[cod_actividad]],tblActividades[codigo],tblActividades[descripcion],"(sin catálogo)"))</f>
        <v/>
      </c>
      <c r="Y294" s="12">
        <f>IF(tblOrdenes[[#This Row],[fecha_inicio]]="","",TODAY()-tblOrdenes[[#This Row],[fecha_inicio]])</f>
        <v/>
      </c>
      <c r="Z294" s="3">
        <f>IF(tblOrdenes[[#This Row],[backlog_dias]]="","",IF(tblOrdenes[[#This Row],[backlog_dias]]&lt;0,"FUTURO",IF(tblOrdenes[[#This Row],[backlog_dias]]&gt;p_dias_backlog_max,"BACKLOG","MES CORRIENTE")))</f>
        <v/>
      </c>
      <c r="AA294" s="3">
        <f>IF(tblOrdenes[[#This Row],[backlog_dias]]="",FALSE,AND(tblOrdenes[[#This Row],[backlog_dias]]&gt;p_dias_backlog_min,tblOrdenes[[#This Row],[backlog_dias]]&lt;=p_dias_backlog_max))</f>
        <v/>
      </c>
      <c r="AB294" s="6" t="n"/>
      <c r="AC2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4" s="10">
        <f>IF(tblOrdenes[[#This Row],[orden]]="","",_xlfn.XLOOKUP(tblOrdenes[[#This Row],[id_operacion]],tblEjecucion[id_operacion],tblEjecucion[precio],0))</f>
        <v/>
      </c>
      <c r="AG294" s="10">
        <f>IF(tblOrdenes[[#This Row],[orden]]="","",MAX(0,_xlfn.XLOOKUP(tblOrdenes[[#This Row],[id_operacion]],tblEjecucion[id_operacion],tblEjecucion[costo_plan_total],0)-tblOrdenes[[#This Row],[costo_servicio]]))</f>
        <v/>
      </c>
      <c r="AH294" s="10">
        <f>IF(tblOrdenes[[#This Row],[orden]]="","",tblOrdenes[[#This Row],[costo_servicio]]+tblOrdenes[[#This Row],[costo_materiales]])</f>
        <v/>
      </c>
      <c r="AI294" s="6" t="n"/>
      <c r="AJ294" s="6" t="n"/>
      <c r="AK294" s="6" t="n"/>
      <c r="AL294" s="3">
        <f>IF(tblOrdenes[[#This Row],[link_checklist]]="","",HYPERLINK(p_ruta_base_checklists&amp;tblOrdenes[[#This Row],[link_checklist]],"abrir"))</f>
        <v/>
      </c>
      <c r="AM294" s="6" t="n"/>
      <c r="AN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Row],[tipo_ot]]="","",_xlfn.XLOOKUP(tblOrdenes[[#This Row],[tipo_ot]],tblTiposOT[codigo],tblTiposOT[clasificacion],"sin_clasificar"))</f>
        <v/>
      </c>
      <c r="T295" s="3">
        <f>IF(tblOrdenes[[#This Row],[centro_costo]]="","",_xlfn.XLOOKUP(tblOrdenes[[#This Row],[centro_costo]],tblCECO[codigo],tblCECO[linea],"(sin catálogo)"))</f>
        <v/>
      </c>
      <c r="U295" s="3">
        <f>IF(tblOrdenes[[#This Row],[centro_costo]]="","",_xlfn.XLOOKUP(tblOrdenes[[#This Row],[centro_costo]],tblCECO[codigo],tblCECO[area],"(sin catálogo)"))</f>
        <v/>
      </c>
      <c r="V295" s="3">
        <f>IF(tblOrdenes[[#This Row],[centro_costo]]="","",_xlfn.XLOOKUP(tblOrdenes[[#This Row],[centro_costo]],tblCECO[codigo],tblCECO[coordinador],"(sin catálogo)"))</f>
        <v/>
      </c>
      <c r="W295" s="3">
        <f>IF(tblOrdenes[[#This Row],[puesto_trabajo]]="","",_xlfn.XLOOKUP(tblOrdenes[[#This Row],[puesto_trabajo]],tblPuestos[codigo],tblPuestos[especialidad],"(sin catálogo)"))</f>
        <v/>
      </c>
      <c r="X295" s="3">
        <f>IF(tblOrdenes[[#This Row],[cod_actividad]]="","",_xlfn.XLOOKUP(tblOrdenes[[#This Row],[cod_actividad]],tblActividades[codigo],tblActividades[descripcion],"(sin catálogo)"))</f>
        <v/>
      </c>
      <c r="Y295" s="12">
        <f>IF(tblOrdenes[[#This Row],[fecha_inicio]]="","",TODAY()-tblOrdenes[[#This Row],[fecha_inicio]])</f>
        <v/>
      </c>
      <c r="Z295" s="3">
        <f>IF(tblOrdenes[[#This Row],[backlog_dias]]="","",IF(tblOrdenes[[#This Row],[backlog_dias]]&lt;0,"FUTURO",IF(tblOrdenes[[#This Row],[backlog_dias]]&gt;p_dias_backlog_max,"BACKLOG","MES CORRIENTE")))</f>
        <v/>
      </c>
      <c r="AA295" s="3">
        <f>IF(tblOrdenes[[#This Row],[backlog_dias]]="",FALSE,AND(tblOrdenes[[#This Row],[backlog_dias]]&gt;p_dias_backlog_min,tblOrdenes[[#This Row],[backlog_dias]]&lt;=p_dias_backlog_max))</f>
        <v/>
      </c>
      <c r="AB295" s="6" t="n"/>
      <c r="AC2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5" s="10">
        <f>IF(tblOrdenes[[#This Row],[orden]]="","",_xlfn.XLOOKUP(tblOrdenes[[#This Row],[id_operacion]],tblEjecucion[id_operacion],tblEjecucion[precio],0))</f>
        <v/>
      </c>
      <c r="AG295" s="10">
        <f>IF(tblOrdenes[[#This Row],[orden]]="","",MAX(0,_xlfn.XLOOKUP(tblOrdenes[[#This Row],[id_operacion]],tblEjecucion[id_operacion],tblEjecucion[costo_plan_total],0)-tblOrdenes[[#This Row],[costo_servicio]]))</f>
        <v/>
      </c>
      <c r="AH295" s="10">
        <f>IF(tblOrdenes[[#This Row],[orden]]="","",tblOrdenes[[#This Row],[costo_servicio]]+tblOrdenes[[#This Row],[costo_materiales]])</f>
        <v/>
      </c>
      <c r="AI295" s="6" t="n"/>
      <c r="AJ295" s="6" t="n"/>
      <c r="AK295" s="6" t="n"/>
      <c r="AL295" s="3">
        <f>IF(tblOrdenes[[#This Row],[link_checklist]]="","",HYPERLINK(p_ruta_base_checklists&amp;tblOrdenes[[#This Row],[link_checklist]],"abrir"))</f>
        <v/>
      </c>
      <c r="AM295" s="6" t="n"/>
      <c r="AN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Row],[tipo_ot]]="","",_xlfn.XLOOKUP(tblOrdenes[[#This Row],[tipo_ot]],tblTiposOT[codigo],tblTiposOT[clasificacion],"sin_clasificar"))</f>
        <v/>
      </c>
      <c r="T296" s="3">
        <f>IF(tblOrdenes[[#This Row],[centro_costo]]="","",_xlfn.XLOOKUP(tblOrdenes[[#This Row],[centro_costo]],tblCECO[codigo],tblCECO[linea],"(sin catálogo)"))</f>
        <v/>
      </c>
      <c r="U296" s="3">
        <f>IF(tblOrdenes[[#This Row],[centro_costo]]="","",_xlfn.XLOOKUP(tblOrdenes[[#This Row],[centro_costo]],tblCECO[codigo],tblCECO[area],"(sin catálogo)"))</f>
        <v/>
      </c>
      <c r="V296" s="3">
        <f>IF(tblOrdenes[[#This Row],[centro_costo]]="","",_xlfn.XLOOKUP(tblOrdenes[[#This Row],[centro_costo]],tblCECO[codigo],tblCECO[coordinador],"(sin catálogo)"))</f>
        <v/>
      </c>
      <c r="W296" s="3">
        <f>IF(tblOrdenes[[#This Row],[puesto_trabajo]]="","",_xlfn.XLOOKUP(tblOrdenes[[#This Row],[puesto_trabajo]],tblPuestos[codigo],tblPuestos[especialidad],"(sin catálogo)"))</f>
        <v/>
      </c>
      <c r="X296" s="3">
        <f>IF(tblOrdenes[[#This Row],[cod_actividad]]="","",_xlfn.XLOOKUP(tblOrdenes[[#This Row],[cod_actividad]],tblActividades[codigo],tblActividades[descripcion],"(sin catálogo)"))</f>
        <v/>
      </c>
      <c r="Y296" s="12">
        <f>IF(tblOrdenes[[#This Row],[fecha_inicio]]="","",TODAY()-tblOrdenes[[#This Row],[fecha_inicio]])</f>
        <v/>
      </c>
      <c r="Z296" s="3">
        <f>IF(tblOrdenes[[#This Row],[backlog_dias]]="","",IF(tblOrdenes[[#This Row],[backlog_dias]]&lt;0,"FUTURO",IF(tblOrdenes[[#This Row],[backlog_dias]]&gt;p_dias_backlog_max,"BACKLOG","MES CORRIENTE")))</f>
        <v/>
      </c>
      <c r="AA296" s="3">
        <f>IF(tblOrdenes[[#This Row],[backlog_dias]]="",FALSE,AND(tblOrdenes[[#This Row],[backlog_dias]]&gt;p_dias_backlog_min,tblOrdenes[[#This Row],[backlog_dias]]&lt;=p_dias_backlog_max))</f>
        <v/>
      </c>
      <c r="AB296" s="6" t="n"/>
      <c r="AC2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6" s="10">
        <f>IF(tblOrdenes[[#This Row],[orden]]="","",_xlfn.XLOOKUP(tblOrdenes[[#This Row],[id_operacion]],tblEjecucion[id_operacion],tblEjecucion[precio],0))</f>
        <v/>
      </c>
      <c r="AG296" s="10">
        <f>IF(tblOrdenes[[#This Row],[orden]]="","",MAX(0,_xlfn.XLOOKUP(tblOrdenes[[#This Row],[id_operacion]],tblEjecucion[id_operacion],tblEjecucion[costo_plan_total],0)-tblOrdenes[[#This Row],[costo_servicio]]))</f>
        <v/>
      </c>
      <c r="AH296" s="10">
        <f>IF(tblOrdenes[[#This Row],[orden]]="","",tblOrdenes[[#This Row],[costo_servicio]]+tblOrdenes[[#This Row],[costo_materiales]])</f>
        <v/>
      </c>
      <c r="AI296" s="6" t="n"/>
      <c r="AJ296" s="6" t="n"/>
      <c r="AK296" s="6" t="n"/>
      <c r="AL296" s="3">
        <f>IF(tblOrdenes[[#This Row],[link_checklist]]="","",HYPERLINK(p_ruta_base_checklists&amp;tblOrdenes[[#This Row],[link_checklist]],"abrir"))</f>
        <v/>
      </c>
      <c r="AM296" s="6" t="n"/>
      <c r="AN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Row],[tipo_ot]]="","",_xlfn.XLOOKUP(tblOrdenes[[#This Row],[tipo_ot]],tblTiposOT[codigo],tblTiposOT[clasificacion],"sin_clasificar"))</f>
        <v/>
      </c>
      <c r="T297" s="3">
        <f>IF(tblOrdenes[[#This Row],[centro_costo]]="","",_xlfn.XLOOKUP(tblOrdenes[[#This Row],[centro_costo]],tblCECO[codigo],tblCECO[linea],"(sin catálogo)"))</f>
        <v/>
      </c>
      <c r="U297" s="3">
        <f>IF(tblOrdenes[[#This Row],[centro_costo]]="","",_xlfn.XLOOKUP(tblOrdenes[[#This Row],[centro_costo]],tblCECO[codigo],tblCECO[area],"(sin catálogo)"))</f>
        <v/>
      </c>
      <c r="V297" s="3">
        <f>IF(tblOrdenes[[#This Row],[centro_costo]]="","",_xlfn.XLOOKUP(tblOrdenes[[#This Row],[centro_costo]],tblCECO[codigo],tblCECO[coordinador],"(sin catálogo)"))</f>
        <v/>
      </c>
      <c r="W297" s="3">
        <f>IF(tblOrdenes[[#This Row],[puesto_trabajo]]="","",_xlfn.XLOOKUP(tblOrdenes[[#This Row],[puesto_trabajo]],tblPuestos[codigo],tblPuestos[especialidad],"(sin catálogo)"))</f>
        <v/>
      </c>
      <c r="X297" s="3">
        <f>IF(tblOrdenes[[#This Row],[cod_actividad]]="","",_xlfn.XLOOKUP(tblOrdenes[[#This Row],[cod_actividad]],tblActividades[codigo],tblActividades[descripcion],"(sin catálogo)"))</f>
        <v/>
      </c>
      <c r="Y297" s="12">
        <f>IF(tblOrdenes[[#This Row],[fecha_inicio]]="","",TODAY()-tblOrdenes[[#This Row],[fecha_inicio]])</f>
        <v/>
      </c>
      <c r="Z297" s="3">
        <f>IF(tblOrdenes[[#This Row],[backlog_dias]]="","",IF(tblOrdenes[[#This Row],[backlog_dias]]&lt;0,"FUTURO",IF(tblOrdenes[[#This Row],[backlog_dias]]&gt;p_dias_backlog_max,"BACKLOG","MES CORRIENTE")))</f>
        <v/>
      </c>
      <c r="AA297" s="3">
        <f>IF(tblOrdenes[[#This Row],[backlog_dias]]="",FALSE,AND(tblOrdenes[[#This Row],[backlog_dias]]&gt;p_dias_backlog_min,tblOrdenes[[#This Row],[backlog_dias]]&lt;=p_dias_backlog_max))</f>
        <v/>
      </c>
      <c r="AB297" s="6" t="n"/>
      <c r="AC2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7" s="10">
        <f>IF(tblOrdenes[[#This Row],[orden]]="","",_xlfn.XLOOKUP(tblOrdenes[[#This Row],[id_operacion]],tblEjecucion[id_operacion],tblEjecucion[precio],0))</f>
        <v/>
      </c>
      <c r="AG297" s="10">
        <f>IF(tblOrdenes[[#This Row],[orden]]="","",MAX(0,_xlfn.XLOOKUP(tblOrdenes[[#This Row],[id_operacion]],tblEjecucion[id_operacion],tblEjecucion[costo_plan_total],0)-tblOrdenes[[#This Row],[costo_servicio]]))</f>
        <v/>
      </c>
      <c r="AH297" s="10">
        <f>IF(tblOrdenes[[#This Row],[orden]]="","",tblOrdenes[[#This Row],[costo_servicio]]+tblOrdenes[[#This Row],[costo_materiales]])</f>
        <v/>
      </c>
      <c r="AI297" s="6" t="n"/>
      <c r="AJ297" s="6" t="n"/>
      <c r="AK297" s="6" t="n"/>
      <c r="AL297" s="3">
        <f>IF(tblOrdenes[[#This Row],[link_checklist]]="","",HYPERLINK(p_ruta_base_checklists&amp;tblOrdenes[[#This Row],[link_checklist]],"abrir"))</f>
        <v/>
      </c>
      <c r="AM297" s="6" t="n"/>
      <c r="AN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Row],[tipo_ot]]="","",_xlfn.XLOOKUP(tblOrdenes[[#This Row],[tipo_ot]],tblTiposOT[codigo],tblTiposOT[clasificacion],"sin_clasificar"))</f>
        <v/>
      </c>
      <c r="T298" s="3">
        <f>IF(tblOrdenes[[#This Row],[centro_costo]]="","",_xlfn.XLOOKUP(tblOrdenes[[#This Row],[centro_costo]],tblCECO[codigo],tblCECO[linea],"(sin catálogo)"))</f>
        <v/>
      </c>
      <c r="U298" s="3">
        <f>IF(tblOrdenes[[#This Row],[centro_costo]]="","",_xlfn.XLOOKUP(tblOrdenes[[#This Row],[centro_costo]],tblCECO[codigo],tblCECO[area],"(sin catálogo)"))</f>
        <v/>
      </c>
      <c r="V298" s="3">
        <f>IF(tblOrdenes[[#This Row],[centro_costo]]="","",_xlfn.XLOOKUP(tblOrdenes[[#This Row],[centro_costo]],tblCECO[codigo],tblCECO[coordinador],"(sin catálogo)"))</f>
        <v/>
      </c>
      <c r="W298" s="3">
        <f>IF(tblOrdenes[[#This Row],[puesto_trabajo]]="","",_xlfn.XLOOKUP(tblOrdenes[[#This Row],[puesto_trabajo]],tblPuestos[codigo],tblPuestos[especialidad],"(sin catálogo)"))</f>
        <v/>
      </c>
      <c r="X298" s="3">
        <f>IF(tblOrdenes[[#This Row],[cod_actividad]]="","",_xlfn.XLOOKUP(tblOrdenes[[#This Row],[cod_actividad]],tblActividades[codigo],tblActividades[descripcion],"(sin catálogo)"))</f>
        <v/>
      </c>
      <c r="Y298" s="12">
        <f>IF(tblOrdenes[[#This Row],[fecha_inicio]]="","",TODAY()-tblOrdenes[[#This Row],[fecha_inicio]])</f>
        <v/>
      </c>
      <c r="Z298" s="3">
        <f>IF(tblOrdenes[[#This Row],[backlog_dias]]="","",IF(tblOrdenes[[#This Row],[backlog_dias]]&lt;0,"FUTURO",IF(tblOrdenes[[#This Row],[backlog_dias]]&gt;p_dias_backlog_max,"BACKLOG","MES CORRIENTE")))</f>
        <v/>
      </c>
      <c r="AA298" s="3">
        <f>IF(tblOrdenes[[#This Row],[backlog_dias]]="",FALSE,AND(tblOrdenes[[#This Row],[backlog_dias]]&gt;p_dias_backlog_min,tblOrdenes[[#This Row],[backlog_dias]]&lt;=p_dias_backlog_max))</f>
        <v/>
      </c>
      <c r="AB298" s="6" t="n"/>
      <c r="AC2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8" s="10">
        <f>IF(tblOrdenes[[#This Row],[orden]]="","",_xlfn.XLOOKUP(tblOrdenes[[#This Row],[id_operacion]],tblEjecucion[id_operacion],tblEjecucion[precio],0))</f>
        <v/>
      </c>
      <c r="AG298" s="10">
        <f>IF(tblOrdenes[[#This Row],[orden]]="","",MAX(0,_xlfn.XLOOKUP(tblOrdenes[[#This Row],[id_operacion]],tblEjecucion[id_operacion],tblEjecucion[costo_plan_total],0)-tblOrdenes[[#This Row],[costo_servicio]]))</f>
        <v/>
      </c>
      <c r="AH298" s="10">
        <f>IF(tblOrdenes[[#This Row],[orden]]="","",tblOrdenes[[#This Row],[costo_servicio]]+tblOrdenes[[#This Row],[costo_materiales]])</f>
        <v/>
      </c>
      <c r="AI298" s="6" t="n"/>
      <c r="AJ298" s="6" t="n"/>
      <c r="AK298" s="6" t="n"/>
      <c r="AL298" s="3">
        <f>IF(tblOrdenes[[#This Row],[link_checklist]]="","",HYPERLINK(p_ruta_base_checklists&amp;tblOrdenes[[#This Row],[link_checklist]],"abrir"))</f>
        <v/>
      </c>
      <c r="AM298" s="6" t="n"/>
      <c r="AN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Row],[tipo_ot]]="","",_xlfn.XLOOKUP(tblOrdenes[[#This Row],[tipo_ot]],tblTiposOT[codigo],tblTiposOT[clasificacion],"sin_clasificar"))</f>
        <v/>
      </c>
      <c r="T299" s="3">
        <f>IF(tblOrdenes[[#This Row],[centro_costo]]="","",_xlfn.XLOOKUP(tblOrdenes[[#This Row],[centro_costo]],tblCECO[codigo],tblCECO[linea],"(sin catálogo)"))</f>
        <v/>
      </c>
      <c r="U299" s="3">
        <f>IF(tblOrdenes[[#This Row],[centro_costo]]="","",_xlfn.XLOOKUP(tblOrdenes[[#This Row],[centro_costo]],tblCECO[codigo],tblCECO[area],"(sin catálogo)"))</f>
        <v/>
      </c>
      <c r="V299" s="3">
        <f>IF(tblOrdenes[[#This Row],[centro_costo]]="","",_xlfn.XLOOKUP(tblOrdenes[[#This Row],[centro_costo]],tblCECO[codigo],tblCECO[coordinador],"(sin catálogo)"))</f>
        <v/>
      </c>
      <c r="W299" s="3">
        <f>IF(tblOrdenes[[#This Row],[puesto_trabajo]]="","",_xlfn.XLOOKUP(tblOrdenes[[#This Row],[puesto_trabajo]],tblPuestos[codigo],tblPuestos[especialidad],"(sin catálogo)"))</f>
        <v/>
      </c>
      <c r="X299" s="3">
        <f>IF(tblOrdenes[[#This Row],[cod_actividad]]="","",_xlfn.XLOOKUP(tblOrdenes[[#This Row],[cod_actividad]],tblActividades[codigo],tblActividades[descripcion],"(sin catálogo)"))</f>
        <v/>
      </c>
      <c r="Y299" s="12">
        <f>IF(tblOrdenes[[#This Row],[fecha_inicio]]="","",TODAY()-tblOrdenes[[#This Row],[fecha_inicio]])</f>
        <v/>
      </c>
      <c r="Z299" s="3">
        <f>IF(tblOrdenes[[#This Row],[backlog_dias]]="","",IF(tblOrdenes[[#This Row],[backlog_dias]]&lt;0,"FUTURO",IF(tblOrdenes[[#This Row],[backlog_dias]]&gt;p_dias_backlog_max,"BACKLOG","MES CORRIENTE")))</f>
        <v/>
      </c>
      <c r="AA299" s="3">
        <f>IF(tblOrdenes[[#This Row],[backlog_dias]]="",FALSE,AND(tblOrdenes[[#This Row],[backlog_dias]]&gt;p_dias_backlog_min,tblOrdenes[[#This Row],[backlog_dias]]&lt;=p_dias_backlog_max))</f>
        <v/>
      </c>
      <c r="AB299" s="6" t="n"/>
      <c r="AC2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9" s="10">
        <f>IF(tblOrdenes[[#This Row],[orden]]="","",_xlfn.XLOOKUP(tblOrdenes[[#This Row],[id_operacion]],tblEjecucion[id_operacion],tblEjecucion[precio],0))</f>
        <v/>
      </c>
      <c r="AG299" s="10">
        <f>IF(tblOrdenes[[#This Row],[orden]]="","",MAX(0,_xlfn.XLOOKUP(tblOrdenes[[#This Row],[id_operacion]],tblEjecucion[id_operacion],tblEjecucion[costo_plan_total],0)-tblOrdenes[[#This Row],[costo_servicio]]))</f>
        <v/>
      </c>
      <c r="AH299" s="10">
        <f>IF(tblOrdenes[[#This Row],[orden]]="","",tblOrdenes[[#This Row],[costo_servicio]]+tblOrdenes[[#This Row],[costo_materiales]])</f>
        <v/>
      </c>
      <c r="AI299" s="6" t="n"/>
      <c r="AJ299" s="6" t="n"/>
      <c r="AK299" s="6" t="n"/>
      <c r="AL299" s="3">
        <f>IF(tblOrdenes[[#This Row],[link_checklist]]="","",HYPERLINK(p_ruta_base_checklists&amp;tblOrdenes[[#This Row],[link_checklist]],"abrir"))</f>
        <v/>
      </c>
      <c r="AM299" s="6" t="n"/>
      <c r="AN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Row],[tipo_ot]]="","",_xlfn.XLOOKUP(tblOrdenes[[#This Row],[tipo_ot]],tblTiposOT[codigo],tblTiposOT[clasificacion],"sin_clasificar"))</f>
        <v/>
      </c>
      <c r="T300" s="3">
        <f>IF(tblOrdenes[[#This Row],[centro_costo]]="","",_xlfn.XLOOKUP(tblOrdenes[[#This Row],[centro_costo]],tblCECO[codigo],tblCECO[linea],"(sin catálogo)"))</f>
        <v/>
      </c>
      <c r="U300" s="3">
        <f>IF(tblOrdenes[[#This Row],[centro_costo]]="","",_xlfn.XLOOKUP(tblOrdenes[[#This Row],[centro_costo]],tblCECO[codigo],tblCECO[area],"(sin catálogo)"))</f>
        <v/>
      </c>
      <c r="V300" s="3">
        <f>IF(tblOrdenes[[#This Row],[centro_costo]]="","",_xlfn.XLOOKUP(tblOrdenes[[#This Row],[centro_costo]],tblCECO[codigo],tblCECO[coordinador],"(sin catálogo)"))</f>
        <v/>
      </c>
      <c r="W300" s="3">
        <f>IF(tblOrdenes[[#This Row],[puesto_trabajo]]="","",_xlfn.XLOOKUP(tblOrdenes[[#This Row],[puesto_trabajo]],tblPuestos[codigo],tblPuestos[especialidad],"(sin catálogo)"))</f>
        <v/>
      </c>
      <c r="X300" s="3">
        <f>IF(tblOrdenes[[#This Row],[cod_actividad]]="","",_xlfn.XLOOKUP(tblOrdenes[[#This Row],[cod_actividad]],tblActividades[codigo],tblActividades[descripcion],"(sin catálogo)"))</f>
        <v/>
      </c>
      <c r="Y300" s="12">
        <f>IF(tblOrdenes[[#This Row],[fecha_inicio]]="","",TODAY()-tblOrdenes[[#This Row],[fecha_inicio]])</f>
        <v/>
      </c>
      <c r="Z300" s="3">
        <f>IF(tblOrdenes[[#This Row],[backlog_dias]]="","",IF(tblOrdenes[[#This Row],[backlog_dias]]&lt;0,"FUTURO",IF(tblOrdenes[[#This Row],[backlog_dias]]&gt;p_dias_backlog_max,"BACKLOG","MES CORRIENTE")))</f>
        <v/>
      </c>
      <c r="AA300" s="3">
        <f>IF(tblOrdenes[[#This Row],[backlog_dias]]="",FALSE,AND(tblOrdenes[[#This Row],[backlog_dias]]&gt;p_dias_backlog_min,tblOrdenes[[#This Row],[backlog_dias]]&lt;=p_dias_backlog_max))</f>
        <v/>
      </c>
      <c r="AB300" s="6" t="n"/>
      <c r="AC3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0" s="10">
        <f>IF(tblOrdenes[[#This Row],[orden]]="","",_xlfn.XLOOKUP(tblOrdenes[[#This Row],[id_operacion]],tblEjecucion[id_operacion],tblEjecucion[precio],0))</f>
        <v/>
      </c>
      <c r="AG300" s="10">
        <f>IF(tblOrdenes[[#This Row],[orden]]="","",MAX(0,_xlfn.XLOOKUP(tblOrdenes[[#This Row],[id_operacion]],tblEjecucion[id_operacion],tblEjecucion[costo_plan_total],0)-tblOrdenes[[#This Row],[costo_servicio]]))</f>
        <v/>
      </c>
      <c r="AH300" s="10">
        <f>IF(tblOrdenes[[#This Row],[orden]]="","",tblOrdenes[[#This Row],[costo_servicio]]+tblOrdenes[[#This Row],[costo_materiales]])</f>
        <v/>
      </c>
      <c r="AI300" s="6" t="n"/>
      <c r="AJ300" s="6" t="n"/>
      <c r="AK300" s="6" t="n"/>
      <c r="AL300" s="3">
        <f>IF(tblOrdenes[[#This Row],[link_checklist]]="","",HYPERLINK(p_ruta_base_checklists&amp;tblOrdenes[[#This Row],[link_checklist]],"abrir"))</f>
        <v/>
      </c>
      <c r="AM300" s="6" t="n"/>
      <c r="AN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Row],[tipo_ot]]="","",_xlfn.XLOOKUP(tblOrdenes[[#This Row],[tipo_ot]],tblTiposOT[codigo],tblTiposOT[clasificacion],"sin_clasificar"))</f>
        <v/>
      </c>
      <c r="T301" s="3">
        <f>IF(tblOrdenes[[#This Row],[centro_costo]]="","",_xlfn.XLOOKUP(tblOrdenes[[#This Row],[centro_costo]],tblCECO[codigo],tblCECO[linea],"(sin catálogo)"))</f>
        <v/>
      </c>
      <c r="U301" s="3">
        <f>IF(tblOrdenes[[#This Row],[centro_costo]]="","",_xlfn.XLOOKUP(tblOrdenes[[#This Row],[centro_costo]],tblCECO[codigo],tblCECO[area],"(sin catálogo)"))</f>
        <v/>
      </c>
      <c r="V301" s="3">
        <f>IF(tblOrdenes[[#This Row],[centro_costo]]="","",_xlfn.XLOOKUP(tblOrdenes[[#This Row],[centro_costo]],tblCECO[codigo],tblCECO[coordinador],"(sin catálogo)"))</f>
        <v/>
      </c>
      <c r="W301" s="3">
        <f>IF(tblOrdenes[[#This Row],[puesto_trabajo]]="","",_xlfn.XLOOKUP(tblOrdenes[[#This Row],[puesto_trabajo]],tblPuestos[codigo],tblPuestos[especialidad],"(sin catálogo)"))</f>
        <v/>
      </c>
      <c r="X301" s="3">
        <f>IF(tblOrdenes[[#This Row],[cod_actividad]]="","",_xlfn.XLOOKUP(tblOrdenes[[#This Row],[cod_actividad]],tblActividades[codigo],tblActividades[descripcion],"(sin catálogo)"))</f>
        <v/>
      </c>
      <c r="Y301" s="12">
        <f>IF(tblOrdenes[[#This Row],[fecha_inicio]]="","",TODAY()-tblOrdenes[[#This Row],[fecha_inicio]])</f>
        <v/>
      </c>
      <c r="Z301" s="3">
        <f>IF(tblOrdenes[[#This Row],[backlog_dias]]="","",IF(tblOrdenes[[#This Row],[backlog_dias]]&lt;0,"FUTURO",IF(tblOrdenes[[#This Row],[backlog_dias]]&gt;p_dias_backlog_max,"BACKLOG","MES CORRIENTE")))</f>
        <v/>
      </c>
      <c r="AA301" s="3">
        <f>IF(tblOrdenes[[#This Row],[backlog_dias]]="",FALSE,AND(tblOrdenes[[#This Row],[backlog_dias]]&gt;p_dias_backlog_min,tblOrdenes[[#This Row],[backlog_dias]]&lt;=p_dias_backlog_max))</f>
        <v/>
      </c>
      <c r="AB301" s="6" t="n"/>
      <c r="AC3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1" s="10">
        <f>IF(tblOrdenes[[#This Row],[orden]]="","",_xlfn.XLOOKUP(tblOrdenes[[#This Row],[id_operacion]],tblEjecucion[id_operacion],tblEjecucion[precio],0))</f>
        <v/>
      </c>
      <c r="AG301" s="10">
        <f>IF(tblOrdenes[[#This Row],[orden]]="","",MAX(0,_xlfn.XLOOKUP(tblOrdenes[[#This Row],[id_operacion]],tblEjecucion[id_operacion],tblEjecucion[costo_plan_total],0)-tblOrdenes[[#This Row],[costo_servicio]]))</f>
        <v/>
      </c>
      <c r="AH301" s="10">
        <f>IF(tblOrdenes[[#This Row],[orden]]="","",tblOrdenes[[#This Row],[costo_servicio]]+tblOrdenes[[#This Row],[costo_materiales]])</f>
        <v/>
      </c>
      <c r="AI301" s="6" t="n"/>
      <c r="AJ301" s="6" t="n"/>
      <c r="AK301" s="6" t="n"/>
      <c r="AL301" s="3">
        <f>IF(tblOrdenes[[#This Row],[link_checklist]]="","",HYPERLINK(p_ruta_base_checklists&amp;tblOrdenes[[#This Row],[link_checklist]],"abrir"))</f>
        <v/>
      </c>
      <c r="AM301" s="6" t="n"/>
      <c r="AN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Row],[tipo_ot]]="","",_xlfn.XLOOKUP(tblOrdenes[[#This Row],[tipo_ot]],tblTiposOT[codigo],tblTiposOT[clasificacion],"sin_clasificar"))</f>
        <v/>
      </c>
      <c r="T302" s="3">
        <f>IF(tblOrdenes[[#This Row],[centro_costo]]="","",_xlfn.XLOOKUP(tblOrdenes[[#This Row],[centro_costo]],tblCECO[codigo],tblCECO[linea],"(sin catálogo)"))</f>
        <v/>
      </c>
      <c r="U302" s="3">
        <f>IF(tblOrdenes[[#This Row],[centro_costo]]="","",_xlfn.XLOOKUP(tblOrdenes[[#This Row],[centro_costo]],tblCECO[codigo],tblCECO[area],"(sin catálogo)"))</f>
        <v/>
      </c>
      <c r="V302" s="3">
        <f>IF(tblOrdenes[[#This Row],[centro_costo]]="","",_xlfn.XLOOKUP(tblOrdenes[[#This Row],[centro_costo]],tblCECO[codigo],tblCECO[coordinador],"(sin catálogo)"))</f>
        <v/>
      </c>
      <c r="W302" s="3">
        <f>IF(tblOrdenes[[#This Row],[puesto_trabajo]]="","",_xlfn.XLOOKUP(tblOrdenes[[#This Row],[puesto_trabajo]],tblPuestos[codigo],tblPuestos[especialidad],"(sin catálogo)"))</f>
        <v/>
      </c>
      <c r="X302" s="3">
        <f>IF(tblOrdenes[[#This Row],[cod_actividad]]="","",_xlfn.XLOOKUP(tblOrdenes[[#This Row],[cod_actividad]],tblActividades[codigo],tblActividades[descripcion],"(sin catálogo)"))</f>
        <v/>
      </c>
      <c r="Y302" s="12">
        <f>IF(tblOrdenes[[#This Row],[fecha_inicio]]="","",TODAY()-tblOrdenes[[#This Row],[fecha_inicio]])</f>
        <v/>
      </c>
      <c r="Z302" s="3">
        <f>IF(tblOrdenes[[#This Row],[backlog_dias]]="","",IF(tblOrdenes[[#This Row],[backlog_dias]]&lt;0,"FUTURO",IF(tblOrdenes[[#This Row],[backlog_dias]]&gt;p_dias_backlog_max,"BACKLOG","MES CORRIENTE")))</f>
        <v/>
      </c>
      <c r="AA302" s="3">
        <f>IF(tblOrdenes[[#This Row],[backlog_dias]]="",FALSE,AND(tblOrdenes[[#This Row],[backlog_dias]]&gt;p_dias_backlog_min,tblOrdenes[[#This Row],[backlog_dias]]&lt;=p_dias_backlog_max))</f>
        <v/>
      </c>
      <c r="AB302" s="6" t="n"/>
      <c r="AC3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2" s="10">
        <f>IF(tblOrdenes[[#This Row],[orden]]="","",_xlfn.XLOOKUP(tblOrdenes[[#This Row],[id_operacion]],tblEjecucion[id_operacion],tblEjecucion[precio],0))</f>
        <v/>
      </c>
      <c r="AG302" s="10">
        <f>IF(tblOrdenes[[#This Row],[orden]]="","",MAX(0,_xlfn.XLOOKUP(tblOrdenes[[#This Row],[id_operacion]],tblEjecucion[id_operacion],tblEjecucion[costo_plan_total],0)-tblOrdenes[[#This Row],[costo_servicio]]))</f>
        <v/>
      </c>
      <c r="AH302" s="10">
        <f>IF(tblOrdenes[[#This Row],[orden]]="","",tblOrdenes[[#This Row],[costo_servicio]]+tblOrdenes[[#This Row],[costo_materiales]])</f>
        <v/>
      </c>
      <c r="AI302" s="6" t="n"/>
      <c r="AJ302" s="6" t="n"/>
      <c r="AK302" s="6" t="n"/>
      <c r="AL302" s="3">
        <f>IF(tblOrdenes[[#This Row],[link_checklist]]="","",HYPERLINK(p_ruta_base_checklists&amp;tblOrdenes[[#This Row],[link_checklist]],"abrir"))</f>
        <v/>
      </c>
      <c r="AM302" s="6" t="n"/>
      <c r="AN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Row],[tipo_ot]]="","",_xlfn.XLOOKUP(tblOrdenes[[#This Row],[tipo_ot]],tblTiposOT[codigo],tblTiposOT[clasificacion],"sin_clasificar"))</f>
        <v/>
      </c>
      <c r="T303" s="3">
        <f>IF(tblOrdenes[[#This Row],[centro_costo]]="","",_xlfn.XLOOKUP(tblOrdenes[[#This Row],[centro_costo]],tblCECO[codigo],tblCECO[linea],"(sin catálogo)"))</f>
        <v/>
      </c>
      <c r="U303" s="3">
        <f>IF(tblOrdenes[[#This Row],[centro_costo]]="","",_xlfn.XLOOKUP(tblOrdenes[[#This Row],[centro_costo]],tblCECO[codigo],tblCECO[area],"(sin catálogo)"))</f>
        <v/>
      </c>
      <c r="V303" s="3">
        <f>IF(tblOrdenes[[#This Row],[centro_costo]]="","",_xlfn.XLOOKUP(tblOrdenes[[#This Row],[centro_costo]],tblCECO[codigo],tblCECO[coordinador],"(sin catálogo)"))</f>
        <v/>
      </c>
      <c r="W303" s="3">
        <f>IF(tblOrdenes[[#This Row],[puesto_trabajo]]="","",_xlfn.XLOOKUP(tblOrdenes[[#This Row],[puesto_trabajo]],tblPuestos[codigo],tblPuestos[especialidad],"(sin catálogo)"))</f>
        <v/>
      </c>
      <c r="X303" s="3">
        <f>IF(tblOrdenes[[#This Row],[cod_actividad]]="","",_xlfn.XLOOKUP(tblOrdenes[[#This Row],[cod_actividad]],tblActividades[codigo],tblActividades[descripcion],"(sin catálogo)"))</f>
        <v/>
      </c>
      <c r="Y303" s="12">
        <f>IF(tblOrdenes[[#This Row],[fecha_inicio]]="","",TODAY()-tblOrdenes[[#This Row],[fecha_inicio]])</f>
        <v/>
      </c>
      <c r="Z303" s="3">
        <f>IF(tblOrdenes[[#This Row],[backlog_dias]]="","",IF(tblOrdenes[[#This Row],[backlog_dias]]&lt;0,"FUTURO",IF(tblOrdenes[[#This Row],[backlog_dias]]&gt;p_dias_backlog_max,"BACKLOG","MES CORRIENTE")))</f>
        <v/>
      </c>
      <c r="AA303" s="3">
        <f>IF(tblOrdenes[[#This Row],[backlog_dias]]="",FALSE,AND(tblOrdenes[[#This Row],[backlog_dias]]&gt;p_dias_backlog_min,tblOrdenes[[#This Row],[backlog_dias]]&lt;=p_dias_backlog_max))</f>
        <v/>
      </c>
      <c r="AB303" s="6" t="n"/>
      <c r="AC3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3" s="10">
        <f>IF(tblOrdenes[[#This Row],[orden]]="","",_xlfn.XLOOKUP(tblOrdenes[[#This Row],[id_operacion]],tblEjecucion[id_operacion],tblEjecucion[precio],0))</f>
        <v/>
      </c>
      <c r="AG303" s="10">
        <f>IF(tblOrdenes[[#This Row],[orden]]="","",MAX(0,_xlfn.XLOOKUP(tblOrdenes[[#This Row],[id_operacion]],tblEjecucion[id_operacion],tblEjecucion[costo_plan_total],0)-tblOrdenes[[#This Row],[costo_servicio]]))</f>
        <v/>
      </c>
      <c r="AH303" s="10">
        <f>IF(tblOrdenes[[#This Row],[orden]]="","",tblOrdenes[[#This Row],[costo_servicio]]+tblOrdenes[[#This Row],[costo_materiales]])</f>
        <v/>
      </c>
      <c r="AI303" s="6" t="n"/>
      <c r="AJ303" s="6" t="n"/>
      <c r="AK303" s="6" t="n"/>
      <c r="AL303" s="3">
        <f>IF(tblOrdenes[[#This Row],[link_checklist]]="","",HYPERLINK(p_ruta_base_checklists&amp;tblOrdenes[[#This Row],[link_checklist]],"abrir"))</f>
        <v/>
      </c>
      <c r="AM303" s="6" t="n"/>
      <c r="AN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Row],[tipo_ot]]="","",_xlfn.XLOOKUP(tblOrdenes[[#This Row],[tipo_ot]],tblTiposOT[codigo],tblTiposOT[clasificacion],"sin_clasificar"))</f>
        <v/>
      </c>
      <c r="T304" s="3">
        <f>IF(tblOrdenes[[#This Row],[centro_costo]]="","",_xlfn.XLOOKUP(tblOrdenes[[#This Row],[centro_costo]],tblCECO[codigo],tblCECO[linea],"(sin catálogo)"))</f>
        <v/>
      </c>
      <c r="U304" s="3">
        <f>IF(tblOrdenes[[#This Row],[centro_costo]]="","",_xlfn.XLOOKUP(tblOrdenes[[#This Row],[centro_costo]],tblCECO[codigo],tblCECO[area],"(sin catálogo)"))</f>
        <v/>
      </c>
      <c r="V304" s="3">
        <f>IF(tblOrdenes[[#This Row],[centro_costo]]="","",_xlfn.XLOOKUP(tblOrdenes[[#This Row],[centro_costo]],tblCECO[codigo],tblCECO[coordinador],"(sin catálogo)"))</f>
        <v/>
      </c>
      <c r="W304" s="3">
        <f>IF(tblOrdenes[[#This Row],[puesto_trabajo]]="","",_xlfn.XLOOKUP(tblOrdenes[[#This Row],[puesto_trabajo]],tblPuestos[codigo],tblPuestos[especialidad],"(sin catálogo)"))</f>
        <v/>
      </c>
      <c r="X304" s="3">
        <f>IF(tblOrdenes[[#This Row],[cod_actividad]]="","",_xlfn.XLOOKUP(tblOrdenes[[#This Row],[cod_actividad]],tblActividades[codigo],tblActividades[descripcion],"(sin catálogo)"))</f>
        <v/>
      </c>
      <c r="Y304" s="12">
        <f>IF(tblOrdenes[[#This Row],[fecha_inicio]]="","",TODAY()-tblOrdenes[[#This Row],[fecha_inicio]])</f>
        <v/>
      </c>
      <c r="Z304" s="3">
        <f>IF(tblOrdenes[[#This Row],[backlog_dias]]="","",IF(tblOrdenes[[#This Row],[backlog_dias]]&lt;0,"FUTURO",IF(tblOrdenes[[#This Row],[backlog_dias]]&gt;p_dias_backlog_max,"BACKLOG","MES CORRIENTE")))</f>
        <v/>
      </c>
      <c r="AA304" s="3">
        <f>IF(tblOrdenes[[#This Row],[backlog_dias]]="",FALSE,AND(tblOrdenes[[#This Row],[backlog_dias]]&gt;p_dias_backlog_min,tblOrdenes[[#This Row],[backlog_dias]]&lt;=p_dias_backlog_max))</f>
        <v/>
      </c>
      <c r="AB304" s="6" t="n"/>
      <c r="AC3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4" s="10">
        <f>IF(tblOrdenes[[#This Row],[orden]]="","",_xlfn.XLOOKUP(tblOrdenes[[#This Row],[id_operacion]],tblEjecucion[id_operacion],tblEjecucion[precio],0))</f>
        <v/>
      </c>
      <c r="AG304" s="10">
        <f>IF(tblOrdenes[[#This Row],[orden]]="","",MAX(0,_xlfn.XLOOKUP(tblOrdenes[[#This Row],[id_operacion]],tblEjecucion[id_operacion],tblEjecucion[costo_plan_total],0)-tblOrdenes[[#This Row],[costo_servicio]]))</f>
        <v/>
      </c>
      <c r="AH304" s="10">
        <f>IF(tblOrdenes[[#This Row],[orden]]="","",tblOrdenes[[#This Row],[costo_servicio]]+tblOrdenes[[#This Row],[costo_materiales]])</f>
        <v/>
      </c>
      <c r="AI304" s="6" t="n"/>
      <c r="AJ304" s="6" t="n"/>
      <c r="AK304" s="6" t="n"/>
      <c r="AL304" s="3">
        <f>IF(tblOrdenes[[#This Row],[link_checklist]]="","",HYPERLINK(p_ruta_base_checklists&amp;tblOrdenes[[#This Row],[link_checklist]],"abrir"))</f>
        <v/>
      </c>
      <c r="AM304" s="6" t="n"/>
      <c r="AN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Row],[tipo_ot]]="","",_xlfn.XLOOKUP(tblOrdenes[[#This Row],[tipo_ot]],tblTiposOT[codigo],tblTiposOT[clasificacion],"sin_clasificar"))</f>
        <v/>
      </c>
      <c r="T305" s="3">
        <f>IF(tblOrdenes[[#This Row],[centro_costo]]="","",_xlfn.XLOOKUP(tblOrdenes[[#This Row],[centro_costo]],tblCECO[codigo],tblCECO[linea],"(sin catálogo)"))</f>
        <v/>
      </c>
      <c r="U305" s="3">
        <f>IF(tblOrdenes[[#This Row],[centro_costo]]="","",_xlfn.XLOOKUP(tblOrdenes[[#This Row],[centro_costo]],tblCECO[codigo],tblCECO[area],"(sin catálogo)"))</f>
        <v/>
      </c>
      <c r="V305" s="3">
        <f>IF(tblOrdenes[[#This Row],[centro_costo]]="","",_xlfn.XLOOKUP(tblOrdenes[[#This Row],[centro_costo]],tblCECO[codigo],tblCECO[coordinador],"(sin catálogo)"))</f>
        <v/>
      </c>
      <c r="W305" s="3">
        <f>IF(tblOrdenes[[#This Row],[puesto_trabajo]]="","",_xlfn.XLOOKUP(tblOrdenes[[#This Row],[puesto_trabajo]],tblPuestos[codigo],tblPuestos[especialidad],"(sin catálogo)"))</f>
        <v/>
      </c>
      <c r="X305" s="3">
        <f>IF(tblOrdenes[[#This Row],[cod_actividad]]="","",_xlfn.XLOOKUP(tblOrdenes[[#This Row],[cod_actividad]],tblActividades[codigo],tblActividades[descripcion],"(sin catálogo)"))</f>
        <v/>
      </c>
      <c r="Y305" s="12">
        <f>IF(tblOrdenes[[#This Row],[fecha_inicio]]="","",TODAY()-tblOrdenes[[#This Row],[fecha_inicio]])</f>
        <v/>
      </c>
      <c r="Z305" s="3">
        <f>IF(tblOrdenes[[#This Row],[backlog_dias]]="","",IF(tblOrdenes[[#This Row],[backlog_dias]]&lt;0,"FUTURO",IF(tblOrdenes[[#This Row],[backlog_dias]]&gt;p_dias_backlog_max,"BACKLOG","MES CORRIENTE")))</f>
        <v/>
      </c>
      <c r="AA305" s="3">
        <f>IF(tblOrdenes[[#This Row],[backlog_dias]]="",FALSE,AND(tblOrdenes[[#This Row],[backlog_dias]]&gt;p_dias_backlog_min,tblOrdenes[[#This Row],[backlog_dias]]&lt;=p_dias_backlog_max))</f>
        <v/>
      </c>
      <c r="AB305" s="6" t="n"/>
      <c r="AC3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5" s="10">
        <f>IF(tblOrdenes[[#This Row],[orden]]="","",_xlfn.XLOOKUP(tblOrdenes[[#This Row],[id_operacion]],tblEjecucion[id_operacion],tblEjecucion[precio],0))</f>
        <v/>
      </c>
      <c r="AG305" s="10">
        <f>IF(tblOrdenes[[#This Row],[orden]]="","",MAX(0,_xlfn.XLOOKUP(tblOrdenes[[#This Row],[id_operacion]],tblEjecucion[id_operacion],tblEjecucion[costo_plan_total],0)-tblOrdenes[[#This Row],[costo_servicio]]))</f>
        <v/>
      </c>
      <c r="AH305" s="10">
        <f>IF(tblOrdenes[[#This Row],[orden]]="","",tblOrdenes[[#This Row],[costo_servicio]]+tblOrdenes[[#This Row],[costo_materiales]])</f>
        <v/>
      </c>
      <c r="AI305" s="6" t="n"/>
      <c r="AJ305" s="6" t="n"/>
      <c r="AK305" s="6" t="n"/>
      <c r="AL305" s="3">
        <f>IF(tblOrdenes[[#This Row],[link_checklist]]="","",HYPERLINK(p_ruta_base_checklists&amp;tblOrdenes[[#This Row],[link_checklist]],"abrir"))</f>
        <v/>
      </c>
      <c r="AM305" s="6" t="n"/>
      <c r="AN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Row],[tipo_ot]]="","",_xlfn.XLOOKUP(tblOrdenes[[#This Row],[tipo_ot]],tblTiposOT[codigo],tblTiposOT[clasificacion],"sin_clasificar"))</f>
        <v/>
      </c>
      <c r="T306" s="3">
        <f>IF(tblOrdenes[[#This Row],[centro_costo]]="","",_xlfn.XLOOKUP(tblOrdenes[[#This Row],[centro_costo]],tblCECO[codigo],tblCECO[linea],"(sin catálogo)"))</f>
        <v/>
      </c>
      <c r="U306" s="3">
        <f>IF(tblOrdenes[[#This Row],[centro_costo]]="","",_xlfn.XLOOKUP(tblOrdenes[[#This Row],[centro_costo]],tblCECO[codigo],tblCECO[area],"(sin catálogo)"))</f>
        <v/>
      </c>
      <c r="V306" s="3">
        <f>IF(tblOrdenes[[#This Row],[centro_costo]]="","",_xlfn.XLOOKUP(tblOrdenes[[#This Row],[centro_costo]],tblCECO[codigo],tblCECO[coordinador],"(sin catálogo)"))</f>
        <v/>
      </c>
      <c r="W306" s="3">
        <f>IF(tblOrdenes[[#This Row],[puesto_trabajo]]="","",_xlfn.XLOOKUP(tblOrdenes[[#This Row],[puesto_trabajo]],tblPuestos[codigo],tblPuestos[especialidad],"(sin catálogo)"))</f>
        <v/>
      </c>
      <c r="X306" s="3">
        <f>IF(tblOrdenes[[#This Row],[cod_actividad]]="","",_xlfn.XLOOKUP(tblOrdenes[[#This Row],[cod_actividad]],tblActividades[codigo],tblActividades[descripcion],"(sin catálogo)"))</f>
        <v/>
      </c>
      <c r="Y306" s="12">
        <f>IF(tblOrdenes[[#This Row],[fecha_inicio]]="","",TODAY()-tblOrdenes[[#This Row],[fecha_inicio]])</f>
        <v/>
      </c>
      <c r="Z306" s="3">
        <f>IF(tblOrdenes[[#This Row],[backlog_dias]]="","",IF(tblOrdenes[[#This Row],[backlog_dias]]&lt;0,"FUTURO",IF(tblOrdenes[[#This Row],[backlog_dias]]&gt;p_dias_backlog_max,"BACKLOG","MES CORRIENTE")))</f>
        <v/>
      </c>
      <c r="AA306" s="3">
        <f>IF(tblOrdenes[[#This Row],[backlog_dias]]="",FALSE,AND(tblOrdenes[[#This Row],[backlog_dias]]&gt;p_dias_backlog_min,tblOrdenes[[#This Row],[backlog_dias]]&lt;=p_dias_backlog_max))</f>
        <v/>
      </c>
      <c r="AB306" s="6" t="n"/>
      <c r="AC3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6" s="10">
        <f>IF(tblOrdenes[[#This Row],[orden]]="","",_xlfn.XLOOKUP(tblOrdenes[[#This Row],[id_operacion]],tblEjecucion[id_operacion],tblEjecucion[precio],0))</f>
        <v/>
      </c>
      <c r="AG306" s="10">
        <f>IF(tblOrdenes[[#This Row],[orden]]="","",MAX(0,_xlfn.XLOOKUP(tblOrdenes[[#This Row],[id_operacion]],tblEjecucion[id_operacion],tblEjecucion[costo_plan_total],0)-tblOrdenes[[#This Row],[costo_servicio]]))</f>
        <v/>
      </c>
      <c r="AH306" s="10">
        <f>IF(tblOrdenes[[#This Row],[orden]]="","",tblOrdenes[[#This Row],[costo_servicio]]+tblOrdenes[[#This Row],[costo_materiales]])</f>
        <v/>
      </c>
      <c r="AI306" s="6" t="n"/>
      <c r="AJ306" s="6" t="n"/>
      <c r="AK306" s="6" t="n"/>
      <c r="AL306" s="3">
        <f>IF(tblOrdenes[[#This Row],[link_checklist]]="","",HYPERLINK(p_ruta_base_checklists&amp;tblOrdenes[[#This Row],[link_checklist]],"abrir"))</f>
        <v/>
      </c>
      <c r="AM306" s="6" t="n"/>
      <c r="AN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Row],[tipo_ot]]="","",_xlfn.XLOOKUP(tblOrdenes[[#This Row],[tipo_ot]],tblTiposOT[codigo],tblTiposOT[clasificacion],"sin_clasificar"))</f>
        <v/>
      </c>
      <c r="T307" s="3">
        <f>IF(tblOrdenes[[#This Row],[centro_costo]]="","",_xlfn.XLOOKUP(tblOrdenes[[#This Row],[centro_costo]],tblCECO[codigo],tblCECO[linea],"(sin catálogo)"))</f>
        <v/>
      </c>
      <c r="U307" s="3">
        <f>IF(tblOrdenes[[#This Row],[centro_costo]]="","",_xlfn.XLOOKUP(tblOrdenes[[#This Row],[centro_costo]],tblCECO[codigo],tblCECO[area],"(sin catálogo)"))</f>
        <v/>
      </c>
      <c r="V307" s="3">
        <f>IF(tblOrdenes[[#This Row],[centro_costo]]="","",_xlfn.XLOOKUP(tblOrdenes[[#This Row],[centro_costo]],tblCECO[codigo],tblCECO[coordinador],"(sin catálogo)"))</f>
        <v/>
      </c>
      <c r="W307" s="3">
        <f>IF(tblOrdenes[[#This Row],[puesto_trabajo]]="","",_xlfn.XLOOKUP(tblOrdenes[[#This Row],[puesto_trabajo]],tblPuestos[codigo],tblPuestos[especialidad],"(sin catálogo)"))</f>
        <v/>
      </c>
      <c r="X307" s="3">
        <f>IF(tblOrdenes[[#This Row],[cod_actividad]]="","",_xlfn.XLOOKUP(tblOrdenes[[#This Row],[cod_actividad]],tblActividades[codigo],tblActividades[descripcion],"(sin catálogo)"))</f>
        <v/>
      </c>
      <c r="Y307" s="12">
        <f>IF(tblOrdenes[[#This Row],[fecha_inicio]]="","",TODAY()-tblOrdenes[[#This Row],[fecha_inicio]])</f>
        <v/>
      </c>
      <c r="Z307" s="3">
        <f>IF(tblOrdenes[[#This Row],[backlog_dias]]="","",IF(tblOrdenes[[#This Row],[backlog_dias]]&lt;0,"FUTURO",IF(tblOrdenes[[#This Row],[backlog_dias]]&gt;p_dias_backlog_max,"BACKLOG","MES CORRIENTE")))</f>
        <v/>
      </c>
      <c r="AA307" s="3">
        <f>IF(tblOrdenes[[#This Row],[backlog_dias]]="",FALSE,AND(tblOrdenes[[#This Row],[backlog_dias]]&gt;p_dias_backlog_min,tblOrdenes[[#This Row],[backlog_dias]]&lt;=p_dias_backlog_max))</f>
        <v/>
      </c>
      <c r="AB307" s="6" t="n"/>
      <c r="AC3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7" s="10">
        <f>IF(tblOrdenes[[#This Row],[orden]]="","",_xlfn.XLOOKUP(tblOrdenes[[#This Row],[id_operacion]],tblEjecucion[id_operacion],tblEjecucion[precio],0))</f>
        <v/>
      </c>
      <c r="AG307" s="10">
        <f>IF(tblOrdenes[[#This Row],[orden]]="","",MAX(0,_xlfn.XLOOKUP(tblOrdenes[[#This Row],[id_operacion]],tblEjecucion[id_operacion],tblEjecucion[costo_plan_total],0)-tblOrdenes[[#This Row],[costo_servicio]]))</f>
        <v/>
      </c>
      <c r="AH307" s="10">
        <f>IF(tblOrdenes[[#This Row],[orden]]="","",tblOrdenes[[#This Row],[costo_servicio]]+tblOrdenes[[#This Row],[costo_materiales]])</f>
        <v/>
      </c>
      <c r="AI307" s="6" t="n"/>
      <c r="AJ307" s="6" t="n"/>
      <c r="AK307" s="6" t="n"/>
      <c r="AL307" s="3">
        <f>IF(tblOrdenes[[#This Row],[link_checklist]]="","",HYPERLINK(p_ruta_base_checklists&amp;tblOrdenes[[#This Row],[link_checklist]],"abrir"))</f>
        <v/>
      </c>
      <c r="AM307" s="6" t="n"/>
      <c r="AN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Row],[tipo_ot]]="","",_xlfn.XLOOKUP(tblOrdenes[[#This Row],[tipo_ot]],tblTiposOT[codigo],tblTiposOT[clasificacion],"sin_clasificar"))</f>
        <v/>
      </c>
      <c r="T308" s="3">
        <f>IF(tblOrdenes[[#This Row],[centro_costo]]="","",_xlfn.XLOOKUP(tblOrdenes[[#This Row],[centro_costo]],tblCECO[codigo],tblCECO[linea],"(sin catálogo)"))</f>
        <v/>
      </c>
      <c r="U308" s="3">
        <f>IF(tblOrdenes[[#This Row],[centro_costo]]="","",_xlfn.XLOOKUP(tblOrdenes[[#This Row],[centro_costo]],tblCECO[codigo],tblCECO[area],"(sin catálogo)"))</f>
        <v/>
      </c>
      <c r="V308" s="3">
        <f>IF(tblOrdenes[[#This Row],[centro_costo]]="","",_xlfn.XLOOKUP(tblOrdenes[[#This Row],[centro_costo]],tblCECO[codigo],tblCECO[coordinador],"(sin catálogo)"))</f>
        <v/>
      </c>
      <c r="W308" s="3">
        <f>IF(tblOrdenes[[#This Row],[puesto_trabajo]]="","",_xlfn.XLOOKUP(tblOrdenes[[#This Row],[puesto_trabajo]],tblPuestos[codigo],tblPuestos[especialidad],"(sin catálogo)"))</f>
        <v/>
      </c>
      <c r="X308" s="3">
        <f>IF(tblOrdenes[[#This Row],[cod_actividad]]="","",_xlfn.XLOOKUP(tblOrdenes[[#This Row],[cod_actividad]],tblActividades[codigo],tblActividades[descripcion],"(sin catálogo)"))</f>
        <v/>
      </c>
      <c r="Y308" s="12">
        <f>IF(tblOrdenes[[#This Row],[fecha_inicio]]="","",TODAY()-tblOrdenes[[#This Row],[fecha_inicio]])</f>
        <v/>
      </c>
      <c r="Z308" s="3">
        <f>IF(tblOrdenes[[#This Row],[backlog_dias]]="","",IF(tblOrdenes[[#This Row],[backlog_dias]]&lt;0,"FUTURO",IF(tblOrdenes[[#This Row],[backlog_dias]]&gt;p_dias_backlog_max,"BACKLOG","MES CORRIENTE")))</f>
        <v/>
      </c>
      <c r="AA308" s="3">
        <f>IF(tblOrdenes[[#This Row],[backlog_dias]]="",FALSE,AND(tblOrdenes[[#This Row],[backlog_dias]]&gt;p_dias_backlog_min,tblOrdenes[[#This Row],[backlog_dias]]&lt;=p_dias_backlog_max))</f>
        <v/>
      </c>
      <c r="AB308" s="6" t="n"/>
      <c r="AC3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8" s="10">
        <f>IF(tblOrdenes[[#This Row],[orden]]="","",_xlfn.XLOOKUP(tblOrdenes[[#This Row],[id_operacion]],tblEjecucion[id_operacion],tblEjecucion[precio],0))</f>
        <v/>
      </c>
      <c r="AG308" s="10">
        <f>IF(tblOrdenes[[#This Row],[orden]]="","",MAX(0,_xlfn.XLOOKUP(tblOrdenes[[#This Row],[id_operacion]],tblEjecucion[id_operacion],tblEjecucion[costo_plan_total],0)-tblOrdenes[[#This Row],[costo_servicio]]))</f>
        <v/>
      </c>
      <c r="AH308" s="10">
        <f>IF(tblOrdenes[[#This Row],[orden]]="","",tblOrdenes[[#This Row],[costo_servicio]]+tblOrdenes[[#This Row],[costo_materiales]])</f>
        <v/>
      </c>
      <c r="AI308" s="6" t="n"/>
      <c r="AJ308" s="6" t="n"/>
      <c r="AK308" s="6" t="n"/>
      <c r="AL308" s="3">
        <f>IF(tblOrdenes[[#This Row],[link_checklist]]="","",HYPERLINK(p_ruta_base_checklists&amp;tblOrdenes[[#This Row],[link_checklist]],"abrir"))</f>
        <v/>
      </c>
      <c r="AM308" s="6" t="n"/>
      <c r="AN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Row],[tipo_ot]]="","",_xlfn.XLOOKUP(tblOrdenes[[#This Row],[tipo_ot]],tblTiposOT[codigo],tblTiposOT[clasificacion],"sin_clasificar"))</f>
        <v/>
      </c>
      <c r="T309" s="3">
        <f>IF(tblOrdenes[[#This Row],[centro_costo]]="","",_xlfn.XLOOKUP(tblOrdenes[[#This Row],[centro_costo]],tblCECO[codigo],tblCECO[linea],"(sin catálogo)"))</f>
        <v/>
      </c>
      <c r="U309" s="3">
        <f>IF(tblOrdenes[[#This Row],[centro_costo]]="","",_xlfn.XLOOKUP(tblOrdenes[[#This Row],[centro_costo]],tblCECO[codigo],tblCECO[area],"(sin catálogo)"))</f>
        <v/>
      </c>
      <c r="V309" s="3">
        <f>IF(tblOrdenes[[#This Row],[centro_costo]]="","",_xlfn.XLOOKUP(tblOrdenes[[#This Row],[centro_costo]],tblCECO[codigo],tblCECO[coordinador],"(sin catálogo)"))</f>
        <v/>
      </c>
      <c r="W309" s="3">
        <f>IF(tblOrdenes[[#This Row],[puesto_trabajo]]="","",_xlfn.XLOOKUP(tblOrdenes[[#This Row],[puesto_trabajo]],tblPuestos[codigo],tblPuestos[especialidad],"(sin catálogo)"))</f>
        <v/>
      </c>
      <c r="X309" s="3">
        <f>IF(tblOrdenes[[#This Row],[cod_actividad]]="","",_xlfn.XLOOKUP(tblOrdenes[[#This Row],[cod_actividad]],tblActividades[codigo],tblActividades[descripcion],"(sin catálogo)"))</f>
        <v/>
      </c>
      <c r="Y309" s="12">
        <f>IF(tblOrdenes[[#This Row],[fecha_inicio]]="","",TODAY()-tblOrdenes[[#This Row],[fecha_inicio]])</f>
        <v/>
      </c>
      <c r="Z309" s="3">
        <f>IF(tblOrdenes[[#This Row],[backlog_dias]]="","",IF(tblOrdenes[[#This Row],[backlog_dias]]&lt;0,"FUTURO",IF(tblOrdenes[[#This Row],[backlog_dias]]&gt;p_dias_backlog_max,"BACKLOG","MES CORRIENTE")))</f>
        <v/>
      </c>
      <c r="AA309" s="3">
        <f>IF(tblOrdenes[[#This Row],[backlog_dias]]="",FALSE,AND(tblOrdenes[[#This Row],[backlog_dias]]&gt;p_dias_backlog_min,tblOrdenes[[#This Row],[backlog_dias]]&lt;=p_dias_backlog_max))</f>
        <v/>
      </c>
      <c r="AB309" s="6" t="n"/>
      <c r="AC3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9" s="10">
        <f>IF(tblOrdenes[[#This Row],[orden]]="","",_xlfn.XLOOKUP(tblOrdenes[[#This Row],[id_operacion]],tblEjecucion[id_operacion],tblEjecucion[precio],0))</f>
        <v/>
      </c>
      <c r="AG309" s="10">
        <f>IF(tblOrdenes[[#This Row],[orden]]="","",MAX(0,_xlfn.XLOOKUP(tblOrdenes[[#This Row],[id_operacion]],tblEjecucion[id_operacion],tblEjecucion[costo_plan_total],0)-tblOrdenes[[#This Row],[costo_servicio]]))</f>
        <v/>
      </c>
      <c r="AH309" s="10">
        <f>IF(tblOrdenes[[#This Row],[orden]]="","",tblOrdenes[[#This Row],[costo_servicio]]+tblOrdenes[[#This Row],[costo_materiales]])</f>
        <v/>
      </c>
      <c r="AI309" s="6" t="n"/>
      <c r="AJ309" s="6" t="n"/>
      <c r="AK309" s="6" t="n"/>
      <c r="AL309" s="3">
        <f>IF(tblOrdenes[[#This Row],[link_checklist]]="","",HYPERLINK(p_ruta_base_checklists&amp;tblOrdenes[[#This Row],[link_checklist]],"abrir"))</f>
        <v/>
      </c>
      <c r="AM309" s="6" t="n"/>
      <c r="AN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Row],[tipo_ot]]="","",_xlfn.XLOOKUP(tblOrdenes[[#This Row],[tipo_ot]],tblTiposOT[codigo],tblTiposOT[clasificacion],"sin_clasificar"))</f>
        <v/>
      </c>
      <c r="T310" s="3">
        <f>IF(tblOrdenes[[#This Row],[centro_costo]]="","",_xlfn.XLOOKUP(tblOrdenes[[#This Row],[centro_costo]],tblCECO[codigo],tblCECO[linea],"(sin catálogo)"))</f>
        <v/>
      </c>
      <c r="U310" s="3">
        <f>IF(tblOrdenes[[#This Row],[centro_costo]]="","",_xlfn.XLOOKUP(tblOrdenes[[#This Row],[centro_costo]],tblCECO[codigo],tblCECO[area],"(sin catálogo)"))</f>
        <v/>
      </c>
      <c r="V310" s="3">
        <f>IF(tblOrdenes[[#This Row],[centro_costo]]="","",_xlfn.XLOOKUP(tblOrdenes[[#This Row],[centro_costo]],tblCECO[codigo],tblCECO[coordinador],"(sin catálogo)"))</f>
        <v/>
      </c>
      <c r="W310" s="3">
        <f>IF(tblOrdenes[[#This Row],[puesto_trabajo]]="","",_xlfn.XLOOKUP(tblOrdenes[[#This Row],[puesto_trabajo]],tblPuestos[codigo],tblPuestos[especialidad],"(sin catálogo)"))</f>
        <v/>
      </c>
      <c r="X310" s="3">
        <f>IF(tblOrdenes[[#This Row],[cod_actividad]]="","",_xlfn.XLOOKUP(tblOrdenes[[#This Row],[cod_actividad]],tblActividades[codigo],tblActividades[descripcion],"(sin catálogo)"))</f>
        <v/>
      </c>
      <c r="Y310" s="12">
        <f>IF(tblOrdenes[[#This Row],[fecha_inicio]]="","",TODAY()-tblOrdenes[[#This Row],[fecha_inicio]])</f>
        <v/>
      </c>
      <c r="Z310" s="3">
        <f>IF(tblOrdenes[[#This Row],[backlog_dias]]="","",IF(tblOrdenes[[#This Row],[backlog_dias]]&lt;0,"FUTURO",IF(tblOrdenes[[#This Row],[backlog_dias]]&gt;p_dias_backlog_max,"BACKLOG","MES CORRIENTE")))</f>
        <v/>
      </c>
      <c r="AA310" s="3">
        <f>IF(tblOrdenes[[#This Row],[backlog_dias]]="",FALSE,AND(tblOrdenes[[#This Row],[backlog_dias]]&gt;p_dias_backlog_min,tblOrdenes[[#This Row],[backlog_dias]]&lt;=p_dias_backlog_max))</f>
        <v/>
      </c>
      <c r="AB310" s="6" t="n"/>
      <c r="AC3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0" s="10">
        <f>IF(tblOrdenes[[#This Row],[orden]]="","",_xlfn.XLOOKUP(tblOrdenes[[#This Row],[id_operacion]],tblEjecucion[id_operacion],tblEjecucion[precio],0))</f>
        <v/>
      </c>
      <c r="AG310" s="10">
        <f>IF(tblOrdenes[[#This Row],[orden]]="","",MAX(0,_xlfn.XLOOKUP(tblOrdenes[[#This Row],[id_operacion]],tblEjecucion[id_operacion],tblEjecucion[costo_plan_total],0)-tblOrdenes[[#This Row],[costo_servicio]]))</f>
        <v/>
      </c>
      <c r="AH310" s="10">
        <f>IF(tblOrdenes[[#This Row],[orden]]="","",tblOrdenes[[#This Row],[costo_servicio]]+tblOrdenes[[#This Row],[costo_materiales]])</f>
        <v/>
      </c>
      <c r="AI310" s="6" t="n"/>
      <c r="AJ310" s="6" t="n"/>
      <c r="AK310" s="6" t="n"/>
      <c r="AL310" s="3">
        <f>IF(tblOrdenes[[#This Row],[link_checklist]]="","",HYPERLINK(p_ruta_base_checklists&amp;tblOrdenes[[#This Row],[link_checklist]],"abrir"))</f>
        <v/>
      </c>
      <c r="AM310" s="6" t="n"/>
      <c r="AN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Row],[tipo_ot]]="","",_xlfn.XLOOKUP(tblOrdenes[[#This Row],[tipo_ot]],tblTiposOT[codigo],tblTiposOT[clasificacion],"sin_clasificar"))</f>
        <v/>
      </c>
      <c r="T311" s="3">
        <f>IF(tblOrdenes[[#This Row],[centro_costo]]="","",_xlfn.XLOOKUP(tblOrdenes[[#This Row],[centro_costo]],tblCECO[codigo],tblCECO[linea],"(sin catálogo)"))</f>
        <v/>
      </c>
      <c r="U311" s="3">
        <f>IF(tblOrdenes[[#This Row],[centro_costo]]="","",_xlfn.XLOOKUP(tblOrdenes[[#This Row],[centro_costo]],tblCECO[codigo],tblCECO[area],"(sin catálogo)"))</f>
        <v/>
      </c>
      <c r="V311" s="3">
        <f>IF(tblOrdenes[[#This Row],[centro_costo]]="","",_xlfn.XLOOKUP(tblOrdenes[[#This Row],[centro_costo]],tblCECO[codigo],tblCECO[coordinador],"(sin catálogo)"))</f>
        <v/>
      </c>
      <c r="W311" s="3">
        <f>IF(tblOrdenes[[#This Row],[puesto_trabajo]]="","",_xlfn.XLOOKUP(tblOrdenes[[#This Row],[puesto_trabajo]],tblPuestos[codigo],tblPuestos[especialidad],"(sin catálogo)"))</f>
        <v/>
      </c>
      <c r="X311" s="3">
        <f>IF(tblOrdenes[[#This Row],[cod_actividad]]="","",_xlfn.XLOOKUP(tblOrdenes[[#This Row],[cod_actividad]],tblActividades[codigo],tblActividades[descripcion],"(sin catálogo)"))</f>
        <v/>
      </c>
      <c r="Y311" s="12">
        <f>IF(tblOrdenes[[#This Row],[fecha_inicio]]="","",TODAY()-tblOrdenes[[#This Row],[fecha_inicio]])</f>
        <v/>
      </c>
      <c r="Z311" s="3">
        <f>IF(tblOrdenes[[#This Row],[backlog_dias]]="","",IF(tblOrdenes[[#This Row],[backlog_dias]]&lt;0,"FUTURO",IF(tblOrdenes[[#This Row],[backlog_dias]]&gt;p_dias_backlog_max,"BACKLOG","MES CORRIENTE")))</f>
        <v/>
      </c>
      <c r="AA311" s="3">
        <f>IF(tblOrdenes[[#This Row],[backlog_dias]]="",FALSE,AND(tblOrdenes[[#This Row],[backlog_dias]]&gt;p_dias_backlog_min,tblOrdenes[[#This Row],[backlog_dias]]&lt;=p_dias_backlog_max))</f>
        <v/>
      </c>
      <c r="AB311" s="6" t="n"/>
      <c r="AC3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1" s="10">
        <f>IF(tblOrdenes[[#This Row],[orden]]="","",_xlfn.XLOOKUP(tblOrdenes[[#This Row],[id_operacion]],tblEjecucion[id_operacion],tblEjecucion[precio],0))</f>
        <v/>
      </c>
      <c r="AG311" s="10">
        <f>IF(tblOrdenes[[#This Row],[orden]]="","",MAX(0,_xlfn.XLOOKUP(tblOrdenes[[#This Row],[id_operacion]],tblEjecucion[id_operacion],tblEjecucion[costo_plan_total],0)-tblOrdenes[[#This Row],[costo_servicio]]))</f>
        <v/>
      </c>
      <c r="AH311" s="10">
        <f>IF(tblOrdenes[[#This Row],[orden]]="","",tblOrdenes[[#This Row],[costo_servicio]]+tblOrdenes[[#This Row],[costo_materiales]])</f>
        <v/>
      </c>
      <c r="AI311" s="6" t="n"/>
      <c r="AJ311" s="6" t="n"/>
      <c r="AK311" s="6" t="n"/>
      <c r="AL311" s="3">
        <f>IF(tblOrdenes[[#This Row],[link_checklist]]="","",HYPERLINK(p_ruta_base_checklists&amp;tblOrdenes[[#This Row],[link_checklist]],"abrir"))</f>
        <v/>
      </c>
      <c r="AM311" s="6" t="n"/>
      <c r="AN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Row],[tipo_ot]]="","",_xlfn.XLOOKUP(tblOrdenes[[#This Row],[tipo_ot]],tblTiposOT[codigo],tblTiposOT[clasificacion],"sin_clasificar"))</f>
        <v/>
      </c>
      <c r="T312" s="3">
        <f>IF(tblOrdenes[[#This Row],[centro_costo]]="","",_xlfn.XLOOKUP(tblOrdenes[[#This Row],[centro_costo]],tblCECO[codigo],tblCECO[linea],"(sin catálogo)"))</f>
        <v/>
      </c>
      <c r="U312" s="3">
        <f>IF(tblOrdenes[[#This Row],[centro_costo]]="","",_xlfn.XLOOKUP(tblOrdenes[[#This Row],[centro_costo]],tblCECO[codigo],tblCECO[area],"(sin catálogo)"))</f>
        <v/>
      </c>
      <c r="V312" s="3">
        <f>IF(tblOrdenes[[#This Row],[centro_costo]]="","",_xlfn.XLOOKUP(tblOrdenes[[#This Row],[centro_costo]],tblCECO[codigo],tblCECO[coordinador],"(sin catálogo)"))</f>
        <v/>
      </c>
      <c r="W312" s="3">
        <f>IF(tblOrdenes[[#This Row],[puesto_trabajo]]="","",_xlfn.XLOOKUP(tblOrdenes[[#This Row],[puesto_trabajo]],tblPuestos[codigo],tblPuestos[especialidad],"(sin catálogo)"))</f>
        <v/>
      </c>
      <c r="X312" s="3">
        <f>IF(tblOrdenes[[#This Row],[cod_actividad]]="","",_xlfn.XLOOKUP(tblOrdenes[[#This Row],[cod_actividad]],tblActividades[codigo],tblActividades[descripcion],"(sin catálogo)"))</f>
        <v/>
      </c>
      <c r="Y312" s="12">
        <f>IF(tblOrdenes[[#This Row],[fecha_inicio]]="","",TODAY()-tblOrdenes[[#This Row],[fecha_inicio]])</f>
        <v/>
      </c>
      <c r="Z312" s="3">
        <f>IF(tblOrdenes[[#This Row],[backlog_dias]]="","",IF(tblOrdenes[[#This Row],[backlog_dias]]&lt;0,"FUTURO",IF(tblOrdenes[[#This Row],[backlog_dias]]&gt;p_dias_backlog_max,"BACKLOG","MES CORRIENTE")))</f>
        <v/>
      </c>
      <c r="AA312" s="3">
        <f>IF(tblOrdenes[[#This Row],[backlog_dias]]="",FALSE,AND(tblOrdenes[[#This Row],[backlog_dias]]&gt;p_dias_backlog_min,tblOrdenes[[#This Row],[backlog_dias]]&lt;=p_dias_backlog_max))</f>
        <v/>
      </c>
      <c r="AB312" s="6" t="n"/>
      <c r="AC3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2" s="10">
        <f>IF(tblOrdenes[[#This Row],[orden]]="","",_xlfn.XLOOKUP(tblOrdenes[[#This Row],[id_operacion]],tblEjecucion[id_operacion],tblEjecucion[precio],0))</f>
        <v/>
      </c>
      <c r="AG312" s="10">
        <f>IF(tblOrdenes[[#This Row],[orden]]="","",MAX(0,_xlfn.XLOOKUP(tblOrdenes[[#This Row],[id_operacion]],tblEjecucion[id_operacion],tblEjecucion[costo_plan_total],0)-tblOrdenes[[#This Row],[costo_servicio]]))</f>
        <v/>
      </c>
      <c r="AH312" s="10">
        <f>IF(tblOrdenes[[#This Row],[orden]]="","",tblOrdenes[[#This Row],[costo_servicio]]+tblOrdenes[[#This Row],[costo_materiales]])</f>
        <v/>
      </c>
      <c r="AI312" s="6" t="n"/>
      <c r="AJ312" s="6" t="n"/>
      <c r="AK312" s="6" t="n"/>
      <c r="AL312" s="3">
        <f>IF(tblOrdenes[[#This Row],[link_checklist]]="","",HYPERLINK(p_ruta_base_checklists&amp;tblOrdenes[[#This Row],[link_checklist]],"abrir"))</f>
        <v/>
      </c>
      <c r="AM312" s="6" t="n"/>
      <c r="AN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Row],[tipo_ot]]="","",_xlfn.XLOOKUP(tblOrdenes[[#This Row],[tipo_ot]],tblTiposOT[codigo],tblTiposOT[clasificacion],"sin_clasificar"))</f>
        <v/>
      </c>
      <c r="T313" s="3">
        <f>IF(tblOrdenes[[#This Row],[centro_costo]]="","",_xlfn.XLOOKUP(tblOrdenes[[#This Row],[centro_costo]],tblCECO[codigo],tblCECO[linea],"(sin catálogo)"))</f>
        <v/>
      </c>
      <c r="U313" s="3">
        <f>IF(tblOrdenes[[#This Row],[centro_costo]]="","",_xlfn.XLOOKUP(tblOrdenes[[#This Row],[centro_costo]],tblCECO[codigo],tblCECO[area],"(sin catálogo)"))</f>
        <v/>
      </c>
      <c r="V313" s="3">
        <f>IF(tblOrdenes[[#This Row],[centro_costo]]="","",_xlfn.XLOOKUP(tblOrdenes[[#This Row],[centro_costo]],tblCECO[codigo],tblCECO[coordinador],"(sin catálogo)"))</f>
        <v/>
      </c>
      <c r="W313" s="3">
        <f>IF(tblOrdenes[[#This Row],[puesto_trabajo]]="","",_xlfn.XLOOKUP(tblOrdenes[[#This Row],[puesto_trabajo]],tblPuestos[codigo],tblPuestos[especialidad],"(sin catálogo)"))</f>
        <v/>
      </c>
      <c r="X313" s="3">
        <f>IF(tblOrdenes[[#This Row],[cod_actividad]]="","",_xlfn.XLOOKUP(tblOrdenes[[#This Row],[cod_actividad]],tblActividades[codigo],tblActividades[descripcion],"(sin catálogo)"))</f>
        <v/>
      </c>
      <c r="Y313" s="12">
        <f>IF(tblOrdenes[[#This Row],[fecha_inicio]]="","",TODAY()-tblOrdenes[[#This Row],[fecha_inicio]])</f>
        <v/>
      </c>
      <c r="Z313" s="3">
        <f>IF(tblOrdenes[[#This Row],[backlog_dias]]="","",IF(tblOrdenes[[#This Row],[backlog_dias]]&lt;0,"FUTURO",IF(tblOrdenes[[#This Row],[backlog_dias]]&gt;p_dias_backlog_max,"BACKLOG","MES CORRIENTE")))</f>
        <v/>
      </c>
      <c r="AA313" s="3">
        <f>IF(tblOrdenes[[#This Row],[backlog_dias]]="",FALSE,AND(tblOrdenes[[#This Row],[backlog_dias]]&gt;p_dias_backlog_min,tblOrdenes[[#This Row],[backlog_dias]]&lt;=p_dias_backlog_max))</f>
        <v/>
      </c>
      <c r="AB313" s="6" t="n"/>
      <c r="AC3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3" s="10">
        <f>IF(tblOrdenes[[#This Row],[orden]]="","",_xlfn.XLOOKUP(tblOrdenes[[#This Row],[id_operacion]],tblEjecucion[id_operacion],tblEjecucion[precio],0))</f>
        <v/>
      </c>
      <c r="AG313" s="10">
        <f>IF(tblOrdenes[[#This Row],[orden]]="","",MAX(0,_xlfn.XLOOKUP(tblOrdenes[[#This Row],[id_operacion]],tblEjecucion[id_operacion],tblEjecucion[costo_plan_total],0)-tblOrdenes[[#This Row],[costo_servicio]]))</f>
        <v/>
      </c>
      <c r="AH313" s="10">
        <f>IF(tblOrdenes[[#This Row],[orden]]="","",tblOrdenes[[#This Row],[costo_servicio]]+tblOrdenes[[#This Row],[costo_materiales]])</f>
        <v/>
      </c>
      <c r="AI313" s="6" t="n"/>
      <c r="AJ313" s="6" t="n"/>
      <c r="AK313" s="6" t="n"/>
      <c r="AL313" s="3">
        <f>IF(tblOrdenes[[#This Row],[link_checklist]]="","",HYPERLINK(p_ruta_base_checklists&amp;tblOrdenes[[#This Row],[link_checklist]],"abrir"))</f>
        <v/>
      </c>
      <c r="AM313" s="6" t="n"/>
      <c r="AN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Row],[tipo_ot]]="","",_xlfn.XLOOKUP(tblOrdenes[[#This Row],[tipo_ot]],tblTiposOT[codigo],tblTiposOT[clasificacion],"sin_clasificar"))</f>
        <v/>
      </c>
      <c r="T314" s="3">
        <f>IF(tblOrdenes[[#This Row],[centro_costo]]="","",_xlfn.XLOOKUP(tblOrdenes[[#This Row],[centro_costo]],tblCECO[codigo],tblCECO[linea],"(sin catálogo)"))</f>
        <v/>
      </c>
      <c r="U314" s="3">
        <f>IF(tblOrdenes[[#This Row],[centro_costo]]="","",_xlfn.XLOOKUP(tblOrdenes[[#This Row],[centro_costo]],tblCECO[codigo],tblCECO[area],"(sin catálogo)"))</f>
        <v/>
      </c>
      <c r="V314" s="3">
        <f>IF(tblOrdenes[[#This Row],[centro_costo]]="","",_xlfn.XLOOKUP(tblOrdenes[[#This Row],[centro_costo]],tblCECO[codigo],tblCECO[coordinador],"(sin catálogo)"))</f>
        <v/>
      </c>
      <c r="W314" s="3">
        <f>IF(tblOrdenes[[#This Row],[puesto_trabajo]]="","",_xlfn.XLOOKUP(tblOrdenes[[#This Row],[puesto_trabajo]],tblPuestos[codigo],tblPuestos[especialidad],"(sin catálogo)"))</f>
        <v/>
      </c>
      <c r="X314" s="3">
        <f>IF(tblOrdenes[[#This Row],[cod_actividad]]="","",_xlfn.XLOOKUP(tblOrdenes[[#This Row],[cod_actividad]],tblActividades[codigo],tblActividades[descripcion],"(sin catálogo)"))</f>
        <v/>
      </c>
      <c r="Y314" s="12">
        <f>IF(tblOrdenes[[#This Row],[fecha_inicio]]="","",TODAY()-tblOrdenes[[#This Row],[fecha_inicio]])</f>
        <v/>
      </c>
      <c r="Z314" s="3">
        <f>IF(tblOrdenes[[#This Row],[backlog_dias]]="","",IF(tblOrdenes[[#This Row],[backlog_dias]]&lt;0,"FUTURO",IF(tblOrdenes[[#This Row],[backlog_dias]]&gt;p_dias_backlog_max,"BACKLOG","MES CORRIENTE")))</f>
        <v/>
      </c>
      <c r="AA314" s="3">
        <f>IF(tblOrdenes[[#This Row],[backlog_dias]]="",FALSE,AND(tblOrdenes[[#This Row],[backlog_dias]]&gt;p_dias_backlog_min,tblOrdenes[[#This Row],[backlog_dias]]&lt;=p_dias_backlog_max))</f>
        <v/>
      </c>
      <c r="AB314" s="6" t="n"/>
      <c r="AC3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4" s="10">
        <f>IF(tblOrdenes[[#This Row],[orden]]="","",_xlfn.XLOOKUP(tblOrdenes[[#This Row],[id_operacion]],tblEjecucion[id_operacion],tblEjecucion[precio],0))</f>
        <v/>
      </c>
      <c r="AG314" s="10">
        <f>IF(tblOrdenes[[#This Row],[orden]]="","",MAX(0,_xlfn.XLOOKUP(tblOrdenes[[#This Row],[id_operacion]],tblEjecucion[id_operacion],tblEjecucion[costo_plan_total],0)-tblOrdenes[[#This Row],[costo_servicio]]))</f>
        <v/>
      </c>
      <c r="AH314" s="10">
        <f>IF(tblOrdenes[[#This Row],[orden]]="","",tblOrdenes[[#This Row],[costo_servicio]]+tblOrdenes[[#This Row],[costo_materiales]])</f>
        <v/>
      </c>
      <c r="AI314" s="6" t="n"/>
      <c r="AJ314" s="6" t="n"/>
      <c r="AK314" s="6" t="n"/>
      <c r="AL314" s="3">
        <f>IF(tblOrdenes[[#This Row],[link_checklist]]="","",HYPERLINK(p_ruta_base_checklists&amp;tblOrdenes[[#This Row],[link_checklist]],"abrir"))</f>
        <v/>
      </c>
      <c r="AM314" s="6" t="n"/>
      <c r="AN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Row],[tipo_ot]]="","",_xlfn.XLOOKUP(tblOrdenes[[#This Row],[tipo_ot]],tblTiposOT[codigo],tblTiposOT[clasificacion],"sin_clasificar"))</f>
        <v/>
      </c>
      <c r="T315" s="3">
        <f>IF(tblOrdenes[[#This Row],[centro_costo]]="","",_xlfn.XLOOKUP(tblOrdenes[[#This Row],[centro_costo]],tblCECO[codigo],tblCECO[linea],"(sin catálogo)"))</f>
        <v/>
      </c>
      <c r="U315" s="3">
        <f>IF(tblOrdenes[[#This Row],[centro_costo]]="","",_xlfn.XLOOKUP(tblOrdenes[[#This Row],[centro_costo]],tblCECO[codigo],tblCECO[area],"(sin catálogo)"))</f>
        <v/>
      </c>
      <c r="V315" s="3">
        <f>IF(tblOrdenes[[#This Row],[centro_costo]]="","",_xlfn.XLOOKUP(tblOrdenes[[#This Row],[centro_costo]],tblCECO[codigo],tblCECO[coordinador],"(sin catálogo)"))</f>
        <v/>
      </c>
      <c r="W315" s="3">
        <f>IF(tblOrdenes[[#This Row],[puesto_trabajo]]="","",_xlfn.XLOOKUP(tblOrdenes[[#This Row],[puesto_trabajo]],tblPuestos[codigo],tblPuestos[especialidad],"(sin catálogo)"))</f>
        <v/>
      </c>
      <c r="X315" s="3">
        <f>IF(tblOrdenes[[#This Row],[cod_actividad]]="","",_xlfn.XLOOKUP(tblOrdenes[[#This Row],[cod_actividad]],tblActividades[codigo],tblActividades[descripcion],"(sin catálogo)"))</f>
        <v/>
      </c>
      <c r="Y315" s="12">
        <f>IF(tblOrdenes[[#This Row],[fecha_inicio]]="","",TODAY()-tblOrdenes[[#This Row],[fecha_inicio]])</f>
        <v/>
      </c>
      <c r="Z315" s="3">
        <f>IF(tblOrdenes[[#This Row],[backlog_dias]]="","",IF(tblOrdenes[[#This Row],[backlog_dias]]&lt;0,"FUTURO",IF(tblOrdenes[[#This Row],[backlog_dias]]&gt;p_dias_backlog_max,"BACKLOG","MES CORRIENTE")))</f>
        <v/>
      </c>
      <c r="AA315" s="3">
        <f>IF(tblOrdenes[[#This Row],[backlog_dias]]="",FALSE,AND(tblOrdenes[[#This Row],[backlog_dias]]&gt;p_dias_backlog_min,tblOrdenes[[#This Row],[backlog_dias]]&lt;=p_dias_backlog_max))</f>
        <v/>
      </c>
      <c r="AB315" s="6" t="n"/>
      <c r="AC3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5" s="10">
        <f>IF(tblOrdenes[[#This Row],[orden]]="","",_xlfn.XLOOKUP(tblOrdenes[[#This Row],[id_operacion]],tblEjecucion[id_operacion],tblEjecucion[precio],0))</f>
        <v/>
      </c>
      <c r="AG315" s="10">
        <f>IF(tblOrdenes[[#This Row],[orden]]="","",MAX(0,_xlfn.XLOOKUP(tblOrdenes[[#This Row],[id_operacion]],tblEjecucion[id_operacion],tblEjecucion[costo_plan_total],0)-tblOrdenes[[#This Row],[costo_servicio]]))</f>
        <v/>
      </c>
      <c r="AH315" s="10">
        <f>IF(tblOrdenes[[#This Row],[orden]]="","",tblOrdenes[[#This Row],[costo_servicio]]+tblOrdenes[[#This Row],[costo_materiales]])</f>
        <v/>
      </c>
      <c r="AI315" s="6" t="n"/>
      <c r="AJ315" s="6" t="n"/>
      <c r="AK315" s="6" t="n"/>
      <c r="AL315" s="3">
        <f>IF(tblOrdenes[[#This Row],[link_checklist]]="","",HYPERLINK(p_ruta_base_checklists&amp;tblOrdenes[[#This Row],[link_checklist]],"abrir"))</f>
        <v/>
      </c>
      <c r="AM315" s="6" t="n"/>
      <c r="AN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Row],[tipo_ot]]="","",_xlfn.XLOOKUP(tblOrdenes[[#This Row],[tipo_ot]],tblTiposOT[codigo],tblTiposOT[clasificacion],"sin_clasificar"))</f>
        <v/>
      </c>
      <c r="T316" s="3">
        <f>IF(tblOrdenes[[#This Row],[centro_costo]]="","",_xlfn.XLOOKUP(tblOrdenes[[#This Row],[centro_costo]],tblCECO[codigo],tblCECO[linea],"(sin catálogo)"))</f>
        <v/>
      </c>
      <c r="U316" s="3">
        <f>IF(tblOrdenes[[#This Row],[centro_costo]]="","",_xlfn.XLOOKUP(tblOrdenes[[#This Row],[centro_costo]],tblCECO[codigo],tblCECO[area],"(sin catálogo)"))</f>
        <v/>
      </c>
      <c r="V316" s="3">
        <f>IF(tblOrdenes[[#This Row],[centro_costo]]="","",_xlfn.XLOOKUP(tblOrdenes[[#This Row],[centro_costo]],tblCECO[codigo],tblCECO[coordinador],"(sin catálogo)"))</f>
        <v/>
      </c>
      <c r="W316" s="3">
        <f>IF(tblOrdenes[[#This Row],[puesto_trabajo]]="","",_xlfn.XLOOKUP(tblOrdenes[[#This Row],[puesto_trabajo]],tblPuestos[codigo],tblPuestos[especialidad],"(sin catálogo)"))</f>
        <v/>
      </c>
      <c r="X316" s="3">
        <f>IF(tblOrdenes[[#This Row],[cod_actividad]]="","",_xlfn.XLOOKUP(tblOrdenes[[#This Row],[cod_actividad]],tblActividades[codigo],tblActividades[descripcion],"(sin catálogo)"))</f>
        <v/>
      </c>
      <c r="Y316" s="12">
        <f>IF(tblOrdenes[[#This Row],[fecha_inicio]]="","",TODAY()-tblOrdenes[[#This Row],[fecha_inicio]])</f>
        <v/>
      </c>
      <c r="Z316" s="3">
        <f>IF(tblOrdenes[[#This Row],[backlog_dias]]="","",IF(tblOrdenes[[#This Row],[backlog_dias]]&lt;0,"FUTURO",IF(tblOrdenes[[#This Row],[backlog_dias]]&gt;p_dias_backlog_max,"BACKLOG","MES CORRIENTE")))</f>
        <v/>
      </c>
      <c r="AA316" s="3">
        <f>IF(tblOrdenes[[#This Row],[backlog_dias]]="",FALSE,AND(tblOrdenes[[#This Row],[backlog_dias]]&gt;p_dias_backlog_min,tblOrdenes[[#This Row],[backlog_dias]]&lt;=p_dias_backlog_max))</f>
        <v/>
      </c>
      <c r="AB316" s="6" t="n"/>
      <c r="AC3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6" s="10">
        <f>IF(tblOrdenes[[#This Row],[orden]]="","",_xlfn.XLOOKUP(tblOrdenes[[#This Row],[id_operacion]],tblEjecucion[id_operacion],tblEjecucion[precio],0))</f>
        <v/>
      </c>
      <c r="AG316" s="10">
        <f>IF(tblOrdenes[[#This Row],[orden]]="","",MAX(0,_xlfn.XLOOKUP(tblOrdenes[[#This Row],[id_operacion]],tblEjecucion[id_operacion],tblEjecucion[costo_plan_total],0)-tblOrdenes[[#This Row],[costo_servicio]]))</f>
        <v/>
      </c>
      <c r="AH316" s="10">
        <f>IF(tblOrdenes[[#This Row],[orden]]="","",tblOrdenes[[#This Row],[costo_servicio]]+tblOrdenes[[#This Row],[costo_materiales]])</f>
        <v/>
      </c>
      <c r="AI316" s="6" t="n"/>
      <c r="AJ316" s="6" t="n"/>
      <c r="AK316" s="6" t="n"/>
      <c r="AL316" s="3">
        <f>IF(tblOrdenes[[#This Row],[link_checklist]]="","",HYPERLINK(p_ruta_base_checklists&amp;tblOrdenes[[#This Row],[link_checklist]],"abrir"))</f>
        <v/>
      </c>
      <c r="AM316" s="6" t="n"/>
      <c r="AN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Row],[tipo_ot]]="","",_xlfn.XLOOKUP(tblOrdenes[[#This Row],[tipo_ot]],tblTiposOT[codigo],tblTiposOT[clasificacion],"sin_clasificar"))</f>
        <v/>
      </c>
      <c r="T317" s="3">
        <f>IF(tblOrdenes[[#This Row],[centro_costo]]="","",_xlfn.XLOOKUP(tblOrdenes[[#This Row],[centro_costo]],tblCECO[codigo],tblCECO[linea],"(sin catálogo)"))</f>
        <v/>
      </c>
      <c r="U317" s="3">
        <f>IF(tblOrdenes[[#This Row],[centro_costo]]="","",_xlfn.XLOOKUP(tblOrdenes[[#This Row],[centro_costo]],tblCECO[codigo],tblCECO[area],"(sin catálogo)"))</f>
        <v/>
      </c>
      <c r="V317" s="3">
        <f>IF(tblOrdenes[[#This Row],[centro_costo]]="","",_xlfn.XLOOKUP(tblOrdenes[[#This Row],[centro_costo]],tblCECO[codigo],tblCECO[coordinador],"(sin catálogo)"))</f>
        <v/>
      </c>
      <c r="W317" s="3">
        <f>IF(tblOrdenes[[#This Row],[puesto_trabajo]]="","",_xlfn.XLOOKUP(tblOrdenes[[#This Row],[puesto_trabajo]],tblPuestos[codigo],tblPuestos[especialidad],"(sin catálogo)"))</f>
        <v/>
      </c>
      <c r="X317" s="3">
        <f>IF(tblOrdenes[[#This Row],[cod_actividad]]="","",_xlfn.XLOOKUP(tblOrdenes[[#This Row],[cod_actividad]],tblActividades[codigo],tblActividades[descripcion],"(sin catálogo)"))</f>
        <v/>
      </c>
      <c r="Y317" s="12">
        <f>IF(tblOrdenes[[#This Row],[fecha_inicio]]="","",TODAY()-tblOrdenes[[#This Row],[fecha_inicio]])</f>
        <v/>
      </c>
      <c r="Z317" s="3">
        <f>IF(tblOrdenes[[#This Row],[backlog_dias]]="","",IF(tblOrdenes[[#This Row],[backlog_dias]]&lt;0,"FUTURO",IF(tblOrdenes[[#This Row],[backlog_dias]]&gt;p_dias_backlog_max,"BACKLOG","MES CORRIENTE")))</f>
        <v/>
      </c>
      <c r="AA317" s="3">
        <f>IF(tblOrdenes[[#This Row],[backlog_dias]]="",FALSE,AND(tblOrdenes[[#This Row],[backlog_dias]]&gt;p_dias_backlog_min,tblOrdenes[[#This Row],[backlog_dias]]&lt;=p_dias_backlog_max))</f>
        <v/>
      </c>
      <c r="AB317" s="6" t="n"/>
      <c r="AC3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7" s="10">
        <f>IF(tblOrdenes[[#This Row],[orden]]="","",_xlfn.XLOOKUP(tblOrdenes[[#This Row],[id_operacion]],tblEjecucion[id_operacion],tblEjecucion[precio],0))</f>
        <v/>
      </c>
      <c r="AG317" s="10">
        <f>IF(tblOrdenes[[#This Row],[orden]]="","",MAX(0,_xlfn.XLOOKUP(tblOrdenes[[#This Row],[id_operacion]],tblEjecucion[id_operacion],tblEjecucion[costo_plan_total],0)-tblOrdenes[[#This Row],[costo_servicio]]))</f>
        <v/>
      </c>
      <c r="AH317" s="10">
        <f>IF(tblOrdenes[[#This Row],[orden]]="","",tblOrdenes[[#This Row],[costo_servicio]]+tblOrdenes[[#This Row],[costo_materiales]])</f>
        <v/>
      </c>
      <c r="AI317" s="6" t="n"/>
      <c r="AJ317" s="6" t="n"/>
      <c r="AK317" s="6" t="n"/>
      <c r="AL317" s="3">
        <f>IF(tblOrdenes[[#This Row],[link_checklist]]="","",HYPERLINK(p_ruta_base_checklists&amp;tblOrdenes[[#This Row],[link_checklist]],"abrir"))</f>
        <v/>
      </c>
      <c r="AM317" s="6" t="n"/>
      <c r="AN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Row],[tipo_ot]]="","",_xlfn.XLOOKUP(tblOrdenes[[#This Row],[tipo_ot]],tblTiposOT[codigo],tblTiposOT[clasificacion],"sin_clasificar"))</f>
        <v/>
      </c>
      <c r="T318" s="3">
        <f>IF(tblOrdenes[[#This Row],[centro_costo]]="","",_xlfn.XLOOKUP(tblOrdenes[[#This Row],[centro_costo]],tblCECO[codigo],tblCECO[linea],"(sin catálogo)"))</f>
        <v/>
      </c>
      <c r="U318" s="3">
        <f>IF(tblOrdenes[[#This Row],[centro_costo]]="","",_xlfn.XLOOKUP(tblOrdenes[[#This Row],[centro_costo]],tblCECO[codigo],tblCECO[area],"(sin catálogo)"))</f>
        <v/>
      </c>
      <c r="V318" s="3">
        <f>IF(tblOrdenes[[#This Row],[centro_costo]]="","",_xlfn.XLOOKUP(tblOrdenes[[#This Row],[centro_costo]],tblCECO[codigo],tblCECO[coordinador],"(sin catálogo)"))</f>
        <v/>
      </c>
      <c r="W318" s="3">
        <f>IF(tblOrdenes[[#This Row],[puesto_trabajo]]="","",_xlfn.XLOOKUP(tblOrdenes[[#This Row],[puesto_trabajo]],tblPuestos[codigo],tblPuestos[especialidad],"(sin catálogo)"))</f>
        <v/>
      </c>
      <c r="X318" s="3">
        <f>IF(tblOrdenes[[#This Row],[cod_actividad]]="","",_xlfn.XLOOKUP(tblOrdenes[[#This Row],[cod_actividad]],tblActividades[codigo],tblActividades[descripcion],"(sin catálogo)"))</f>
        <v/>
      </c>
      <c r="Y318" s="12">
        <f>IF(tblOrdenes[[#This Row],[fecha_inicio]]="","",TODAY()-tblOrdenes[[#This Row],[fecha_inicio]])</f>
        <v/>
      </c>
      <c r="Z318" s="3">
        <f>IF(tblOrdenes[[#This Row],[backlog_dias]]="","",IF(tblOrdenes[[#This Row],[backlog_dias]]&lt;0,"FUTURO",IF(tblOrdenes[[#This Row],[backlog_dias]]&gt;p_dias_backlog_max,"BACKLOG","MES CORRIENTE")))</f>
        <v/>
      </c>
      <c r="AA318" s="3">
        <f>IF(tblOrdenes[[#This Row],[backlog_dias]]="",FALSE,AND(tblOrdenes[[#This Row],[backlog_dias]]&gt;p_dias_backlog_min,tblOrdenes[[#This Row],[backlog_dias]]&lt;=p_dias_backlog_max))</f>
        <v/>
      </c>
      <c r="AB318" s="6" t="n"/>
      <c r="AC3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8" s="10">
        <f>IF(tblOrdenes[[#This Row],[orden]]="","",_xlfn.XLOOKUP(tblOrdenes[[#This Row],[id_operacion]],tblEjecucion[id_operacion],tblEjecucion[precio],0))</f>
        <v/>
      </c>
      <c r="AG318" s="10">
        <f>IF(tblOrdenes[[#This Row],[orden]]="","",MAX(0,_xlfn.XLOOKUP(tblOrdenes[[#This Row],[id_operacion]],tblEjecucion[id_operacion],tblEjecucion[costo_plan_total],0)-tblOrdenes[[#This Row],[costo_servicio]]))</f>
        <v/>
      </c>
      <c r="AH318" s="10">
        <f>IF(tblOrdenes[[#This Row],[orden]]="","",tblOrdenes[[#This Row],[costo_servicio]]+tblOrdenes[[#This Row],[costo_materiales]])</f>
        <v/>
      </c>
      <c r="AI318" s="6" t="n"/>
      <c r="AJ318" s="6" t="n"/>
      <c r="AK318" s="6" t="n"/>
      <c r="AL318" s="3">
        <f>IF(tblOrdenes[[#This Row],[link_checklist]]="","",HYPERLINK(p_ruta_base_checklists&amp;tblOrdenes[[#This Row],[link_checklist]],"abrir"))</f>
        <v/>
      </c>
      <c r="AM318" s="6" t="n"/>
      <c r="AN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Row],[tipo_ot]]="","",_xlfn.XLOOKUP(tblOrdenes[[#This Row],[tipo_ot]],tblTiposOT[codigo],tblTiposOT[clasificacion],"sin_clasificar"))</f>
        <v/>
      </c>
      <c r="T319" s="3">
        <f>IF(tblOrdenes[[#This Row],[centro_costo]]="","",_xlfn.XLOOKUP(tblOrdenes[[#This Row],[centro_costo]],tblCECO[codigo],tblCECO[linea],"(sin catálogo)"))</f>
        <v/>
      </c>
      <c r="U319" s="3">
        <f>IF(tblOrdenes[[#This Row],[centro_costo]]="","",_xlfn.XLOOKUP(tblOrdenes[[#This Row],[centro_costo]],tblCECO[codigo],tblCECO[area],"(sin catálogo)"))</f>
        <v/>
      </c>
      <c r="V319" s="3">
        <f>IF(tblOrdenes[[#This Row],[centro_costo]]="","",_xlfn.XLOOKUP(tblOrdenes[[#This Row],[centro_costo]],tblCECO[codigo],tblCECO[coordinador],"(sin catálogo)"))</f>
        <v/>
      </c>
      <c r="W319" s="3">
        <f>IF(tblOrdenes[[#This Row],[puesto_trabajo]]="","",_xlfn.XLOOKUP(tblOrdenes[[#This Row],[puesto_trabajo]],tblPuestos[codigo],tblPuestos[especialidad],"(sin catálogo)"))</f>
        <v/>
      </c>
      <c r="X319" s="3">
        <f>IF(tblOrdenes[[#This Row],[cod_actividad]]="","",_xlfn.XLOOKUP(tblOrdenes[[#This Row],[cod_actividad]],tblActividades[codigo],tblActividades[descripcion],"(sin catálogo)"))</f>
        <v/>
      </c>
      <c r="Y319" s="12">
        <f>IF(tblOrdenes[[#This Row],[fecha_inicio]]="","",TODAY()-tblOrdenes[[#This Row],[fecha_inicio]])</f>
        <v/>
      </c>
      <c r="Z319" s="3">
        <f>IF(tblOrdenes[[#This Row],[backlog_dias]]="","",IF(tblOrdenes[[#This Row],[backlog_dias]]&lt;0,"FUTURO",IF(tblOrdenes[[#This Row],[backlog_dias]]&gt;p_dias_backlog_max,"BACKLOG","MES CORRIENTE")))</f>
        <v/>
      </c>
      <c r="AA319" s="3">
        <f>IF(tblOrdenes[[#This Row],[backlog_dias]]="",FALSE,AND(tblOrdenes[[#This Row],[backlog_dias]]&gt;p_dias_backlog_min,tblOrdenes[[#This Row],[backlog_dias]]&lt;=p_dias_backlog_max))</f>
        <v/>
      </c>
      <c r="AB319" s="6" t="n"/>
      <c r="AC3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9" s="10">
        <f>IF(tblOrdenes[[#This Row],[orden]]="","",_xlfn.XLOOKUP(tblOrdenes[[#This Row],[id_operacion]],tblEjecucion[id_operacion],tblEjecucion[precio],0))</f>
        <v/>
      </c>
      <c r="AG319" s="10">
        <f>IF(tblOrdenes[[#This Row],[orden]]="","",MAX(0,_xlfn.XLOOKUP(tblOrdenes[[#This Row],[id_operacion]],tblEjecucion[id_operacion],tblEjecucion[costo_plan_total],0)-tblOrdenes[[#This Row],[costo_servicio]]))</f>
        <v/>
      </c>
      <c r="AH319" s="10">
        <f>IF(tblOrdenes[[#This Row],[orden]]="","",tblOrdenes[[#This Row],[costo_servicio]]+tblOrdenes[[#This Row],[costo_materiales]])</f>
        <v/>
      </c>
      <c r="AI319" s="6" t="n"/>
      <c r="AJ319" s="6" t="n"/>
      <c r="AK319" s="6" t="n"/>
      <c r="AL319" s="3">
        <f>IF(tblOrdenes[[#This Row],[link_checklist]]="","",HYPERLINK(p_ruta_base_checklists&amp;tblOrdenes[[#This Row],[link_checklist]],"abrir"))</f>
        <v/>
      </c>
      <c r="AM319" s="6" t="n"/>
      <c r="AN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Row],[tipo_ot]]="","",_xlfn.XLOOKUP(tblOrdenes[[#This Row],[tipo_ot]],tblTiposOT[codigo],tblTiposOT[clasificacion],"sin_clasificar"))</f>
        <v/>
      </c>
      <c r="T320" s="3">
        <f>IF(tblOrdenes[[#This Row],[centro_costo]]="","",_xlfn.XLOOKUP(tblOrdenes[[#This Row],[centro_costo]],tblCECO[codigo],tblCECO[linea],"(sin catálogo)"))</f>
        <v/>
      </c>
      <c r="U320" s="3">
        <f>IF(tblOrdenes[[#This Row],[centro_costo]]="","",_xlfn.XLOOKUP(tblOrdenes[[#This Row],[centro_costo]],tblCECO[codigo],tblCECO[area],"(sin catálogo)"))</f>
        <v/>
      </c>
      <c r="V320" s="3">
        <f>IF(tblOrdenes[[#This Row],[centro_costo]]="","",_xlfn.XLOOKUP(tblOrdenes[[#This Row],[centro_costo]],tblCECO[codigo],tblCECO[coordinador],"(sin catálogo)"))</f>
        <v/>
      </c>
      <c r="W320" s="3">
        <f>IF(tblOrdenes[[#This Row],[puesto_trabajo]]="","",_xlfn.XLOOKUP(tblOrdenes[[#This Row],[puesto_trabajo]],tblPuestos[codigo],tblPuestos[especialidad],"(sin catálogo)"))</f>
        <v/>
      </c>
      <c r="X320" s="3">
        <f>IF(tblOrdenes[[#This Row],[cod_actividad]]="","",_xlfn.XLOOKUP(tblOrdenes[[#This Row],[cod_actividad]],tblActividades[codigo],tblActividades[descripcion],"(sin catálogo)"))</f>
        <v/>
      </c>
      <c r="Y320" s="12">
        <f>IF(tblOrdenes[[#This Row],[fecha_inicio]]="","",TODAY()-tblOrdenes[[#This Row],[fecha_inicio]])</f>
        <v/>
      </c>
      <c r="Z320" s="3">
        <f>IF(tblOrdenes[[#This Row],[backlog_dias]]="","",IF(tblOrdenes[[#This Row],[backlog_dias]]&lt;0,"FUTURO",IF(tblOrdenes[[#This Row],[backlog_dias]]&gt;p_dias_backlog_max,"BACKLOG","MES CORRIENTE")))</f>
        <v/>
      </c>
      <c r="AA320" s="3">
        <f>IF(tblOrdenes[[#This Row],[backlog_dias]]="",FALSE,AND(tblOrdenes[[#This Row],[backlog_dias]]&gt;p_dias_backlog_min,tblOrdenes[[#This Row],[backlog_dias]]&lt;=p_dias_backlog_max))</f>
        <v/>
      </c>
      <c r="AB320" s="6" t="n"/>
      <c r="AC3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0" s="10">
        <f>IF(tblOrdenes[[#This Row],[orden]]="","",_xlfn.XLOOKUP(tblOrdenes[[#This Row],[id_operacion]],tblEjecucion[id_operacion],tblEjecucion[precio],0))</f>
        <v/>
      </c>
      <c r="AG320" s="10">
        <f>IF(tblOrdenes[[#This Row],[orden]]="","",MAX(0,_xlfn.XLOOKUP(tblOrdenes[[#This Row],[id_operacion]],tblEjecucion[id_operacion],tblEjecucion[costo_plan_total],0)-tblOrdenes[[#This Row],[costo_servicio]]))</f>
        <v/>
      </c>
      <c r="AH320" s="10">
        <f>IF(tblOrdenes[[#This Row],[orden]]="","",tblOrdenes[[#This Row],[costo_servicio]]+tblOrdenes[[#This Row],[costo_materiales]])</f>
        <v/>
      </c>
      <c r="AI320" s="6" t="n"/>
      <c r="AJ320" s="6" t="n"/>
      <c r="AK320" s="6" t="n"/>
      <c r="AL320" s="3">
        <f>IF(tblOrdenes[[#This Row],[link_checklist]]="","",HYPERLINK(p_ruta_base_checklists&amp;tblOrdenes[[#This Row],[link_checklist]],"abrir"))</f>
        <v/>
      </c>
      <c r="AM320" s="6" t="n"/>
      <c r="AN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Row],[tipo_ot]]="","",_xlfn.XLOOKUP(tblOrdenes[[#This Row],[tipo_ot]],tblTiposOT[codigo],tblTiposOT[clasificacion],"sin_clasificar"))</f>
        <v/>
      </c>
      <c r="T321" s="3">
        <f>IF(tblOrdenes[[#This Row],[centro_costo]]="","",_xlfn.XLOOKUP(tblOrdenes[[#This Row],[centro_costo]],tblCECO[codigo],tblCECO[linea],"(sin catálogo)"))</f>
        <v/>
      </c>
      <c r="U321" s="3">
        <f>IF(tblOrdenes[[#This Row],[centro_costo]]="","",_xlfn.XLOOKUP(tblOrdenes[[#This Row],[centro_costo]],tblCECO[codigo],tblCECO[area],"(sin catálogo)"))</f>
        <v/>
      </c>
      <c r="V321" s="3">
        <f>IF(tblOrdenes[[#This Row],[centro_costo]]="","",_xlfn.XLOOKUP(tblOrdenes[[#This Row],[centro_costo]],tblCECO[codigo],tblCECO[coordinador],"(sin catálogo)"))</f>
        <v/>
      </c>
      <c r="W321" s="3">
        <f>IF(tblOrdenes[[#This Row],[puesto_trabajo]]="","",_xlfn.XLOOKUP(tblOrdenes[[#This Row],[puesto_trabajo]],tblPuestos[codigo],tblPuestos[especialidad],"(sin catálogo)"))</f>
        <v/>
      </c>
      <c r="X321" s="3">
        <f>IF(tblOrdenes[[#This Row],[cod_actividad]]="","",_xlfn.XLOOKUP(tblOrdenes[[#This Row],[cod_actividad]],tblActividades[codigo],tblActividades[descripcion],"(sin catálogo)"))</f>
        <v/>
      </c>
      <c r="Y321" s="12">
        <f>IF(tblOrdenes[[#This Row],[fecha_inicio]]="","",TODAY()-tblOrdenes[[#This Row],[fecha_inicio]])</f>
        <v/>
      </c>
      <c r="Z321" s="3">
        <f>IF(tblOrdenes[[#This Row],[backlog_dias]]="","",IF(tblOrdenes[[#This Row],[backlog_dias]]&lt;0,"FUTURO",IF(tblOrdenes[[#This Row],[backlog_dias]]&gt;p_dias_backlog_max,"BACKLOG","MES CORRIENTE")))</f>
        <v/>
      </c>
      <c r="AA321" s="3">
        <f>IF(tblOrdenes[[#This Row],[backlog_dias]]="",FALSE,AND(tblOrdenes[[#This Row],[backlog_dias]]&gt;p_dias_backlog_min,tblOrdenes[[#This Row],[backlog_dias]]&lt;=p_dias_backlog_max))</f>
        <v/>
      </c>
      <c r="AB321" s="6" t="n"/>
      <c r="AC3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1" s="10">
        <f>IF(tblOrdenes[[#This Row],[orden]]="","",_xlfn.XLOOKUP(tblOrdenes[[#This Row],[id_operacion]],tblEjecucion[id_operacion],tblEjecucion[precio],0))</f>
        <v/>
      </c>
      <c r="AG321" s="10">
        <f>IF(tblOrdenes[[#This Row],[orden]]="","",MAX(0,_xlfn.XLOOKUP(tblOrdenes[[#This Row],[id_operacion]],tblEjecucion[id_operacion],tblEjecucion[costo_plan_total],0)-tblOrdenes[[#This Row],[costo_servicio]]))</f>
        <v/>
      </c>
      <c r="AH321" s="10">
        <f>IF(tblOrdenes[[#This Row],[orden]]="","",tblOrdenes[[#This Row],[costo_servicio]]+tblOrdenes[[#This Row],[costo_materiales]])</f>
        <v/>
      </c>
      <c r="AI321" s="6" t="n"/>
      <c r="AJ321" s="6" t="n"/>
      <c r="AK321" s="6" t="n"/>
      <c r="AL321" s="3">
        <f>IF(tblOrdenes[[#This Row],[link_checklist]]="","",HYPERLINK(p_ruta_base_checklists&amp;tblOrdenes[[#This Row],[link_checklist]],"abrir"))</f>
        <v/>
      </c>
      <c r="AM321" s="6" t="n"/>
      <c r="AN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Row],[tipo_ot]]="","",_xlfn.XLOOKUP(tblOrdenes[[#This Row],[tipo_ot]],tblTiposOT[codigo],tblTiposOT[clasificacion],"sin_clasificar"))</f>
        <v/>
      </c>
      <c r="T322" s="3">
        <f>IF(tblOrdenes[[#This Row],[centro_costo]]="","",_xlfn.XLOOKUP(tblOrdenes[[#This Row],[centro_costo]],tblCECO[codigo],tblCECO[linea],"(sin catálogo)"))</f>
        <v/>
      </c>
      <c r="U322" s="3">
        <f>IF(tblOrdenes[[#This Row],[centro_costo]]="","",_xlfn.XLOOKUP(tblOrdenes[[#This Row],[centro_costo]],tblCECO[codigo],tblCECO[area],"(sin catálogo)"))</f>
        <v/>
      </c>
      <c r="V322" s="3">
        <f>IF(tblOrdenes[[#This Row],[centro_costo]]="","",_xlfn.XLOOKUP(tblOrdenes[[#This Row],[centro_costo]],tblCECO[codigo],tblCECO[coordinador],"(sin catálogo)"))</f>
        <v/>
      </c>
      <c r="W322" s="3">
        <f>IF(tblOrdenes[[#This Row],[puesto_trabajo]]="","",_xlfn.XLOOKUP(tblOrdenes[[#This Row],[puesto_trabajo]],tblPuestos[codigo],tblPuestos[especialidad],"(sin catálogo)"))</f>
        <v/>
      </c>
      <c r="X322" s="3">
        <f>IF(tblOrdenes[[#This Row],[cod_actividad]]="","",_xlfn.XLOOKUP(tblOrdenes[[#This Row],[cod_actividad]],tblActividades[codigo],tblActividades[descripcion],"(sin catálogo)"))</f>
        <v/>
      </c>
      <c r="Y322" s="12">
        <f>IF(tblOrdenes[[#This Row],[fecha_inicio]]="","",TODAY()-tblOrdenes[[#This Row],[fecha_inicio]])</f>
        <v/>
      </c>
      <c r="Z322" s="3">
        <f>IF(tblOrdenes[[#This Row],[backlog_dias]]="","",IF(tblOrdenes[[#This Row],[backlog_dias]]&lt;0,"FUTURO",IF(tblOrdenes[[#This Row],[backlog_dias]]&gt;p_dias_backlog_max,"BACKLOG","MES CORRIENTE")))</f>
        <v/>
      </c>
      <c r="AA322" s="3">
        <f>IF(tblOrdenes[[#This Row],[backlog_dias]]="",FALSE,AND(tblOrdenes[[#This Row],[backlog_dias]]&gt;p_dias_backlog_min,tblOrdenes[[#This Row],[backlog_dias]]&lt;=p_dias_backlog_max))</f>
        <v/>
      </c>
      <c r="AB322" s="6" t="n"/>
      <c r="AC3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2" s="10">
        <f>IF(tblOrdenes[[#This Row],[orden]]="","",_xlfn.XLOOKUP(tblOrdenes[[#This Row],[id_operacion]],tblEjecucion[id_operacion],tblEjecucion[precio],0))</f>
        <v/>
      </c>
      <c r="AG322" s="10">
        <f>IF(tblOrdenes[[#This Row],[orden]]="","",MAX(0,_xlfn.XLOOKUP(tblOrdenes[[#This Row],[id_operacion]],tblEjecucion[id_operacion],tblEjecucion[costo_plan_total],0)-tblOrdenes[[#This Row],[costo_servicio]]))</f>
        <v/>
      </c>
      <c r="AH322" s="10">
        <f>IF(tblOrdenes[[#This Row],[orden]]="","",tblOrdenes[[#This Row],[costo_servicio]]+tblOrdenes[[#This Row],[costo_materiales]])</f>
        <v/>
      </c>
      <c r="AI322" s="6" t="n"/>
      <c r="AJ322" s="6" t="n"/>
      <c r="AK322" s="6" t="n"/>
      <c r="AL322" s="3">
        <f>IF(tblOrdenes[[#This Row],[link_checklist]]="","",HYPERLINK(p_ruta_base_checklists&amp;tblOrdenes[[#This Row],[link_checklist]],"abrir"))</f>
        <v/>
      </c>
      <c r="AM322" s="6" t="n"/>
      <c r="AN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Row],[tipo_ot]]="","",_xlfn.XLOOKUP(tblOrdenes[[#This Row],[tipo_ot]],tblTiposOT[codigo],tblTiposOT[clasificacion],"sin_clasificar"))</f>
        <v/>
      </c>
      <c r="T323" s="3">
        <f>IF(tblOrdenes[[#This Row],[centro_costo]]="","",_xlfn.XLOOKUP(tblOrdenes[[#This Row],[centro_costo]],tblCECO[codigo],tblCECO[linea],"(sin catálogo)"))</f>
        <v/>
      </c>
      <c r="U323" s="3">
        <f>IF(tblOrdenes[[#This Row],[centro_costo]]="","",_xlfn.XLOOKUP(tblOrdenes[[#This Row],[centro_costo]],tblCECO[codigo],tblCECO[area],"(sin catálogo)"))</f>
        <v/>
      </c>
      <c r="V323" s="3">
        <f>IF(tblOrdenes[[#This Row],[centro_costo]]="","",_xlfn.XLOOKUP(tblOrdenes[[#This Row],[centro_costo]],tblCECO[codigo],tblCECO[coordinador],"(sin catálogo)"))</f>
        <v/>
      </c>
      <c r="W323" s="3">
        <f>IF(tblOrdenes[[#This Row],[puesto_trabajo]]="","",_xlfn.XLOOKUP(tblOrdenes[[#This Row],[puesto_trabajo]],tblPuestos[codigo],tblPuestos[especialidad],"(sin catálogo)"))</f>
        <v/>
      </c>
      <c r="X323" s="3">
        <f>IF(tblOrdenes[[#This Row],[cod_actividad]]="","",_xlfn.XLOOKUP(tblOrdenes[[#This Row],[cod_actividad]],tblActividades[codigo],tblActividades[descripcion],"(sin catálogo)"))</f>
        <v/>
      </c>
      <c r="Y323" s="12">
        <f>IF(tblOrdenes[[#This Row],[fecha_inicio]]="","",TODAY()-tblOrdenes[[#This Row],[fecha_inicio]])</f>
        <v/>
      </c>
      <c r="Z323" s="3">
        <f>IF(tblOrdenes[[#This Row],[backlog_dias]]="","",IF(tblOrdenes[[#This Row],[backlog_dias]]&lt;0,"FUTURO",IF(tblOrdenes[[#This Row],[backlog_dias]]&gt;p_dias_backlog_max,"BACKLOG","MES CORRIENTE")))</f>
        <v/>
      </c>
      <c r="AA323" s="3">
        <f>IF(tblOrdenes[[#This Row],[backlog_dias]]="",FALSE,AND(tblOrdenes[[#This Row],[backlog_dias]]&gt;p_dias_backlog_min,tblOrdenes[[#This Row],[backlog_dias]]&lt;=p_dias_backlog_max))</f>
        <v/>
      </c>
      <c r="AB323" s="6" t="n"/>
      <c r="AC3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3" s="10">
        <f>IF(tblOrdenes[[#This Row],[orden]]="","",_xlfn.XLOOKUP(tblOrdenes[[#This Row],[id_operacion]],tblEjecucion[id_operacion],tblEjecucion[precio],0))</f>
        <v/>
      </c>
      <c r="AG323" s="10">
        <f>IF(tblOrdenes[[#This Row],[orden]]="","",MAX(0,_xlfn.XLOOKUP(tblOrdenes[[#This Row],[id_operacion]],tblEjecucion[id_operacion],tblEjecucion[costo_plan_total],0)-tblOrdenes[[#This Row],[costo_servicio]]))</f>
        <v/>
      </c>
      <c r="AH323" s="10">
        <f>IF(tblOrdenes[[#This Row],[orden]]="","",tblOrdenes[[#This Row],[costo_servicio]]+tblOrdenes[[#This Row],[costo_materiales]])</f>
        <v/>
      </c>
      <c r="AI323" s="6" t="n"/>
      <c r="AJ323" s="6" t="n"/>
      <c r="AK323" s="6" t="n"/>
      <c r="AL323" s="3">
        <f>IF(tblOrdenes[[#This Row],[link_checklist]]="","",HYPERLINK(p_ruta_base_checklists&amp;tblOrdenes[[#This Row],[link_checklist]],"abrir"))</f>
        <v/>
      </c>
      <c r="AM323" s="6" t="n"/>
      <c r="AN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Row],[tipo_ot]]="","",_xlfn.XLOOKUP(tblOrdenes[[#This Row],[tipo_ot]],tblTiposOT[codigo],tblTiposOT[clasificacion],"sin_clasificar"))</f>
        <v/>
      </c>
      <c r="T324" s="3">
        <f>IF(tblOrdenes[[#This Row],[centro_costo]]="","",_xlfn.XLOOKUP(tblOrdenes[[#This Row],[centro_costo]],tblCECO[codigo],tblCECO[linea],"(sin catálogo)"))</f>
        <v/>
      </c>
      <c r="U324" s="3">
        <f>IF(tblOrdenes[[#This Row],[centro_costo]]="","",_xlfn.XLOOKUP(tblOrdenes[[#This Row],[centro_costo]],tblCECO[codigo],tblCECO[area],"(sin catálogo)"))</f>
        <v/>
      </c>
      <c r="V324" s="3">
        <f>IF(tblOrdenes[[#This Row],[centro_costo]]="","",_xlfn.XLOOKUP(tblOrdenes[[#This Row],[centro_costo]],tblCECO[codigo],tblCECO[coordinador],"(sin catálogo)"))</f>
        <v/>
      </c>
      <c r="W324" s="3">
        <f>IF(tblOrdenes[[#This Row],[puesto_trabajo]]="","",_xlfn.XLOOKUP(tblOrdenes[[#This Row],[puesto_trabajo]],tblPuestos[codigo],tblPuestos[especialidad],"(sin catálogo)"))</f>
        <v/>
      </c>
      <c r="X324" s="3">
        <f>IF(tblOrdenes[[#This Row],[cod_actividad]]="","",_xlfn.XLOOKUP(tblOrdenes[[#This Row],[cod_actividad]],tblActividades[codigo],tblActividades[descripcion],"(sin catálogo)"))</f>
        <v/>
      </c>
      <c r="Y324" s="12">
        <f>IF(tblOrdenes[[#This Row],[fecha_inicio]]="","",TODAY()-tblOrdenes[[#This Row],[fecha_inicio]])</f>
        <v/>
      </c>
      <c r="Z324" s="3">
        <f>IF(tblOrdenes[[#This Row],[backlog_dias]]="","",IF(tblOrdenes[[#This Row],[backlog_dias]]&lt;0,"FUTURO",IF(tblOrdenes[[#This Row],[backlog_dias]]&gt;p_dias_backlog_max,"BACKLOG","MES CORRIENTE")))</f>
        <v/>
      </c>
      <c r="AA324" s="3">
        <f>IF(tblOrdenes[[#This Row],[backlog_dias]]="",FALSE,AND(tblOrdenes[[#This Row],[backlog_dias]]&gt;p_dias_backlog_min,tblOrdenes[[#This Row],[backlog_dias]]&lt;=p_dias_backlog_max))</f>
        <v/>
      </c>
      <c r="AB324" s="6" t="n"/>
      <c r="AC3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4" s="10">
        <f>IF(tblOrdenes[[#This Row],[orden]]="","",_xlfn.XLOOKUP(tblOrdenes[[#This Row],[id_operacion]],tblEjecucion[id_operacion],tblEjecucion[precio],0))</f>
        <v/>
      </c>
      <c r="AG324" s="10">
        <f>IF(tblOrdenes[[#This Row],[orden]]="","",MAX(0,_xlfn.XLOOKUP(tblOrdenes[[#This Row],[id_operacion]],tblEjecucion[id_operacion],tblEjecucion[costo_plan_total],0)-tblOrdenes[[#This Row],[costo_servicio]]))</f>
        <v/>
      </c>
      <c r="AH324" s="10">
        <f>IF(tblOrdenes[[#This Row],[orden]]="","",tblOrdenes[[#This Row],[costo_servicio]]+tblOrdenes[[#This Row],[costo_materiales]])</f>
        <v/>
      </c>
      <c r="AI324" s="6" t="n"/>
      <c r="AJ324" s="6" t="n"/>
      <c r="AK324" s="6" t="n"/>
      <c r="AL324" s="3">
        <f>IF(tblOrdenes[[#This Row],[link_checklist]]="","",HYPERLINK(p_ruta_base_checklists&amp;tblOrdenes[[#This Row],[link_checklist]],"abrir"))</f>
        <v/>
      </c>
      <c r="AM324" s="6" t="n"/>
      <c r="AN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Row],[tipo_ot]]="","",_xlfn.XLOOKUP(tblOrdenes[[#This Row],[tipo_ot]],tblTiposOT[codigo],tblTiposOT[clasificacion],"sin_clasificar"))</f>
        <v/>
      </c>
      <c r="T325" s="3">
        <f>IF(tblOrdenes[[#This Row],[centro_costo]]="","",_xlfn.XLOOKUP(tblOrdenes[[#This Row],[centro_costo]],tblCECO[codigo],tblCECO[linea],"(sin catálogo)"))</f>
        <v/>
      </c>
      <c r="U325" s="3">
        <f>IF(tblOrdenes[[#This Row],[centro_costo]]="","",_xlfn.XLOOKUP(tblOrdenes[[#This Row],[centro_costo]],tblCECO[codigo],tblCECO[area],"(sin catálogo)"))</f>
        <v/>
      </c>
      <c r="V325" s="3">
        <f>IF(tblOrdenes[[#This Row],[centro_costo]]="","",_xlfn.XLOOKUP(tblOrdenes[[#This Row],[centro_costo]],tblCECO[codigo],tblCECO[coordinador],"(sin catálogo)"))</f>
        <v/>
      </c>
      <c r="W325" s="3">
        <f>IF(tblOrdenes[[#This Row],[puesto_trabajo]]="","",_xlfn.XLOOKUP(tblOrdenes[[#This Row],[puesto_trabajo]],tblPuestos[codigo],tblPuestos[especialidad],"(sin catálogo)"))</f>
        <v/>
      </c>
      <c r="X325" s="3">
        <f>IF(tblOrdenes[[#This Row],[cod_actividad]]="","",_xlfn.XLOOKUP(tblOrdenes[[#This Row],[cod_actividad]],tblActividades[codigo],tblActividades[descripcion],"(sin catálogo)"))</f>
        <v/>
      </c>
      <c r="Y325" s="12">
        <f>IF(tblOrdenes[[#This Row],[fecha_inicio]]="","",TODAY()-tblOrdenes[[#This Row],[fecha_inicio]])</f>
        <v/>
      </c>
      <c r="Z325" s="3">
        <f>IF(tblOrdenes[[#This Row],[backlog_dias]]="","",IF(tblOrdenes[[#This Row],[backlog_dias]]&lt;0,"FUTURO",IF(tblOrdenes[[#This Row],[backlog_dias]]&gt;p_dias_backlog_max,"BACKLOG","MES CORRIENTE")))</f>
        <v/>
      </c>
      <c r="AA325" s="3">
        <f>IF(tblOrdenes[[#This Row],[backlog_dias]]="",FALSE,AND(tblOrdenes[[#This Row],[backlog_dias]]&gt;p_dias_backlog_min,tblOrdenes[[#This Row],[backlog_dias]]&lt;=p_dias_backlog_max))</f>
        <v/>
      </c>
      <c r="AB325" s="6" t="n"/>
      <c r="AC3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5" s="10">
        <f>IF(tblOrdenes[[#This Row],[orden]]="","",_xlfn.XLOOKUP(tblOrdenes[[#This Row],[id_operacion]],tblEjecucion[id_operacion],tblEjecucion[precio],0))</f>
        <v/>
      </c>
      <c r="AG325" s="10">
        <f>IF(tblOrdenes[[#This Row],[orden]]="","",MAX(0,_xlfn.XLOOKUP(tblOrdenes[[#This Row],[id_operacion]],tblEjecucion[id_operacion],tblEjecucion[costo_plan_total],0)-tblOrdenes[[#This Row],[costo_servicio]]))</f>
        <v/>
      </c>
      <c r="AH325" s="10">
        <f>IF(tblOrdenes[[#This Row],[orden]]="","",tblOrdenes[[#This Row],[costo_servicio]]+tblOrdenes[[#This Row],[costo_materiales]])</f>
        <v/>
      </c>
      <c r="AI325" s="6" t="n"/>
      <c r="AJ325" s="6" t="n"/>
      <c r="AK325" s="6" t="n"/>
      <c r="AL325" s="3">
        <f>IF(tblOrdenes[[#This Row],[link_checklist]]="","",HYPERLINK(p_ruta_base_checklists&amp;tblOrdenes[[#This Row],[link_checklist]],"abrir"))</f>
        <v/>
      </c>
      <c r="AM325" s="6" t="n"/>
      <c r="AN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Row],[tipo_ot]]="","",_xlfn.XLOOKUP(tblOrdenes[[#This Row],[tipo_ot]],tblTiposOT[codigo],tblTiposOT[clasificacion],"sin_clasificar"))</f>
        <v/>
      </c>
      <c r="T326" s="3">
        <f>IF(tblOrdenes[[#This Row],[centro_costo]]="","",_xlfn.XLOOKUP(tblOrdenes[[#This Row],[centro_costo]],tblCECO[codigo],tblCECO[linea],"(sin catálogo)"))</f>
        <v/>
      </c>
      <c r="U326" s="3">
        <f>IF(tblOrdenes[[#This Row],[centro_costo]]="","",_xlfn.XLOOKUP(tblOrdenes[[#This Row],[centro_costo]],tblCECO[codigo],tblCECO[area],"(sin catálogo)"))</f>
        <v/>
      </c>
      <c r="V326" s="3">
        <f>IF(tblOrdenes[[#This Row],[centro_costo]]="","",_xlfn.XLOOKUP(tblOrdenes[[#This Row],[centro_costo]],tblCECO[codigo],tblCECO[coordinador],"(sin catálogo)"))</f>
        <v/>
      </c>
      <c r="W326" s="3">
        <f>IF(tblOrdenes[[#This Row],[puesto_trabajo]]="","",_xlfn.XLOOKUP(tblOrdenes[[#This Row],[puesto_trabajo]],tblPuestos[codigo],tblPuestos[especialidad],"(sin catálogo)"))</f>
        <v/>
      </c>
      <c r="X326" s="3">
        <f>IF(tblOrdenes[[#This Row],[cod_actividad]]="","",_xlfn.XLOOKUP(tblOrdenes[[#This Row],[cod_actividad]],tblActividades[codigo],tblActividades[descripcion],"(sin catálogo)"))</f>
        <v/>
      </c>
      <c r="Y326" s="12">
        <f>IF(tblOrdenes[[#This Row],[fecha_inicio]]="","",TODAY()-tblOrdenes[[#This Row],[fecha_inicio]])</f>
        <v/>
      </c>
      <c r="Z326" s="3">
        <f>IF(tblOrdenes[[#This Row],[backlog_dias]]="","",IF(tblOrdenes[[#This Row],[backlog_dias]]&lt;0,"FUTURO",IF(tblOrdenes[[#This Row],[backlog_dias]]&gt;p_dias_backlog_max,"BACKLOG","MES CORRIENTE")))</f>
        <v/>
      </c>
      <c r="AA326" s="3">
        <f>IF(tblOrdenes[[#This Row],[backlog_dias]]="",FALSE,AND(tblOrdenes[[#This Row],[backlog_dias]]&gt;p_dias_backlog_min,tblOrdenes[[#This Row],[backlog_dias]]&lt;=p_dias_backlog_max))</f>
        <v/>
      </c>
      <c r="AB326" s="6" t="n"/>
      <c r="AC3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6" s="10">
        <f>IF(tblOrdenes[[#This Row],[orden]]="","",_xlfn.XLOOKUP(tblOrdenes[[#This Row],[id_operacion]],tblEjecucion[id_operacion],tblEjecucion[precio],0))</f>
        <v/>
      </c>
      <c r="AG326" s="10">
        <f>IF(tblOrdenes[[#This Row],[orden]]="","",MAX(0,_xlfn.XLOOKUP(tblOrdenes[[#This Row],[id_operacion]],tblEjecucion[id_operacion],tblEjecucion[costo_plan_total],0)-tblOrdenes[[#This Row],[costo_servicio]]))</f>
        <v/>
      </c>
      <c r="AH326" s="10">
        <f>IF(tblOrdenes[[#This Row],[orden]]="","",tblOrdenes[[#This Row],[costo_servicio]]+tblOrdenes[[#This Row],[costo_materiales]])</f>
        <v/>
      </c>
      <c r="AI326" s="6" t="n"/>
      <c r="AJ326" s="6" t="n"/>
      <c r="AK326" s="6" t="n"/>
      <c r="AL326" s="3">
        <f>IF(tblOrdenes[[#This Row],[link_checklist]]="","",HYPERLINK(p_ruta_base_checklists&amp;tblOrdenes[[#This Row],[link_checklist]],"abrir"))</f>
        <v/>
      </c>
      <c r="AM326" s="6" t="n"/>
      <c r="AN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Row],[tipo_ot]]="","",_xlfn.XLOOKUP(tblOrdenes[[#This Row],[tipo_ot]],tblTiposOT[codigo],tblTiposOT[clasificacion],"sin_clasificar"))</f>
        <v/>
      </c>
      <c r="T327" s="3">
        <f>IF(tblOrdenes[[#This Row],[centro_costo]]="","",_xlfn.XLOOKUP(tblOrdenes[[#This Row],[centro_costo]],tblCECO[codigo],tblCECO[linea],"(sin catálogo)"))</f>
        <v/>
      </c>
      <c r="U327" s="3">
        <f>IF(tblOrdenes[[#This Row],[centro_costo]]="","",_xlfn.XLOOKUP(tblOrdenes[[#This Row],[centro_costo]],tblCECO[codigo],tblCECO[area],"(sin catálogo)"))</f>
        <v/>
      </c>
      <c r="V327" s="3">
        <f>IF(tblOrdenes[[#This Row],[centro_costo]]="","",_xlfn.XLOOKUP(tblOrdenes[[#This Row],[centro_costo]],tblCECO[codigo],tblCECO[coordinador],"(sin catálogo)"))</f>
        <v/>
      </c>
      <c r="W327" s="3">
        <f>IF(tblOrdenes[[#This Row],[puesto_trabajo]]="","",_xlfn.XLOOKUP(tblOrdenes[[#This Row],[puesto_trabajo]],tblPuestos[codigo],tblPuestos[especialidad],"(sin catálogo)"))</f>
        <v/>
      </c>
      <c r="X327" s="3">
        <f>IF(tblOrdenes[[#This Row],[cod_actividad]]="","",_xlfn.XLOOKUP(tblOrdenes[[#This Row],[cod_actividad]],tblActividades[codigo],tblActividades[descripcion],"(sin catálogo)"))</f>
        <v/>
      </c>
      <c r="Y327" s="12">
        <f>IF(tblOrdenes[[#This Row],[fecha_inicio]]="","",TODAY()-tblOrdenes[[#This Row],[fecha_inicio]])</f>
        <v/>
      </c>
      <c r="Z327" s="3">
        <f>IF(tblOrdenes[[#This Row],[backlog_dias]]="","",IF(tblOrdenes[[#This Row],[backlog_dias]]&lt;0,"FUTURO",IF(tblOrdenes[[#This Row],[backlog_dias]]&gt;p_dias_backlog_max,"BACKLOG","MES CORRIENTE")))</f>
        <v/>
      </c>
      <c r="AA327" s="3">
        <f>IF(tblOrdenes[[#This Row],[backlog_dias]]="",FALSE,AND(tblOrdenes[[#This Row],[backlog_dias]]&gt;p_dias_backlog_min,tblOrdenes[[#This Row],[backlog_dias]]&lt;=p_dias_backlog_max))</f>
        <v/>
      </c>
      <c r="AB327" s="6" t="n"/>
      <c r="AC3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7" s="10">
        <f>IF(tblOrdenes[[#This Row],[orden]]="","",_xlfn.XLOOKUP(tblOrdenes[[#This Row],[id_operacion]],tblEjecucion[id_operacion],tblEjecucion[precio],0))</f>
        <v/>
      </c>
      <c r="AG327" s="10">
        <f>IF(tblOrdenes[[#This Row],[orden]]="","",MAX(0,_xlfn.XLOOKUP(tblOrdenes[[#This Row],[id_operacion]],tblEjecucion[id_operacion],tblEjecucion[costo_plan_total],0)-tblOrdenes[[#This Row],[costo_servicio]]))</f>
        <v/>
      </c>
      <c r="AH327" s="10">
        <f>IF(tblOrdenes[[#This Row],[orden]]="","",tblOrdenes[[#This Row],[costo_servicio]]+tblOrdenes[[#This Row],[costo_materiales]])</f>
        <v/>
      </c>
      <c r="AI327" s="6" t="n"/>
      <c r="AJ327" s="6" t="n"/>
      <c r="AK327" s="6" t="n"/>
      <c r="AL327" s="3">
        <f>IF(tblOrdenes[[#This Row],[link_checklist]]="","",HYPERLINK(p_ruta_base_checklists&amp;tblOrdenes[[#This Row],[link_checklist]],"abrir"))</f>
        <v/>
      </c>
      <c r="AM327" s="6" t="n"/>
      <c r="AN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Row],[tipo_ot]]="","",_xlfn.XLOOKUP(tblOrdenes[[#This Row],[tipo_ot]],tblTiposOT[codigo],tblTiposOT[clasificacion],"sin_clasificar"))</f>
        <v/>
      </c>
      <c r="T328" s="3">
        <f>IF(tblOrdenes[[#This Row],[centro_costo]]="","",_xlfn.XLOOKUP(tblOrdenes[[#This Row],[centro_costo]],tblCECO[codigo],tblCECO[linea],"(sin catálogo)"))</f>
        <v/>
      </c>
      <c r="U328" s="3">
        <f>IF(tblOrdenes[[#This Row],[centro_costo]]="","",_xlfn.XLOOKUP(tblOrdenes[[#This Row],[centro_costo]],tblCECO[codigo],tblCECO[area],"(sin catálogo)"))</f>
        <v/>
      </c>
      <c r="V328" s="3">
        <f>IF(tblOrdenes[[#This Row],[centro_costo]]="","",_xlfn.XLOOKUP(tblOrdenes[[#This Row],[centro_costo]],tblCECO[codigo],tblCECO[coordinador],"(sin catálogo)"))</f>
        <v/>
      </c>
      <c r="W328" s="3">
        <f>IF(tblOrdenes[[#This Row],[puesto_trabajo]]="","",_xlfn.XLOOKUP(tblOrdenes[[#This Row],[puesto_trabajo]],tblPuestos[codigo],tblPuestos[especialidad],"(sin catálogo)"))</f>
        <v/>
      </c>
      <c r="X328" s="3">
        <f>IF(tblOrdenes[[#This Row],[cod_actividad]]="","",_xlfn.XLOOKUP(tblOrdenes[[#This Row],[cod_actividad]],tblActividades[codigo],tblActividades[descripcion],"(sin catálogo)"))</f>
        <v/>
      </c>
      <c r="Y328" s="12">
        <f>IF(tblOrdenes[[#This Row],[fecha_inicio]]="","",TODAY()-tblOrdenes[[#This Row],[fecha_inicio]])</f>
        <v/>
      </c>
      <c r="Z328" s="3">
        <f>IF(tblOrdenes[[#This Row],[backlog_dias]]="","",IF(tblOrdenes[[#This Row],[backlog_dias]]&lt;0,"FUTURO",IF(tblOrdenes[[#This Row],[backlog_dias]]&gt;p_dias_backlog_max,"BACKLOG","MES CORRIENTE")))</f>
        <v/>
      </c>
      <c r="AA328" s="3">
        <f>IF(tblOrdenes[[#This Row],[backlog_dias]]="",FALSE,AND(tblOrdenes[[#This Row],[backlog_dias]]&gt;p_dias_backlog_min,tblOrdenes[[#This Row],[backlog_dias]]&lt;=p_dias_backlog_max))</f>
        <v/>
      </c>
      <c r="AB328" s="6" t="n"/>
      <c r="AC3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8" s="10">
        <f>IF(tblOrdenes[[#This Row],[orden]]="","",_xlfn.XLOOKUP(tblOrdenes[[#This Row],[id_operacion]],tblEjecucion[id_operacion],tblEjecucion[precio],0))</f>
        <v/>
      </c>
      <c r="AG328" s="10">
        <f>IF(tblOrdenes[[#This Row],[orden]]="","",MAX(0,_xlfn.XLOOKUP(tblOrdenes[[#This Row],[id_operacion]],tblEjecucion[id_operacion],tblEjecucion[costo_plan_total],0)-tblOrdenes[[#This Row],[costo_servicio]]))</f>
        <v/>
      </c>
      <c r="AH328" s="10">
        <f>IF(tblOrdenes[[#This Row],[orden]]="","",tblOrdenes[[#This Row],[costo_servicio]]+tblOrdenes[[#This Row],[costo_materiales]])</f>
        <v/>
      </c>
      <c r="AI328" s="6" t="n"/>
      <c r="AJ328" s="6" t="n"/>
      <c r="AK328" s="6" t="n"/>
      <c r="AL328" s="3">
        <f>IF(tblOrdenes[[#This Row],[link_checklist]]="","",HYPERLINK(p_ruta_base_checklists&amp;tblOrdenes[[#This Row],[link_checklist]],"abrir"))</f>
        <v/>
      </c>
      <c r="AM328" s="6" t="n"/>
      <c r="AN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Row],[tipo_ot]]="","",_xlfn.XLOOKUP(tblOrdenes[[#This Row],[tipo_ot]],tblTiposOT[codigo],tblTiposOT[clasificacion],"sin_clasificar"))</f>
        <v/>
      </c>
      <c r="T329" s="3">
        <f>IF(tblOrdenes[[#This Row],[centro_costo]]="","",_xlfn.XLOOKUP(tblOrdenes[[#This Row],[centro_costo]],tblCECO[codigo],tblCECO[linea],"(sin catálogo)"))</f>
        <v/>
      </c>
      <c r="U329" s="3">
        <f>IF(tblOrdenes[[#This Row],[centro_costo]]="","",_xlfn.XLOOKUP(tblOrdenes[[#This Row],[centro_costo]],tblCECO[codigo],tblCECO[area],"(sin catálogo)"))</f>
        <v/>
      </c>
      <c r="V329" s="3">
        <f>IF(tblOrdenes[[#This Row],[centro_costo]]="","",_xlfn.XLOOKUP(tblOrdenes[[#This Row],[centro_costo]],tblCECO[codigo],tblCECO[coordinador],"(sin catálogo)"))</f>
        <v/>
      </c>
      <c r="W329" s="3">
        <f>IF(tblOrdenes[[#This Row],[puesto_trabajo]]="","",_xlfn.XLOOKUP(tblOrdenes[[#This Row],[puesto_trabajo]],tblPuestos[codigo],tblPuestos[especialidad],"(sin catálogo)"))</f>
        <v/>
      </c>
      <c r="X329" s="3">
        <f>IF(tblOrdenes[[#This Row],[cod_actividad]]="","",_xlfn.XLOOKUP(tblOrdenes[[#This Row],[cod_actividad]],tblActividades[codigo],tblActividades[descripcion],"(sin catálogo)"))</f>
        <v/>
      </c>
      <c r="Y329" s="12">
        <f>IF(tblOrdenes[[#This Row],[fecha_inicio]]="","",TODAY()-tblOrdenes[[#This Row],[fecha_inicio]])</f>
        <v/>
      </c>
      <c r="Z329" s="3">
        <f>IF(tblOrdenes[[#This Row],[backlog_dias]]="","",IF(tblOrdenes[[#This Row],[backlog_dias]]&lt;0,"FUTURO",IF(tblOrdenes[[#This Row],[backlog_dias]]&gt;p_dias_backlog_max,"BACKLOG","MES CORRIENTE")))</f>
        <v/>
      </c>
      <c r="AA329" s="3">
        <f>IF(tblOrdenes[[#This Row],[backlog_dias]]="",FALSE,AND(tblOrdenes[[#This Row],[backlog_dias]]&gt;p_dias_backlog_min,tblOrdenes[[#This Row],[backlog_dias]]&lt;=p_dias_backlog_max))</f>
        <v/>
      </c>
      <c r="AB329" s="6" t="n"/>
      <c r="AC3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9" s="10">
        <f>IF(tblOrdenes[[#This Row],[orden]]="","",_xlfn.XLOOKUP(tblOrdenes[[#This Row],[id_operacion]],tblEjecucion[id_operacion],tblEjecucion[precio],0))</f>
        <v/>
      </c>
      <c r="AG329" s="10">
        <f>IF(tblOrdenes[[#This Row],[orden]]="","",MAX(0,_xlfn.XLOOKUP(tblOrdenes[[#This Row],[id_operacion]],tblEjecucion[id_operacion],tblEjecucion[costo_plan_total],0)-tblOrdenes[[#This Row],[costo_servicio]]))</f>
        <v/>
      </c>
      <c r="AH329" s="10">
        <f>IF(tblOrdenes[[#This Row],[orden]]="","",tblOrdenes[[#This Row],[costo_servicio]]+tblOrdenes[[#This Row],[costo_materiales]])</f>
        <v/>
      </c>
      <c r="AI329" s="6" t="n"/>
      <c r="AJ329" s="6" t="n"/>
      <c r="AK329" s="6" t="n"/>
      <c r="AL329" s="3">
        <f>IF(tblOrdenes[[#This Row],[link_checklist]]="","",HYPERLINK(p_ruta_base_checklists&amp;tblOrdenes[[#This Row],[link_checklist]],"abrir"))</f>
        <v/>
      </c>
      <c r="AM329" s="6" t="n"/>
      <c r="AN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Row],[tipo_ot]]="","",_xlfn.XLOOKUP(tblOrdenes[[#This Row],[tipo_ot]],tblTiposOT[codigo],tblTiposOT[clasificacion],"sin_clasificar"))</f>
        <v/>
      </c>
      <c r="T330" s="3">
        <f>IF(tblOrdenes[[#This Row],[centro_costo]]="","",_xlfn.XLOOKUP(tblOrdenes[[#This Row],[centro_costo]],tblCECO[codigo],tblCECO[linea],"(sin catálogo)"))</f>
        <v/>
      </c>
      <c r="U330" s="3">
        <f>IF(tblOrdenes[[#This Row],[centro_costo]]="","",_xlfn.XLOOKUP(tblOrdenes[[#This Row],[centro_costo]],tblCECO[codigo],tblCECO[area],"(sin catálogo)"))</f>
        <v/>
      </c>
      <c r="V330" s="3">
        <f>IF(tblOrdenes[[#This Row],[centro_costo]]="","",_xlfn.XLOOKUP(tblOrdenes[[#This Row],[centro_costo]],tblCECO[codigo],tblCECO[coordinador],"(sin catálogo)"))</f>
        <v/>
      </c>
      <c r="W330" s="3">
        <f>IF(tblOrdenes[[#This Row],[puesto_trabajo]]="","",_xlfn.XLOOKUP(tblOrdenes[[#This Row],[puesto_trabajo]],tblPuestos[codigo],tblPuestos[especialidad],"(sin catálogo)"))</f>
        <v/>
      </c>
      <c r="X330" s="3">
        <f>IF(tblOrdenes[[#This Row],[cod_actividad]]="","",_xlfn.XLOOKUP(tblOrdenes[[#This Row],[cod_actividad]],tblActividades[codigo],tblActividades[descripcion],"(sin catálogo)"))</f>
        <v/>
      </c>
      <c r="Y330" s="12">
        <f>IF(tblOrdenes[[#This Row],[fecha_inicio]]="","",TODAY()-tblOrdenes[[#This Row],[fecha_inicio]])</f>
        <v/>
      </c>
      <c r="Z330" s="3">
        <f>IF(tblOrdenes[[#This Row],[backlog_dias]]="","",IF(tblOrdenes[[#This Row],[backlog_dias]]&lt;0,"FUTURO",IF(tblOrdenes[[#This Row],[backlog_dias]]&gt;p_dias_backlog_max,"BACKLOG","MES CORRIENTE")))</f>
        <v/>
      </c>
      <c r="AA330" s="3">
        <f>IF(tblOrdenes[[#This Row],[backlog_dias]]="",FALSE,AND(tblOrdenes[[#This Row],[backlog_dias]]&gt;p_dias_backlog_min,tblOrdenes[[#This Row],[backlog_dias]]&lt;=p_dias_backlog_max))</f>
        <v/>
      </c>
      <c r="AB330" s="6" t="n"/>
      <c r="AC3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0" s="10">
        <f>IF(tblOrdenes[[#This Row],[orden]]="","",_xlfn.XLOOKUP(tblOrdenes[[#This Row],[id_operacion]],tblEjecucion[id_operacion],tblEjecucion[precio],0))</f>
        <v/>
      </c>
      <c r="AG330" s="10">
        <f>IF(tblOrdenes[[#This Row],[orden]]="","",MAX(0,_xlfn.XLOOKUP(tblOrdenes[[#This Row],[id_operacion]],tblEjecucion[id_operacion],tblEjecucion[costo_plan_total],0)-tblOrdenes[[#This Row],[costo_servicio]]))</f>
        <v/>
      </c>
      <c r="AH330" s="10">
        <f>IF(tblOrdenes[[#This Row],[orden]]="","",tblOrdenes[[#This Row],[costo_servicio]]+tblOrdenes[[#This Row],[costo_materiales]])</f>
        <v/>
      </c>
      <c r="AI330" s="6" t="n"/>
      <c r="AJ330" s="6" t="n"/>
      <c r="AK330" s="6" t="n"/>
      <c r="AL330" s="3">
        <f>IF(tblOrdenes[[#This Row],[link_checklist]]="","",HYPERLINK(p_ruta_base_checklists&amp;tblOrdenes[[#This Row],[link_checklist]],"abrir"))</f>
        <v/>
      </c>
      <c r="AM330" s="6" t="n"/>
      <c r="AN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Row],[tipo_ot]]="","",_xlfn.XLOOKUP(tblOrdenes[[#This Row],[tipo_ot]],tblTiposOT[codigo],tblTiposOT[clasificacion],"sin_clasificar"))</f>
        <v/>
      </c>
      <c r="T331" s="3">
        <f>IF(tblOrdenes[[#This Row],[centro_costo]]="","",_xlfn.XLOOKUP(tblOrdenes[[#This Row],[centro_costo]],tblCECO[codigo],tblCECO[linea],"(sin catálogo)"))</f>
        <v/>
      </c>
      <c r="U331" s="3">
        <f>IF(tblOrdenes[[#This Row],[centro_costo]]="","",_xlfn.XLOOKUP(tblOrdenes[[#This Row],[centro_costo]],tblCECO[codigo],tblCECO[area],"(sin catálogo)"))</f>
        <v/>
      </c>
      <c r="V331" s="3">
        <f>IF(tblOrdenes[[#This Row],[centro_costo]]="","",_xlfn.XLOOKUP(tblOrdenes[[#This Row],[centro_costo]],tblCECO[codigo],tblCECO[coordinador],"(sin catálogo)"))</f>
        <v/>
      </c>
      <c r="W331" s="3">
        <f>IF(tblOrdenes[[#This Row],[puesto_trabajo]]="","",_xlfn.XLOOKUP(tblOrdenes[[#This Row],[puesto_trabajo]],tblPuestos[codigo],tblPuestos[especialidad],"(sin catálogo)"))</f>
        <v/>
      </c>
      <c r="X331" s="3">
        <f>IF(tblOrdenes[[#This Row],[cod_actividad]]="","",_xlfn.XLOOKUP(tblOrdenes[[#This Row],[cod_actividad]],tblActividades[codigo],tblActividades[descripcion],"(sin catálogo)"))</f>
        <v/>
      </c>
      <c r="Y331" s="12">
        <f>IF(tblOrdenes[[#This Row],[fecha_inicio]]="","",TODAY()-tblOrdenes[[#This Row],[fecha_inicio]])</f>
        <v/>
      </c>
      <c r="Z331" s="3">
        <f>IF(tblOrdenes[[#This Row],[backlog_dias]]="","",IF(tblOrdenes[[#This Row],[backlog_dias]]&lt;0,"FUTURO",IF(tblOrdenes[[#This Row],[backlog_dias]]&gt;p_dias_backlog_max,"BACKLOG","MES CORRIENTE")))</f>
        <v/>
      </c>
      <c r="AA331" s="3">
        <f>IF(tblOrdenes[[#This Row],[backlog_dias]]="",FALSE,AND(tblOrdenes[[#This Row],[backlog_dias]]&gt;p_dias_backlog_min,tblOrdenes[[#This Row],[backlog_dias]]&lt;=p_dias_backlog_max))</f>
        <v/>
      </c>
      <c r="AB331" s="6" t="n"/>
      <c r="AC3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1" s="10">
        <f>IF(tblOrdenes[[#This Row],[orden]]="","",_xlfn.XLOOKUP(tblOrdenes[[#This Row],[id_operacion]],tblEjecucion[id_operacion],tblEjecucion[precio],0))</f>
        <v/>
      </c>
      <c r="AG331" s="10">
        <f>IF(tblOrdenes[[#This Row],[orden]]="","",MAX(0,_xlfn.XLOOKUP(tblOrdenes[[#This Row],[id_operacion]],tblEjecucion[id_operacion],tblEjecucion[costo_plan_total],0)-tblOrdenes[[#This Row],[costo_servicio]]))</f>
        <v/>
      </c>
      <c r="AH331" s="10">
        <f>IF(tblOrdenes[[#This Row],[orden]]="","",tblOrdenes[[#This Row],[costo_servicio]]+tblOrdenes[[#This Row],[costo_materiales]])</f>
        <v/>
      </c>
      <c r="AI331" s="6" t="n"/>
      <c r="AJ331" s="6" t="n"/>
      <c r="AK331" s="6" t="n"/>
      <c r="AL331" s="3">
        <f>IF(tblOrdenes[[#This Row],[link_checklist]]="","",HYPERLINK(p_ruta_base_checklists&amp;tblOrdenes[[#This Row],[link_checklist]],"abrir"))</f>
        <v/>
      </c>
      <c r="AM331" s="6" t="n"/>
      <c r="AN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Row],[tipo_ot]]="","",_xlfn.XLOOKUP(tblOrdenes[[#This Row],[tipo_ot]],tblTiposOT[codigo],tblTiposOT[clasificacion],"sin_clasificar"))</f>
        <v/>
      </c>
      <c r="T332" s="3">
        <f>IF(tblOrdenes[[#This Row],[centro_costo]]="","",_xlfn.XLOOKUP(tblOrdenes[[#This Row],[centro_costo]],tblCECO[codigo],tblCECO[linea],"(sin catálogo)"))</f>
        <v/>
      </c>
      <c r="U332" s="3">
        <f>IF(tblOrdenes[[#This Row],[centro_costo]]="","",_xlfn.XLOOKUP(tblOrdenes[[#This Row],[centro_costo]],tblCECO[codigo],tblCECO[area],"(sin catálogo)"))</f>
        <v/>
      </c>
      <c r="V332" s="3">
        <f>IF(tblOrdenes[[#This Row],[centro_costo]]="","",_xlfn.XLOOKUP(tblOrdenes[[#This Row],[centro_costo]],tblCECO[codigo],tblCECO[coordinador],"(sin catálogo)"))</f>
        <v/>
      </c>
      <c r="W332" s="3">
        <f>IF(tblOrdenes[[#This Row],[puesto_trabajo]]="","",_xlfn.XLOOKUP(tblOrdenes[[#This Row],[puesto_trabajo]],tblPuestos[codigo],tblPuestos[especialidad],"(sin catálogo)"))</f>
        <v/>
      </c>
      <c r="X332" s="3">
        <f>IF(tblOrdenes[[#This Row],[cod_actividad]]="","",_xlfn.XLOOKUP(tblOrdenes[[#This Row],[cod_actividad]],tblActividades[codigo],tblActividades[descripcion],"(sin catálogo)"))</f>
        <v/>
      </c>
      <c r="Y332" s="12">
        <f>IF(tblOrdenes[[#This Row],[fecha_inicio]]="","",TODAY()-tblOrdenes[[#This Row],[fecha_inicio]])</f>
        <v/>
      </c>
      <c r="Z332" s="3">
        <f>IF(tblOrdenes[[#This Row],[backlog_dias]]="","",IF(tblOrdenes[[#This Row],[backlog_dias]]&lt;0,"FUTURO",IF(tblOrdenes[[#This Row],[backlog_dias]]&gt;p_dias_backlog_max,"BACKLOG","MES CORRIENTE")))</f>
        <v/>
      </c>
      <c r="AA332" s="3">
        <f>IF(tblOrdenes[[#This Row],[backlog_dias]]="",FALSE,AND(tblOrdenes[[#This Row],[backlog_dias]]&gt;p_dias_backlog_min,tblOrdenes[[#This Row],[backlog_dias]]&lt;=p_dias_backlog_max))</f>
        <v/>
      </c>
      <c r="AB332" s="6" t="n"/>
      <c r="AC3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2" s="10">
        <f>IF(tblOrdenes[[#This Row],[orden]]="","",_xlfn.XLOOKUP(tblOrdenes[[#This Row],[id_operacion]],tblEjecucion[id_operacion],tblEjecucion[precio],0))</f>
        <v/>
      </c>
      <c r="AG332" s="10">
        <f>IF(tblOrdenes[[#This Row],[orden]]="","",MAX(0,_xlfn.XLOOKUP(tblOrdenes[[#This Row],[id_operacion]],tblEjecucion[id_operacion],tblEjecucion[costo_plan_total],0)-tblOrdenes[[#This Row],[costo_servicio]]))</f>
        <v/>
      </c>
      <c r="AH332" s="10">
        <f>IF(tblOrdenes[[#This Row],[orden]]="","",tblOrdenes[[#This Row],[costo_servicio]]+tblOrdenes[[#This Row],[costo_materiales]])</f>
        <v/>
      </c>
      <c r="AI332" s="6" t="n"/>
      <c r="AJ332" s="6" t="n"/>
      <c r="AK332" s="6" t="n"/>
      <c r="AL332" s="3">
        <f>IF(tblOrdenes[[#This Row],[link_checklist]]="","",HYPERLINK(p_ruta_base_checklists&amp;tblOrdenes[[#This Row],[link_checklist]],"abrir"))</f>
        <v/>
      </c>
      <c r="AM332" s="6" t="n"/>
      <c r="AN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Row],[tipo_ot]]="","",_xlfn.XLOOKUP(tblOrdenes[[#This Row],[tipo_ot]],tblTiposOT[codigo],tblTiposOT[clasificacion],"sin_clasificar"))</f>
        <v/>
      </c>
      <c r="T333" s="3">
        <f>IF(tblOrdenes[[#This Row],[centro_costo]]="","",_xlfn.XLOOKUP(tblOrdenes[[#This Row],[centro_costo]],tblCECO[codigo],tblCECO[linea],"(sin catálogo)"))</f>
        <v/>
      </c>
      <c r="U333" s="3">
        <f>IF(tblOrdenes[[#This Row],[centro_costo]]="","",_xlfn.XLOOKUP(tblOrdenes[[#This Row],[centro_costo]],tblCECO[codigo],tblCECO[area],"(sin catálogo)"))</f>
        <v/>
      </c>
      <c r="V333" s="3">
        <f>IF(tblOrdenes[[#This Row],[centro_costo]]="","",_xlfn.XLOOKUP(tblOrdenes[[#This Row],[centro_costo]],tblCECO[codigo],tblCECO[coordinador],"(sin catálogo)"))</f>
        <v/>
      </c>
      <c r="W333" s="3">
        <f>IF(tblOrdenes[[#This Row],[puesto_trabajo]]="","",_xlfn.XLOOKUP(tblOrdenes[[#This Row],[puesto_trabajo]],tblPuestos[codigo],tblPuestos[especialidad],"(sin catálogo)"))</f>
        <v/>
      </c>
      <c r="X333" s="3">
        <f>IF(tblOrdenes[[#This Row],[cod_actividad]]="","",_xlfn.XLOOKUP(tblOrdenes[[#This Row],[cod_actividad]],tblActividades[codigo],tblActividades[descripcion],"(sin catálogo)"))</f>
        <v/>
      </c>
      <c r="Y333" s="12">
        <f>IF(tblOrdenes[[#This Row],[fecha_inicio]]="","",TODAY()-tblOrdenes[[#This Row],[fecha_inicio]])</f>
        <v/>
      </c>
      <c r="Z333" s="3">
        <f>IF(tblOrdenes[[#This Row],[backlog_dias]]="","",IF(tblOrdenes[[#This Row],[backlog_dias]]&lt;0,"FUTURO",IF(tblOrdenes[[#This Row],[backlog_dias]]&gt;p_dias_backlog_max,"BACKLOG","MES CORRIENTE")))</f>
        <v/>
      </c>
      <c r="AA333" s="3">
        <f>IF(tblOrdenes[[#This Row],[backlog_dias]]="",FALSE,AND(tblOrdenes[[#This Row],[backlog_dias]]&gt;p_dias_backlog_min,tblOrdenes[[#This Row],[backlog_dias]]&lt;=p_dias_backlog_max))</f>
        <v/>
      </c>
      <c r="AB333" s="6" t="n"/>
      <c r="AC3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3" s="10">
        <f>IF(tblOrdenes[[#This Row],[orden]]="","",_xlfn.XLOOKUP(tblOrdenes[[#This Row],[id_operacion]],tblEjecucion[id_operacion],tblEjecucion[precio],0))</f>
        <v/>
      </c>
      <c r="AG333" s="10">
        <f>IF(tblOrdenes[[#This Row],[orden]]="","",MAX(0,_xlfn.XLOOKUP(tblOrdenes[[#This Row],[id_operacion]],tblEjecucion[id_operacion],tblEjecucion[costo_plan_total],0)-tblOrdenes[[#This Row],[costo_servicio]]))</f>
        <v/>
      </c>
      <c r="AH333" s="10">
        <f>IF(tblOrdenes[[#This Row],[orden]]="","",tblOrdenes[[#This Row],[costo_servicio]]+tblOrdenes[[#This Row],[costo_materiales]])</f>
        <v/>
      </c>
      <c r="AI333" s="6" t="n"/>
      <c r="AJ333" s="6" t="n"/>
      <c r="AK333" s="6" t="n"/>
      <c r="AL333" s="3">
        <f>IF(tblOrdenes[[#This Row],[link_checklist]]="","",HYPERLINK(p_ruta_base_checklists&amp;tblOrdenes[[#This Row],[link_checklist]],"abrir"))</f>
        <v/>
      </c>
      <c r="AM333" s="6" t="n"/>
      <c r="AN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Row],[tipo_ot]]="","",_xlfn.XLOOKUP(tblOrdenes[[#This Row],[tipo_ot]],tblTiposOT[codigo],tblTiposOT[clasificacion],"sin_clasificar"))</f>
        <v/>
      </c>
      <c r="T334" s="3">
        <f>IF(tblOrdenes[[#This Row],[centro_costo]]="","",_xlfn.XLOOKUP(tblOrdenes[[#This Row],[centro_costo]],tblCECO[codigo],tblCECO[linea],"(sin catálogo)"))</f>
        <v/>
      </c>
      <c r="U334" s="3">
        <f>IF(tblOrdenes[[#This Row],[centro_costo]]="","",_xlfn.XLOOKUP(tblOrdenes[[#This Row],[centro_costo]],tblCECO[codigo],tblCECO[area],"(sin catálogo)"))</f>
        <v/>
      </c>
      <c r="V334" s="3">
        <f>IF(tblOrdenes[[#This Row],[centro_costo]]="","",_xlfn.XLOOKUP(tblOrdenes[[#This Row],[centro_costo]],tblCECO[codigo],tblCECO[coordinador],"(sin catálogo)"))</f>
        <v/>
      </c>
      <c r="W334" s="3">
        <f>IF(tblOrdenes[[#This Row],[puesto_trabajo]]="","",_xlfn.XLOOKUP(tblOrdenes[[#This Row],[puesto_trabajo]],tblPuestos[codigo],tblPuestos[especialidad],"(sin catálogo)"))</f>
        <v/>
      </c>
      <c r="X334" s="3">
        <f>IF(tblOrdenes[[#This Row],[cod_actividad]]="","",_xlfn.XLOOKUP(tblOrdenes[[#This Row],[cod_actividad]],tblActividades[codigo],tblActividades[descripcion],"(sin catálogo)"))</f>
        <v/>
      </c>
      <c r="Y334" s="12">
        <f>IF(tblOrdenes[[#This Row],[fecha_inicio]]="","",TODAY()-tblOrdenes[[#This Row],[fecha_inicio]])</f>
        <v/>
      </c>
      <c r="Z334" s="3">
        <f>IF(tblOrdenes[[#This Row],[backlog_dias]]="","",IF(tblOrdenes[[#This Row],[backlog_dias]]&lt;0,"FUTURO",IF(tblOrdenes[[#This Row],[backlog_dias]]&gt;p_dias_backlog_max,"BACKLOG","MES CORRIENTE")))</f>
        <v/>
      </c>
      <c r="AA334" s="3">
        <f>IF(tblOrdenes[[#This Row],[backlog_dias]]="",FALSE,AND(tblOrdenes[[#This Row],[backlog_dias]]&gt;p_dias_backlog_min,tblOrdenes[[#This Row],[backlog_dias]]&lt;=p_dias_backlog_max))</f>
        <v/>
      </c>
      <c r="AB334" s="6" t="n"/>
      <c r="AC3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4" s="10">
        <f>IF(tblOrdenes[[#This Row],[orden]]="","",_xlfn.XLOOKUP(tblOrdenes[[#This Row],[id_operacion]],tblEjecucion[id_operacion],tblEjecucion[precio],0))</f>
        <v/>
      </c>
      <c r="AG334" s="10">
        <f>IF(tblOrdenes[[#This Row],[orden]]="","",MAX(0,_xlfn.XLOOKUP(tblOrdenes[[#This Row],[id_operacion]],tblEjecucion[id_operacion],tblEjecucion[costo_plan_total],0)-tblOrdenes[[#This Row],[costo_servicio]]))</f>
        <v/>
      </c>
      <c r="AH334" s="10">
        <f>IF(tblOrdenes[[#This Row],[orden]]="","",tblOrdenes[[#This Row],[costo_servicio]]+tblOrdenes[[#This Row],[costo_materiales]])</f>
        <v/>
      </c>
      <c r="AI334" s="6" t="n"/>
      <c r="AJ334" s="6" t="n"/>
      <c r="AK334" s="6" t="n"/>
      <c r="AL334" s="3">
        <f>IF(tblOrdenes[[#This Row],[link_checklist]]="","",HYPERLINK(p_ruta_base_checklists&amp;tblOrdenes[[#This Row],[link_checklist]],"abrir"))</f>
        <v/>
      </c>
      <c r="AM334" s="6" t="n"/>
      <c r="AN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Row],[tipo_ot]]="","",_xlfn.XLOOKUP(tblOrdenes[[#This Row],[tipo_ot]],tblTiposOT[codigo],tblTiposOT[clasificacion],"sin_clasificar"))</f>
        <v/>
      </c>
      <c r="T335" s="3">
        <f>IF(tblOrdenes[[#This Row],[centro_costo]]="","",_xlfn.XLOOKUP(tblOrdenes[[#This Row],[centro_costo]],tblCECO[codigo],tblCECO[linea],"(sin catálogo)"))</f>
        <v/>
      </c>
      <c r="U335" s="3">
        <f>IF(tblOrdenes[[#This Row],[centro_costo]]="","",_xlfn.XLOOKUP(tblOrdenes[[#This Row],[centro_costo]],tblCECO[codigo],tblCECO[area],"(sin catálogo)"))</f>
        <v/>
      </c>
      <c r="V335" s="3">
        <f>IF(tblOrdenes[[#This Row],[centro_costo]]="","",_xlfn.XLOOKUP(tblOrdenes[[#This Row],[centro_costo]],tblCECO[codigo],tblCECO[coordinador],"(sin catálogo)"))</f>
        <v/>
      </c>
      <c r="W335" s="3">
        <f>IF(tblOrdenes[[#This Row],[puesto_trabajo]]="","",_xlfn.XLOOKUP(tblOrdenes[[#This Row],[puesto_trabajo]],tblPuestos[codigo],tblPuestos[especialidad],"(sin catálogo)"))</f>
        <v/>
      </c>
      <c r="X335" s="3">
        <f>IF(tblOrdenes[[#This Row],[cod_actividad]]="","",_xlfn.XLOOKUP(tblOrdenes[[#This Row],[cod_actividad]],tblActividades[codigo],tblActividades[descripcion],"(sin catálogo)"))</f>
        <v/>
      </c>
      <c r="Y335" s="12">
        <f>IF(tblOrdenes[[#This Row],[fecha_inicio]]="","",TODAY()-tblOrdenes[[#This Row],[fecha_inicio]])</f>
        <v/>
      </c>
      <c r="Z335" s="3">
        <f>IF(tblOrdenes[[#This Row],[backlog_dias]]="","",IF(tblOrdenes[[#This Row],[backlog_dias]]&lt;0,"FUTURO",IF(tblOrdenes[[#This Row],[backlog_dias]]&gt;p_dias_backlog_max,"BACKLOG","MES CORRIENTE")))</f>
        <v/>
      </c>
      <c r="AA335" s="3">
        <f>IF(tblOrdenes[[#This Row],[backlog_dias]]="",FALSE,AND(tblOrdenes[[#This Row],[backlog_dias]]&gt;p_dias_backlog_min,tblOrdenes[[#This Row],[backlog_dias]]&lt;=p_dias_backlog_max))</f>
        <v/>
      </c>
      <c r="AB335" s="6" t="n"/>
      <c r="AC3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5" s="10">
        <f>IF(tblOrdenes[[#This Row],[orden]]="","",_xlfn.XLOOKUP(tblOrdenes[[#This Row],[id_operacion]],tblEjecucion[id_operacion],tblEjecucion[precio],0))</f>
        <v/>
      </c>
      <c r="AG335" s="10">
        <f>IF(tblOrdenes[[#This Row],[orden]]="","",MAX(0,_xlfn.XLOOKUP(tblOrdenes[[#This Row],[id_operacion]],tblEjecucion[id_operacion],tblEjecucion[costo_plan_total],0)-tblOrdenes[[#This Row],[costo_servicio]]))</f>
        <v/>
      </c>
      <c r="AH335" s="10">
        <f>IF(tblOrdenes[[#This Row],[orden]]="","",tblOrdenes[[#This Row],[costo_servicio]]+tblOrdenes[[#This Row],[costo_materiales]])</f>
        <v/>
      </c>
      <c r="AI335" s="6" t="n"/>
      <c r="AJ335" s="6" t="n"/>
      <c r="AK335" s="6" t="n"/>
      <c r="AL335" s="3">
        <f>IF(tblOrdenes[[#This Row],[link_checklist]]="","",HYPERLINK(p_ruta_base_checklists&amp;tblOrdenes[[#This Row],[link_checklist]],"abrir"))</f>
        <v/>
      </c>
      <c r="AM335" s="6" t="n"/>
      <c r="AN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Row],[tipo_ot]]="","",_xlfn.XLOOKUP(tblOrdenes[[#This Row],[tipo_ot]],tblTiposOT[codigo],tblTiposOT[clasificacion],"sin_clasificar"))</f>
        <v/>
      </c>
      <c r="T336" s="3">
        <f>IF(tblOrdenes[[#This Row],[centro_costo]]="","",_xlfn.XLOOKUP(tblOrdenes[[#This Row],[centro_costo]],tblCECO[codigo],tblCECO[linea],"(sin catálogo)"))</f>
        <v/>
      </c>
      <c r="U336" s="3">
        <f>IF(tblOrdenes[[#This Row],[centro_costo]]="","",_xlfn.XLOOKUP(tblOrdenes[[#This Row],[centro_costo]],tblCECO[codigo],tblCECO[area],"(sin catálogo)"))</f>
        <v/>
      </c>
      <c r="V336" s="3">
        <f>IF(tblOrdenes[[#This Row],[centro_costo]]="","",_xlfn.XLOOKUP(tblOrdenes[[#This Row],[centro_costo]],tblCECO[codigo],tblCECO[coordinador],"(sin catálogo)"))</f>
        <v/>
      </c>
      <c r="W336" s="3">
        <f>IF(tblOrdenes[[#This Row],[puesto_trabajo]]="","",_xlfn.XLOOKUP(tblOrdenes[[#This Row],[puesto_trabajo]],tblPuestos[codigo],tblPuestos[especialidad],"(sin catálogo)"))</f>
        <v/>
      </c>
      <c r="X336" s="3">
        <f>IF(tblOrdenes[[#This Row],[cod_actividad]]="","",_xlfn.XLOOKUP(tblOrdenes[[#This Row],[cod_actividad]],tblActividades[codigo],tblActividades[descripcion],"(sin catálogo)"))</f>
        <v/>
      </c>
      <c r="Y336" s="12">
        <f>IF(tblOrdenes[[#This Row],[fecha_inicio]]="","",TODAY()-tblOrdenes[[#This Row],[fecha_inicio]])</f>
        <v/>
      </c>
      <c r="Z336" s="3">
        <f>IF(tblOrdenes[[#This Row],[backlog_dias]]="","",IF(tblOrdenes[[#This Row],[backlog_dias]]&lt;0,"FUTURO",IF(tblOrdenes[[#This Row],[backlog_dias]]&gt;p_dias_backlog_max,"BACKLOG","MES CORRIENTE")))</f>
        <v/>
      </c>
      <c r="AA336" s="3">
        <f>IF(tblOrdenes[[#This Row],[backlog_dias]]="",FALSE,AND(tblOrdenes[[#This Row],[backlog_dias]]&gt;p_dias_backlog_min,tblOrdenes[[#This Row],[backlog_dias]]&lt;=p_dias_backlog_max))</f>
        <v/>
      </c>
      <c r="AB336" s="6" t="n"/>
      <c r="AC3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6" s="10">
        <f>IF(tblOrdenes[[#This Row],[orden]]="","",_xlfn.XLOOKUP(tblOrdenes[[#This Row],[id_operacion]],tblEjecucion[id_operacion],tblEjecucion[precio],0))</f>
        <v/>
      </c>
      <c r="AG336" s="10">
        <f>IF(tblOrdenes[[#This Row],[orden]]="","",MAX(0,_xlfn.XLOOKUP(tblOrdenes[[#This Row],[id_operacion]],tblEjecucion[id_operacion],tblEjecucion[costo_plan_total],0)-tblOrdenes[[#This Row],[costo_servicio]]))</f>
        <v/>
      </c>
      <c r="AH336" s="10">
        <f>IF(tblOrdenes[[#This Row],[orden]]="","",tblOrdenes[[#This Row],[costo_servicio]]+tblOrdenes[[#This Row],[costo_materiales]])</f>
        <v/>
      </c>
      <c r="AI336" s="6" t="n"/>
      <c r="AJ336" s="6" t="n"/>
      <c r="AK336" s="6" t="n"/>
      <c r="AL336" s="3">
        <f>IF(tblOrdenes[[#This Row],[link_checklist]]="","",HYPERLINK(p_ruta_base_checklists&amp;tblOrdenes[[#This Row],[link_checklist]],"abrir"))</f>
        <v/>
      </c>
      <c r="AM336" s="6" t="n"/>
      <c r="AN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Row],[tipo_ot]]="","",_xlfn.XLOOKUP(tblOrdenes[[#This Row],[tipo_ot]],tblTiposOT[codigo],tblTiposOT[clasificacion],"sin_clasificar"))</f>
        <v/>
      </c>
      <c r="T337" s="3">
        <f>IF(tblOrdenes[[#This Row],[centro_costo]]="","",_xlfn.XLOOKUP(tblOrdenes[[#This Row],[centro_costo]],tblCECO[codigo],tblCECO[linea],"(sin catálogo)"))</f>
        <v/>
      </c>
      <c r="U337" s="3">
        <f>IF(tblOrdenes[[#This Row],[centro_costo]]="","",_xlfn.XLOOKUP(tblOrdenes[[#This Row],[centro_costo]],tblCECO[codigo],tblCECO[area],"(sin catálogo)"))</f>
        <v/>
      </c>
      <c r="V337" s="3">
        <f>IF(tblOrdenes[[#This Row],[centro_costo]]="","",_xlfn.XLOOKUP(tblOrdenes[[#This Row],[centro_costo]],tblCECO[codigo],tblCECO[coordinador],"(sin catálogo)"))</f>
        <v/>
      </c>
      <c r="W337" s="3">
        <f>IF(tblOrdenes[[#This Row],[puesto_trabajo]]="","",_xlfn.XLOOKUP(tblOrdenes[[#This Row],[puesto_trabajo]],tblPuestos[codigo],tblPuestos[especialidad],"(sin catálogo)"))</f>
        <v/>
      </c>
      <c r="X337" s="3">
        <f>IF(tblOrdenes[[#This Row],[cod_actividad]]="","",_xlfn.XLOOKUP(tblOrdenes[[#This Row],[cod_actividad]],tblActividades[codigo],tblActividades[descripcion],"(sin catálogo)"))</f>
        <v/>
      </c>
      <c r="Y337" s="12">
        <f>IF(tblOrdenes[[#This Row],[fecha_inicio]]="","",TODAY()-tblOrdenes[[#This Row],[fecha_inicio]])</f>
        <v/>
      </c>
      <c r="Z337" s="3">
        <f>IF(tblOrdenes[[#This Row],[backlog_dias]]="","",IF(tblOrdenes[[#This Row],[backlog_dias]]&lt;0,"FUTURO",IF(tblOrdenes[[#This Row],[backlog_dias]]&gt;p_dias_backlog_max,"BACKLOG","MES CORRIENTE")))</f>
        <v/>
      </c>
      <c r="AA337" s="3">
        <f>IF(tblOrdenes[[#This Row],[backlog_dias]]="",FALSE,AND(tblOrdenes[[#This Row],[backlog_dias]]&gt;p_dias_backlog_min,tblOrdenes[[#This Row],[backlog_dias]]&lt;=p_dias_backlog_max))</f>
        <v/>
      </c>
      <c r="AB337" s="6" t="n"/>
      <c r="AC3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7" s="10">
        <f>IF(tblOrdenes[[#This Row],[orden]]="","",_xlfn.XLOOKUP(tblOrdenes[[#This Row],[id_operacion]],tblEjecucion[id_operacion],tblEjecucion[precio],0))</f>
        <v/>
      </c>
      <c r="AG337" s="10">
        <f>IF(tblOrdenes[[#This Row],[orden]]="","",MAX(0,_xlfn.XLOOKUP(tblOrdenes[[#This Row],[id_operacion]],tblEjecucion[id_operacion],tblEjecucion[costo_plan_total],0)-tblOrdenes[[#This Row],[costo_servicio]]))</f>
        <v/>
      </c>
      <c r="AH337" s="10">
        <f>IF(tblOrdenes[[#This Row],[orden]]="","",tblOrdenes[[#This Row],[costo_servicio]]+tblOrdenes[[#This Row],[costo_materiales]])</f>
        <v/>
      </c>
      <c r="AI337" s="6" t="n"/>
      <c r="AJ337" s="6" t="n"/>
      <c r="AK337" s="6" t="n"/>
      <c r="AL337" s="3">
        <f>IF(tblOrdenes[[#This Row],[link_checklist]]="","",HYPERLINK(p_ruta_base_checklists&amp;tblOrdenes[[#This Row],[link_checklist]],"abrir"))</f>
        <v/>
      </c>
      <c r="AM337" s="6" t="n"/>
      <c r="AN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Row],[tipo_ot]]="","",_xlfn.XLOOKUP(tblOrdenes[[#This Row],[tipo_ot]],tblTiposOT[codigo],tblTiposOT[clasificacion],"sin_clasificar"))</f>
        <v/>
      </c>
      <c r="T338" s="3">
        <f>IF(tblOrdenes[[#This Row],[centro_costo]]="","",_xlfn.XLOOKUP(tblOrdenes[[#This Row],[centro_costo]],tblCECO[codigo],tblCECO[linea],"(sin catálogo)"))</f>
        <v/>
      </c>
      <c r="U338" s="3">
        <f>IF(tblOrdenes[[#This Row],[centro_costo]]="","",_xlfn.XLOOKUP(tblOrdenes[[#This Row],[centro_costo]],tblCECO[codigo],tblCECO[area],"(sin catálogo)"))</f>
        <v/>
      </c>
      <c r="V338" s="3">
        <f>IF(tblOrdenes[[#This Row],[centro_costo]]="","",_xlfn.XLOOKUP(tblOrdenes[[#This Row],[centro_costo]],tblCECO[codigo],tblCECO[coordinador],"(sin catálogo)"))</f>
        <v/>
      </c>
      <c r="W338" s="3">
        <f>IF(tblOrdenes[[#This Row],[puesto_trabajo]]="","",_xlfn.XLOOKUP(tblOrdenes[[#This Row],[puesto_trabajo]],tblPuestos[codigo],tblPuestos[especialidad],"(sin catálogo)"))</f>
        <v/>
      </c>
      <c r="X338" s="3">
        <f>IF(tblOrdenes[[#This Row],[cod_actividad]]="","",_xlfn.XLOOKUP(tblOrdenes[[#This Row],[cod_actividad]],tblActividades[codigo],tblActividades[descripcion],"(sin catálogo)"))</f>
        <v/>
      </c>
      <c r="Y338" s="12">
        <f>IF(tblOrdenes[[#This Row],[fecha_inicio]]="","",TODAY()-tblOrdenes[[#This Row],[fecha_inicio]])</f>
        <v/>
      </c>
      <c r="Z338" s="3">
        <f>IF(tblOrdenes[[#This Row],[backlog_dias]]="","",IF(tblOrdenes[[#This Row],[backlog_dias]]&lt;0,"FUTURO",IF(tblOrdenes[[#This Row],[backlog_dias]]&gt;p_dias_backlog_max,"BACKLOG","MES CORRIENTE")))</f>
        <v/>
      </c>
      <c r="AA338" s="3">
        <f>IF(tblOrdenes[[#This Row],[backlog_dias]]="",FALSE,AND(tblOrdenes[[#This Row],[backlog_dias]]&gt;p_dias_backlog_min,tblOrdenes[[#This Row],[backlog_dias]]&lt;=p_dias_backlog_max))</f>
        <v/>
      </c>
      <c r="AB338" s="6" t="n"/>
      <c r="AC3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8" s="10">
        <f>IF(tblOrdenes[[#This Row],[orden]]="","",_xlfn.XLOOKUP(tblOrdenes[[#This Row],[id_operacion]],tblEjecucion[id_operacion],tblEjecucion[precio],0))</f>
        <v/>
      </c>
      <c r="AG338" s="10">
        <f>IF(tblOrdenes[[#This Row],[orden]]="","",MAX(0,_xlfn.XLOOKUP(tblOrdenes[[#This Row],[id_operacion]],tblEjecucion[id_operacion],tblEjecucion[costo_plan_total],0)-tblOrdenes[[#This Row],[costo_servicio]]))</f>
        <v/>
      </c>
      <c r="AH338" s="10">
        <f>IF(tblOrdenes[[#This Row],[orden]]="","",tblOrdenes[[#This Row],[costo_servicio]]+tblOrdenes[[#This Row],[costo_materiales]])</f>
        <v/>
      </c>
      <c r="AI338" s="6" t="n"/>
      <c r="AJ338" s="6" t="n"/>
      <c r="AK338" s="6" t="n"/>
      <c r="AL338" s="3">
        <f>IF(tblOrdenes[[#This Row],[link_checklist]]="","",HYPERLINK(p_ruta_base_checklists&amp;tblOrdenes[[#This Row],[link_checklist]],"abrir"))</f>
        <v/>
      </c>
      <c r="AM338" s="6" t="n"/>
      <c r="AN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Row],[tipo_ot]]="","",_xlfn.XLOOKUP(tblOrdenes[[#This Row],[tipo_ot]],tblTiposOT[codigo],tblTiposOT[clasificacion],"sin_clasificar"))</f>
        <v/>
      </c>
      <c r="T339" s="3">
        <f>IF(tblOrdenes[[#This Row],[centro_costo]]="","",_xlfn.XLOOKUP(tblOrdenes[[#This Row],[centro_costo]],tblCECO[codigo],tblCECO[linea],"(sin catálogo)"))</f>
        <v/>
      </c>
      <c r="U339" s="3">
        <f>IF(tblOrdenes[[#This Row],[centro_costo]]="","",_xlfn.XLOOKUP(tblOrdenes[[#This Row],[centro_costo]],tblCECO[codigo],tblCECO[area],"(sin catálogo)"))</f>
        <v/>
      </c>
      <c r="V339" s="3">
        <f>IF(tblOrdenes[[#This Row],[centro_costo]]="","",_xlfn.XLOOKUP(tblOrdenes[[#This Row],[centro_costo]],tblCECO[codigo],tblCECO[coordinador],"(sin catálogo)"))</f>
        <v/>
      </c>
      <c r="W339" s="3">
        <f>IF(tblOrdenes[[#This Row],[puesto_trabajo]]="","",_xlfn.XLOOKUP(tblOrdenes[[#This Row],[puesto_trabajo]],tblPuestos[codigo],tblPuestos[especialidad],"(sin catálogo)"))</f>
        <v/>
      </c>
      <c r="X339" s="3">
        <f>IF(tblOrdenes[[#This Row],[cod_actividad]]="","",_xlfn.XLOOKUP(tblOrdenes[[#This Row],[cod_actividad]],tblActividades[codigo],tblActividades[descripcion],"(sin catálogo)"))</f>
        <v/>
      </c>
      <c r="Y339" s="12">
        <f>IF(tblOrdenes[[#This Row],[fecha_inicio]]="","",TODAY()-tblOrdenes[[#This Row],[fecha_inicio]])</f>
        <v/>
      </c>
      <c r="Z339" s="3">
        <f>IF(tblOrdenes[[#This Row],[backlog_dias]]="","",IF(tblOrdenes[[#This Row],[backlog_dias]]&lt;0,"FUTURO",IF(tblOrdenes[[#This Row],[backlog_dias]]&gt;p_dias_backlog_max,"BACKLOG","MES CORRIENTE")))</f>
        <v/>
      </c>
      <c r="AA339" s="3">
        <f>IF(tblOrdenes[[#This Row],[backlog_dias]]="",FALSE,AND(tblOrdenes[[#This Row],[backlog_dias]]&gt;p_dias_backlog_min,tblOrdenes[[#This Row],[backlog_dias]]&lt;=p_dias_backlog_max))</f>
        <v/>
      </c>
      <c r="AB339" s="6" t="n"/>
      <c r="AC3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9" s="10">
        <f>IF(tblOrdenes[[#This Row],[orden]]="","",_xlfn.XLOOKUP(tblOrdenes[[#This Row],[id_operacion]],tblEjecucion[id_operacion],tblEjecucion[precio],0))</f>
        <v/>
      </c>
      <c r="AG339" s="10">
        <f>IF(tblOrdenes[[#This Row],[orden]]="","",MAX(0,_xlfn.XLOOKUP(tblOrdenes[[#This Row],[id_operacion]],tblEjecucion[id_operacion],tblEjecucion[costo_plan_total],0)-tblOrdenes[[#This Row],[costo_servicio]]))</f>
        <v/>
      </c>
      <c r="AH339" s="10">
        <f>IF(tblOrdenes[[#This Row],[orden]]="","",tblOrdenes[[#This Row],[costo_servicio]]+tblOrdenes[[#This Row],[costo_materiales]])</f>
        <v/>
      </c>
      <c r="AI339" s="6" t="n"/>
      <c r="AJ339" s="6" t="n"/>
      <c r="AK339" s="6" t="n"/>
      <c r="AL339" s="3">
        <f>IF(tblOrdenes[[#This Row],[link_checklist]]="","",HYPERLINK(p_ruta_base_checklists&amp;tblOrdenes[[#This Row],[link_checklist]],"abrir"))</f>
        <v/>
      </c>
      <c r="AM339" s="6" t="n"/>
      <c r="AN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Row],[tipo_ot]]="","",_xlfn.XLOOKUP(tblOrdenes[[#This Row],[tipo_ot]],tblTiposOT[codigo],tblTiposOT[clasificacion],"sin_clasificar"))</f>
        <v/>
      </c>
      <c r="T340" s="3">
        <f>IF(tblOrdenes[[#This Row],[centro_costo]]="","",_xlfn.XLOOKUP(tblOrdenes[[#This Row],[centro_costo]],tblCECO[codigo],tblCECO[linea],"(sin catálogo)"))</f>
        <v/>
      </c>
      <c r="U340" s="3">
        <f>IF(tblOrdenes[[#This Row],[centro_costo]]="","",_xlfn.XLOOKUP(tblOrdenes[[#This Row],[centro_costo]],tblCECO[codigo],tblCECO[area],"(sin catálogo)"))</f>
        <v/>
      </c>
      <c r="V340" s="3">
        <f>IF(tblOrdenes[[#This Row],[centro_costo]]="","",_xlfn.XLOOKUP(tblOrdenes[[#This Row],[centro_costo]],tblCECO[codigo],tblCECO[coordinador],"(sin catálogo)"))</f>
        <v/>
      </c>
      <c r="W340" s="3">
        <f>IF(tblOrdenes[[#This Row],[puesto_trabajo]]="","",_xlfn.XLOOKUP(tblOrdenes[[#This Row],[puesto_trabajo]],tblPuestos[codigo],tblPuestos[especialidad],"(sin catálogo)"))</f>
        <v/>
      </c>
      <c r="X340" s="3">
        <f>IF(tblOrdenes[[#This Row],[cod_actividad]]="","",_xlfn.XLOOKUP(tblOrdenes[[#This Row],[cod_actividad]],tblActividades[codigo],tblActividades[descripcion],"(sin catálogo)"))</f>
        <v/>
      </c>
      <c r="Y340" s="12">
        <f>IF(tblOrdenes[[#This Row],[fecha_inicio]]="","",TODAY()-tblOrdenes[[#This Row],[fecha_inicio]])</f>
        <v/>
      </c>
      <c r="Z340" s="3">
        <f>IF(tblOrdenes[[#This Row],[backlog_dias]]="","",IF(tblOrdenes[[#This Row],[backlog_dias]]&lt;0,"FUTURO",IF(tblOrdenes[[#This Row],[backlog_dias]]&gt;p_dias_backlog_max,"BACKLOG","MES CORRIENTE")))</f>
        <v/>
      </c>
      <c r="AA340" s="3">
        <f>IF(tblOrdenes[[#This Row],[backlog_dias]]="",FALSE,AND(tblOrdenes[[#This Row],[backlog_dias]]&gt;p_dias_backlog_min,tblOrdenes[[#This Row],[backlog_dias]]&lt;=p_dias_backlog_max))</f>
        <v/>
      </c>
      <c r="AB340" s="6" t="n"/>
      <c r="AC3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0" s="10">
        <f>IF(tblOrdenes[[#This Row],[orden]]="","",_xlfn.XLOOKUP(tblOrdenes[[#This Row],[id_operacion]],tblEjecucion[id_operacion],tblEjecucion[precio],0))</f>
        <v/>
      </c>
      <c r="AG340" s="10">
        <f>IF(tblOrdenes[[#This Row],[orden]]="","",MAX(0,_xlfn.XLOOKUP(tblOrdenes[[#This Row],[id_operacion]],tblEjecucion[id_operacion],tblEjecucion[costo_plan_total],0)-tblOrdenes[[#This Row],[costo_servicio]]))</f>
        <v/>
      </c>
      <c r="AH340" s="10">
        <f>IF(tblOrdenes[[#This Row],[orden]]="","",tblOrdenes[[#This Row],[costo_servicio]]+tblOrdenes[[#This Row],[costo_materiales]])</f>
        <v/>
      </c>
      <c r="AI340" s="6" t="n"/>
      <c r="AJ340" s="6" t="n"/>
      <c r="AK340" s="6" t="n"/>
      <c r="AL340" s="3">
        <f>IF(tblOrdenes[[#This Row],[link_checklist]]="","",HYPERLINK(p_ruta_base_checklists&amp;tblOrdenes[[#This Row],[link_checklist]],"abrir"))</f>
        <v/>
      </c>
      <c r="AM340" s="6" t="n"/>
      <c r="AN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Row],[tipo_ot]]="","",_xlfn.XLOOKUP(tblOrdenes[[#This Row],[tipo_ot]],tblTiposOT[codigo],tblTiposOT[clasificacion],"sin_clasificar"))</f>
        <v/>
      </c>
      <c r="T341" s="3">
        <f>IF(tblOrdenes[[#This Row],[centro_costo]]="","",_xlfn.XLOOKUP(tblOrdenes[[#This Row],[centro_costo]],tblCECO[codigo],tblCECO[linea],"(sin catálogo)"))</f>
        <v/>
      </c>
      <c r="U341" s="3">
        <f>IF(tblOrdenes[[#This Row],[centro_costo]]="","",_xlfn.XLOOKUP(tblOrdenes[[#This Row],[centro_costo]],tblCECO[codigo],tblCECO[area],"(sin catálogo)"))</f>
        <v/>
      </c>
      <c r="V341" s="3">
        <f>IF(tblOrdenes[[#This Row],[centro_costo]]="","",_xlfn.XLOOKUP(tblOrdenes[[#This Row],[centro_costo]],tblCECO[codigo],tblCECO[coordinador],"(sin catálogo)"))</f>
        <v/>
      </c>
      <c r="W341" s="3">
        <f>IF(tblOrdenes[[#This Row],[puesto_trabajo]]="","",_xlfn.XLOOKUP(tblOrdenes[[#This Row],[puesto_trabajo]],tblPuestos[codigo],tblPuestos[especialidad],"(sin catálogo)"))</f>
        <v/>
      </c>
      <c r="X341" s="3">
        <f>IF(tblOrdenes[[#This Row],[cod_actividad]]="","",_xlfn.XLOOKUP(tblOrdenes[[#This Row],[cod_actividad]],tblActividades[codigo],tblActividades[descripcion],"(sin catálogo)"))</f>
        <v/>
      </c>
      <c r="Y341" s="12">
        <f>IF(tblOrdenes[[#This Row],[fecha_inicio]]="","",TODAY()-tblOrdenes[[#This Row],[fecha_inicio]])</f>
        <v/>
      </c>
      <c r="Z341" s="3">
        <f>IF(tblOrdenes[[#This Row],[backlog_dias]]="","",IF(tblOrdenes[[#This Row],[backlog_dias]]&lt;0,"FUTURO",IF(tblOrdenes[[#This Row],[backlog_dias]]&gt;p_dias_backlog_max,"BACKLOG","MES CORRIENTE")))</f>
        <v/>
      </c>
      <c r="AA341" s="3">
        <f>IF(tblOrdenes[[#This Row],[backlog_dias]]="",FALSE,AND(tblOrdenes[[#This Row],[backlog_dias]]&gt;p_dias_backlog_min,tblOrdenes[[#This Row],[backlog_dias]]&lt;=p_dias_backlog_max))</f>
        <v/>
      </c>
      <c r="AB341" s="6" t="n"/>
      <c r="AC3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1" s="10">
        <f>IF(tblOrdenes[[#This Row],[orden]]="","",_xlfn.XLOOKUP(tblOrdenes[[#This Row],[id_operacion]],tblEjecucion[id_operacion],tblEjecucion[precio],0))</f>
        <v/>
      </c>
      <c r="AG341" s="10">
        <f>IF(tblOrdenes[[#This Row],[orden]]="","",MAX(0,_xlfn.XLOOKUP(tblOrdenes[[#This Row],[id_operacion]],tblEjecucion[id_operacion],tblEjecucion[costo_plan_total],0)-tblOrdenes[[#This Row],[costo_servicio]]))</f>
        <v/>
      </c>
      <c r="AH341" s="10">
        <f>IF(tblOrdenes[[#This Row],[orden]]="","",tblOrdenes[[#This Row],[costo_servicio]]+tblOrdenes[[#This Row],[costo_materiales]])</f>
        <v/>
      </c>
      <c r="AI341" s="6" t="n"/>
      <c r="AJ341" s="6" t="n"/>
      <c r="AK341" s="6" t="n"/>
      <c r="AL341" s="3">
        <f>IF(tblOrdenes[[#This Row],[link_checklist]]="","",HYPERLINK(p_ruta_base_checklists&amp;tblOrdenes[[#This Row],[link_checklist]],"abrir"))</f>
        <v/>
      </c>
      <c r="AM341" s="6" t="n"/>
      <c r="AN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Row],[tipo_ot]]="","",_xlfn.XLOOKUP(tblOrdenes[[#This Row],[tipo_ot]],tblTiposOT[codigo],tblTiposOT[clasificacion],"sin_clasificar"))</f>
        <v/>
      </c>
      <c r="T342" s="3">
        <f>IF(tblOrdenes[[#This Row],[centro_costo]]="","",_xlfn.XLOOKUP(tblOrdenes[[#This Row],[centro_costo]],tblCECO[codigo],tblCECO[linea],"(sin catálogo)"))</f>
        <v/>
      </c>
      <c r="U342" s="3">
        <f>IF(tblOrdenes[[#This Row],[centro_costo]]="","",_xlfn.XLOOKUP(tblOrdenes[[#This Row],[centro_costo]],tblCECO[codigo],tblCECO[area],"(sin catálogo)"))</f>
        <v/>
      </c>
      <c r="V342" s="3">
        <f>IF(tblOrdenes[[#This Row],[centro_costo]]="","",_xlfn.XLOOKUP(tblOrdenes[[#This Row],[centro_costo]],tblCECO[codigo],tblCECO[coordinador],"(sin catálogo)"))</f>
        <v/>
      </c>
      <c r="W342" s="3">
        <f>IF(tblOrdenes[[#This Row],[puesto_trabajo]]="","",_xlfn.XLOOKUP(tblOrdenes[[#This Row],[puesto_trabajo]],tblPuestos[codigo],tblPuestos[especialidad],"(sin catálogo)"))</f>
        <v/>
      </c>
      <c r="X342" s="3">
        <f>IF(tblOrdenes[[#This Row],[cod_actividad]]="","",_xlfn.XLOOKUP(tblOrdenes[[#This Row],[cod_actividad]],tblActividades[codigo],tblActividades[descripcion],"(sin catálogo)"))</f>
        <v/>
      </c>
      <c r="Y342" s="12">
        <f>IF(tblOrdenes[[#This Row],[fecha_inicio]]="","",TODAY()-tblOrdenes[[#This Row],[fecha_inicio]])</f>
        <v/>
      </c>
      <c r="Z342" s="3">
        <f>IF(tblOrdenes[[#This Row],[backlog_dias]]="","",IF(tblOrdenes[[#This Row],[backlog_dias]]&lt;0,"FUTURO",IF(tblOrdenes[[#This Row],[backlog_dias]]&gt;p_dias_backlog_max,"BACKLOG","MES CORRIENTE")))</f>
        <v/>
      </c>
      <c r="AA342" s="3">
        <f>IF(tblOrdenes[[#This Row],[backlog_dias]]="",FALSE,AND(tblOrdenes[[#This Row],[backlog_dias]]&gt;p_dias_backlog_min,tblOrdenes[[#This Row],[backlog_dias]]&lt;=p_dias_backlog_max))</f>
        <v/>
      </c>
      <c r="AB342" s="6" t="n"/>
      <c r="AC3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2" s="10">
        <f>IF(tblOrdenes[[#This Row],[orden]]="","",_xlfn.XLOOKUP(tblOrdenes[[#This Row],[id_operacion]],tblEjecucion[id_operacion],tblEjecucion[precio],0))</f>
        <v/>
      </c>
      <c r="AG342" s="10">
        <f>IF(tblOrdenes[[#This Row],[orden]]="","",MAX(0,_xlfn.XLOOKUP(tblOrdenes[[#This Row],[id_operacion]],tblEjecucion[id_operacion],tblEjecucion[costo_plan_total],0)-tblOrdenes[[#This Row],[costo_servicio]]))</f>
        <v/>
      </c>
      <c r="AH342" s="10">
        <f>IF(tblOrdenes[[#This Row],[orden]]="","",tblOrdenes[[#This Row],[costo_servicio]]+tblOrdenes[[#This Row],[costo_materiales]])</f>
        <v/>
      </c>
      <c r="AI342" s="6" t="n"/>
      <c r="AJ342" s="6" t="n"/>
      <c r="AK342" s="6" t="n"/>
      <c r="AL342" s="3">
        <f>IF(tblOrdenes[[#This Row],[link_checklist]]="","",HYPERLINK(p_ruta_base_checklists&amp;tblOrdenes[[#This Row],[link_checklist]],"abrir"))</f>
        <v/>
      </c>
      <c r="AM342" s="6" t="n"/>
      <c r="AN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Row],[tipo_ot]]="","",_xlfn.XLOOKUP(tblOrdenes[[#This Row],[tipo_ot]],tblTiposOT[codigo],tblTiposOT[clasificacion],"sin_clasificar"))</f>
        <v/>
      </c>
      <c r="T343" s="3">
        <f>IF(tblOrdenes[[#This Row],[centro_costo]]="","",_xlfn.XLOOKUP(tblOrdenes[[#This Row],[centro_costo]],tblCECO[codigo],tblCECO[linea],"(sin catálogo)"))</f>
        <v/>
      </c>
      <c r="U343" s="3">
        <f>IF(tblOrdenes[[#This Row],[centro_costo]]="","",_xlfn.XLOOKUP(tblOrdenes[[#This Row],[centro_costo]],tblCECO[codigo],tblCECO[area],"(sin catálogo)"))</f>
        <v/>
      </c>
      <c r="V343" s="3">
        <f>IF(tblOrdenes[[#This Row],[centro_costo]]="","",_xlfn.XLOOKUP(tblOrdenes[[#This Row],[centro_costo]],tblCECO[codigo],tblCECO[coordinador],"(sin catálogo)"))</f>
        <v/>
      </c>
      <c r="W343" s="3">
        <f>IF(tblOrdenes[[#This Row],[puesto_trabajo]]="","",_xlfn.XLOOKUP(tblOrdenes[[#This Row],[puesto_trabajo]],tblPuestos[codigo],tblPuestos[especialidad],"(sin catálogo)"))</f>
        <v/>
      </c>
      <c r="X343" s="3">
        <f>IF(tblOrdenes[[#This Row],[cod_actividad]]="","",_xlfn.XLOOKUP(tblOrdenes[[#This Row],[cod_actividad]],tblActividades[codigo],tblActividades[descripcion],"(sin catálogo)"))</f>
        <v/>
      </c>
      <c r="Y343" s="12">
        <f>IF(tblOrdenes[[#This Row],[fecha_inicio]]="","",TODAY()-tblOrdenes[[#This Row],[fecha_inicio]])</f>
        <v/>
      </c>
      <c r="Z343" s="3">
        <f>IF(tblOrdenes[[#This Row],[backlog_dias]]="","",IF(tblOrdenes[[#This Row],[backlog_dias]]&lt;0,"FUTURO",IF(tblOrdenes[[#This Row],[backlog_dias]]&gt;p_dias_backlog_max,"BACKLOG","MES CORRIENTE")))</f>
        <v/>
      </c>
      <c r="AA343" s="3">
        <f>IF(tblOrdenes[[#This Row],[backlog_dias]]="",FALSE,AND(tblOrdenes[[#This Row],[backlog_dias]]&gt;p_dias_backlog_min,tblOrdenes[[#This Row],[backlog_dias]]&lt;=p_dias_backlog_max))</f>
        <v/>
      </c>
      <c r="AB343" s="6" t="n"/>
      <c r="AC3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3" s="10">
        <f>IF(tblOrdenes[[#This Row],[orden]]="","",_xlfn.XLOOKUP(tblOrdenes[[#This Row],[id_operacion]],tblEjecucion[id_operacion],tblEjecucion[precio],0))</f>
        <v/>
      </c>
      <c r="AG343" s="10">
        <f>IF(tblOrdenes[[#This Row],[orden]]="","",MAX(0,_xlfn.XLOOKUP(tblOrdenes[[#This Row],[id_operacion]],tblEjecucion[id_operacion],tblEjecucion[costo_plan_total],0)-tblOrdenes[[#This Row],[costo_servicio]]))</f>
        <v/>
      </c>
      <c r="AH343" s="10">
        <f>IF(tblOrdenes[[#This Row],[orden]]="","",tblOrdenes[[#This Row],[costo_servicio]]+tblOrdenes[[#This Row],[costo_materiales]])</f>
        <v/>
      </c>
      <c r="AI343" s="6" t="n"/>
      <c r="AJ343" s="6" t="n"/>
      <c r="AK343" s="6" t="n"/>
      <c r="AL343" s="3">
        <f>IF(tblOrdenes[[#This Row],[link_checklist]]="","",HYPERLINK(p_ruta_base_checklists&amp;tblOrdenes[[#This Row],[link_checklist]],"abrir"))</f>
        <v/>
      </c>
      <c r="AM343" s="6" t="n"/>
      <c r="AN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Row],[tipo_ot]]="","",_xlfn.XLOOKUP(tblOrdenes[[#This Row],[tipo_ot]],tblTiposOT[codigo],tblTiposOT[clasificacion],"sin_clasificar"))</f>
        <v/>
      </c>
      <c r="T344" s="3">
        <f>IF(tblOrdenes[[#This Row],[centro_costo]]="","",_xlfn.XLOOKUP(tblOrdenes[[#This Row],[centro_costo]],tblCECO[codigo],tblCECO[linea],"(sin catálogo)"))</f>
        <v/>
      </c>
      <c r="U344" s="3">
        <f>IF(tblOrdenes[[#This Row],[centro_costo]]="","",_xlfn.XLOOKUP(tblOrdenes[[#This Row],[centro_costo]],tblCECO[codigo],tblCECO[area],"(sin catálogo)"))</f>
        <v/>
      </c>
      <c r="V344" s="3">
        <f>IF(tblOrdenes[[#This Row],[centro_costo]]="","",_xlfn.XLOOKUP(tblOrdenes[[#This Row],[centro_costo]],tblCECO[codigo],tblCECO[coordinador],"(sin catálogo)"))</f>
        <v/>
      </c>
      <c r="W344" s="3">
        <f>IF(tblOrdenes[[#This Row],[puesto_trabajo]]="","",_xlfn.XLOOKUP(tblOrdenes[[#This Row],[puesto_trabajo]],tblPuestos[codigo],tblPuestos[especialidad],"(sin catálogo)"))</f>
        <v/>
      </c>
      <c r="X344" s="3">
        <f>IF(tblOrdenes[[#This Row],[cod_actividad]]="","",_xlfn.XLOOKUP(tblOrdenes[[#This Row],[cod_actividad]],tblActividades[codigo],tblActividades[descripcion],"(sin catálogo)"))</f>
        <v/>
      </c>
      <c r="Y344" s="12">
        <f>IF(tblOrdenes[[#This Row],[fecha_inicio]]="","",TODAY()-tblOrdenes[[#This Row],[fecha_inicio]])</f>
        <v/>
      </c>
      <c r="Z344" s="3">
        <f>IF(tblOrdenes[[#This Row],[backlog_dias]]="","",IF(tblOrdenes[[#This Row],[backlog_dias]]&lt;0,"FUTURO",IF(tblOrdenes[[#This Row],[backlog_dias]]&gt;p_dias_backlog_max,"BACKLOG","MES CORRIENTE")))</f>
        <v/>
      </c>
      <c r="AA344" s="3">
        <f>IF(tblOrdenes[[#This Row],[backlog_dias]]="",FALSE,AND(tblOrdenes[[#This Row],[backlog_dias]]&gt;p_dias_backlog_min,tblOrdenes[[#This Row],[backlog_dias]]&lt;=p_dias_backlog_max))</f>
        <v/>
      </c>
      <c r="AB344" s="6" t="n"/>
      <c r="AC3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4" s="10">
        <f>IF(tblOrdenes[[#This Row],[orden]]="","",_xlfn.XLOOKUP(tblOrdenes[[#This Row],[id_operacion]],tblEjecucion[id_operacion],tblEjecucion[precio],0))</f>
        <v/>
      </c>
      <c r="AG344" s="10">
        <f>IF(tblOrdenes[[#This Row],[orden]]="","",MAX(0,_xlfn.XLOOKUP(tblOrdenes[[#This Row],[id_operacion]],tblEjecucion[id_operacion],tblEjecucion[costo_plan_total],0)-tblOrdenes[[#This Row],[costo_servicio]]))</f>
        <v/>
      </c>
      <c r="AH344" s="10">
        <f>IF(tblOrdenes[[#This Row],[orden]]="","",tblOrdenes[[#This Row],[costo_servicio]]+tblOrdenes[[#This Row],[costo_materiales]])</f>
        <v/>
      </c>
      <c r="AI344" s="6" t="n"/>
      <c r="AJ344" s="6" t="n"/>
      <c r="AK344" s="6" t="n"/>
      <c r="AL344" s="3">
        <f>IF(tblOrdenes[[#This Row],[link_checklist]]="","",HYPERLINK(p_ruta_base_checklists&amp;tblOrdenes[[#This Row],[link_checklist]],"abrir"))</f>
        <v/>
      </c>
      <c r="AM344" s="6" t="n"/>
      <c r="AN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Row],[tipo_ot]]="","",_xlfn.XLOOKUP(tblOrdenes[[#This Row],[tipo_ot]],tblTiposOT[codigo],tblTiposOT[clasificacion],"sin_clasificar"))</f>
        <v/>
      </c>
      <c r="T345" s="3">
        <f>IF(tblOrdenes[[#This Row],[centro_costo]]="","",_xlfn.XLOOKUP(tblOrdenes[[#This Row],[centro_costo]],tblCECO[codigo],tblCECO[linea],"(sin catálogo)"))</f>
        <v/>
      </c>
      <c r="U345" s="3">
        <f>IF(tblOrdenes[[#This Row],[centro_costo]]="","",_xlfn.XLOOKUP(tblOrdenes[[#This Row],[centro_costo]],tblCECO[codigo],tblCECO[area],"(sin catálogo)"))</f>
        <v/>
      </c>
      <c r="V345" s="3">
        <f>IF(tblOrdenes[[#This Row],[centro_costo]]="","",_xlfn.XLOOKUP(tblOrdenes[[#This Row],[centro_costo]],tblCECO[codigo],tblCECO[coordinador],"(sin catálogo)"))</f>
        <v/>
      </c>
      <c r="W345" s="3">
        <f>IF(tblOrdenes[[#This Row],[puesto_trabajo]]="","",_xlfn.XLOOKUP(tblOrdenes[[#This Row],[puesto_trabajo]],tblPuestos[codigo],tblPuestos[especialidad],"(sin catálogo)"))</f>
        <v/>
      </c>
      <c r="X345" s="3">
        <f>IF(tblOrdenes[[#This Row],[cod_actividad]]="","",_xlfn.XLOOKUP(tblOrdenes[[#This Row],[cod_actividad]],tblActividades[codigo],tblActividades[descripcion],"(sin catálogo)"))</f>
        <v/>
      </c>
      <c r="Y345" s="12">
        <f>IF(tblOrdenes[[#This Row],[fecha_inicio]]="","",TODAY()-tblOrdenes[[#This Row],[fecha_inicio]])</f>
        <v/>
      </c>
      <c r="Z345" s="3">
        <f>IF(tblOrdenes[[#This Row],[backlog_dias]]="","",IF(tblOrdenes[[#This Row],[backlog_dias]]&lt;0,"FUTURO",IF(tblOrdenes[[#This Row],[backlog_dias]]&gt;p_dias_backlog_max,"BACKLOG","MES CORRIENTE")))</f>
        <v/>
      </c>
      <c r="AA345" s="3">
        <f>IF(tblOrdenes[[#This Row],[backlog_dias]]="",FALSE,AND(tblOrdenes[[#This Row],[backlog_dias]]&gt;p_dias_backlog_min,tblOrdenes[[#This Row],[backlog_dias]]&lt;=p_dias_backlog_max))</f>
        <v/>
      </c>
      <c r="AB345" s="6" t="n"/>
      <c r="AC3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5" s="10">
        <f>IF(tblOrdenes[[#This Row],[orden]]="","",_xlfn.XLOOKUP(tblOrdenes[[#This Row],[id_operacion]],tblEjecucion[id_operacion],tblEjecucion[precio],0))</f>
        <v/>
      </c>
      <c r="AG345" s="10">
        <f>IF(tblOrdenes[[#This Row],[orden]]="","",MAX(0,_xlfn.XLOOKUP(tblOrdenes[[#This Row],[id_operacion]],tblEjecucion[id_operacion],tblEjecucion[costo_plan_total],0)-tblOrdenes[[#This Row],[costo_servicio]]))</f>
        <v/>
      </c>
      <c r="AH345" s="10">
        <f>IF(tblOrdenes[[#This Row],[orden]]="","",tblOrdenes[[#This Row],[costo_servicio]]+tblOrdenes[[#This Row],[costo_materiales]])</f>
        <v/>
      </c>
      <c r="AI345" s="6" t="n"/>
      <c r="AJ345" s="6" t="n"/>
      <c r="AK345" s="6" t="n"/>
      <c r="AL345" s="3">
        <f>IF(tblOrdenes[[#This Row],[link_checklist]]="","",HYPERLINK(p_ruta_base_checklists&amp;tblOrdenes[[#This Row],[link_checklist]],"abrir"))</f>
        <v/>
      </c>
      <c r="AM345" s="6" t="n"/>
      <c r="AN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Row],[tipo_ot]]="","",_xlfn.XLOOKUP(tblOrdenes[[#This Row],[tipo_ot]],tblTiposOT[codigo],tblTiposOT[clasificacion],"sin_clasificar"))</f>
        <v/>
      </c>
      <c r="T346" s="3">
        <f>IF(tblOrdenes[[#This Row],[centro_costo]]="","",_xlfn.XLOOKUP(tblOrdenes[[#This Row],[centro_costo]],tblCECO[codigo],tblCECO[linea],"(sin catálogo)"))</f>
        <v/>
      </c>
      <c r="U346" s="3">
        <f>IF(tblOrdenes[[#This Row],[centro_costo]]="","",_xlfn.XLOOKUP(tblOrdenes[[#This Row],[centro_costo]],tblCECO[codigo],tblCECO[area],"(sin catálogo)"))</f>
        <v/>
      </c>
      <c r="V346" s="3">
        <f>IF(tblOrdenes[[#This Row],[centro_costo]]="","",_xlfn.XLOOKUP(tblOrdenes[[#This Row],[centro_costo]],tblCECO[codigo],tblCECO[coordinador],"(sin catálogo)"))</f>
        <v/>
      </c>
      <c r="W346" s="3">
        <f>IF(tblOrdenes[[#This Row],[puesto_trabajo]]="","",_xlfn.XLOOKUP(tblOrdenes[[#This Row],[puesto_trabajo]],tblPuestos[codigo],tblPuestos[especialidad],"(sin catálogo)"))</f>
        <v/>
      </c>
      <c r="X346" s="3">
        <f>IF(tblOrdenes[[#This Row],[cod_actividad]]="","",_xlfn.XLOOKUP(tblOrdenes[[#This Row],[cod_actividad]],tblActividades[codigo],tblActividades[descripcion],"(sin catálogo)"))</f>
        <v/>
      </c>
      <c r="Y346" s="12">
        <f>IF(tblOrdenes[[#This Row],[fecha_inicio]]="","",TODAY()-tblOrdenes[[#This Row],[fecha_inicio]])</f>
        <v/>
      </c>
      <c r="Z346" s="3">
        <f>IF(tblOrdenes[[#This Row],[backlog_dias]]="","",IF(tblOrdenes[[#This Row],[backlog_dias]]&lt;0,"FUTURO",IF(tblOrdenes[[#This Row],[backlog_dias]]&gt;p_dias_backlog_max,"BACKLOG","MES CORRIENTE")))</f>
        <v/>
      </c>
      <c r="AA346" s="3">
        <f>IF(tblOrdenes[[#This Row],[backlog_dias]]="",FALSE,AND(tblOrdenes[[#This Row],[backlog_dias]]&gt;p_dias_backlog_min,tblOrdenes[[#This Row],[backlog_dias]]&lt;=p_dias_backlog_max))</f>
        <v/>
      </c>
      <c r="AB346" s="6" t="n"/>
      <c r="AC3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6" s="10">
        <f>IF(tblOrdenes[[#This Row],[orden]]="","",_xlfn.XLOOKUP(tblOrdenes[[#This Row],[id_operacion]],tblEjecucion[id_operacion],tblEjecucion[precio],0))</f>
        <v/>
      </c>
      <c r="AG346" s="10">
        <f>IF(tblOrdenes[[#This Row],[orden]]="","",MAX(0,_xlfn.XLOOKUP(tblOrdenes[[#This Row],[id_operacion]],tblEjecucion[id_operacion],tblEjecucion[costo_plan_total],0)-tblOrdenes[[#This Row],[costo_servicio]]))</f>
        <v/>
      </c>
      <c r="AH346" s="10">
        <f>IF(tblOrdenes[[#This Row],[orden]]="","",tblOrdenes[[#This Row],[costo_servicio]]+tblOrdenes[[#This Row],[costo_materiales]])</f>
        <v/>
      </c>
      <c r="AI346" s="6" t="n"/>
      <c r="AJ346" s="6" t="n"/>
      <c r="AK346" s="6" t="n"/>
      <c r="AL346" s="3">
        <f>IF(tblOrdenes[[#This Row],[link_checklist]]="","",HYPERLINK(p_ruta_base_checklists&amp;tblOrdenes[[#This Row],[link_checklist]],"abrir"))</f>
        <v/>
      </c>
      <c r="AM346" s="6" t="n"/>
      <c r="AN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Row],[tipo_ot]]="","",_xlfn.XLOOKUP(tblOrdenes[[#This Row],[tipo_ot]],tblTiposOT[codigo],tblTiposOT[clasificacion],"sin_clasificar"))</f>
        <v/>
      </c>
      <c r="T347" s="3">
        <f>IF(tblOrdenes[[#This Row],[centro_costo]]="","",_xlfn.XLOOKUP(tblOrdenes[[#This Row],[centro_costo]],tblCECO[codigo],tblCECO[linea],"(sin catálogo)"))</f>
        <v/>
      </c>
      <c r="U347" s="3">
        <f>IF(tblOrdenes[[#This Row],[centro_costo]]="","",_xlfn.XLOOKUP(tblOrdenes[[#This Row],[centro_costo]],tblCECO[codigo],tblCECO[area],"(sin catálogo)"))</f>
        <v/>
      </c>
      <c r="V347" s="3">
        <f>IF(tblOrdenes[[#This Row],[centro_costo]]="","",_xlfn.XLOOKUP(tblOrdenes[[#This Row],[centro_costo]],tblCECO[codigo],tblCECO[coordinador],"(sin catálogo)"))</f>
        <v/>
      </c>
      <c r="W347" s="3">
        <f>IF(tblOrdenes[[#This Row],[puesto_trabajo]]="","",_xlfn.XLOOKUP(tblOrdenes[[#This Row],[puesto_trabajo]],tblPuestos[codigo],tblPuestos[especialidad],"(sin catálogo)"))</f>
        <v/>
      </c>
      <c r="X347" s="3">
        <f>IF(tblOrdenes[[#This Row],[cod_actividad]]="","",_xlfn.XLOOKUP(tblOrdenes[[#This Row],[cod_actividad]],tblActividades[codigo],tblActividades[descripcion],"(sin catálogo)"))</f>
        <v/>
      </c>
      <c r="Y347" s="12">
        <f>IF(tblOrdenes[[#This Row],[fecha_inicio]]="","",TODAY()-tblOrdenes[[#This Row],[fecha_inicio]])</f>
        <v/>
      </c>
      <c r="Z347" s="3">
        <f>IF(tblOrdenes[[#This Row],[backlog_dias]]="","",IF(tblOrdenes[[#This Row],[backlog_dias]]&lt;0,"FUTURO",IF(tblOrdenes[[#This Row],[backlog_dias]]&gt;p_dias_backlog_max,"BACKLOG","MES CORRIENTE")))</f>
        <v/>
      </c>
      <c r="AA347" s="3">
        <f>IF(tblOrdenes[[#This Row],[backlog_dias]]="",FALSE,AND(tblOrdenes[[#This Row],[backlog_dias]]&gt;p_dias_backlog_min,tblOrdenes[[#This Row],[backlog_dias]]&lt;=p_dias_backlog_max))</f>
        <v/>
      </c>
      <c r="AB347" s="6" t="n"/>
      <c r="AC3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7" s="10">
        <f>IF(tblOrdenes[[#This Row],[orden]]="","",_xlfn.XLOOKUP(tblOrdenes[[#This Row],[id_operacion]],tblEjecucion[id_operacion],tblEjecucion[precio],0))</f>
        <v/>
      </c>
      <c r="AG347" s="10">
        <f>IF(tblOrdenes[[#This Row],[orden]]="","",MAX(0,_xlfn.XLOOKUP(tblOrdenes[[#This Row],[id_operacion]],tblEjecucion[id_operacion],tblEjecucion[costo_plan_total],0)-tblOrdenes[[#This Row],[costo_servicio]]))</f>
        <v/>
      </c>
      <c r="AH347" s="10">
        <f>IF(tblOrdenes[[#This Row],[orden]]="","",tblOrdenes[[#This Row],[costo_servicio]]+tblOrdenes[[#This Row],[costo_materiales]])</f>
        <v/>
      </c>
      <c r="AI347" s="6" t="n"/>
      <c r="AJ347" s="6" t="n"/>
      <c r="AK347" s="6" t="n"/>
      <c r="AL347" s="3">
        <f>IF(tblOrdenes[[#This Row],[link_checklist]]="","",HYPERLINK(p_ruta_base_checklists&amp;tblOrdenes[[#This Row],[link_checklist]],"abrir"))</f>
        <v/>
      </c>
      <c r="AM347" s="6" t="n"/>
      <c r="AN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Row],[tipo_ot]]="","",_xlfn.XLOOKUP(tblOrdenes[[#This Row],[tipo_ot]],tblTiposOT[codigo],tblTiposOT[clasificacion],"sin_clasificar"))</f>
        <v/>
      </c>
      <c r="T348" s="3">
        <f>IF(tblOrdenes[[#This Row],[centro_costo]]="","",_xlfn.XLOOKUP(tblOrdenes[[#This Row],[centro_costo]],tblCECO[codigo],tblCECO[linea],"(sin catálogo)"))</f>
        <v/>
      </c>
      <c r="U348" s="3">
        <f>IF(tblOrdenes[[#This Row],[centro_costo]]="","",_xlfn.XLOOKUP(tblOrdenes[[#This Row],[centro_costo]],tblCECO[codigo],tblCECO[area],"(sin catálogo)"))</f>
        <v/>
      </c>
      <c r="V348" s="3">
        <f>IF(tblOrdenes[[#This Row],[centro_costo]]="","",_xlfn.XLOOKUP(tblOrdenes[[#This Row],[centro_costo]],tblCECO[codigo],tblCECO[coordinador],"(sin catálogo)"))</f>
        <v/>
      </c>
      <c r="W348" s="3">
        <f>IF(tblOrdenes[[#This Row],[puesto_trabajo]]="","",_xlfn.XLOOKUP(tblOrdenes[[#This Row],[puesto_trabajo]],tblPuestos[codigo],tblPuestos[especialidad],"(sin catálogo)"))</f>
        <v/>
      </c>
      <c r="X348" s="3">
        <f>IF(tblOrdenes[[#This Row],[cod_actividad]]="","",_xlfn.XLOOKUP(tblOrdenes[[#This Row],[cod_actividad]],tblActividades[codigo],tblActividades[descripcion],"(sin catálogo)"))</f>
        <v/>
      </c>
      <c r="Y348" s="12">
        <f>IF(tblOrdenes[[#This Row],[fecha_inicio]]="","",TODAY()-tblOrdenes[[#This Row],[fecha_inicio]])</f>
        <v/>
      </c>
      <c r="Z348" s="3">
        <f>IF(tblOrdenes[[#This Row],[backlog_dias]]="","",IF(tblOrdenes[[#This Row],[backlog_dias]]&lt;0,"FUTURO",IF(tblOrdenes[[#This Row],[backlog_dias]]&gt;p_dias_backlog_max,"BACKLOG","MES CORRIENTE")))</f>
        <v/>
      </c>
      <c r="AA348" s="3">
        <f>IF(tblOrdenes[[#This Row],[backlog_dias]]="",FALSE,AND(tblOrdenes[[#This Row],[backlog_dias]]&gt;p_dias_backlog_min,tblOrdenes[[#This Row],[backlog_dias]]&lt;=p_dias_backlog_max))</f>
        <v/>
      </c>
      <c r="AB348" s="6" t="n"/>
      <c r="AC3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8" s="10">
        <f>IF(tblOrdenes[[#This Row],[orden]]="","",_xlfn.XLOOKUP(tblOrdenes[[#This Row],[id_operacion]],tblEjecucion[id_operacion],tblEjecucion[precio],0))</f>
        <v/>
      </c>
      <c r="AG348" s="10">
        <f>IF(tblOrdenes[[#This Row],[orden]]="","",MAX(0,_xlfn.XLOOKUP(tblOrdenes[[#This Row],[id_operacion]],tblEjecucion[id_operacion],tblEjecucion[costo_plan_total],0)-tblOrdenes[[#This Row],[costo_servicio]]))</f>
        <v/>
      </c>
      <c r="AH348" s="10">
        <f>IF(tblOrdenes[[#This Row],[orden]]="","",tblOrdenes[[#This Row],[costo_servicio]]+tblOrdenes[[#This Row],[costo_materiales]])</f>
        <v/>
      </c>
      <c r="AI348" s="6" t="n"/>
      <c r="AJ348" s="6" t="n"/>
      <c r="AK348" s="6" t="n"/>
      <c r="AL348" s="3">
        <f>IF(tblOrdenes[[#This Row],[link_checklist]]="","",HYPERLINK(p_ruta_base_checklists&amp;tblOrdenes[[#This Row],[link_checklist]],"abrir"))</f>
        <v/>
      </c>
      <c r="AM348" s="6" t="n"/>
      <c r="AN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Row],[tipo_ot]]="","",_xlfn.XLOOKUP(tblOrdenes[[#This Row],[tipo_ot]],tblTiposOT[codigo],tblTiposOT[clasificacion],"sin_clasificar"))</f>
        <v/>
      </c>
      <c r="T349" s="3">
        <f>IF(tblOrdenes[[#This Row],[centro_costo]]="","",_xlfn.XLOOKUP(tblOrdenes[[#This Row],[centro_costo]],tblCECO[codigo],tblCECO[linea],"(sin catálogo)"))</f>
        <v/>
      </c>
      <c r="U349" s="3">
        <f>IF(tblOrdenes[[#This Row],[centro_costo]]="","",_xlfn.XLOOKUP(tblOrdenes[[#This Row],[centro_costo]],tblCECO[codigo],tblCECO[area],"(sin catálogo)"))</f>
        <v/>
      </c>
      <c r="V349" s="3">
        <f>IF(tblOrdenes[[#This Row],[centro_costo]]="","",_xlfn.XLOOKUP(tblOrdenes[[#This Row],[centro_costo]],tblCECO[codigo],tblCECO[coordinador],"(sin catálogo)"))</f>
        <v/>
      </c>
      <c r="W349" s="3">
        <f>IF(tblOrdenes[[#This Row],[puesto_trabajo]]="","",_xlfn.XLOOKUP(tblOrdenes[[#This Row],[puesto_trabajo]],tblPuestos[codigo],tblPuestos[especialidad],"(sin catálogo)"))</f>
        <v/>
      </c>
      <c r="X349" s="3">
        <f>IF(tblOrdenes[[#This Row],[cod_actividad]]="","",_xlfn.XLOOKUP(tblOrdenes[[#This Row],[cod_actividad]],tblActividades[codigo],tblActividades[descripcion],"(sin catálogo)"))</f>
        <v/>
      </c>
      <c r="Y349" s="12">
        <f>IF(tblOrdenes[[#This Row],[fecha_inicio]]="","",TODAY()-tblOrdenes[[#This Row],[fecha_inicio]])</f>
        <v/>
      </c>
      <c r="Z349" s="3">
        <f>IF(tblOrdenes[[#This Row],[backlog_dias]]="","",IF(tblOrdenes[[#This Row],[backlog_dias]]&lt;0,"FUTURO",IF(tblOrdenes[[#This Row],[backlog_dias]]&gt;p_dias_backlog_max,"BACKLOG","MES CORRIENTE")))</f>
        <v/>
      </c>
      <c r="AA349" s="3">
        <f>IF(tblOrdenes[[#This Row],[backlog_dias]]="",FALSE,AND(tblOrdenes[[#This Row],[backlog_dias]]&gt;p_dias_backlog_min,tblOrdenes[[#This Row],[backlog_dias]]&lt;=p_dias_backlog_max))</f>
        <v/>
      </c>
      <c r="AB349" s="6" t="n"/>
      <c r="AC3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9" s="10">
        <f>IF(tblOrdenes[[#This Row],[orden]]="","",_xlfn.XLOOKUP(tblOrdenes[[#This Row],[id_operacion]],tblEjecucion[id_operacion],tblEjecucion[precio],0))</f>
        <v/>
      </c>
      <c r="AG349" s="10">
        <f>IF(tblOrdenes[[#This Row],[orden]]="","",MAX(0,_xlfn.XLOOKUP(tblOrdenes[[#This Row],[id_operacion]],tblEjecucion[id_operacion],tblEjecucion[costo_plan_total],0)-tblOrdenes[[#This Row],[costo_servicio]]))</f>
        <v/>
      </c>
      <c r="AH349" s="10">
        <f>IF(tblOrdenes[[#This Row],[orden]]="","",tblOrdenes[[#This Row],[costo_servicio]]+tblOrdenes[[#This Row],[costo_materiales]])</f>
        <v/>
      </c>
      <c r="AI349" s="6" t="n"/>
      <c r="AJ349" s="6" t="n"/>
      <c r="AK349" s="6" t="n"/>
      <c r="AL349" s="3">
        <f>IF(tblOrdenes[[#This Row],[link_checklist]]="","",HYPERLINK(p_ruta_base_checklists&amp;tblOrdenes[[#This Row],[link_checklist]],"abrir"))</f>
        <v/>
      </c>
      <c r="AM349" s="6" t="n"/>
      <c r="AN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Row],[tipo_ot]]="","",_xlfn.XLOOKUP(tblOrdenes[[#This Row],[tipo_ot]],tblTiposOT[codigo],tblTiposOT[clasificacion],"sin_clasificar"))</f>
        <v/>
      </c>
      <c r="T350" s="3">
        <f>IF(tblOrdenes[[#This Row],[centro_costo]]="","",_xlfn.XLOOKUP(tblOrdenes[[#This Row],[centro_costo]],tblCECO[codigo],tblCECO[linea],"(sin catálogo)"))</f>
        <v/>
      </c>
      <c r="U350" s="3">
        <f>IF(tblOrdenes[[#This Row],[centro_costo]]="","",_xlfn.XLOOKUP(tblOrdenes[[#This Row],[centro_costo]],tblCECO[codigo],tblCECO[area],"(sin catálogo)"))</f>
        <v/>
      </c>
      <c r="V350" s="3">
        <f>IF(tblOrdenes[[#This Row],[centro_costo]]="","",_xlfn.XLOOKUP(tblOrdenes[[#This Row],[centro_costo]],tblCECO[codigo],tblCECO[coordinador],"(sin catálogo)"))</f>
        <v/>
      </c>
      <c r="W350" s="3">
        <f>IF(tblOrdenes[[#This Row],[puesto_trabajo]]="","",_xlfn.XLOOKUP(tblOrdenes[[#This Row],[puesto_trabajo]],tblPuestos[codigo],tblPuestos[especialidad],"(sin catálogo)"))</f>
        <v/>
      </c>
      <c r="X350" s="3">
        <f>IF(tblOrdenes[[#This Row],[cod_actividad]]="","",_xlfn.XLOOKUP(tblOrdenes[[#This Row],[cod_actividad]],tblActividades[codigo],tblActividades[descripcion],"(sin catálogo)"))</f>
        <v/>
      </c>
      <c r="Y350" s="12">
        <f>IF(tblOrdenes[[#This Row],[fecha_inicio]]="","",TODAY()-tblOrdenes[[#This Row],[fecha_inicio]])</f>
        <v/>
      </c>
      <c r="Z350" s="3">
        <f>IF(tblOrdenes[[#This Row],[backlog_dias]]="","",IF(tblOrdenes[[#This Row],[backlog_dias]]&lt;0,"FUTURO",IF(tblOrdenes[[#This Row],[backlog_dias]]&gt;p_dias_backlog_max,"BACKLOG","MES CORRIENTE")))</f>
        <v/>
      </c>
      <c r="AA350" s="3">
        <f>IF(tblOrdenes[[#This Row],[backlog_dias]]="",FALSE,AND(tblOrdenes[[#This Row],[backlog_dias]]&gt;p_dias_backlog_min,tblOrdenes[[#This Row],[backlog_dias]]&lt;=p_dias_backlog_max))</f>
        <v/>
      </c>
      <c r="AB350" s="6" t="n"/>
      <c r="AC3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0" s="10">
        <f>IF(tblOrdenes[[#This Row],[orden]]="","",_xlfn.XLOOKUP(tblOrdenes[[#This Row],[id_operacion]],tblEjecucion[id_operacion],tblEjecucion[precio],0))</f>
        <v/>
      </c>
      <c r="AG350" s="10">
        <f>IF(tblOrdenes[[#This Row],[orden]]="","",MAX(0,_xlfn.XLOOKUP(tblOrdenes[[#This Row],[id_operacion]],tblEjecucion[id_operacion],tblEjecucion[costo_plan_total],0)-tblOrdenes[[#This Row],[costo_servicio]]))</f>
        <v/>
      </c>
      <c r="AH350" s="10">
        <f>IF(tblOrdenes[[#This Row],[orden]]="","",tblOrdenes[[#This Row],[costo_servicio]]+tblOrdenes[[#This Row],[costo_materiales]])</f>
        <v/>
      </c>
      <c r="AI350" s="6" t="n"/>
      <c r="AJ350" s="6" t="n"/>
      <c r="AK350" s="6" t="n"/>
      <c r="AL350" s="3">
        <f>IF(tblOrdenes[[#This Row],[link_checklist]]="","",HYPERLINK(p_ruta_base_checklists&amp;tblOrdenes[[#This Row],[link_checklist]],"abrir"))</f>
        <v/>
      </c>
      <c r="AM350" s="6" t="n"/>
      <c r="AN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Row],[tipo_ot]]="","",_xlfn.XLOOKUP(tblOrdenes[[#This Row],[tipo_ot]],tblTiposOT[codigo],tblTiposOT[clasificacion],"sin_clasificar"))</f>
        <v/>
      </c>
      <c r="T351" s="3">
        <f>IF(tblOrdenes[[#This Row],[centro_costo]]="","",_xlfn.XLOOKUP(tblOrdenes[[#This Row],[centro_costo]],tblCECO[codigo],tblCECO[linea],"(sin catálogo)"))</f>
        <v/>
      </c>
      <c r="U351" s="3">
        <f>IF(tblOrdenes[[#This Row],[centro_costo]]="","",_xlfn.XLOOKUP(tblOrdenes[[#This Row],[centro_costo]],tblCECO[codigo],tblCECO[area],"(sin catálogo)"))</f>
        <v/>
      </c>
      <c r="V351" s="3">
        <f>IF(tblOrdenes[[#This Row],[centro_costo]]="","",_xlfn.XLOOKUP(tblOrdenes[[#This Row],[centro_costo]],tblCECO[codigo],tblCECO[coordinador],"(sin catálogo)"))</f>
        <v/>
      </c>
      <c r="W351" s="3">
        <f>IF(tblOrdenes[[#This Row],[puesto_trabajo]]="","",_xlfn.XLOOKUP(tblOrdenes[[#This Row],[puesto_trabajo]],tblPuestos[codigo],tblPuestos[especialidad],"(sin catálogo)"))</f>
        <v/>
      </c>
      <c r="X351" s="3">
        <f>IF(tblOrdenes[[#This Row],[cod_actividad]]="","",_xlfn.XLOOKUP(tblOrdenes[[#This Row],[cod_actividad]],tblActividades[codigo],tblActividades[descripcion],"(sin catálogo)"))</f>
        <v/>
      </c>
      <c r="Y351" s="12">
        <f>IF(tblOrdenes[[#This Row],[fecha_inicio]]="","",TODAY()-tblOrdenes[[#This Row],[fecha_inicio]])</f>
        <v/>
      </c>
      <c r="Z351" s="3">
        <f>IF(tblOrdenes[[#This Row],[backlog_dias]]="","",IF(tblOrdenes[[#This Row],[backlog_dias]]&lt;0,"FUTURO",IF(tblOrdenes[[#This Row],[backlog_dias]]&gt;p_dias_backlog_max,"BACKLOG","MES CORRIENTE")))</f>
        <v/>
      </c>
      <c r="AA351" s="3">
        <f>IF(tblOrdenes[[#This Row],[backlog_dias]]="",FALSE,AND(tblOrdenes[[#This Row],[backlog_dias]]&gt;p_dias_backlog_min,tblOrdenes[[#This Row],[backlog_dias]]&lt;=p_dias_backlog_max))</f>
        <v/>
      </c>
      <c r="AB351" s="6" t="n"/>
      <c r="AC3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1" s="10">
        <f>IF(tblOrdenes[[#This Row],[orden]]="","",_xlfn.XLOOKUP(tblOrdenes[[#This Row],[id_operacion]],tblEjecucion[id_operacion],tblEjecucion[precio],0))</f>
        <v/>
      </c>
      <c r="AG351" s="10">
        <f>IF(tblOrdenes[[#This Row],[orden]]="","",MAX(0,_xlfn.XLOOKUP(tblOrdenes[[#This Row],[id_operacion]],tblEjecucion[id_operacion],tblEjecucion[costo_plan_total],0)-tblOrdenes[[#This Row],[costo_servicio]]))</f>
        <v/>
      </c>
      <c r="AH351" s="10">
        <f>IF(tblOrdenes[[#This Row],[orden]]="","",tblOrdenes[[#This Row],[costo_servicio]]+tblOrdenes[[#This Row],[costo_materiales]])</f>
        <v/>
      </c>
      <c r="AI351" s="6" t="n"/>
      <c r="AJ351" s="6" t="n"/>
      <c r="AK351" s="6" t="n"/>
      <c r="AL351" s="3">
        <f>IF(tblOrdenes[[#This Row],[link_checklist]]="","",HYPERLINK(p_ruta_base_checklists&amp;tblOrdenes[[#This Row],[link_checklist]],"abrir"))</f>
        <v/>
      </c>
      <c r="AM351" s="6" t="n"/>
      <c r="AN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Row],[tipo_ot]]="","",_xlfn.XLOOKUP(tblOrdenes[[#This Row],[tipo_ot]],tblTiposOT[codigo],tblTiposOT[clasificacion],"sin_clasificar"))</f>
        <v/>
      </c>
      <c r="T352" s="3">
        <f>IF(tblOrdenes[[#This Row],[centro_costo]]="","",_xlfn.XLOOKUP(tblOrdenes[[#This Row],[centro_costo]],tblCECO[codigo],tblCECO[linea],"(sin catálogo)"))</f>
        <v/>
      </c>
      <c r="U352" s="3">
        <f>IF(tblOrdenes[[#This Row],[centro_costo]]="","",_xlfn.XLOOKUP(tblOrdenes[[#This Row],[centro_costo]],tblCECO[codigo],tblCECO[area],"(sin catálogo)"))</f>
        <v/>
      </c>
      <c r="V352" s="3">
        <f>IF(tblOrdenes[[#This Row],[centro_costo]]="","",_xlfn.XLOOKUP(tblOrdenes[[#This Row],[centro_costo]],tblCECO[codigo],tblCECO[coordinador],"(sin catálogo)"))</f>
        <v/>
      </c>
      <c r="W352" s="3">
        <f>IF(tblOrdenes[[#This Row],[puesto_trabajo]]="","",_xlfn.XLOOKUP(tblOrdenes[[#This Row],[puesto_trabajo]],tblPuestos[codigo],tblPuestos[especialidad],"(sin catálogo)"))</f>
        <v/>
      </c>
      <c r="X352" s="3">
        <f>IF(tblOrdenes[[#This Row],[cod_actividad]]="","",_xlfn.XLOOKUP(tblOrdenes[[#This Row],[cod_actividad]],tblActividades[codigo],tblActividades[descripcion],"(sin catálogo)"))</f>
        <v/>
      </c>
      <c r="Y352" s="12">
        <f>IF(tblOrdenes[[#This Row],[fecha_inicio]]="","",TODAY()-tblOrdenes[[#This Row],[fecha_inicio]])</f>
        <v/>
      </c>
      <c r="Z352" s="3">
        <f>IF(tblOrdenes[[#This Row],[backlog_dias]]="","",IF(tblOrdenes[[#This Row],[backlog_dias]]&lt;0,"FUTURO",IF(tblOrdenes[[#This Row],[backlog_dias]]&gt;p_dias_backlog_max,"BACKLOG","MES CORRIENTE")))</f>
        <v/>
      </c>
      <c r="AA352" s="3">
        <f>IF(tblOrdenes[[#This Row],[backlog_dias]]="",FALSE,AND(tblOrdenes[[#This Row],[backlog_dias]]&gt;p_dias_backlog_min,tblOrdenes[[#This Row],[backlog_dias]]&lt;=p_dias_backlog_max))</f>
        <v/>
      </c>
      <c r="AB352" s="6" t="n"/>
      <c r="AC3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2" s="10">
        <f>IF(tblOrdenes[[#This Row],[orden]]="","",_xlfn.XLOOKUP(tblOrdenes[[#This Row],[id_operacion]],tblEjecucion[id_operacion],tblEjecucion[precio],0))</f>
        <v/>
      </c>
      <c r="AG352" s="10">
        <f>IF(tblOrdenes[[#This Row],[orden]]="","",MAX(0,_xlfn.XLOOKUP(tblOrdenes[[#This Row],[id_operacion]],tblEjecucion[id_operacion],tblEjecucion[costo_plan_total],0)-tblOrdenes[[#This Row],[costo_servicio]]))</f>
        <v/>
      </c>
      <c r="AH352" s="10">
        <f>IF(tblOrdenes[[#This Row],[orden]]="","",tblOrdenes[[#This Row],[costo_servicio]]+tblOrdenes[[#This Row],[costo_materiales]])</f>
        <v/>
      </c>
      <c r="AI352" s="6" t="n"/>
      <c r="AJ352" s="6" t="n"/>
      <c r="AK352" s="6" t="n"/>
      <c r="AL352" s="3">
        <f>IF(tblOrdenes[[#This Row],[link_checklist]]="","",HYPERLINK(p_ruta_base_checklists&amp;tblOrdenes[[#This Row],[link_checklist]],"abrir"))</f>
        <v/>
      </c>
      <c r="AM352" s="6" t="n"/>
      <c r="AN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Row],[tipo_ot]]="","",_xlfn.XLOOKUP(tblOrdenes[[#This Row],[tipo_ot]],tblTiposOT[codigo],tblTiposOT[clasificacion],"sin_clasificar"))</f>
        <v/>
      </c>
      <c r="T353" s="3">
        <f>IF(tblOrdenes[[#This Row],[centro_costo]]="","",_xlfn.XLOOKUP(tblOrdenes[[#This Row],[centro_costo]],tblCECO[codigo],tblCECO[linea],"(sin catálogo)"))</f>
        <v/>
      </c>
      <c r="U353" s="3">
        <f>IF(tblOrdenes[[#This Row],[centro_costo]]="","",_xlfn.XLOOKUP(tblOrdenes[[#This Row],[centro_costo]],tblCECO[codigo],tblCECO[area],"(sin catálogo)"))</f>
        <v/>
      </c>
      <c r="V353" s="3">
        <f>IF(tblOrdenes[[#This Row],[centro_costo]]="","",_xlfn.XLOOKUP(tblOrdenes[[#This Row],[centro_costo]],tblCECO[codigo],tblCECO[coordinador],"(sin catálogo)"))</f>
        <v/>
      </c>
      <c r="W353" s="3">
        <f>IF(tblOrdenes[[#This Row],[puesto_trabajo]]="","",_xlfn.XLOOKUP(tblOrdenes[[#This Row],[puesto_trabajo]],tblPuestos[codigo],tblPuestos[especialidad],"(sin catálogo)"))</f>
        <v/>
      </c>
      <c r="X353" s="3">
        <f>IF(tblOrdenes[[#This Row],[cod_actividad]]="","",_xlfn.XLOOKUP(tblOrdenes[[#This Row],[cod_actividad]],tblActividades[codigo],tblActividades[descripcion],"(sin catálogo)"))</f>
        <v/>
      </c>
      <c r="Y353" s="12">
        <f>IF(tblOrdenes[[#This Row],[fecha_inicio]]="","",TODAY()-tblOrdenes[[#This Row],[fecha_inicio]])</f>
        <v/>
      </c>
      <c r="Z353" s="3">
        <f>IF(tblOrdenes[[#This Row],[backlog_dias]]="","",IF(tblOrdenes[[#This Row],[backlog_dias]]&lt;0,"FUTURO",IF(tblOrdenes[[#This Row],[backlog_dias]]&gt;p_dias_backlog_max,"BACKLOG","MES CORRIENTE")))</f>
        <v/>
      </c>
      <c r="AA353" s="3">
        <f>IF(tblOrdenes[[#This Row],[backlog_dias]]="",FALSE,AND(tblOrdenes[[#This Row],[backlog_dias]]&gt;p_dias_backlog_min,tblOrdenes[[#This Row],[backlog_dias]]&lt;=p_dias_backlog_max))</f>
        <v/>
      </c>
      <c r="AB353" s="6" t="n"/>
      <c r="AC3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3" s="10">
        <f>IF(tblOrdenes[[#This Row],[orden]]="","",_xlfn.XLOOKUP(tblOrdenes[[#This Row],[id_operacion]],tblEjecucion[id_operacion],tblEjecucion[precio],0))</f>
        <v/>
      </c>
      <c r="AG353" s="10">
        <f>IF(tblOrdenes[[#This Row],[orden]]="","",MAX(0,_xlfn.XLOOKUP(tblOrdenes[[#This Row],[id_operacion]],tblEjecucion[id_operacion],tblEjecucion[costo_plan_total],0)-tblOrdenes[[#This Row],[costo_servicio]]))</f>
        <v/>
      </c>
      <c r="AH353" s="10">
        <f>IF(tblOrdenes[[#This Row],[orden]]="","",tblOrdenes[[#This Row],[costo_servicio]]+tblOrdenes[[#This Row],[costo_materiales]])</f>
        <v/>
      </c>
      <c r="AI353" s="6" t="n"/>
      <c r="AJ353" s="6" t="n"/>
      <c r="AK353" s="6" t="n"/>
      <c r="AL353" s="3">
        <f>IF(tblOrdenes[[#This Row],[link_checklist]]="","",HYPERLINK(p_ruta_base_checklists&amp;tblOrdenes[[#This Row],[link_checklist]],"abrir"))</f>
        <v/>
      </c>
      <c r="AM353" s="6" t="n"/>
      <c r="AN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Row],[tipo_ot]]="","",_xlfn.XLOOKUP(tblOrdenes[[#This Row],[tipo_ot]],tblTiposOT[codigo],tblTiposOT[clasificacion],"sin_clasificar"))</f>
        <v/>
      </c>
      <c r="T354" s="3">
        <f>IF(tblOrdenes[[#This Row],[centro_costo]]="","",_xlfn.XLOOKUP(tblOrdenes[[#This Row],[centro_costo]],tblCECO[codigo],tblCECO[linea],"(sin catálogo)"))</f>
        <v/>
      </c>
      <c r="U354" s="3">
        <f>IF(tblOrdenes[[#This Row],[centro_costo]]="","",_xlfn.XLOOKUP(tblOrdenes[[#This Row],[centro_costo]],tblCECO[codigo],tblCECO[area],"(sin catálogo)"))</f>
        <v/>
      </c>
      <c r="V354" s="3">
        <f>IF(tblOrdenes[[#This Row],[centro_costo]]="","",_xlfn.XLOOKUP(tblOrdenes[[#This Row],[centro_costo]],tblCECO[codigo],tblCECO[coordinador],"(sin catálogo)"))</f>
        <v/>
      </c>
      <c r="W354" s="3">
        <f>IF(tblOrdenes[[#This Row],[puesto_trabajo]]="","",_xlfn.XLOOKUP(tblOrdenes[[#This Row],[puesto_trabajo]],tblPuestos[codigo],tblPuestos[especialidad],"(sin catálogo)"))</f>
        <v/>
      </c>
      <c r="X354" s="3">
        <f>IF(tblOrdenes[[#This Row],[cod_actividad]]="","",_xlfn.XLOOKUP(tblOrdenes[[#This Row],[cod_actividad]],tblActividades[codigo],tblActividades[descripcion],"(sin catálogo)"))</f>
        <v/>
      </c>
      <c r="Y354" s="12">
        <f>IF(tblOrdenes[[#This Row],[fecha_inicio]]="","",TODAY()-tblOrdenes[[#This Row],[fecha_inicio]])</f>
        <v/>
      </c>
      <c r="Z354" s="3">
        <f>IF(tblOrdenes[[#This Row],[backlog_dias]]="","",IF(tblOrdenes[[#This Row],[backlog_dias]]&lt;0,"FUTURO",IF(tblOrdenes[[#This Row],[backlog_dias]]&gt;p_dias_backlog_max,"BACKLOG","MES CORRIENTE")))</f>
        <v/>
      </c>
      <c r="AA354" s="3">
        <f>IF(tblOrdenes[[#This Row],[backlog_dias]]="",FALSE,AND(tblOrdenes[[#This Row],[backlog_dias]]&gt;p_dias_backlog_min,tblOrdenes[[#This Row],[backlog_dias]]&lt;=p_dias_backlog_max))</f>
        <v/>
      </c>
      <c r="AB354" s="6" t="n"/>
      <c r="AC3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4" s="10">
        <f>IF(tblOrdenes[[#This Row],[orden]]="","",_xlfn.XLOOKUP(tblOrdenes[[#This Row],[id_operacion]],tblEjecucion[id_operacion],tblEjecucion[precio],0))</f>
        <v/>
      </c>
      <c r="AG354" s="10">
        <f>IF(tblOrdenes[[#This Row],[orden]]="","",MAX(0,_xlfn.XLOOKUP(tblOrdenes[[#This Row],[id_operacion]],tblEjecucion[id_operacion],tblEjecucion[costo_plan_total],0)-tblOrdenes[[#This Row],[costo_servicio]]))</f>
        <v/>
      </c>
      <c r="AH354" s="10">
        <f>IF(tblOrdenes[[#This Row],[orden]]="","",tblOrdenes[[#This Row],[costo_servicio]]+tblOrdenes[[#This Row],[costo_materiales]])</f>
        <v/>
      </c>
      <c r="AI354" s="6" t="n"/>
      <c r="AJ354" s="6" t="n"/>
      <c r="AK354" s="6" t="n"/>
      <c r="AL354" s="3">
        <f>IF(tblOrdenes[[#This Row],[link_checklist]]="","",HYPERLINK(p_ruta_base_checklists&amp;tblOrdenes[[#This Row],[link_checklist]],"abrir"))</f>
        <v/>
      </c>
      <c r="AM354" s="6" t="n"/>
      <c r="AN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Row],[tipo_ot]]="","",_xlfn.XLOOKUP(tblOrdenes[[#This Row],[tipo_ot]],tblTiposOT[codigo],tblTiposOT[clasificacion],"sin_clasificar"))</f>
        <v/>
      </c>
      <c r="T355" s="3">
        <f>IF(tblOrdenes[[#This Row],[centro_costo]]="","",_xlfn.XLOOKUP(tblOrdenes[[#This Row],[centro_costo]],tblCECO[codigo],tblCECO[linea],"(sin catálogo)"))</f>
        <v/>
      </c>
      <c r="U355" s="3">
        <f>IF(tblOrdenes[[#This Row],[centro_costo]]="","",_xlfn.XLOOKUP(tblOrdenes[[#This Row],[centro_costo]],tblCECO[codigo],tblCECO[area],"(sin catálogo)"))</f>
        <v/>
      </c>
      <c r="V355" s="3">
        <f>IF(tblOrdenes[[#This Row],[centro_costo]]="","",_xlfn.XLOOKUP(tblOrdenes[[#This Row],[centro_costo]],tblCECO[codigo],tblCECO[coordinador],"(sin catálogo)"))</f>
        <v/>
      </c>
      <c r="W355" s="3">
        <f>IF(tblOrdenes[[#This Row],[puesto_trabajo]]="","",_xlfn.XLOOKUP(tblOrdenes[[#This Row],[puesto_trabajo]],tblPuestos[codigo],tblPuestos[especialidad],"(sin catálogo)"))</f>
        <v/>
      </c>
      <c r="X355" s="3">
        <f>IF(tblOrdenes[[#This Row],[cod_actividad]]="","",_xlfn.XLOOKUP(tblOrdenes[[#This Row],[cod_actividad]],tblActividades[codigo],tblActividades[descripcion],"(sin catálogo)"))</f>
        <v/>
      </c>
      <c r="Y355" s="12">
        <f>IF(tblOrdenes[[#This Row],[fecha_inicio]]="","",TODAY()-tblOrdenes[[#This Row],[fecha_inicio]])</f>
        <v/>
      </c>
      <c r="Z355" s="3">
        <f>IF(tblOrdenes[[#This Row],[backlog_dias]]="","",IF(tblOrdenes[[#This Row],[backlog_dias]]&lt;0,"FUTURO",IF(tblOrdenes[[#This Row],[backlog_dias]]&gt;p_dias_backlog_max,"BACKLOG","MES CORRIENTE")))</f>
        <v/>
      </c>
      <c r="AA355" s="3">
        <f>IF(tblOrdenes[[#This Row],[backlog_dias]]="",FALSE,AND(tblOrdenes[[#This Row],[backlog_dias]]&gt;p_dias_backlog_min,tblOrdenes[[#This Row],[backlog_dias]]&lt;=p_dias_backlog_max))</f>
        <v/>
      </c>
      <c r="AB355" s="6" t="n"/>
      <c r="AC3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5" s="10">
        <f>IF(tblOrdenes[[#This Row],[orden]]="","",_xlfn.XLOOKUP(tblOrdenes[[#This Row],[id_operacion]],tblEjecucion[id_operacion],tblEjecucion[precio],0))</f>
        <v/>
      </c>
      <c r="AG355" s="10">
        <f>IF(tblOrdenes[[#This Row],[orden]]="","",MAX(0,_xlfn.XLOOKUP(tblOrdenes[[#This Row],[id_operacion]],tblEjecucion[id_operacion],tblEjecucion[costo_plan_total],0)-tblOrdenes[[#This Row],[costo_servicio]]))</f>
        <v/>
      </c>
      <c r="AH355" s="10">
        <f>IF(tblOrdenes[[#This Row],[orden]]="","",tblOrdenes[[#This Row],[costo_servicio]]+tblOrdenes[[#This Row],[costo_materiales]])</f>
        <v/>
      </c>
      <c r="AI355" s="6" t="n"/>
      <c r="AJ355" s="6" t="n"/>
      <c r="AK355" s="6" t="n"/>
      <c r="AL355" s="3">
        <f>IF(tblOrdenes[[#This Row],[link_checklist]]="","",HYPERLINK(p_ruta_base_checklists&amp;tblOrdenes[[#This Row],[link_checklist]],"abrir"))</f>
        <v/>
      </c>
      <c r="AM355" s="6" t="n"/>
      <c r="AN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Row],[tipo_ot]]="","",_xlfn.XLOOKUP(tblOrdenes[[#This Row],[tipo_ot]],tblTiposOT[codigo],tblTiposOT[clasificacion],"sin_clasificar"))</f>
        <v/>
      </c>
      <c r="T356" s="3">
        <f>IF(tblOrdenes[[#This Row],[centro_costo]]="","",_xlfn.XLOOKUP(tblOrdenes[[#This Row],[centro_costo]],tblCECO[codigo],tblCECO[linea],"(sin catálogo)"))</f>
        <v/>
      </c>
      <c r="U356" s="3">
        <f>IF(tblOrdenes[[#This Row],[centro_costo]]="","",_xlfn.XLOOKUP(tblOrdenes[[#This Row],[centro_costo]],tblCECO[codigo],tblCECO[area],"(sin catálogo)"))</f>
        <v/>
      </c>
      <c r="V356" s="3">
        <f>IF(tblOrdenes[[#This Row],[centro_costo]]="","",_xlfn.XLOOKUP(tblOrdenes[[#This Row],[centro_costo]],tblCECO[codigo],tblCECO[coordinador],"(sin catálogo)"))</f>
        <v/>
      </c>
      <c r="W356" s="3">
        <f>IF(tblOrdenes[[#This Row],[puesto_trabajo]]="","",_xlfn.XLOOKUP(tblOrdenes[[#This Row],[puesto_trabajo]],tblPuestos[codigo],tblPuestos[especialidad],"(sin catálogo)"))</f>
        <v/>
      </c>
      <c r="X356" s="3">
        <f>IF(tblOrdenes[[#This Row],[cod_actividad]]="","",_xlfn.XLOOKUP(tblOrdenes[[#This Row],[cod_actividad]],tblActividades[codigo],tblActividades[descripcion],"(sin catálogo)"))</f>
        <v/>
      </c>
      <c r="Y356" s="12">
        <f>IF(tblOrdenes[[#This Row],[fecha_inicio]]="","",TODAY()-tblOrdenes[[#This Row],[fecha_inicio]])</f>
        <v/>
      </c>
      <c r="Z356" s="3">
        <f>IF(tblOrdenes[[#This Row],[backlog_dias]]="","",IF(tblOrdenes[[#This Row],[backlog_dias]]&lt;0,"FUTURO",IF(tblOrdenes[[#This Row],[backlog_dias]]&gt;p_dias_backlog_max,"BACKLOG","MES CORRIENTE")))</f>
        <v/>
      </c>
      <c r="AA356" s="3">
        <f>IF(tblOrdenes[[#This Row],[backlog_dias]]="",FALSE,AND(tblOrdenes[[#This Row],[backlog_dias]]&gt;p_dias_backlog_min,tblOrdenes[[#This Row],[backlog_dias]]&lt;=p_dias_backlog_max))</f>
        <v/>
      </c>
      <c r="AB356" s="6" t="n"/>
      <c r="AC3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6" s="10">
        <f>IF(tblOrdenes[[#This Row],[orden]]="","",_xlfn.XLOOKUP(tblOrdenes[[#This Row],[id_operacion]],tblEjecucion[id_operacion],tblEjecucion[precio],0))</f>
        <v/>
      </c>
      <c r="AG356" s="10">
        <f>IF(tblOrdenes[[#This Row],[orden]]="","",MAX(0,_xlfn.XLOOKUP(tblOrdenes[[#This Row],[id_operacion]],tblEjecucion[id_operacion],tblEjecucion[costo_plan_total],0)-tblOrdenes[[#This Row],[costo_servicio]]))</f>
        <v/>
      </c>
      <c r="AH356" s="10">
        <f>IF(tblOrdenes[[#This Row],[orden]]="","",tblOrdenes[[#This Row],[costo_servicio]]+tblOrdenes[[#This Row],[costo_materiales]])</f>
        <v/>
      </c>
      <c r="AI356" s="6" t="n"/>
      <c r="AJ356" s="6" t="n"/>
      <c r="AK356" s="6" t="n"/>
      <c r="AL356" s="3">
        <f>IF(tblOrdenes[[#This Row],[link_checklist]]="","",HYPERLINK(p_ruta_base_checklists&amp;tblOrdenes[[#This Row],[link_checklist]],"abrir"))</f>
        <v/>
      </c>
      <c r="AM356" s="6" t="n"/>
      <c r="AN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Row],[tipo_ot]]="","",_xlfn.XLOOKUP(tblOrdenes[[#This Row],[tipo_ot]],tblTiposOT[codigo],tblTiposOT[clasificacion],"sin_clasificar"))</f>
        <v/>
      </c>
      <c r="T357" s="3">
        <f>IF(tblOrdenes[[#This Row],[centro_costo]]="","",_xlfn.XLOOKUP(tblOrdenes[[#This Row],[centro_costo]],tblCECO[codigo],tblCECO[linea],"(sin catálogo)"))</f>
        <v/>
      </c>
      <c r="U357" s="3">
        <f>IF(tblOrdenes[[#This Row],[centro_costo]]="","",_xlfn.XLOOKUP(tblOrdenes[[#This Row],[centro_costo]],tblCECO[codigo],tblCECO[area],"(sin catálogo)"))</f>
        <v/>
      </c>
      <c r="V357" s="3">
        <f>IF(tblOrdenes[[#This Row],[centro_costo]]="","",_xlfn.XLOOKUP(tblOrdenes[[#This Row],[centro_costo]],tblCECO[codigo],tblCECO[coordinador],"(sin catálogo)"))</f>
        <v/>
      </c>
      <c r="W357" s="3">
        <f>IF(tblOrdenes[[#This Row],[puesto_trabajo]]="","",_xlfn.XLOOKUP(tblOrdenes[[#This Row],[puesto_trabajo]],tblPuestos[codigo],tblPuestos[especialidad],"(sin catálogo)"))</f>
        <v/>
      </c>
      <c r="X357" s="3">
        <f>IF(tblOrdenes[[#This Row],[cod_actividad]]="","",_xlfn.XLOOKUP(tblOrdenes[[#This Row],[cod_actividad]],tblActividades[codigo],tblActividades[descripcion],"(sin catálogo)"))</f>
        <v/>
      </c>
      <c r="Y357" s="12">
        <f>IF(tblOrdenes[[#This Row],[fecha_inicio]]="","",TODAY()-tblOrdenes[[#This Row],[fecha_inicio]])</f>
        <v/>
      </c>
      <c r="Z357" s="3">
        <f>IF(tblOrdenes[[#This Row],[backlog_dias]]="","",IF(tblOrdenes[[#This Row],[backlog_dias]]&lt;0,"FUTURO",IF(tblOrdenes[[#This Row],[backlog_dias]]&gt;p_dias_backlog_max,"BACKLOG","MES CORRIENTE")))</f>
        <v/>
      </c>
      <c r="AA357" s="3">
        <f>IF(tblOrdenes[[#This Row],[backlog_dias]]="",FALSE,AND(tblOrdenes[[#This Row],[backlog_dias]]&gt;p_dias_backlog_min,tblOrdenes[[#This Row],[backlog_dias]]&lt;=p_dias_backlog_max))</f>
        <v/>
      </c>
      <c r="AB357" s="6" t="n"/>
      <c r="AC3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7" s="10">
        <f>IF(tblOrdenes[[#This Row],[orden]]="","",_xlfn.XLOOKUP(tblOrdenes[[#This Row],[id_operacion]],tblEjecucion[id_operacion],tblEjecucion[precio],0))</f>
        <v/>
      </c>
      <c r="AG357" s="10">
        <f>IF(tblOrdenes[[#This Row],[orden]]="","",MAX(0,_xlfn.XLOOKUP(tblOrdenes[[#This Row],[id_operacion]],tblEjecucion[id_operacion],tblEjecucion[costo_plan_total],0)-tblOrdenes[[#This Row],[costo_servicio]]))</f>
        <v/>
      </c>
      <c r="AH357" s="10">
        <f>IF(tblOrdenes[[#This Row],[orden]]="","",tblOrdenes[[#This Row],[costo_servicio]]+tblOrdenes[[#This Row],[costo_materiales]])</f>
        <v/>
      </c>
      <c r="AI357" s="6" t="n"/>
      <c r="AJ357" s="6" t="n"/>
      <c r="AK357" s="6" t="n"/>
      <c r="AL357" s="3">
        <f>IF(tblOrdenes[[#This Row],[link_checklist]]="","",HYPERLINK(p_ruta_base_checklists&amp;tblOrdenes[[#This Row],[link_checklist]],"abrir"))</f>
        <v/>
      </c>
      <c r="AM357" s="6" t="n"/>
      <c r="AN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Row],[tipo_ot]]="","",_xlfn.XLOOKUP(tblOrdenes[[#This Row],[tipo_ot]],tblTiposOT[codigo],tblTiposOT[clasificacion],"sin_clasificar"))</f>
        <v/>
      </c>
      <c r="T358" s="3">
        <f>IF(tblOrdenes[[#This Row],[centro_costo]]="","",_xlfn.XLOOKUP(tblOrdenes[[#This Row],[centro_costo]],tblCECO[codigo],tblCECO[linea],"(sin catálogo)"))</f>
        <v/>
      </c>
      <c r="U358" s="3">
        <f>IF(tblOrdenes[[#This Row],[centro_costo]]="","",_xlfn.XLOOKUP(tblOrdenes[[#This Row],[centro_costo]],tblCECO[codigo],tblCECO[area],"(sin catálogo)"))</f>
        <v/>
      </c>
      <c r="V358" s="3">
        <f>IF(tblOrdenes[[#This Row],[centro_costo]]="","",_xlfn.XLOOKUP(tblOrdenes[[#This Row],[centro_costo]],tblCECO[codigo],tblCECO[coordinador],"(sin catálogo)"))</f>
        <v/>
      </c>
      <c r="W358" s="3">
        <f>IF(tblOrdenes[[#This Row],[puesto_trabajo]]="","",_xlfn.XLOOKUP(tblOrdenes[[#This Row],[puesto_trabajo]],tblPuestos[codigo],tblPuestos[especialidad],"(sin catálogo)"))</f>
        <v/>
      </c>
      <c r="X358" s="3">
        <f>IF(tblOrdenes[[#This Row],[cod_actividad]]="","",_xlfn.XLOOKUP(tblOrdenes[[#This Row],[cod_actividad]],tblActividades[codigo],tblActividades[descripcion],"(sin catálogo)"))</f>
        <v/>
      </c>
      <c r="Y358" s="12">
        <f>IF(tblOrdenes[[#This Row],[fecha_inicio]]="","",TODAY()-tblOrdenes[[#This Row],[fecha_inicio]])</f>
        <v/>
      </c>
      <c r="Z358" s="3">
        <f>IF(tblOrdenes[[#This Row],[backlog_dias]]="","",IF(tblOrdenes[[#This Row],[backlog_dias]]&lt;0,"FUTURO",IF(tblOrdenes[[#This Row],[backlog_dias]]&gt;p_dias_backlog_max,"BACKLOG","MES CORRIENTE")))</f>
        <v/>
      </c>
      <c r="AA358" s="3">
        <f>IF(tblOrdenes[[#This Row],[backlog_dias]]="",FALSE,AND(tblOrdenes[[#This Row],[backlog_dias]]&gt;p_dias_backlog_min,tblOrdenes[[#This Row],[backlog_dias]]&lt;=p_dias_backlog_max))</f>
        <v/>
      </c>
      <c r="AB358" s="6" t="n"/>
      <c r="AC3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8" s="10">
        <f>IF(tblOrdenes[[#This Row],[orden]]="","",_xlfn.XLOOKUP(tblOrdenes[[#This Row],[id_operacion]],tblEjecucion[id_operacion],tblEjecucion[precio],0))</f>
        <v/>
      </c>
      <c r="AG358" s="10">
        <f>IF(tblOrdenes[[#This Row],[orden]]="","",MAX(0,_xlfn.XLOOKUP(tblOrdenes[[#This Row],[id_operacion]],tblEjecucion[id_operacion],tblEjecucion[costo_plan_total],0)-tblOrdenes[[#This Row],[costo_servicio]]))</f>
        <v/>
      </c>
      <c r="AH358" s="10">
        <f>IF(tblOrdenes[[#This Row],[orden]]="","",tblOrdenes[[#This Row],[costo_servicio]]+tblOrdenes[[#This Row],[costo_materiales]])</f>
        <v/>
      </c>
      <c r="AI358" s="6" t="n"/>
      <c r="AJ358" s="6" t="n"/>
      <c r="AK358" s="6" t="n"/>
      <c r="AL358" s="3">
        <f>IF(tblOrdenes[[#This Row],[link_checklist]]="","",HYPERLINK(p_ruta_base_checklists&amp;tblOrdenes[[#This Row],[link_checklist]],"abrir"))</f>
        <v/>
      </c>
      <c r="AM358" s="6" t="n"/>
      <c r="AN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Row],[tipo_ot]]="","",_xlfn.XLOOKUP(tblOrdenes[[#This Row],[tipo_ot]],tblTiposOT[codigo],tblTiposOT[clasificacion],"sin_clasificar"))</f>
        <v/>
      </c>
      <c r="T359" s="3">
        <f>IF(tblOrdenes[[#This Row],[centro_costo]]="","",_xlfn.XLOOKUP(tblOrdenes[[#This Row],[centro_costo]],tblCECO[codigo],tblCECO[linea],"(sin catálogo)"))</f>
        <v/>
      </c>
      <c r="U359" s="3">
        <f>IF(tblOrdenes[[#This Row],[centro_costo]]="","",_xlfn.XLOOKUP(tblOrdenes[[#This Row],[centro_costo]],tblCECO[codigo],tblCECO[area],"(sin catálogo)"))</f>
        <v/>
      </c>
      <c r="V359" s="3">
        <f>IF(tblOrdenes[[#This Row],[centro_costo]]="","",_xlfn.XLOOKUP(tblOrdenes[[#This Row],[centro_costo]],tblCECO[codigo],tblCECO[coordinador],"(sin catálogo)"))</f>
        <v/>
      </c>
      <c r="W359" s="3">
        <f>IF(tblOrdenes[[#This Row],[puesto_trabajo]]="","",_xlfn.XLOOKUP(tblOrdenes[[#This Row],[puesto_trabajo]],tblPuestos[codigo],tblPuestos[especialidad],"(sin catálogo)"))</f>
        <v/>
      </c>
      <c r="X359" s="3">
        <f>IF(tblOrdenes[[#This Row],[cod_actividad]]="","",_xlfn.XLOOKUP(tblOrdenes[[#This Row],[cod_actividad]],tblActividades[codigo],tblActividades[descripcion],"(sin catálogo)"))</f>
        <v/>
      </c>
      <c r="Y359" s="12">
        <f>IF(tblOrdenes[[#This Row],[fecha_inicio]]="","",TODAY()-tblOrdenes[[#This Row],[fecha_inicio]])</f>
        <v/>
      </c>
      <c r="Z359" s="3">
        <f>IF(tblOrdenes[[#This Row],[backlog_dias]]="","",IF(tblOrdenes[[#This Row],[backlog_dias]]&lt;0,"FUTURO",IF(tblOrdenes[[#This Row],[backlog_dias]]&gt;p_dias_backlog_max,"BACKLOG","MES CORRIENTE")))</f>
        <v/>
      </c>
      <c r="AA359" s="3">
        <f>IF(tblOrdenes[[#This Row],[backlog_dias]]="",FALSE,AND(tblOrdenes[[#This Row],[backlog_dias]]&gt;p_dias_backlog_min,tblOrdenes[[#This Row],[backlog_dias]]&lt;=p_dias_backlog_max))</f>
        <v/>
      </c>
      <c r="AB359" s="6" t="n"/>
      <c r="AC3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9" s="10">
        <f>IF(tblOrdenes[[#This Row],[orden]]="","",_xlfn.XLOOKUP(tblOrdenes[[#This Row],[id_operacion]],tblEjecucion[id_operacion],tblEjecucion[precio],0))</f>
        <v/>
      </c>
      <c r="AG359" s="10">
        <f>IF(tblOrdenes[[#This Row],[orden]]="","",MAX(0,_xlfn.XLOOKUP(tblOrdenes[[#This Row],[id_operacion]],tblEjecucion[id_operacion],tblEjecucion[costo_plan_total],0)-tblOrdenes[[#This Row],[costo_servicio]]))</f>
        <v/>
      </c>
      <c r="AH359" s="10">
        <f>IF(tblOrdenes[[#This Row],[orden]]="","",tblOrdenes[[#This Row],[costo_servicio]]+tblOrdenes[[#This Row],[costo_materiales]])</f>
        <v/>
      </c>
      <c r="AI359" s="6" t="n"/>
      <c r="AJ359" s="6" t="n"/>
      <c r="AK359" s="6" t="n"/>
      <c r="AL359" s="3">
        <f>IF(tblOrdenes[[#This Row],[link_checklist]]="","",HYPERLINK(p_ruta_base_checklists&amp;tblOrdenes[[#This Row],[link_checklist]],"abrir"))</f>
        <v/>
      </c>
      <c r="AM359" s="6" t="n"/>
      <c r="AN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Row],[tipo_ot]]="","",_xlfn.XLOOKUP(tblOrdenes[[#This Row],[tipo_ot]],tblTiposOT[codigo],tblTiposOT[clasificacion],"sin_clasificar"))</f>
        <v/>
      </c>
      <c r="T360" s="3">
        <f>IF(tblOrdenes[[#This Row],[centro_costo]]="","",_xlfn.XLOOKUP(tblOrdenes[[#This Row],[centro_costo]],tblCECO[codigo],tblCECO[linea],"(sin catálogo)"))</f>
        <v/>
      </c>
      <c r="U360" s="3">
        <f>IF(tblOrdenes[[#This Row],[centro_costo]]="","",_xlfn.XLOOKUP(tblOrdenes[[#This Row],[centro_costo]],tblCECO[codigo],tblCECO[area],"(sin catálogo)"))</f>
        <v/>
      </c>
      <c r="V360" s="3">
        <f>IF(tblOrdenes[[#This Row],[centro_costo]]="","",_xlfn.XLOOKUP(tblOrdenes[[#This Row],[centro_costo]],tblCECO[codigo],tblCECO[coordinador],"(sin catálogo)"))</f>
        <v/>
      </c>
      <c r="W360" s="3">
        <f>IF(tblOrdenes[[#This Row],[puesto_trabajo]]="","",_xlfn.XLOOKUP(tblOrdenes[[#This Row],[puesto_trabajo]],tblPuestos[codigo],tblPuestos[especialidad],"(sin catálogo)"))</f>
        <v/>
      </c>
      <c r="X360" s="3">
        <f>IF(tblOrdenes[[#This Row],[cod_actividad]]="","",_xlfn.XLOOKUP(tblOrdenes[[#This Row],[cod_actividad]],tblActividades[codigo],tblActividades[descripcion],"(sin catálogo)"))</f>
        <v/>
      </c>
      <c r="Y360" s="12">
        <f>IF(tblOrdenes[[#This Row],[fecha_inicio]]="","",TODAY()-tblOrdenes[[#This Row],[fecha_inicio]])</f>
        <v/>
      </c>
      <c r="Z360" s="3">
        <f>IF(tblOrdenes[[#This Row],[backlog_dias]]="","",IF(tblOrdenes[[#This Row],[backlog_dias]]&lt;0,"FUTURO",IF(tblOrdenes[[#This Row],[backlog_dias]]&gt;p_dias_backlog_max,"BACKLOG","MES CORRIENTE")))</f>
        <v/>
      </c>
      <c r="AA360" s="3">
        <f>IF(tblOrdenes[[#This Row],[backlog_dias]]="",FALSE,AND(tblOrdenes[[#This Row],[backlog_dias]]&gt;p_dias_backlog_min,tblOrdenes[[#This Row],[backlog_dias]]&lt;=p_dias_backlog_max))</f>
        <v/>
      </c>
      <c r="AB360" s="6" t="n"/>
      <c r="AC3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0" s="10">
        <f>IF(tblOrdenes[[#This Row],[orden]]="","",_xlfn.XLOOKUP(tblOrdenes[[#This Row],[id_operacion]],tblEjecucion[id_operacion],tblEjecucion[precio],0))</f>
        <v/>
      </c>
      <c r="AG360" s="10">
        <f>IF(tblOrdenes[[#This Row],[orden]]="","",MAX(0,_xlfn.XLOOKUP(tblOrdenes[[#This Row],[id_operacion]],tblEjecucion[id_operacion],tblEjecucion[costo_plan_total],0)-tblOrdenes[[#This Row],[costo_servicio]]))</f>
        <v/>
      </c>
      <c r="AH360" s="10">
        <f>IF(tblOrdenes[[#This Row],[orden]]="","",tblOrdenes[[#This Row],[costo_servicio]]+tblOrdenes[[#This Row],[costo_materiales]])</f>
        <v/>
      </c>
      <c r="AI360" s="6" t="n"/>
      <c r="AJ360" s="6" t="n"/>
      <c r="AK360" s="6" t="n"/>
      <c r="AL360" s="3">
        <f>IF(tblOrdenes[[#This Row],[link_checklist]]="","",HYPERLINK(p_ruta_base_checklists&amp;tblOrdenes[[#This Row],[link_checklist]],"abrir"))</f>
        <v/>
      </c>
      <c r="AM360" s="6" t="n"/>
      <c r="AN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Row],[tipo_ot]]="","",_xlfn.XLOOKUP(tblOrdenes[[#This Row],[tipo_ot]],tblTiposOT[codigo],tblTiposOT[clasificacion],"sin_clasificar"))</f>
        <v/>
      </c>
      <c r="T361" s="3">
        <f>IF(tblOrdenes[[#This Row],[centro_costo]]="","",_xlfn.XLOOKUP(tblOrdenes[[#This Row],[centro_costo]],tblCECO[codigo],tblCECO[linea],"(sin catálogo)"))</f>
        <v/>
      </c>
      <c r="U361" s="3">
        <f>IF(tblOrdenes[[#This Row],[centro_costo]]="","",_xlfn.XLOOKUP(tblOrdenes[[#This Row],[centro_costo]],tblCECO[codigo],tblCECO[area],"(sin catálogo)"))</f>
        <v/>
      </c>
      <c r="V361" s="3">
        <f>IF(tblOrdenes[[#This Row],[centro_costo]]="","",_xlfn.XLOOKUP(tblOrdenes[[#This Row],[centro_costo]],tblCECO[codigo],tblCECO[coordinador],"(sin catálogo)"))</f>
        <v/>
      </c>
      <c r="W361" s="3">
        <f>IF(tblOrdenes[[#This Row],[puesto_trabajo]]="","",_xlfn.XLOOKUP(tblOrdenes[[#This Row],[puesto_trabajo]],tblPuestos[codigo],tblPuestos[especialidad],"(sin catálogo)"))</f>
        <v/>
      </c>
      <c r="X361" s="3">
        <f>IF(tblOrdenes[[#This Row],[cod_actividad]]="","",_xlfn.XLOOKUP(tblOrdenes[[#This Row],[cod_actividad]],tblActividades[codigo],tblActividades[descripcion],"(sin catálogo)"))</f>
        <v/>
      </c>
      <c r="Y361" s="12">
        <f>IF(tblOrdenes[[#This Row],[fecha_inicio]]="","",TODAY()-tblOrdenes[[#This Row],[fecha_inicio]])</f>
        <v/>
      </c>
      <c r="Z361" s="3">
        <f>IF(tblOrdenes[[#This Row],[backlog_dias]]="","",IF(tblOrdenes[[#This Row],[backlog_dias]]&lt;0,"FUTURO",IF(tblOrdenes[[#This Row],[backlog_dias]]&gt;p_dias_backlog_max,"BACKLOG","MES CORRIENTE")))</f>
        <v/>
      </c>
      <c r="AA361" s="3">
        <f>IF(tblOrdenes[[#This Row],[backlog_dias]]="",FALSE,AND(tblOrdenes[[#This Row],[backlog_dias]]&gt;p_dias_backlog_min,tblOrdenes[[#This Row],[backlog_dias]]&lt;=p_dias_backlog_max))</f>
        <v/>
      </c>
      <c r="AB361" s="6" t="n"/>
      <c r="AC3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1" s="10">
        <f>IF(tblOrdenes[[#This Row],[orden]]="","",_xlfn.XLOOKUP(tblOrdenes[[#This Row],[id_operacion]],tblEjecucion[id_operacion],tblEjecucion[precio],0))</f>
        <v/>
      </c>
      <c r="AG361" s="10">
        <f>IF(tblOrdenes[[#This Row],[orden]]="","",MAX(0,_xlfn.XLOOKUP(tblOrdenes[[#This Row],[id_operacion]],tblEjecucion[id_operacion],tblEjecucion[costo_plan_total],0)-tblOrdenes[[#This Row],[costo_servicio]]))</f>
        <v/>
      </c>
      <c r="AH361" s="10">
        <f>IF(tblOrdenes[[#This Row],[orden]]="","",tblOrdenes[[#This Row],[costo_servicio]]+tblOrdenes[[#This Row],[costo_materiales]])</f>
        <v/>
      </c>
      <c r="AI361" s="6" t="n"/>
      <c r="AJ361" s="6" t="n"/>
      <c r="AK361" s="6" t="n"/>
      <c r="AL361" s="3">
        <f>IF(tblOrdenes[[#This Row],[link_checklist]]="","",HYPERLINK(p_ruta_base_checklists&amp;tblOrdenes[[#This Row],[link_checklist]],"abrir"))</f>
        <v/>
      </c>
      <c r="AM361" s="6" t="n"/>
      <c r="AN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Row],[tipo_ot]]="","",_xlfn.XLOOKUP(tblOrdenes[[#This Row],[tipo_ot]],tblTiposOT[codigo],tblTiposOT[clasificacion],"sin_clasificar"))</f>
        <v/>
      </c>
      <c r="T362" s="3">
        <f>IF(tblOrdenes[[#This Row],[centro_costo]]="","",_xlfn.XLOOKUP(tblOrdenes[[#This Row],[centro_costo]],tblCECO[codigo],tblCECO[linea],"(sin catálogo)"))</f>
        <v/>
      </c>
      <c r="U362" s="3">
        <f>IF(tblOrdenes[[#This Row],[centro_costo]]="","",_xlfn.XLOOKUP(tblOrdenes[[#This Row],[centro_costo]],tblCECO[codigo],tblCECO[area],"(sin catálogo)"))</f>
        <v/>
      </c>
      <c r="V362" s="3">
        <f>IF(tblOrdenes[[#This Row],[centro_costo]]="","",_xlfn.XLOOKUP(tblOrdenes[[#This Row],[centro_costo]],tblCECO[codigo],tblCECO[coordinador],"(sin catálogo)"))</f>
        <v/>
      </c>
      <c r="W362" s="3">
        <f>IF(tblOrdenes[[#This Row],[puesto_trabajo]]="","",_xlfn.XLOOKUP(tblOrdenes[[#This Row],[puesto_trabajo]],tblPuestos[codigo],tblPuestos[especialidad],"(sin catálogo)"))</f>
        <v/>
      </c>
      <c r="X362" s="3">
        <f>IF(tblOrdenes[[#This Row],[cod_actividad]]="","",_xlfn.XLOOKUP(tblOrdenes[[#This Row],[cod_actividad]],tblActividades[codigo],tblActividades[descripcion],"(sin catálogo)"))</f>
        <v/>
      </c>
      <c r="Y362" s="12">
        <f>IF(tblOrdenes[[#This Row],[fecha_inicio]]="","",TODAY()-tblOrdenes[[#This Row],[fecha_inicio]])</f>
        <v/>
      </c>
      <c r="Z362" s="3">
        <f>IF(tblOrdenes[[#This Row],[backlog_dias]]="","",IF(tblOrdenes[[#This Row],[backlog_dias]]&lt;0,"FUTURO",IF(tblOrdenes[[#This Row],[backlog_dias]]&gt;p_dias_backlog_max,"BACKLOG","MES CORRIENTE")))</f>
        <v/>
      </c>
      <c r="AA362" s="3">
        <f>IF(tblOrdenes[[#This Row],[backlog_dias]]="",FALSE,AND(tblOrdenes[[#This Row],[backlog_dias]]&gt;p_dias_backlog_min,tblOrdenes[[#This Row],[backlog_dias]]&lt;=p_dias_backlog_max))</f>
        <v/>
      </c>
      <c r="AB362" s="6" t="n"/>
      <c r="AC3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2" s="10">
        <f>IF(tblOrdenes[[#This Row],[orden]]="","",_xlfn.XLOOKUP(tblOrdenes[[#This Row],[id_operacion]],tblEjecucion[id_operacion],tblEjecucion[precio],0))</f>
        <v/>
      </c>
      <c r="AG362" s="10">
        <f>IF(tblOrdenes[[#This Row],[orden]]="","",MAX(0,_xlfn.XLOOKUP(tblOrdenes[[#This Row],[id_operacion]],tblEjecucion[id_operacion],tblEjecucion[costo_plan_total],0)-tblOrdenes[[#This Row],[costo_servicio]]))</f>
        <v/>
      </c>
      <c r="AH362" s="10">
        <f>IF(tblOrdenes[[#This Row],[orden]]="","",tblOrdenes[[#This Row],[costo_servicio]]+tblOrdenes[[#This Row],[costo_materiales]])</f>
        <v/>
      </c>
      <c r="AI362" s="6" t="n"/>
      <c r="AJ362" s="6" t="n"/>
      <c r="AK362" s="6" t="n"/>
      <c r="AL362" s="3">
        <f>IF(tblOrdenes[[#This Row],[link_checklist]]="","",HYPERLINK(p_ruta_base_checklists&amp;tblOrdenes[[#This Row],[link_checklist]],"abrir"))</f>
        <v/>
      </c>
      <c r="AM362" s="6" t="n"/>
      <c r="AN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Row],[tipo_ot]]="","",_xlfn.XLOOKUP(tblOrdenes[[#This Row],[tipo_ot]],tblTiposOT[codigo],tblTiposOT[clasificacion],"sin_clasificar"))</f>
        <v/>
      </c>
      <c r="T363" s="3">
        <f>IF(tblOrdenes[[#This Row],[centro_costo]]="","",_xlfn.XLOOKUP(tblOrdenes[[#This Row],[centro_costo]],tblCECO[codigo],tblCECO[linea],"(sin catálogo)"))</f>
        <v/>
      </c>
      <c r="U363" s="3">
        <f>IF(tblOrdenes[[#This Row],[centro_costo]]="","",_xlfn.XLOOKUP(tblOrdenes[[#This Row],[centro_costo]],tblCECO[codigo],tblCECO[area],"(sin catálogo)"))</f>
        <v/>
      </c>
      <c r="V363" s="3">
        <f>IF(tblOrdenes[[#This Row],[centro_costo]]="","",_xlfn.XLOOKUP(tblOrdenes[[#This Row],[centro_costo]],tblCECO[codigo],tblCECO[coordinador],"(sin catálogo)"))</f>
        <v/>
      </c>
      <c r="W363" s="3">
        <f>IF(tblOrdenes[[#This Row],[puesto_trabajo]]="","",_xlfn.XLOOKUP(tblOrdenes[[#This Row],[puesto_trabajo]],tblPuestos[codigo],tblPuestos[especialidad],"(sin catálogo)"))</f>
        <v/>
      </c>
      <c r="X363" s="3">
        <f>IF(tblOrdenes[[#This Row],[cod_actividad]]="","",_xlfn.XLOOKUP(tblOrdenes[[#This Row],[cod_actividad]],tblActividades[codigo],tblActividades[descripcion],"(sin catálogo)"))</f>
        <v/>
      </c>
      <c r="Y363" s="12">
        <f>IF(tblOrdenes[[#This Row],[fecha_inicio]]="","",TODAY()-tblOrdenes[[#This Row],[fecha_inicio]])</f>
        <v/>
      </c>
      <c r="Z363" s="3">
        <f>IF(tblOrdenes[[#This Row],[backlog_dias]]="","",IF(tblOrdenes[[#This Row],[backlog_dias]]&lt;0,"FUTURO",IF(tblOrdenes[[#This Row],[backlog_dias]]&gt;p_dias_backlog_max,"BACKLOG","MES CORRIENTE")))</f>
        <v/>
      </c>
      <c r="AA363" s="3">
        <f>IF(tblOrdenes[[#This Row],[backlog_dias]]="",FALSE,AND(tblOrdenes[[#This Row],[backlog_dias]]&gt;p_dias_backlog_min,tblOrdenes[[#This Row],[backlog_dias]]&lt;=p_dias_backlog_max))</f>
        <v/>
      </c>
      <c r="AB363" s="6" t="n"/>
      <c r="AC3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3" s="10">
        <f>IF(tblOrdenes[[#This Row],[orden]]="","",_xlfn.XLOOKUP(tblOrdenes[[#This Row],[id_operacion]],tblEjecucion[id_operacion],tblEjecucion[precio],0))</f>
        <v/>
      </c>
      <c r="AG363" s="10">
        <f>IF(tblOrdenes[[#This Row],[orden]]="","",MAX(0,_xlfn.XLOOKUP(tblOrdenes[[#This Row],[id_operacion]],tblEjecucion[id_operacion],tblEjecucion[costo_plan_total],0)-tblOrdenes[[#This Row],[costo_servicio]]))</f>
        <v/>
      </c>
      <c r="AH363" s="10">
        <f>IF(tblOrdenes[[#This Row],[orden]]="","",tblOrdenes[[#This Row],[costo_servicio]]+tblOrdenes[[#This Row],[costo_materiales]])</f>
        <v/>
      </c>
      <c r="AI363" s="6" t="n"/>
      <c r="AJ363" s="6" t="n"/>
      <c r="AK363" s="6" t="n"/>
      <c r="AL363" s="3">
        <f>IF(tblOrdenes[[#This Row],[link_checklist]]="","",HYPERLINK(p_ruta_base_checklists&amp;tblOrdenes[[#This Row],[link_checklist]],"abrir"))</f>
        <v/>
      </c>
      <c r="AM363" s="6" t="n"/>
      <c r="AN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Row],[tipo_ot]]="","",_xlfn.XLOOKUP(tblOrdenes[[#This Row],[tipo_ot]],tblTiposOT[codigo],tblTiposOT[clasificacion],"sin_clasificar"))</f>
        <v/>
      </c>
      <c r="T364" s="3">
        <f>IF(tblOrdenes[[#This Row],[centro_costo]]="","",_xlfn.XLOOKUP(tblOrdenes[[#This Row],[centro_costo]],tblCECO[codigo],tblCECO[linea],"(sin catálogo)"))</f>
        <v/>
      </c>
      <c r="U364" s="3">
        <f>IF(tblOrdenes[[#This Row],[centro_costo]]="","",_xlfn.XLOOKUP(tblOrdenes[[#This Row],[centro_costo]],tblCECO[codigo],tblCECO[area],"(sin catálogo)"))</f>
        <v/>
      </c>
      <c r="V364" s="3">
        <f>IF(tblOrdenes[[#This Row],[centro_costo]]="","",_xlfn.XLOOKUP(tblOrdenes[[#This Row],[centro_costo]],tblCECO[codigo],tblCECO[coordinador],"(sin catálogo)"))</f>
        <v/>
      </c>
      <c r="W364" s="3">
        <f>IF(tblOrdenes[[#This Row],[puesto_trabajo]]="","",_xlfn.XLOOKUP(tblOrdenes[[#This Row],[puesto_trabajo]],tblPuestos[codigo],tblPuestos[especialidad],"(sin catálogo)"))</f>
        <v/>
      </c>
      <c r="X364" s="3">
        <f>IF(tblOrdenes[[#This Row],[cod_actividad]]="","",_xlfn.XLOOKUP(tblOrdenes[[#This Row],[cod_actividad]],tblActividades[codigo],tblActividades[descripcion],"(sin catálogo)"))</f>
        <v/>
      </c>
      <c r="Y364" s="12">
        <f>IF(tblOrdenes[[#This Row],[fecha_inicio]]="","",TODAY()-tblOrdenes[[#This Row],[fecha_inicio]])</f>
        <v/>
      </c>
      <c r="Z364" s="3">
        <f>IF(tblOrdenes[[#This Row],[backlog_dias]]="","",IF(tblOrdenes[[#This Row],[backlog_dias]]&lt;0,"FUTURO",IF(tblOrdenes[[#This Row],[backlog_dias]]&gt;p_dias_backlog_max,"BACKLOG","MES CORRIENTE")))</f>
        <v/>
      </c>
      <c r="AA364" s="3">
        <f>IF(tblOrdenes[[#This Row],[backlog_dias]]="",FALSE,AND(tblOrdenes[[#This Row],[backlog_dias]]&gt;p_dias_backlog_min,tblOrdenes[[#This Row],[backlog_dias]]&lt;=p_dias_backlog_max))</f>
        <v/>
      </c>
      <c r="AB364" s="6" t="n"/>
      <c r="AC3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4" s="10">
        <f>IF(tblOrdenes[[#This Row],[orden]]="","",_xlfn.XLOOKUP(tblOrdenes[[#This Row],[id_operacion]],tblEjecucion[id_operacion],tblEjecucion[precio],0))</f>
        <v/>
      </c>
      <c r="AG364" s="10">
        <f>IF(tblOrdenes[[#This Row],[orden]]="","",MAX(0,_xlfn.XLOOKUP(tblOrdenes[[#This Row],[id_operacion]],tblEjecucion[id_operacion],tblEjecucion[costo_plan_total],0)-tblOrdenes[[#This Row],[costo_servicio]]))</f>
        <v/>
      </c>
      <c r="AH364" s="10">
        <f>IF(tblOrdenes[[#This Row],[orden]]="","",tblOrdenes[[#This Row],[costo_servicio]]+tblOrdenes[[#This Row],[costo_materiales]])</f>
        <v/>
      </c>
      <c r="AI364" s="6" t="n"/>
      <c r="AJ364" s="6" t="n"/>
      <c r="AK364" s="6" t="n"/>
      <c r="AL364" s="3">
        <f>IF(tblOrdenes[[#This Row],[link_checklist]]="","",HYPERLINK(p_ruta_base_checklists&amp;tblOrdenes[[#This Row],[link_checklist]],"abrir"))</f>
        <v/>
      </c>
      <c r="AM364" s="6" t="n"/>
      <c r="AN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Row],[tipo_ot]]="","",_xlfn.XLOOKUP(tblOrdenes[[#This Row],[tipo_ot]],tblTiposOT[codigo],tblTiposOT[clasificacion],"sin_clasificar"))</f>
        <v/>
      </c>
      <c r="T365" s="3">
        <f>IF(tblOrdenes[[#This Row],[centro_costo]]="","",_xlfn.XLOOKUP(tblOrdenes[[#This Row],[centro_costo]],tblCECO[codigo],tblCECO[linea],"(sin catálogo)"))</f>
        <v/>
      </c>
      <c r="U365" s="3">
        <f>IF(tblOrdenes[[#This Row],[centro_costo]]="","",_xlfn.XLOOKUP(tblOrdenes[[#This Row],[centro_costo]],tblCECO[codigo],tblCECO[area],"(sin catálogo)"))</f>
        <v/>
      </c>
      <c r="V365" s="3">
        <f>IF(tblOrdenes[[#This Row],[centro_costo]]="","",_xlfn.XLOOKUP(tblOrdenes[[#This Row],[centro_costo]],tblCECO[codigo],tblCECO[coordinador],"(sin catálogo)"))</f>
        <v/>
      </c>
      <c r="W365" s="3">
        <f>IF(tblOrdenes[[#This Row],[puesto_trabajo]]="","",_xlfn.XLOOKUP(tblOrdenes[[#This Row],[puesto_trabajo]],tblPuestos[codigo],tblPuestos[especialidad],"(sin catálogo)"))</f>
        <v/>
      </c>
      <c r="X365" s="3">
        <f>IF(tblOrdenes[[#This Row],[cod_actividad]]="","",_xlfn.XLOOKUP(tblOrdenes[[#This Row],[cod_actividad]],tblActividades[codigo],tblActividades[descripcion],"(sin catálogo)"))</f>
        <v/>
      </c>
      <c r="Y365" s="12">
        <f>IF(tblOrdenes[[#This Row],[fecha_inicio]]="","",TODAY()-tblOrdenes[[#This Row],[fecha_inicio]])</f>
        <v/>
      </c>
      <c r="Z365" s="3">
        <f>IF(tblOrdenes[[#This Row],[backlog_dias]]="","",IF(tblOrdenes[[#This Row],[backlog_dias]]&lt;0,"FUTURO",IF(tblOrdenes[[#This Row],[backlog_dias]]&gt;p_dias_backlog_max,"BACKLOG","MES CORRIENTE")))</f>
        <v/>
      </c>
      <c r="AA365" s="3">
        <f>IF(tblOrdenes[[#This Row],[backlog_dias]]="",FALSE,AND(tblOrdenes[[#This Row],[backlog_dias]]&gt;p_dias_backlog_min,tblOrdenes[[#This Row],[backlog_dias]]&lt;=p_dias_backlog_max))</f>
        <v/>
      </c>
      <c r="AB365" s="6" t="n"/>
      <c r="AC3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5" s="10">
        <f>IF(tblOrdenes[[#This Row],[orden]]="","",_xlfn.XLOOKUP(tblOrdenes[[#This Row],[id_operacion]],tblEjecucion[id_operacion],tblEjecucion[precio],0))</f>
        <v/>
      </c>
      <c r="AG365" s="10">
        <f>IF(tblOrdenes[[#This Row],[orden]]="","",MAX(0,_xlfn.XLOOKUP(tblOrdenes[[#This Row],[id_operacion]],tblEjecucion[id_operacion],tblEjecucion[costo_plan_total],0)-tblOrdenes[[#This Row],[costo_servicio]]))</f>
        <v/>
      </c>
      <c r="AH365" s="10">
        <f>IF(tblOrdenes[[#This Row],[orden]]="","",tblOrdenes[[#This Row],[costo_servicio]]+tblOrdenes[[#This Row],[costo_materiales]])</f>
        <v/>
      </c>
      <c r="AI365" s="6" t="n"/>
      <c r="AJ365" s="6" t="n"/>
      <c r="AK365" s="6" t="n"/>
      <c r="AL365" s="3">
        <f>IF(tblOrdenes[[#This Row],[link_checklist]]="","",HYPERLINK(p_ruta_base_checklists&amp;tblOrdenes[[#This Row],[link_checklist]],"abrir"))</f>
        <v/>
      </c>
      <c r="AM365" s="6" t="n"/>
      <c r="AN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Row],[tipo_ot]]="","",_xlfn.XLOOKUP(tblOrdenes[[#This Row],[tipo_ot]],tblTiposOT[codigo],tblTiposOT[clasificacion],"sin_clasificar"))</f>
        <v/>
      </c>
      <c r="T366" s="3">
        <f>IF(tblOrdenes[[#This Row],[centro_costo]]="","",_xlfn.XLOOKUP(tblOrdenes[[#This Row],[centro_costo]],tblCECO[codigo],tblCECO[linea],"(sin catálogo)"))</f>
        <v/>
      </c>
      <c r="U366" s="3">
        <f>IF(tblOrdenes[[#This Row],[centro_costo]]="","",_xlfn.XLOOKUP(tblOrdenes[[#This Row],[centro_costo]],tblCECO[codigo],tblCECO[area],"(sin catálogo)"))</f>
        <v/>
      </c>
      <c r="V366" s="3">
        <f>IF(tblOrdenes[[#This Row],[centro_costo]]="","",_xlfn.XLOOKUP(tblOrdenes[[#This Row],[centro_costo]],tblCECO[codigo],tblCECO[coordinador],"(sin catálogo)"))</f>
        <v/>
      </c>
      <c r="W366" s="3">
        <f>IF(tblOrdenes[[#This Row],[puesto_trabajo]]="","",_xlfn.XLOOKUP(tblOrdenes[[#This Row],[puesto_trabajo]],tblPuestos[codigo],tblPuestos[especialidad],"(sin catálogo)"))</f>
        <v/>
      </c>
      <c r="X366" s="3">
        <f>IF(tblOrdenes[[#This Row],[cod_actividad]]="","",_xlfn.XLOOKUP(tblOrdenes[[#This Row],[cod_actividad]],tblActividades[codigo],tblActividades[descripcion],"(sin catálogo)"))</f>
        <v/>
      </c>
      <c r="Y366" s="12">
        <f>IF(tblOrdenes[[#This Row],[fecha_inicio]]="","",TODAY()-tblOrdenes[[#This Row],[fecha_inicio]])</f>
        <v/>
      </c>
      <c r="Z366" s="3">
        <f>IF(tblOrdenes[[#This Row],[backlog_dias]]="","",IF(tblOrdenes[[#This Row],[backlog_dias]]&lt;0,"FUTURO",IF(tblOrdenes[[#This Row],[backlog_dias]]&gt;p_dias_backlog_max,"BACKLOG","MES CORRIENTE")))</f>
        <v/>
      </c>
      <c r="AA366" s="3">
        <f>IF(tblOrdenes[[#This Row],[backlog_dias]]="",FALSE,AND(tblOrdenes[[#This Row],[backlog_dias]]&gt;p_dias_backlog_min,tblOrdenes[[#This Row],[backlog_dias]]&lt;=p_dias_backlog_max))</f>
        <v/>
      </c>
      <c r="AB366" s="6" t="n"/>
      <c r="AC3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6" s="10">
        <f>IF(tblOrdenes[[#This Row],[orden]]="","",_xlfn.XLOOKUP(tblOrdenes[[#This Row],[id_operacion]],tblEjecucion[id_operacion],tblEjecucion[precio],0))</f>
        <v/>
      </c>
      <c r="AG366" s="10">
        <f>IF(tblOrdenes[[#This Row],[orden]]="","",MAX(0,_xlfn.XLOOKUP(tblOrdenes[[#This Row],[id_operacion]],tblEjecucion[id_operacion],tblEjecucion[costo_plan_total],0)-tblOrdenes[[#This Row],[costo_servicio]]))</f>
        <v/>
      </c>
      <c r="AH366" s="10">
        <f>IF(tblOrdenes[[#This Row],[orden]]="","",tblOrdenes[[#This Row],[costo_servicio]]+tblOrdenes[[#This Row],[costo_materiales]])</f>
        <v/>
      </c>
      <c r="AI366" s="6" t="n"/>
      <c r="AJ366" s="6" t="n"/>
      <c r="AK366" s="6" t="n"/>
      <c r="AL366" s="3">
        <f>IF(tblOrdenes[[#This Row],[link_checklist]]="","",HYPERLINK(p_ruta_base_checklists&amp;tblOrdenes[[#This Row],[link_checklist]],"abrir"))</f>
        <v/>
      </c>
      <c r="AM366" s="6" t="n"/>
      <c r="AN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Row],[tipo_ot]]="","",_xlfn.XLOOKUP(tblOrdenes[[#This Row],[tipo_ot]],tblTiposOT[codigo],tblTiposOT[clasificacion],"sin_clasificar"))</f>
        <v/>
      </c>
      <c r="T367" s="3">
        <f>IF(tblOrdenes[[#This Row],[centro_costo]]="","",_xlfn.XLOOKUP(tblOrdenes[[#This Row],[centro_costo]],tblCECO[codigo],tblCECO[linea],"(sin catálogo)"))</f>
        <v/>
      </c>
      <c r="U367" s="3">
        <f>IF(tblOrdenes[[#This Row],[centro_costo]]="","",_xlfn.XLOOKUP(tblOrdenes[[#This Row],[centro_costo]],tblCECO[codigo],tblCECO[area],"(sin catálogo)"))</f>
        <v/>
      </c>
      <c r="V367" s="3">
        <f>IF(tblOrdenes[[#This Row],[centro_costo]]="","",_xlfn.XLOOKUP(tblOrdenes[[#This Row],[centro_costo]],tblCECO[codigo],tblCECO[coordinador],"(sin catálogo)"))</f>
        <v/>
      </c>
      <c r="W367" s="3">
        <f>IF(tblOrdenes[[#This Row],[puesto_trabajo]]="","",_xlfn.XLOOKUP(tblOrdenes[[#This Row],[puesto_trabajo]],tblPuestos[codigo],tblPuestos[especialidad],"(sin catálogo)"))</f>
        <v/>
      </c>
      <c r="X367" s="3">
        <f>IF(tblOrdenes[[#This Row],[cod_actividad]]="","",_xlfn.XLOOKUP(tblOrdenes[[#This Row],[cod_actividad]],tblActividades[codigo],tblActividades[descripcion],"(sin catálogo)"))</f>
        <v/>
      </c>
      <c r="Y367" s="12">
        <f>IF(tblOrdenes[[#This Row],[fecha_inicio]]="","",TODAY()-tblOrdenes[[#This Row],[fecha_inicio]])</f>
        <v/>
      </c>
      <c r="Z367" s="3">
        <f>IF(tblOrdenes[[#This Row],[backlog_dias]]="","",IF(tblOrdenes[[#This Row],[backlog_dias]]&lt;0,"FUTURO",IF(tblOrdenes[[#This Row],[backlog_dias]]&gt;p_dias_backlog_max,"BACKLOG","MES CORRIENTE")))</f>
        <v/>
      </c>
      <c r="AA367" s="3">
        <f>IF(tblOrdenes[[#This Row],[backlog_dias]]="",FALSE,AND(tblOrdenes[[#This Row],[backlog_dias]]&gt;p_dias_backlog_min,tblOrdenes[[#This Row],[backlog_dias]]&lt;=p_dias_backlog_max))</f>
        <v/>
      </c>
      <c r="AB367" s="6" t="n"/>
      <c r="AC3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7" s="10">
        <f>IF(tblOrdenes[[#This Row],[orden]]="","",_xlfn.XLOOKUP(tblOrdenes[[#This Row],[id_operacion]],tblEjecucion[id_operacion],tblEjecucion[precio],0))</f>
        <v/>
      </c>
      <c r="AG367" s="10">
        <f>IF(tblOrdenes[[#This Row],[orden]]="","",MAX(0,_xlfn.XLOOKUP(tblOrdenes[[#This Row],[id_operacion]],tblEjecucion[id_operacion],tblEjecucion[costo_plan_total],0)-tblOrdenes[[#This Row],[costo_servicio]]))</f>
        <v/>
      </c>
      <c r="AH367" s="10">
        <f>IF(tblOrdenes[[#This Row],[orden]]="","",tblOrdenes[[#This Row],[costo_servicio]]+tblOrdenes[[#This Row],[costo_materiales]])</f>
        <v/>
      </c>
      <c r="AI367" s="6" t="n"/>
      <c r="AJ367" s="6" t="n"/>
      <c r="AK367" s="6" t="n"/>
      <c r="AL367" s="3">
        <f>IF(tblOrdenes[[#This Row],[link_checklist]]="","",HYPERLINK(p_ruta_base_checklists&amp;tblOrdenes[[#This Row],[link_checklist]],"abrir"))</f>
        <v/>
      </c>
      <c r="AM367" s="6" t="n"/>
      <c r="AN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Row],[tipo_ot]]="","",_xlfn.XLOOKUP(tblOrdenes[[#This Row],[tipo_ot]],tblTiposOT[codigo],tblTiposOT[clasificacion],"sin_clasificar"))</f>
        <v/>
      </c>
      <c r="T368" s="3">
        <f>IF(tblOrdenes[[#This Row],[centro_costo]]="","",_xlfn.XLOOKUP(tblOrdenes[[#This Row],[centro_costo]],tblCECO[codigo],tblCECO[linea],"(sin catálogo)"))</f>
        <v/>
      </c>
      <c r="U368" s="3">
        <f>IF(tblOrdenes[[#This Row],[centro_costo]]="","",_xlfn.XLOOKUP(tblOrdenes[[#This Row],[centro_costo]],tblCECO[codigo],tblCECO[area],"(sin catálogo)"))</f>
        <v/>
      </c>
      <c r="V368" s="3">
        <f>IF(tblOrdenes[[#This Row],[centro_costo]]="","",_xlfn.XLOOKUP(tblOrdenes[[#This Row],[centro_costo]],tblCECO[codigo],tblCECO[coordinador],"(sin catálogo)"))</f>
        <v/>
      </c>
      <c r="W368" s="3">
        <f>IF(tblOrdenes[[#This Row],[puesto_trabajo]]="","",_xlfn.XLOOKUP(tblOrdenes[[#This Row],[puesto_trabajo]],tblPuestos[codigo],tblPuestos[especialidad],"(sin catálogo)"))</f>
        <v/>
      </c>
      <c r="X368" s="3">
        <f>IF(tblOrdenes[[#This Row],[cod_actividad]]="","",_xlfn.XLOOKUP(tblOrdenes[[#This Row],[cod_actividad]],tblActividades[codigo],tblActividades[descripcion],"(sin catálogo)"))</f>
        <v/>
      </c>
      <c r="Y368" s="12">
        <f>IF(tblOrdenes[[#This Row],[fecha_inicio]]="","",TODAY()-tblOrdenes[[#This Row],[fecha_inicio]])</f>
        <v/>
      </c>
      <c r="Z368" s="3">
        <f>IF(tblOrdenes[[#This Row],[backlog_dias]]="","",IF(tblOrdenes[[#This Row],[backlog_dias]]&lt;0,"FUTURO",IF(tblOrdenes[[#This Row],[backlog_dias]]&gt;p_dias_backlog_max,"BACKLOG","MES CORRIENTE")))</f>
        <v/>
      </c>
      <c r="AA368" s="3">
        <f>IF(tblOrdenes[[#This Row],[backlog_dias]]="",FALSE,AND(tblOrdenes[[#This Row],[backlog_dias]]&gt;p_dias_backlog_min,tblOrdenes[[#This Row],[backlog_dias]]&lt;=p_dias_backlog_max))</f>
        <v/>
      </c>
      <c r="AB368" s="6" t="n"/>
      <c r="AC3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8" s="10">
        <f>IF(tblOrdenes[[#This Row],[orden]]="","",_xlfn.XLOOKUP(tblOrdenes[[#This Row],[id_operacion]],tblEjecucion[id_operacion],tblEjecucion[precio],0))</f>
        <v/>
      </c>
      <c r="AG368" s="10">
        <f>IF(tblOrdenes[[#This Row],[orden]]="","",MAX(0,_xlfn.XLOOKUP(tblOrdenes[[#This Row],[id_operacion]],tblEjecucion[id_operacion],tblEjecucion[costo_plan_total],0)-tblOrdenes[[#This Row],[costo_servicio]]))</f>
        <v/>
      </c>
      <c r="AH368" s="10">
        <f>IF(tblOrdenes[[#This Row],[orden]]="","",tblOrdenes[[#This Row],[costo_servicio]]+tblOrdenes[[#This Row],[costo_materiales]])</f>
        <v/>
      </c>
      <c r="AI368" s="6" t="n"/>
      <c r="AJ368" s="6" t="n"/>
      <c r="AK368" s="6" t="n"/>
      <c r="AL368" s="3">
        <f>IF(tblOrdenes[[#This Row],[link_checklist]]="","",HYPERLINK(p_ruta_base_checklists&amp;tblOrdenes[[#This Row],[link_checklist]],"abrir"))</f>
        <v/>
      </c>
      <c r="AM368" s="6" t="n"/>
      <c r="AN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Row],[tipo_ot]]="","",_xlfn.XLOOKUP(tblOrdenes[[#This Row],[tipo_ot]],tblTiposOT[codigo],tblTiposOT[clasificacion],"sin_clasificar"))</f>
        <v/>
      </c>
      <c r="T369" s="3">
        <f>IF(tblOrdenes[[#This Row],[centro_costo]]="","",_xlfn.XLOOKUP(tblOrdenes[[#This Row],[centro_costo]],tblCECO[codigo],tblCECO[linea],"(sin catálogo)"))</f>
        <v/>
      </c>
      <c r="U369" s="3">
        <f>IF(tblOrdenes[[#This Row],[centro_costo]]="","",_xlfn.XLOOKUP(tblOrdenes[[#This Row],[centro_costo]],tblCECO[codigo],tblCECO[area],"(sin catálogo)"))</f>
        <v/>
      </c>
      <c r="V369" s="3">
        <f>IF(tblOrdenes[[#This Row],[centro_costo]]="","",_xlfn.XLOOKUP(tblOrdenes[[#This Row],[centro_costo]],tblCECO[codigo],tblCECO[coordinador],"(sin catálogo)"))</f>
        <v/>
      </c>
      <c r="W369" s="3">
        <f>IF(tblOrdenes[[#This Row],[puesto_trabajo]]="","",_xlfn.XLOOKUP(tblOrdenes[[#This Row],[puesto_trabajo]],tblPuestos[codigo],tblPuestos[especialidad],"(sin catálogo)"))</f>
        <v/>
      </c>
      <c r="X369" s="3">
        <f>IF(tblOrdenes[[#This Row],[cod_actividad]]="","",_xlfn.XLOOKUP(tblOrdenes[[#This Row],[cod_actividad]],tblActividades[codigo],tblActividades[descripcion],"(sin catálogo)"))</f>
        <v/>
      </c>
      <c r="Y369" s="12">
        <f>IF(tblOrdenes[[#This Row],[fecha_inicio]]="","",TODAY()-tblOrdenes[[#This Row],[fecha_inicio]])</f>
        <v/>
      </c>
      <c r="Z369" s="3">
        <f>IF(tblOrdenes[[#This Row],[backlog_dias]]="","",IF(tblOrdenes[[#This Row],[backlog_dias]]&lt;0,"FUTURO",IF(tblOrdenes[[#This Row],[backlog_dias]]&gt;p_dias_backlog_max,"BACKLOG","MES CORRIENTE")))</f>
        <v/>
      </c>
      <c r="AA369" s="3">
        <f>IF(tblOrdenes[[#This Row],[backlog_dias]]="",FALSE,AND(tblOrdenes[[#This Row],[backlog_dias]]&gt;p_dias_backlog_min,tblOrdenes[[#This Row],[backlog_dias]]&lt;=p_dias_backlog_max))</f>
        <v/>
      </c>
      <c r="AB369" s="6" t="n"/>
      <c r="AC3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9" s="10">
        <f>IF(tblOrdenes[[#This Row],[orden]]="","",_xlfn.XLOOKUP(tblOrdenes[[#This Row],[id_operacion]],tblEjecucion[id_operacion],tblEjecucion[precio],0))</f>
        <v/>
      </c>
      <c r="AG369" s="10">
        <f>IF(tblOrdenes[[#This Row],[orden]]="","",MAX(0,_xlfn.XLOOKUP(tblOrdenes[[#This Row],[id_operacion]],tblEjecucion[id_operacion],tblEjecucion[costo_plan_total],0)-tblOrdenes[[#This Row],[costo_servicio]]))</f>
        <v/>
      </c>
      <c r="AH369" s="10">
        <f>IF(tblOrdenes[[#This Row],[orden]]="","",tblOrdenes[[#This Row],[costo_servicio]]+tblOrdenes[[#This Row],[costo_materiales]])</f>
        <v/>
      </c>
      <c r="AI369" s="6" t="n"/>
      <c r="AJ369" s="6" t="n"/>
      <c r="AK369" s="6" t="n"/>
      <c r="AL369" s="3">
        <f>IF(tblOrdenes[[#This Row],[link_checklist]]="","",HYPERLINK(p_ruta_base_checklists&amp;tblOrdenes[[#This Row],[link_checklist]],"abrir"))</f>
        <v/>
      </c>
      <c r="AM369" s="6" t="n"/>
      <c r="AN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Row],[tipo_ot]]="","",_xlfn.XLOOKUP(tblOrdenes[[#This Row],[tipo_ot]],tblTiposOT[codigo],tblTiposOT[clasificacion],"sin_clasificar"))</f>
        <v/>
      </c>
      <c r="T370" s="3">
        <f>IF(tblOrdenes[[#This Row],[centro_costo]]="","",_xlfn.XLOOKUP(tblOrdenes[[#This Row],[centro_costo]],tblCECO[codigo],tblCECO[linea],"(sin catálogo)"))</f>
        <v/>
      </c>
      <c r="U370" s="3">
        <f>IF(tblOrdenes[[#This Row],[centro_costo]]="","",_xlfn.XLOOKUP(tblOrdenes[[#This Row],[centro_costo]],tblCECO[codigo],tblCECO[area],"(sin catálogo)"))</f>
        <v/>
      </c>
      <c r="V370" s="3">
        <f>IF(tblOrdenes[[#This Row],[centro_costo]]="","",_xlfn.XLOOKUP(tblOrdenes[[#This Row],[centro_costo]],tblCECO[codigo],tblCECO[coordinador],"(sin catálogo)"))</f>
        <v/>
      </c>
      <c r="W370" s="3">
        <f>IF(tblOrdenes[[#This Row],[puesto_trabajo]]="","",_xlfn.XLOOKUP(tblOrdenes[[#This Row],[puesto_trabajo]],tblPuestos[codigo],tblPuestos[especialidad],"(sin catálogo)"))</f>
        <v/>
      </c>
      <c r="X370" s="3">
        <f>IF(tblOrdenes[[#This Row],[cod_actividad]]="","",_xlfn.XLOOKUP(tblOrdenes[[#This Row],[cod_actividad]],tblActividades[codigo],tblActividades[descripcion],"(sin catálogo)"))</f>
        <v/>
      </c>
      <c r="Y370" s="12">
        <f>IF(tblOrdenes[[#This Row],[fecha_inicio]]="","",TODAY()-tblOrdenes[[#This Row],[fecha_inicio]])</f>
        <v/>
      </c>
      <c r="Z370" s="3">
        <f>IF(tblOrdenes[[#This Row],[backlog_dias]]="","",IF(tblOrdenes[[#This Row],[backlog_dias]]&lt;0,"FUTURO",IF(tblOrdenes[[#This Row],[backlog_dias]]&gt;p_dias_backlog_max,"BACKLOG","MES CORRIENTE")))</f>
        <v/>
      </c>
      <c r="AA370" s="3">
        <f>IF(tblOrdenes[[#This Row],[backlog_dias]]="",FALSE,AND(tblOrdenes[[#This Row],[backlog_dias]]&gt;p_dias_backlog_min,tblOrdenes[[#This Row],[backlog_dias]]&lt;=p_dias_backlog_max))</f>
        <v/>
      </c>
      <c r="AB370" s="6" t="n"/>
      <c r="AC3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0" s="10">
        <f>IF(tblOrdenes[[#This Row],[orden]]="","",_xlfn.XLOOKUP(tblOrdenes[[#This Row],[id_operacion]],tblEjecucion[id_operacion],tblEjecucion[precio],0))</f>
        <v/>
      </c>
      <c r="AG370" s="10">
        <f>IF(tblOrdenes[[#This Row],[orden]]="","",MAX(0,_xlfn.XLOOKUP(tblOrdenes[[#This Row],[id_operacion]],tblEjecucion[id_operacion],tblEjecucion[costo_plan_total],0)-tblOrdenes[[#This Row],[costo_servicio]]))</f>
        <v/>
      </c>
      <c r="AH370" s="10">
        <f>IF(tblOrdenes[[#This Row],[orden]]="","",tblOrdenes[[#This Row],[costo_servicio]]+tblOrdenes[[#This Row],[costo_materiales]])</f>
        <v/>
      </c>
      <c r="AI370" s="6" t="n"/>
      <c r="AJ370" s="6" t="n"/>
      <c r="AK370" s="6" t="n"/>
      <c r="AL370" s="3">
        <f>IF(tblOrdenes[[#This Row],[link_checklist]]="","",HYPERLINK(p_ruta_base_checklists&amp;tblOrdenes[[#This Row],[link_checklist]],"abrir"))</f>
        <v/>
      </c>
      <c r="AM370" s="6" t="n"/>
      <c r="AN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Row],[tipo_ot]]="","",_xlfn.XLOOKUP(tblOrdenes[[#This Row],[tipo_ot]],tblTiposOT[codigo],tblTiposOT[clasificacion],"sin_clasificar"))</f>
        <v/>
      </c>
      <c r="T371" s="3">
        <f>IF(tblOrdenes[[#This Row],[centro_costo]]="","",_xlfn.XLOOKUP(tblOrdenes[[#This Row],[centro_costo]],tblCECO[codigo],tblCECO[linea],"(sin catálogo)"))</f>
        <v/>
      </c>
      <c r="U371" s="3">
        <f>IF(tblOrdenes[[#This Row],[centro_costo]]="","",_xlfn.XLOOKUP(tblOrdenes[[#This Row],[centro_costo]],tblCECO[codigo],tblCECO[area],"(sin catálogo)"))</f>
        <v/>
      </c>
      <c r="V371" s="3">
        <f>IF(tblOrdenes[[#This Row],[centro_costo]]="","",_xlfn.XLOOKUP(tblOrdenes[[#This Row],[centro_costo]],tblCECO[codigo],tblCECO[coordinador],"(sin catálogo)"))</f>
        <v/>
      </c>
      <c r="W371" s="3">
        <f>IF(tblOrdenes[[#This Row],[puesto_trabajo]]="","",_xlfn.XLOOKUP(tblOrdenes[[#This Row],[puesto_trabajo]],tblPuestos[codigo],tblPuestos[especialidad],"(sin catálogo)"))</f>
        <v/>
      </c>
      <c r="X371" s="3">
        <f>IF(tblOrdenes[[#This Row],[cod_actividad]]="","",_xlfn.XLOOKUP(tblOrdenes[[#This Row],[cod_actividad]],tblActividades[codigo],tblActividades[descripcion],"(sin catálogo)"))</f>
        <v/>
      </c>
      <c r="Y371" s="12">
        <f>IF(tblOrdenes[[#This Row],[fecha_inicio]]="","",TODAY()-tblOrdenes[[#This Row],[fecha_inicio]])</f>
        <v/>
      </c>
      <c r="Z371" s="3">
        <f>IF(tblOrdenes[[#This Row],[backlog_dias]]="","",IF(tblOrdenes[[#This Row],[backlog_dias]]&lt;0,"FUTURO",IF(tblOrdenes[[#This Row],[backlog_dias]]&gt;p_dias_backlog_max,"BACKLOG","MES CORRIENTE")))</f>
        <v/>
      </c>
      <c r="AA371" s="3">
        <f>IF(tblOrdenes[[#This Row],[backlog_dias]]="",FALSE,AND(tblOrdenes[[#This Row],[backlog_dias]]&gt;p_dias_backlog_min,tblOrdenes[[#This Row],[backlog_dias]]&lt;=p_dias_backlog_max))</f>
        <v/>
      </c>
      <c r="AB371" s="6" t="n"/>
      <c r="AC3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1" s="10">
        <f>IF(tblOrdenes[[#This Row],[orden]]="","",_xlfn.XLOOKUP(tblOrdenes[[#This Row],[id_operacion]],tblEjecucion[id_operacion],tblEjecucion[precio],0))</f>
        <v/>
      </c>
      <c r="AG371" s="10">
        <f>IF(tblOrdenes[[#This Row],[orden]]="","",MAX(0,_xlfn.XLOOKUP(tblOrdenes[[#This Row],[id_operacion]],tblEjecucion[id_operacion],tblEjecucion[costo_plan_total],0)-tblOrdenes[[#This Row],[costo_servicio]]))</f>
        <v/>
      </c>
      <c r="AH371" s="10">
        <f>IF(tblOrdenes[[#This Row],[orden]]="","",tblOrdenes[[#This Row],[costo_servicio]]+tblOrdenes[[#This Row],[costo_materiales]])</f>
        <v/>
      </c>
      <c r="AI371" s="6" t="n"/>
      <c r="AJ371" s="6" t="n"/>
      <c r="AK371" s="6" t="n"/>
      <c r="AL371" s="3">
        <f>IF(tblOrdenes[[#This Row],[link_checklist]]="","",HYPERLINK(p_ruta_base_checklists&amp;tblOrdenes[[#This Row],[link_checklist]],"abrir"))</f>
        <v/>
      </c>
      <c r="AM371" s="6" t="n"/>
      <c r="AN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Row],[tipo_ot]]="","",_xlfn.XLOOKUP(tblOrdenes[[#This Row],[tipo_ot]],tblTiposOT[codigo],tblTiposOT[clasificacion],"sin_clasificar"))</f>
        <v/>
      </c>
      <c r="T372" s="3">
        <f>IF(tblOrdenes[[#This Row],[centro_costo]]="","",_xlfn.XLOOKUP(tblOrdenes[[#This Row],[centro_costo]],tblCECO[codigo],tblCECO[linea],"(sin catálogo)"))</f>
        <v/>
      </c>
      <c r="U372" s="3">
        <f>IF(tblOrdenes[[#This Row],[centro_costo]]="","",_xlfn.XLOOKUP(tblOrdenes[[#This Row],[centro_costo]],tblCECO[codigo],tblCECO[area],"(sin catálogo)"))</f>
        <v/>
      </c>
      <c r="V372" s="3">
        <f>IF(tblOrdenes[[#This Row],[centro_costo]]="","",_xlfn.XLOOKUP(tblOrdenes[[#This Row],[centro_costo]],tblCECO[codigo],tblCECO[coordinador],"(sin catálogo)"))</f>
        <v/>
      </c>
      <c r="W372" s="3">
        <f>IF(tblOrdenes[[#This Row],[puesto_trabajo]]="","",_xlfn.XLOOKUP(tblOrdenes[[#This Row],[puesto_trabajo]],tblPuestos[codigo],tblPuestos[especialidad],"(sin catálogo)"))</f>
        <v/>
      </c>
      <c r="X372" s="3">
        <f>IF(tblOrdenes[[#This Row],[cod_actividad]]="","",_xlfn.XLOOKUP(tblOrdenes[[#This Row],[cod_actividad]],tblActividades[codigo],tblActividades[descripcion],"(sin catálogo)"))</f>
        <v/>
      </c>
      <c r="Y372" s="12">
        <f>IF(tblOrdenes[[#This Row],[fecha_inicio]]="","",TODAY()-tblOrdenes[[#This Row],[fecha_inicio]])</f>
        <v/>
      </c>
      <c r="Z372" s="3">
        <f>IF(tblOrdenes[[#This Row],[backlog_dias]]="","",IF(tblOrdenes[[#This Row],[backlog_dias]]&lt;0,"FUTURO",IF(tblOrdenes[[#This Row],[backlog_dias]]&gt;p_dias_backlog_max,"BACKLOG","MES CORRIENTE")))</f>
        <v/>
      </c>
      <c r="AA372" s="3">
        <f>IF(tblOrdenes[[#This Row],[backlog_dias]]="",FALSE,AND(tblOrdenes[[#This Row],[backlog_dias]]&gt;p_dias_backlog_min,tblOrdenes[[#This Row],[backlog_dias]]&lt;=p_dias_backlog_max))</f>
        <v/>
      </c>
      <c r="AB372" s="6" t="n"/>
      <c r="AC3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2" s="10">
        <f>IF(tblOrdenes[[#This Row],[orden]]="","",_xlfn.XLOOKUP(tblOrdenes[[#This Row],[id_operacion]],tblEjecucion[id_operacion],tblEjecucion[precio],0))</f>
        <v/>
      </c>
      <c r="AG372" s="10">
        <f>IF(tblOrdenes[[#This Row],[orden]]="","",MAX(0,_xlfn.XLOOKUP(tblOrdenes[[#This Row],[id_operacion]],tblEjecucion[id_operacion],tblEjecucion[costo_plan_total],0)-tblOrdenes[[#This Row],[costo_servicio]]))</f>
        <v/>
      </c>
      <c r="AH372" s="10">
        <f>IF(tblOrdenes[[#This Row],[orden]]="","",tblOrdenes[[#This Row],[costo_servicio]]+tblOrdenes[[#This Row],[costo_materiales]])</f>
        <v/>
      </c>
      <c r="AI372" s="6" t="n"/>
      <c r="AJ372" s="6" t="n"/>
      <c r="AK372" s="6" t="n"/>
      <c r="AL372" s="3">
        <f>IF(tblOrdenes[[#This Row],[link_checklist]]="","",HYPERLINK(p_ruta_base_checklists&amp;tblOrdenes[[#This Row],[link_checklist]],"abrir"))</f>
        <v/>
      </c>
      <c r="AM372" s="6" t="n"/>
      <c r="AN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Row],[tipo_ot]]="","",_xlfn.XLOOKUP(tblOrdenes[[#This Row],[tipo_ot]],tblTiposOT[codigo],tblTiposOT[clasificacion],"sin_clasificar"))</f>
        <v/>
      </c>
      <c r="T373" s="3">
        <f>IF(tblOrdenes[[#This Row],[centro_costo]]="","",_xlfn.XLOOKUP(tblOrdenes[[#This Row],[centro_costo]],tblCECO[codigo],tblCECO[linea],"(sin catálogo)"))</f>
        <v/>
      </c>
      <c r="U373" s="3">
        <f>IF(tblOrdenes[[#This Row],[centro_costo]]="","",_xlfn.XLOOKUP(tblOrdenes[[#This Row],[centro_costo]],tblCECO[codigo],tblCECO[area],"(sin catálogo)"))</f>
        <v/>
      </c>
      <c r="V373" s="3">
        <f>IF(tblOrdenes[[#This Row],[centro_costo]]="","",_xlfn.XLOOKUP(tblOrdenes[[#This Row],[centro_costo]],tblCECO[codigo],tblCECO[coordinador],"(sin catálogo)"))</f>
        <v/>
      </c>
      <c r="W373" s="3">
        <f>IF(tblOrdenes[[#This Row],[puesto_trabajo]]="","",_xlfn.XLOOKUP(tblOrdenes[[#This Row],[puesto_trabajo]],tblPuestos[codigo],tblPuestos[especialidad],"(sin catálogo)"))</f>
        <v/>
      </c>
      <c r="X373" s="3">
        <f>IF(tblOrdenes[[#This Row],[cod_actividad]]="","",_xlfn.XLOOKUP(tblOrdenes[[#This Row],[cod_actividad]],tblActividades[codigo],tblActividades[descripcion],"(sin catálogo)"))</f>
        <v/>
      </c>
      <c r="Y373" s="12">
        <f>IF(tblOrdenes[[#This Row],[fecha_inicio]]="","",TODAY()-tblOrdenes[[#This Row],[fecha_inicio]])</f>
        <v/>
      </c>
      <c r="Z373" s="3">
        <f>IF(tblOrdenes[[#This Row],[backlog_dias]]="","",IF(tblOrdenes[[#This Row],[backlog_dias]]&lt;0,"FUTURO",IF(tblOrdenes[[#This Row],[backlog_dias]]&gt;p_dias_backlog_max,"BACKLOG","MES CORRIENTE")))</f>
        <v/>
      </c>
      <c r="AA373" s="3">
        <f>IF(tblOrdenes[[#This Row],[backlog_dias]]="",FALSE,AND(tblOrdenes[[#This Row],[backlog_dias]]&gt;p_dias_backlog_min,tblOrdenes[[#This Row],[backlog_dias]]&lt;=p_dias_backlog_max))</f>
        <v/>
      </c>
      <c r="AB373" s="6" t="n"/>
      <c r="AC3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3" s="10">
        <f>IF(tblOrdenes[[#This Row],[orden]]="","",_xlfn.XLOOKUP(tblOrdenes[[#This Row],[id_operacion]],tblEjecucion[id_operacion],tblEjecucion[precio],0))</f>
        <v/>
      </c>
      <c r="AG373" s="10">
        <f>IF(tblOrdenes[[#This Row],[orden]]="","",MAX(0,_xlfn.XLOOKUP(tblOrdenes[[#This Row],[id_operacion]],tblEjecucion[id_operacion],tblEjecucion[costo_plan_total],0)-tblOrdenes[[#This Row],[costo_servicio]]))</f>
        <v/>
      </c>
      <c r="AH373" s="10">
        <f>IF(tblOrdenes[[#This Row],[orden]]="","",tblOrdenes[[#This Row],[costo_servicio]]+tblOrdenes[[#This Row],[costo_materiales]])</f>
        <v/>
      </c>
      <c r="AI373" s="6" t="n"/>
      <c r="AJ373" s="6" t="n"/>
      <c r="AK373" s="6" t="n"/>
      <c r="AL373" s="3">
        <f>IF(tblOrdenes[[#This Row],[link_checklist]]="","",HYPERLINK(p_ruta_base_checklists&amp;tblOrdenes[[#This Row],[link_checklist]],"abrir"))</f>
        <v/>
      </c>
      <c r="AM373" s="6" t="n"/>
      <c r="AN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Row],[tipo_ot]]="","",_xlfn.XLOOKUP(tblOrdenes[[#This Row],[tipo_ot]],tblTiposOT[codigo],tblTiposOT[clasificacion],"sin_clasificar"))</f>
        <v/>
      </c>
      <c r="T374" s="3">
        <f>IF(tblOrdenes[[#This Row],[centro_costo]]="","",_xlfn.XLOOKUP(tblOrdenes[[#This Row],[centro_costo]],tblCECO[codigo],tblCECO[linea],"(sin catálogo)"))</f>
        <v/>
      </c>
      <c r="U374" s="3">
        <f>IF(tblOrdenes[[#This Row],[centro_costo]]="","",_xlfn.XLOOKUP(tblOrdenes[[#This Row],[centro_costo]],tblCECO[codigo],tblCECO[area],"(sin catálogo)"))</f>
        <v/>
      </c>
      <c r="V374" s="3">
        <f>IF(tblOrdenes[[#This Row],[centro_costo]]="","",_xlfn.XLOOKUP(tblOrdenes[[#This Row],[centro_costo]],tblCECO[codigo],tblCECO[coordinador],"(sin catálogo)"))</f>
        <v/>
      </c>
      <c r="W374" s="3">
        <f>IF(tblOrdenes[[#This Row],[puesto_trabajo]]="","",_xlfn.XLOOKUP(tblOrdenes[[#This Row],[puesto_trabajo]],tblPuestos[codigo],tblPuestos[especialidad],"(sin catálogo)"))</f>
        <v/>
      </c>
      <c r="X374" s="3">
        <f>IF(tblOrdenes[[#This Row],[cod_actividad]]="","",_xlfn.XLOOKUP(tblOrdenes[[#This Row],[cod_actividad]],tblActividades[codigo],tblActividades[descripcion],"(sin catálogo)"))</f>
        <v/>
      </c>
      <c r="Y374" s="12">
        <f>IF(tblOrdenes[[#This Row],[fecha_inicio]]="","",TODAY()-tblOrdenes[[#This Row],[fecha_inicio]])</f>
        <v/>
      </c>
      <c r="Z374" s="3">
        <f>IF(tblOrdenes[[#This Row],[backlog_dias]]="","",IF(tblOrdenes[[#This Row],[backlog_dias]]&lt;0,"FUTURO",IF(tblOrdenes[[#This Row],[backlog_dias]]&gt;p_dias_backlog_max,"BACKLOG","MES CORRIENTE")))</f>
        <v/>
      </c>
      <c r="AA374" s="3">
        <f>IF(tblOrdenes[[#This Row],[backlog_dias]]="",FALSE,AND(tblOrdenes[[#This Row],[backlog_dias]]&gt;p_dias_backlog_min,tblOrdenes[[#This Row],[backlog_dias]]&lt;=p_dias_backlog_max))</f>
        <v/>
      </c>
      <c r="AB374" s="6" t="n"/>
      <c r="AC3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4" s="10">
        <f>IF(tblOrdenes[[#This Row],[orden]]="","",_xlfn.XLOOKUP(tblOrdenes[[#This Row],[id_operacion]],tblEjecucion[id_operacion],tblEjecucion[precio],0))</f>
        <v/>
      </c>
      <c r="AG374" s="10">
        <f>IF(tblOrdenes[[#This Row],[orden]]="","",MAX(0,_xlfn.XLOOKUP(tblOrdenes[[#This Row],[id_operacion]],tblEjecucion[id_operacion],tblEjecucion[costo_plan_total],0)-tblOrdenes[[#This Row],[costo_servicio]]))</f>
        <v/>
      </c>
      <c r="AH374" s="10">
        <f>IF(tblOrdenes[[#This Row],[orden]]="","",tblOrdenes[[#This Row],[costo_servicio]]+tblOrdenes[[#This Row],[costo_materiales]])</f>
        <v/>
      </c>
      <c r="AI374" s="6" t="n"/>
      <c r="AJ374" s="6" t="n"/>
      <c r="AK374" s="6" t="n"/>
      <c r="AL374" s="3">
        <f>IF(tblOrdenes[[#This Row],[link_checklist]]="","",HYPERLINK(p_ruta_base_checklists&amp;tblOrdenes[[#This Row],[link_checklist]],"abrir"))</f>
        <v/>
      </c>
      <c r="AM374" s="6" t="n"/>
      <c r="AN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Row],[tipo_ot]]="","",_xlfn.XLOOKUP(tblOrdenes[[#This Row],[tipo_ot]],tblTiposOT[codigo],tblTiposOT[clasificacion],"sin_clasificar"))</f>
        <v/>
      </c>
      <c r="T375" s="3">
        <f>IF(tblOrdenes[[#This Row],[centro_costo]]="","",_xlfn.XLOOKUP(tblOrdenes[[#This Row],[centro_costo]],tblCECO[codigo],tblCECO[linea],"(sin catálogo)"))</f>
        <v/>
      </c>
      <c r="U375" s="3">
        <f>IF(tblOrdenes[[#This Row],[centro_costo]]="","",_xlfn.XLOOKUP(tblOrdenes[[#This Row],[centro_costo]],tblCECO[codigo],tblCECO[area],"(sin catálogo)"))</f>
        <v/>
      </c>
      <c r="V375" s="3">
        <f>IF(tblOrdenes[[#This Row],[centro_costo]]="","",_xlfn.XLOOKUP(tblOrdenes[[#This Row],[centro_costo]],tblCECO[codigo],tblCECO[coordinador],"(sin catálogo)"))</f>
        <v/>
      </c>
      <c r="W375" s="3">
        <f>IF(tblOrdenes[[#This Row],[puesto_trabajo]]="","",_xlfn.XLOOKUP(tblOrdenes[[#This Row],[puesto_trabajo]],tblPuestos[codigo],tblPuestos[especialidad],"(sin catálogo)"))</f>
        <v/>
      </c>
      <c r="X375" s="3">
        <f>IF(tblOrdenes[[#This Row],[cod_actividad]]="","",_xlfn.XLOOKUP(tblOrdenes[[#This Row],[cod_actividad]],tblActividades[codigo],tblActividades[descripcion],"(sin catálogo)"))</f>
        <v/>
      </c>
      <c r="Y375" s="12">
        <f>IF(tblOrdenes[[#This Row],[fecha_inicio]]="","",TODAY()-tblOrdenes[[#This Row],[fecha_inicio]])</f>
        <v/>
      </c>
      <c r="Z375" s="3">
        <f>IF(tblOrdenes[[#This Row],[backlog_dias]]="","",IF(tblOrdenes[[#This Row],[backlog_dias]]&lt;0,"FUTURO",IF(tblOrdenes[[#This Row],[backlog_dias]]&gt;p_dias_backlog_max,"BACKLOG","MES CORRIENTE")))</f>
        <v/>
      </c>
      <c r="AA375" s="3">
        <f>IF(tblOrdenes[[#This Row],[backlog_dias]]="",FALSE,AND(tblOrdenes[[#This Row],[backlog_dias]]&gt;p_dias_backlog_min,tblOrdenes[[#This Row],[backlog_dias]]&lt;=p_dias_backlog_max))</f>
        <v/>
      </c>
      <c r="AB375" s="6" t="n"/>
      <c r="AC3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5" s="10">
        <f>IF(tblOrdenes[[#This Row],[orden]]="","",_xlfn.XLOOKUP(tblOrdenes[[#This Row],[id_operacion]],tblEjecucion[id_operacion],tblEjecucion[precio],0))</f>
        <v/>
      </c>
      <c r="AG375" s="10">
        <f>IF(tblOrdenes[[#This Row],[orden]]="","",MAX(0,_xlfn.XLOOKUP(tblOrdenes[[#This Row],[id_operacion]],tblEjecucion[id_operacion],tblEjecucion[costo_plan_total],0)-tblOrdenes[[#This Row],[costo_servicio]]))</f>
        <v/>
      </c>
      <c r="AH375" s="10">
        <f>IF(tblOrdenes[[#This Row],[orden]]="","",tblOrdenes[[#This Row],[costo_servicio]]+tblOrdenes[[#This Row],[costo_materiales]])</f>
        <v/>
      </c>
      <c r="AI375" s="6" t="n"/>
      <c r="AJ375" s="6" t="n"/>
      <c r="AK375" s="6" t="n"/>
      <c r="AL375" s="3">
        <f>IF(tblOrdenes[[#This Row],[link_checklist]]="","",HYPERLINK(p_ruta_base_checklists&amp;tblOrdenes[[#This Row],[link_checklist]],"abrir"))</f>
        <v/>
      </c>
      <c r="AM375" s="6" t="n"/>
      <c r="AN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Row],[tipo_ot]]="","",_xlfn.XLOOKUP(tblOrdenes[[#This Row],[tipo_ot]],tblTiposOT[codigo],tblTiposOT[clasificacion],"sin_clasificar"))</f>
        <v/>
      </c>
      <c r="T376" s="3">
        <f>IF(tblOrdenes[[#This Row],[centro_costo]]="","",_xlfn.XLOOKUP(tblOrdenes[[#This Row],[centro_costo]],tblCECO[codigo],tblCECO[linea],"(sin catálogo)"))</f>
        <v/>
      </c>
      <c r="U376" s="3">
        <f>IF(tblOrdenes[[#This Row],[centro_costo]]="","",_xlfn.XLOOKUP(tblOrdenes[[#This Row],[centro_costo]],tblCECO[codigo],tblCECO[area],"(sin catálogo)"))</f>
        <v/>
      </c>
      <c r="V376" s="3">
        <f>IF(tblOrdenes[[#This Row],[centro_costo]]="","",_xlfn.XLOOKUP(tblOrdenes[[#This Row],[centro_costo]],tblCECO[codigo],tblCECO[coordinador],"(sin catálogo)"))</f>
        <v/>
      </c>
      <c r="W376" s="3">
        <f>IF(tblOrdenes[[#This Row],[puesto_trabajo]]="","",_xlfn.XLOOKUP(tblOrdenes[[#This Row],[puesto_trabajo]],tblPuestos[codigo],tblPuestos[especialidad],"(sin catálogo)"))</f>
        <v/>
      </c>
      <c r="X376" s="3">
        <f>IF(tblOrdenes[[#This Row],[cod_actividad]]="","",_xlfn.XLOOKUP(tblOrdenes[[#This Row],[cod_actividad]],tblActividades[codigo],tblActividades[descripcion],"(sin catálogo)"))</f>
        <v/>
      </c>
      <c r="Y376" s="12">
        <f>IF(tblOrdenes[[#This Row],[fecha_inicio]]="","",TODAY()-tblOrdenes[[#This Row],[fecha_inicio]])</f>
        <v/>
      </c>
      <c r="Z376" s="3">
        <f>IF(tblOrdenes[[#This Row],[backlog_dias]]="","",IF(tblOrdenes[[#This Row],[backlog_dias]]&lt;0,"FUTURO",IF(tblOrdenes[[#This Row],[backlog_dias]]&gt;p_dias_backlog_max,"BACKLOG","MES CORRIENTE")))</f>
        <v/>
      </c>
      <c r="AA376" s="3">
        <f>IF(tblOrdenes[[#This Row],[backlog_dias]]="",FALSE,AND(tblOrdenes[[#This Row],[backlog_dias]]&gt;p_dias_backlog_min,tblOrdenes[[#This Row],[backlog_dias]]&lt;=p_dias_backlog_max))</f>
        <v/>
      </c>
      <c r="AB376" s="6" t="n"/>
      <c r="AC3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6" s="10">
        <f>IF(tblOrdenes[[#This Row],[orden]]="","",_xlfn.XLOOKUP(tblOrdenes[[#This Row],[id_operacion]],tblEjecucion[id_operacion],tblEjecucion[precio],0))</f>
        <v/>
      </c>
      <c r="AG376" s="10">
        <f>IF(tblOrdenes[[#This Row],[orden]]="","",MAX(0,_xlfn.XLOOKUP(tblOrdenes[[#This Row],[id_operacion]],tblEjecucion[id_operacion],tblEjecucion[costo_plan_total],0)-tblOrdenes[[#This Row],[costo_servicio]]))</f>
        <v/>
      </c>
      <c r="AH376" s="10">
        <f>IF(tblOrdenes[[#This Row],[orden]]="","",tblOrdenes[[#This Row],[costo_servicio]]+tblOrdenes[[#This Row],[costo_materiales]])</f>
        <v/>
      </c>
      <c r="AI376" s="6" t="n"/>
      <c r="AJ376" s="6" t="n"/>
      <c r="AK376" s="6" t="n"/>
      <c r="AL376" s="3">
        <f>IF(tblOrdenes[[#This Row],[link_checklist]]="","",HYPERLINK(p_ruta_base_checklists&amp;tblOrdenes[[#This Row],[link_checklist]],"abrir"))</f>
        <v/>
      </c>
      <c r="AM376" s="6" t="n"/>
      <c r="AN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Row],[tipo_ot]]="","",_xlfn.XLOOKUP(tblOrdenes[[#This Row],[tipo_ot]],tblTiposOT[codigo],tblTiposOT[clasificacion],"sin_clasificar"))</f>
        <v/>
      </c>
      <c r="T377" s="3">
        <f>IF(tblOrdenes[[#This Row],[centro_costo]]="","",_xlfn.XLOOKUP(tblOrdenes[[#This Row],[centro_costo]],tblCECO[codigo],tblCECO[linea],"(sin catálogo)"))</f>
        <v/>
      </c>
      <c r="U377" s="3">
        <f>IF(tblOrdenes[[#This Row],[centro_costo]]="","",_xlfn.XLOOKUP(tblOrdenes[[#This Row],[centro_costo]],tblCECO[codigo],tblCECO[area],"(sin catálogo)"))</f>
        <v/>
      </c>
      <c r="V377" s="3">
        <f>IF(tblOrdenes[[#This Row],[centro_costo]]="","",_xlfn.XLOOKUP(tblOrdenes[[#This Row],[centro_costo]],tblCECO[codigo],tblCECO[coordinador],"(sin catálogo)"))</f>
        <v/>
      </c>
      <c r="W377" s="3">
        <f>IF(tblOrdenes[[#This Row],[puesto_trabajo]]="","",_xlfn.XLOOKUP(tblOrdenes[[#This Row],[puesto_trabajo]],tblPuestos[codigo],tblPuestos[especialidad],"(sin catálogo)"))</f>
        <v/>
      </c>
      <c r="X377" s="3">
        <f>IF(tblOrdenes[[#This Row],[cod_actividad]]="","",_xlfn.XLOOKUP(tblOrdenes[[#This Row],[cod_actividad]],tblActividades[codigo],tblActividades[descripcion],"(sin catálogo)"))</f>
        <v/>
      </c>
      <c r="Y377" s="12">
        <f>IF(tblOrdenes[[#This Row],[fecha_inicio]]="","",TODAY()-tblOrdenes[[#This Row],[fecha_inicio]])</f>
        <v/>
      </c>
      <c r="Z377" s="3">
        <f>IF(tblOrdenes[[#This Row],[backlog_dias]]="","",IF(tblOrdenes[[#This Row],[backlog_dias]]&lt;0,"FUTURO",IF(tblOrdenes[[#This Row],[backlog_dias]]&gt;p_dias_backlog_max,"BACKLOG","MES CORRIENTE")))</f>
        <v/>
      </c>
      <c r="AA377" s="3">
        <f>IF(tblOrdenes[[#This Row],[backlog_dias]]="",FALSE,AND(tblOrdenes[[#This Row],[backlog_dias]]&gt;p_dias_backlog_min,tblOrdenes[[#This Row],[backlog_dias]]&lt;=p_dias_backlog_max))</f>
        <v/>
      </c>
      <c r="AB377" s="6" t="n"/>
      <c r="AC3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7" s="10">
        <f>IF(tblOrdenes[[#This Row],[orden]]="","",_xlfn.XLOOKUP(tblOrdenes[[#This Row],[id_operacion]],tblEjecucion[id_operacion],tblEjecucion[precio],0))</f>
        <v/>
      </c>
      <c r="AG377" s="10">
        <f>IF(tblOrdenes[[#This Row],[orden]]="","",MAX(0,_xlfn.XLOOKUP(tblOrdenes[[#This Row],[id_operacion]],tblEjecucion[id_operacion],tblEjecucion[costo_plan_total],0)-tblOrdenes[[#This Row],[costo_servicio]]))</f>
        <v/>
      </c>
      <c r="AH377" s="10">
        <f>IF(tblOrdenes[[#This Row],[orden]]="","",tblOrdenes[[#This Row],[costo_servicio]]+tblOrdenes[[#This Row],[costo_materiales]])</f>
        <v/>
      </c>
      <c r="AI377" s="6" t="n"/>
      <c r="AJ377" s="6" t="n"/>
      <c r="AK377" s="6" t="n"/>
      <c r="AL377" s="3">
        <f>IF(tblOrdenes[[#This Row],[link_checklist]]="","",HYPERLINK(p_ruta_base_checklists&amp;tblOrdenes[[#This Row],[link_checklist]],"abrir"))</f>
        <v/>
      </c>
      <c r="AM377" s="6" t="n"/>
      <c r="AN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Row],[tipo_ot]]="","",_xlfn.XLOOKUP(tblOrdenes[[#This Row],[tipo_ot]],tblTiposOT[codigo],tblTiposOT[clasificacion],"sin_clasificar"))</f>
        <v/>
      </c>
      <c r="T378" s="3">
        <f>IF(tblOrdenes[[#This Row],[centro_costo]]="","",_xlfn.XLOOKUP(tblOrdenes[[#This Row],[centro_costo]],tblCECO[codigo],tblCECO[linea],"(sin catálogo)"))</f>
        <v/>
      </c>
      <c r="U378" s="3">
        <f>IF(tblOrdenes[[#This Row],[centro_costo]]="","",_xlfn.XLOOKUP(tblOrdenes[[#This Row],[centro_costo]],tblCECO[codigo],tblCECO[area],"(sin catálogo)"))</f>
        <v/>
      </c>
      <c r="V378" s="3">
        <f>IF(tblOrdenes[[#This Row],[centro_costo]]="","",_xlfn.XLOOKUP(tblOrdenes[[#This Row],[centro_costo]],tblCECO[codigo],tblCECO[coordinador],"(sin catálogo)"))</f>
        <v/>
      </c>
      <c r="W378" s="3">
        <f>IF(tblOrdenes[[#This Row],[puesto_trabajo]]="","",_xlfn.XLOOKUP(tblOrdenes[[#This Row],[puesto_trabajo]],tblPuestos[codigo],tblPuestos[especialidad],"(sin catálogo)"))</f>
        <v/>
      </c>
      <c r="X378" s="3">
        <f>IF(tblOrdenes[[#This Row],[cod_actividad]]="","",_xlfn.XLOOKUP(tblOrdenes[[#This Row],[cod_actividad]],tblActividades[codigo],tblActividades[descripcion],"(sin catálogo)"))</f>
        <v/>
      </c>
      <c r="Y378" s="12">
        <f>IF(tblOrdenes[[#This Row],[fecha_inicio]]="","",TODAY()-tblOrdenes[[#This Row],[fecha_inicio]])</f>
        <v/>
      </c>
      <c r="Z378" s="3">
        <f>IF(tblOrdenes[[#This Row],[backlog_dias]]="","",IF(tblOrdenes[[#This Row],[backlog_dias]]&lt;0,"FUTURO",IF(tblOrdenes[[#This Row],[backlog_dias]]&gt;p_dias_backlog_max,"BACKLOG","MES CORRIENTE")))</f>
        <v/>
      </c>
      <c r="AA378" s="3">
        <f>IF(tblOrdenes[[#This Row],[backlog_dias]]="",FALSE,AND(tblOrdenes[[#This Row],[backlog_dias]]&gt;p_dias_backlog_min,tblOrdenes[[#This Row],[backlog_dias]]&lt;=p_dias_backlog_max))</f>
        <v/>
      </c>
      <c r="AB378" s="6" t="n"/>
      <c r="AC3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8" s="10">
        <f>IF(tblOrdenes[[#This Row],[orden]]="","",_xlfn.XLOOKUP(tblOrdenes[[#This Row],[id_operacion]],tblEjecucion[id_operacion],tblEjecucion[precio],0))</f>
        <v/>
      </c>
      <c r="AG378" s="10">
        <f>IF(tblOrdenes[[#This Row],[orden]]="","",MAX(0,_xlfn.XLOOKUP(tblOrdenes[[#This Row],[id_operacion]],tblEjecucion[id_operacion],tblEjecucion[costo_plan_total],0)-tblOrdenes[[#This Row],[costo_servicio]]))</f>
        <v/>
      </c>
      <c r="AH378" s="10">
        <f>IF(tblOrdenes[[#This Row],[orden]]="","",tblOrdenes[[#This Row],[costo_servicio]]+tblOrdenes[[#This Row],[costo_materiales]])</f>
        <v/>
      </c>
      <c r="AI378" s="6" t="n"/>
      <c r="AJ378" s="6" t="n"/>
      <c r="AK378" s="6" t="n"/>
      <c r="AL378" s="3">
        <f>IF(tblOrdenes[[#This Row],[link_checklist]]="","",HYPERLINK(p_ruta_base_checklists&amp;tblOrdenes[[#This Row],[link_checklist]],"abrir"))</f>
        <v/>
      </c>
      <c r="AM378" s="6" t="n"/>
      <c r="AN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Row],[tipo_ot]]="","",_xlfn.XLOOKUP(tblOrdenes[[#This Row],[tipo_ot]],tblTiposOT[codigo],tblTiposOT[clasificacion],"sin_clasificar"))</f>
        <v/>
      </c>
      <c r="T379" s="3">
        <f>IF(tblOrdenes[[#This Row],[centro_costo]]="","",_xlfn.XLOOKUP(tblOrdenes[[#This Row],[centro_costo]],tblCECO[codigo],tblCECO[linea],"(sin catálogo)"))</f>
        <v/>
      </c>
      <c r="U379" s="3">
        <f>IF(tblOrdenes[[#This Row],[centro_costo]]="","",_xlfn.XLOOKUP(tblOrdenes[[#This Row],[centro_costo]],tblCECO[codigo],tblCECO[area],"(sin catálogo)"))</f>
        <v/>
      </c>
      <c r="V379" s="3">
        <f>IF(tblOrdenes[[#This Row],[centro_costo]]="","",_xlfn.XLOOKUP(tblOrdenes[[#This Row],[centro_costo]],tblCECO[codigo],tblCECO[coordinador],"(sin catálogo)"))</f>
        <v/>
      </c>
      <c r="W379" s="3">
        <f>IF(tblOrdenes[[#This Row],[puesto_trabajo]]="","",_xlfn.XLOOKUP(tblOrdenes[[#This Row],[puesto_trabajo]],tblPuestos[codigo],tblPuestos[especialidad],"(sin catálogo)"))</f>
        <v/>
      </c>
      <c r="X379" s="3">
        <f>IF(tblOrdenes[[#This Row],[cod_actividad]]="","",_xlfn.XLOOKUP(tblOrdenes[[#This Row],[cod_actividad]],tblActividades[codigo],tblActividades[descripcion],"(sin catálogo)"))</f>
        <v/>
      </c>
      <c r="Y379" s="12">
        <f>IF(tblOrdenes[[#This Row],[fecha_inicio]]="","",TODAY()-tblOrdenes[[#This Row],[fecha_inicio]])</f>
        <v/>
      </c>
      <c r="Z379" s="3">
        <f>IF(tblOrdenes[[#This Row],[backlog_dias]]="","",IF(tblOrdenes[[#This Row],[backlog_dias]]&lt;0,"FUTURO",IF(tblOrdenes[[#This Row],[backlog_dias]]&gt;p_dias_backlog_max,"BACKLOG","MES CORRIENTE")))</f>
        <v/>
      </c>
      <c r="AA379" s="3">
        <f>IF(tblOrdenes[[#This Row],[backlog_dias]]="",FALSE,AND(tblOrdenes[[#This Row],[backlog_dias]]&gt;p_dias_backlog_min,tblOrdenes[[#This Row],[backlog_dias]]&lt;=p_dias_backlog_max))</f>
        <v/>
      </c>
      <c r="AB379" s="6" t="n"/>
      <c r="AC3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9" s="10">
        <f>IF(tblOrdenes[[#This Row],[orden]]="","",_xlfn.XLOOKUP(tblOrdenes[[#This Row],[id_operacion]],tblEjecucion[id_operacion],tblEjecucion[precio],0))</f>
        <v/>
      </c>
      <c r="AG379" s="10">
        <f>IF(tblOrdenes[[#This Row],[orden]]="","",MAX(0,_xlfn.XLOOKUP(tblOrdenes[[#This Row],[id_operacion]],tblEjecucion[id_operacion],tblEjecucion[costo_plan_total],0)-tblOrdenes[[#This Row],[costo_servicio]]))</f>
        <v/>
      </c>
      <c r="AH379" s="10">
        <f>IF(tblOrdenes[[#This Row],[orden]]="","",tblOrdenes[[#This Row],[costo_servicio]]+tblOrdenes[[#This Row],[costo_materiales]])</f>
        <v/>
      </c>
      <c r="AI379" s="6" t="n"/>
      <c r="AJ379" s="6" t="n"/>
      <c r="AK379" s="6" t="n"/>
      <c r="AL379" s="3">
        <f>IF(tblOrdenes[[#This Row],[link_checklist]]="","",HYPERLINK(p_ruta_base_checklists&amp;tblOrdenes[[#This Row],[link_checklist]],"abrir"))</f>
        <v/>
      </c>
      <c r="AM379" s="6" t="n"/>
      <c r="AN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Row],[tipo_ot]]="","",_xlfn.XLOOKUP(tblOrdenes[[#This Row],[tipo_ot]],tblTiposOT[codigo],tblTiposOT[clasificacion],"sin_clasificar"))</f>
        <v/>
      </c>
      <c r="T380" s="3">
        <f>IF(tblOrdenes[[#This Row],[centro_costo]]="","",_xlfn.XLOOKUP(tblOrdenes[[#This Row],[centro_costo]],tblCECO[codigo],tblCECO[linea],"(sin catálogo)"))</f>
        <v/>
      </c>
      <c r="U380" s="3">
        <f>IF(tblOrdenes[[#This Row],[centro_costo]]="","",_xlfn.XLOOKUP(tblOrdenes[[#This Row],[centro_costo]],tblCECO[codigo],tblCECO[area],"(sin catálogo)"))</f>
        <v/>
      </c>
      <c r="V380" s="3">
        <f>IF(tblOrdenes[[#This Row],[centro_costo]]="","",_xlfn.XLOOKUP(tblOrdenes[[#This Row],[centro_costo]],tblCECO[codigo],tblCECO[coordinador],"(sin catálogo)"))</f>
        <v/>
      </c>
      <c r="W380" s="3">
        <f>IF(tblOrdenes[[#This Row],[puesto_trabajo]]="","",_xlfn.XLOOKUP(tblOrdenes[[#This Row],[puesto_trabajo]],tblPuestos[codigo],tblPuestos[especialidad],"(sin catálogo)"))</f>
        <v/>
      </c>
      <c r="X380" s="3">
        <f>IF(tblOrdenes[[#This Row],[cod_actividad]]="","",_xlfn.XLOOKUP(tblOrdenes[[#This Row],[cod_actividad]],tblActividades[codigo],tblActividades[descripcion],"(sin catálogo)"))</f>
        <v/>
      </c>
      <c r="Y380" s="12">
        <f>IF(tblOrdenes[[#This Row],[fecha_inicio]]="","",TODAY()-tblOrdenes[[#This Row],[fecha_inicio]])</f>
        <v/>
      </c>
      <c r="Z380" s="3">
        <f>IF(tblOrdenes[[#This Row],[backlog_dias]]="","",IF(tblOrdenes[[#This Row],[backlog_dias]]&lt;0,"FUTURO",IF(tblOrdenes[[#This Row],[backlog_dias]]&gt;p_dias_backlog_max,"BACKLOG","MES CORRIENTE")))</f>
        <v/>
      </c>
      <c r="AA380" s="3">
        <f>IF(tblOrdenes[[#This Row],[backlog_dias]]="",FALSE,AND(tblOrdenes[[#This Row],[backlog_dias]]&gt;p_dias_backlog_min,tblOrdenes[[#This Row],[backlog_dias]]&lt;=p_dias_backlog_max))</f>
        <v/>
      </c>
      <c r="AB380" s="6" t="n"/>
      <c r="AC3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0" s="10">
        <f>IF(tblOrdenes[[#This Row],[orden]]="","",_xlfn.XLOOKUP(tblOrdenes[[#This Row],[id_operacion]],tblEjecucion[id_operacion],tblEjecucion[precio],0))</f>
        <v/>
      </c>
      <c r="AG380" s="10">
        <f>IF(tblOrdenes[[#This Row],[orden]]="","",MAX(0,_xlfn.XLOOKUP(tblOrdenes[[#This Row],[id_operacion]],tblEjecucion[id_operacion],tblEjecucion[costo_plan_total],0)-tblOrdenes[[#This Row],[costo_servicio]]))</f>
        <v/>
      </c>
      <c r="AH380" s="10">
        <f>IF(tblOrdenes[[#This Row],[orden]]="","",tblOrdenes[[#This Row],[costo_servicio]]+tblOrdenes[[#This Row],[costo_materiales]])</f>
        <v/>
      </c>
      <c r="AI380" s="6" t="n"/>
      <c r="AJ380" s="6" t="n"/>
      <c r="AK380" s="6" t="n"/>
      <c r="AL380" s="3">
        <f>IF(tblOrdenes[[#This Row],[link_checklist]]="","",HYPERLINK(p_ruta_base_checklists&amp;tblOrdenes[[#This Row],[link_checklist]],"abrir"))</f>
        <v/>
      </c>
      <c r="AM380" s="6" t="n"/>
      <c r="AN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Row],[tipo_ot]]="","",_xlfn.XLOOKUP(tblOrdenes[[#This Row],[tipo_ot]],tblTiposOT[codigo],tblTiposOT[clasificacion],"sin_clasificar"))</f>
        <v/>
      </c>
      <c r="T381" s="3">
        <f>IF(tblOrdenes[[#This Row],[centro_costo]]="","",_xlfn.XLOOKUP(tblOrdenes[[#This Row],[centro_costo]],tblCECO[codigo],tblCECO[linea],"(sin catálogo)"))</f>
        <v/>
      </c>
      <c r="U381" s="3">
        <f>IF(tblOrdenes[[#This Row],[centro_costo]]="","",_xlfn.XLOOKUP(tblOrdenes[[#This Row],[centro_costo]],tblCECO[codigo],tblCECO[area],"(sin catálogo)"))</f>
        <v/>
      </c>
      <c r="V381" s="3">
        <f>IF(tblOrdenes[[#This Row],[centro_costo]]="","",_xlfn.XLOOKUP(tblOrdenes[[#This Row],[centro_costo]],tblCECO[codigo],tblCECO[coordinador],"(sin catálogo)"))</f>
        <v/>
      </c>
      <c r="W381" s="3">
        <f>IF(tblOrdenes[[#This Row],[puesto_trabajo]]="","",_xlfn.XLOOKUP(tblOrdenes[[#This Row],[puesto_trabajo]],tblPuestos[codigo],tblPuestos[especialidad],"(sin catálogo)"))</f>
        <v/>
      </c>
      <c r="X381" s="3">
        <f>IF(tblOrdenes[[#This Row],[cod_actividad]]="","",_xlfn.XLOOKUP(tblOrdenes[[#This Row],[cod_actividad]],tblActividades[codigo],tblActividades[descripcion],"(sin catálogo)"))</f>
        <v/>
      </c>
      <c r="Y381" s="12">
        <f>IF(tblOrdenes[[#This Row],[fecha_inicio]]="","",TODAY()-tblOrdenes[[#This Row],[fecha_inicio]])</f>
        <v/>
      </c>
      <c r="Z381" s="3">
        <f>IF(tblOrdenes[[#This Row],[backlog_dias]]="","",IF(tblOrdenes[[#This Row],[backlog_dias]]&lt;0,"FUTURO",IF(tblOrdenes[[#This Row],[backlog_dias]]&gt;p_dias_backlog_max,"BACKLOG","MES CORRIENTE")))</f>
        <v/>
      </c>
      <c r="AA381" s="3">
        <f>IF(tblOrdenes[[#This Row],[backlog_dias]]="",FALSE,AND(tblOrdenes[[#This Row],[backlog_dias]]&gt;p_dias_backlog_min,tblOrdenes[[#This Row],[backlog_dias]]&lt;=p_dias_backlog_max))</f>
        <v/>
      </c>
      <c r="AB381" s="6" t="n"/>
      <c r="AC3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1" s="10">
        <f>IF(tblOrdenes[[#This Row],[orden]]="","",_xlfn.XLOOKUP(tblOrdenes[[#This Row],[id_operacion]],tblEjecucion[id_operacion],tblEjecucion[precio],0))</f>
        <v/>
      </c>
      <c r="AG381" s="10">
        <f>IF(tblOrdenes[[#This Row],[orden]]="","",MAX(0,_xlfn.XLOOKUP(tblOrdenes[[#This Row],[id_operacion]],tblEjecucion[id_operacion],tblEjecucion[costo_plan_total],0)-tblOrdenes[[#This Row],[costo_servicio]]))</f>
        <v/>
      </c>
      <c r="AH381" s="10">
        <f>IF(tblOrdenes[[#This Row],[orden]]="","",tblOrdenes[[#This Row],[costo_servicio]]+tblOrdenes[[#This Row],[costo_materiales]])</f>
        <v/>
      </c>
      <c r="AI381" s="6" t="n"/>
      <c r="AJ381" s="6" t="n"/>
      <c r="AK381" s="6" t="n"/>
      <c r="AL381" s="3">
        <f>IF(tblOrdenes[[#This Row],[link_checklist]]="","",HYPERLINK(p_ruta_base_checklists&amp;tblOrdenes[[#This Row],[link_checklist]],"abrir"))</f>
        <v/>
      </c>
      <c r="AM381" s="6" t="n"/>
      <c r="AN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Row],[tipo_ot]]="","",_xlfn.XLOOKUP(tblOrdenes[[#This Row],[tipo_ot]],tblTiposOT[codigo],tblTiposOT[clasificacion],"sin_clasificar"))</f>
        <v/>
      </c>
      <c r="T382" s="3">
        <f>IF(tblOrdenes[[#This Row],[centro_costo]]="","",_xlfn.XLOOKUP(tblOrdenes[[#This Row],[centro_costo]],tblCECO[codigo],tblCECO[linea],"(sin catálogo)"))</f>
        <v/>
      </c>
      <c r="U382" s="3">
        <f>IF(tblOrdenes[[#This Row],[centro_costo]]="","",_xlfn.XLOOKUP(tblOrdenes[[#This Row],[centro_costo]],tblCECO[codigo],tblCECO[area],"(sin catálogo)"))</f>
        <v/>
      </c>
      <c r="V382" s="3">
        <f>IF(tblOrdenes[[#This Row],[centro_costo]]="","",_xlfn.XLOOKUP(tblOrdenes[[#This Row],[centro_costo]],tblCECO[codigo],tblCECO[coordinador],"(sin catálogo)"))</f>
        <v/>
      </c>
      <c r="W382" s="3">
        <f>IF(tblOrdenes[[#This Row],[puesto_trabajo]]="","",_xlfn.XLOOKUP(tblOrdenes[[#This Row],[puesto_trabajo]],tblPuestos[codigo],tblPuestos[especialidad],"(sin catálogo)"))</f>
        <v/>
      </c>
      <c r="X382" s="3">
        <f>IF(tblOrdenes[[#This Row],[cod_actividad]]="","",_xlfn.XLOOKUP(tblOrdenes[[#This Row],[cod_actividad]],tblActividades[codigo],tblActividades[descripcion],"(sin catálogo)"))</f>
        <v/>
      </c>
      <c r="Y382" s="12">
        <f>IF(tblOrdenes[[#This Row],[fecha_inicio]]="","",TODAY()-tblOrdenes[[#This Row],[fecha_inicio]])</f>
        <v/>
      </c>
      <c r="Z382" s="3">
        <f>IF(tblOrdenes[[#This Row],[backlog_dias]]="","",IF(tblOrdenes[[#This Row],[backlog_dias]]&lt;0,"FUTURO",IF(tblOrdenes[[#This Row],[backlog_dias]]&gt;p_dias_backlog_max,"BACKLOG","MES CORRIENTE")))</f>
        <v/>
      </c>
      <c r="AA382" s="3">
        <f>IF(tblOrdenes[[#This Row],[backlog_dias]]="",FALSE,AND(tblOrdenes[[#This Row],[backlog_dias]]&gt;p_dias_backlog_min,tblOrdenes[[#This Row],[backlog_dias]]&lt;=p_dias_backlog_max))</f>
        <v/>
      </c>
      <c r="AB382" s="6" t="n"/>
      <c r="AC3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2" s="10">
        <f>IF(tblOrdenes[[#This Row],[orden]]="","",_xlfn.XLOOKUP(tblOrdenes[[#This Row],[id_operacion]],tblEjecucion[id_operacion],tblEjecucion[precio],0))</f>
        <v/>
      </c>
      <c r="AG382" s="10">
        <f>IF(tblOrdenes[[#This Row],[orden]]="","",MAX(0,_xlfn.XLOOKUP(tblOrdenes[[#This Row],[id_operacion]],tblEjecucion[id_operacion],tblEjecucion[costo_plan_total],0)-tblOrdenes[[#This Row],[costo_servicio]]))</f>
        <v/>
      </c>
      <c r="AH382" s="10">
        <f>IF(tblOrdenes[[#This Row],[orden]]="","",tblOrdenes[[#This Row],[costo_servicio]]+tblOrdenes[[#This Row],[costo_materiales]])</f>
        <v/>
      </c>
      <c r="AI382" s="6" t="n"/>
      <c r="AJ382" s="6" t="n"/>
      <c r="AK382" s="6" t="n"/>
      <c r="AL382" s="3">
        <f>IF(tblOrdenes[[#This Row],[link_checklist]]="","",HYPERLINK(p_ruta_base_checklists&amp;tblOrdenes[[#This Row],[link_checklist]],"abrir"))</f>
        <v/>
      </c>
      <c r="AM382" s="6" t="n"/>
      <c r="AN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Row],[tipo_ot]]="","",_xlfn.XLOOKUP(tblOrdenes[[#This Row],[tipo_ot]],tblTiposOT[codigo],tblTiposOT[clasificacion],"sin_clasificar"))</f>
        <v/>
      </c>
      <c r="T383" s="3">
        <f>IF(tblOrdenes[[#This Row],[centro_costo]]="","",_xlfn.XLOOKUP(tblOrdenes[[#This Row],[centro_costo]],tblCECO[codigo],tblCECO[linea],"(sin catálogo)"))</f>
        <v/>
      </c>
      <c r="U383" s="3">
        <f>IF(tblOrdenes[[#This Row],[centro_costo]]="","",_xlfn.XLOOKUP(tblOrdenes[[#This Row],[centro_costo]],tblCECO[codigo],tblCECO[area],"(sin catálogo)"))</f>
        <v/>
      </c>
      <c r="V383" s="3">
        <f>IF(tblOrdenes[[#This Row],[centro_costo]]="","",_xlfn.XLOOKUP(tblOrdenes[[#This Row],[centro_costo]],tblCECO[codigo],tblCECO[coordinador],"(sin catálogo)"))</f>
        <v/>
      </c>
      <c r="W383" s="3">
        <f>IF(tblOrdenes[[#This Row],[puesto_trabajo]]="","",_xlfn.XLOOKUP(tblOrdenes[[#This Row],[puesto_trabajo]],tblPuestos[codigo],tblPuestos[especialidad],"(sin catálogo)"))</f>
        <v/>
      </c>
      <c r="X383" s="3">
        <f>IF(tblOrdenes[[#This Row],[cod_actividad]]="","",_xlfn.XLOOKUP(tblOrdenes[[#This Row],[cod_actividad]],tblActividades[codigo],tblActividades[descripcion],"(sin catálogo)"))</f>
        <v/>
      </c>
      <c r="Y383" s="12">
        <f>IF(tblOrdenes[[#This Row],[fecha_inicio]]="","",TODAY()-tblOrdenes[[#This Row],[fecha_inicio]])</f>
        <v/>
      </c>
      <c r="Z383" s="3">
        <f>IF(tblOrdenes[[#This Row],[backlog_dias]]="","",IF(tblOrdenes[[#This Row],[backlog_dias]]&lt;0,"FUTURO",IF(tblOrdenes[[#This Row],[backlog_dias]]&gt;p_dias_backlog_max,"BACKLOG","MES CORRIENTE")))</f>
        <v/>
      </c>
      <c r="AA383" s="3">
        <f>IF(tblOrdenes[[#This Row],[backlog_dias]]="",FALSE,AND(tblOrdenes[[#This Row],[backlog_dias]]&gt;p_dias_backlog_min,tblOrdenes[[#This Row],[backlog_dias]]&lt;=p_dias_backlog_max))</f>
        <v/>
      </c>
      <c r="AB383" s="6" t="n"/>
      <c r="AC3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3" s="10">
        <f>IF(tblOrdenes[[#This Row],[orden]]="","",_xlfn.XLOOKUP(tblOrdenes[[#This Row],[id_operacion]],tblEjecucion[id_operacion],tblEjecucion[precio],0))</f>
        <v/>
      </c>
      <c r="AG383" s="10">
        <f>IF(tblOrdenes[[#This Row],[orden]]="","",MAX(0,_xlfn.XLOOKUP(tblOrdenes[[#This Row],[id_operacion]],tblEjecucion[id_operacion],tblEjecucion[costo_plan_total],0)-tblOrdenes[[#This Row],[costo_servicio]]))</f>
        <v/>
      </c>
      <c r="AH383" s="10">
        <f>IF(tblOrdenes[[#This Row],[orden]]="","",tblOrdenes[[#This Row],[costo_servicio]]+tblOrdenes[[#This Row],[costo_materiales]])</f>
        <v/>
      </c>
      <c r="AI383" s="6" t="n"/>
      <c r="AJ383" s="6" t="n"/>
      <c r="AK383" s="6" t="n"/>
      <c r="AL383" s="3">
        <f>IF(tblOrdenes[[#This Row],[link_checklist]]="","",HYPERLINK(p_ruta_base_checklists&amp;tblOrdenes[[#This Row],[link_checklist]],"abrir"))</f>
        <v/>
      </c>
      <c r="AM383" s="6" t="n"/>
      <c r="AN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Row],[tipo_ot]]="","",_xlfn.XLOOKUP(tblOrdenes[[#This Row],[tipo_ot]],tblTiposOT[codigo],tblTiposOT[clasificacion],"sin_clasificar"))</f>
        <v/>
      </c>
      <c r="T384" s="3">
        <f>IF(tblOrdenes[[#This Row],[centro_costo]]="","",_xlfn.XLOOKUP(tblOrdenes[[#This Row],[centro_costo]],tblCECO[codigo],tblCECO[linea],"(sin catálogo)"))</f>
        <v/>
      </c>
      <c r="U384" s="3">
        <f>IF(tblOrdenes[[#This Row],[centro_costo]]="","",_xlfn.XLOOKUP(tblOrdenes[[#This Row],[centro_costo]],tblCECO[codigo],tblCECO[area],"(sin catálogo)"))</f>
        <v/>
      </c>
      <c r="V384" s="3">
        <f>IF(tblOrdenes[[#This Row],[centro_costo]]="","",_xlfn.XLOOKUP(tblOrdenes[[#This Row],[centro_costo]],tblCECO[codigo],tblCECO[coordinador],"(sin catálogo)"))</f>
        <v/>
      </c>
      <c r="W384" s="3">
        <f>IF(tblOrdenes[[#This Row],[puesto_trabajo]]="","",_xlfn.XLOOKUP(tblOrdenes[[#This Row],[puesto_trabajo]],tblPuestos[codigo],tblPuestos[especialidad],"(sin catálogo)"))</f>
        <v/>
      </c>
      <c r="X384" s="3">
        <f>IF(tblOrdenes[[#This Row],[cod_actividad]]="","",_xlfn.XLOOKUP(tblOrdenes[[#This Row],[cod_actividad]],tblActividades[codigo],tblActividades[descripcion],"(sin catálogo)"))</f>
        <v/>
      </c>
      <c r="Y384" s="12">
        <f>IF(tblOrdenes[[#This Row],[fecha_inicio]]="","",TODAY()-tblOrdenes[[#This Row],[fecha_inicio]])</f>
        <v/>
      </c>
      <c r="Z384" s="3">
        <f>IF(tblOrdenes[[#This Row],[backlog_dias]]="","",IF(tblOrdenes[[#This Row],[backlog_dias]]&lt;0,"FUTURO",IF(tblOrdenes[[#This Row],[backlog_dias]]&gt;p_dias_backlog_max,"BACKLOG","MES CORRIENTE")))</f>
        <v/>
      </c>
      <c r="AA384" s="3">
        <f>IF(tblOrdenes[[#This Row],[backlog_dias]]="",FALSE,AND(tblOrdenes[[#This Row],[backlog_dias]]&gt;p_dias_backlog_min,tblOrdenes[[#This Row],[backlog_dias]]&lt;=p_dias_backlog_max))</f>
        <v/>
      </c>
      <c r="AB384" s="6" t="n"/>
      <c r="AC3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4" s="10">
        <f>IF(tblOrdenes[[#This Row],[orden]]="","",_xlfn.XLOOKUP(tblOrdenes[[#This Row],[id_operacion]],tblEjecucion[id_operacion],tblEjecucion[precio],0))</f>
        <v/>
      </c>
      <c r="AG384" s="10">
        <f>IF(tblOrdenes[[#This Row],[orden]]="","",MAX(0,_xlfn.XLOOKUP(tblOrdenes[[#This Row],[id_operacion]],tblEjecucion[id_operacion],tblEjecucion[costo_plan_total],0)-tblOrdenes[[#This Row],[costo_servicio]]))</f>
        <v/>
      </c>
      <c r="AH384" s="10">
        <f>IF(tblOrdenes[[#This Row],[orden]]="","",tblOrdenes[[#This Row],[costo_servicio]]+tblOrdenes[[#This Row],[costo_materiales]])</f>
        <v/>
      </c>
      <c r="AI384" s="6" t="n"/>
      <c r="AJ384" s="6" t="n"/>
      <c r="AK384" s="6" t="n"/>
      <c r="AL384" s="3">
        <f>IF(tblOrdenes[[#This Row],[link_checklist]]="","",HYPERLINK(p_ruta_base_checklists&amp;tblOrdenes[[#This Row],[link_checklist]],"abrir"))</f>
        <v/>
      </c>
      <c r="AM384" s="6" t="n"/>
      <c r="AN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Row],[tipo_ot]]="","",_xlfn.XLOOKUP(tblOrdenes[[#This Row],[tipo_ot]],tblTiposOT[codigo],tblTiposOT[clasificacion],"sin_clasificar"))</f>
        <v/>
      </c>
      <c r="T385" s="3">
        <f>IF(tblOrdenes[[#This Row],[centro_costo]]="","",_xlfn.XLOOKUP(tblOrdenes[[#This Row],[centro_costo]],tblCECO[codigo],tblCECO[linea],"(sin catálogo)"))</f>
        <v/>
      </c>
      <c r="U385" s="3">
        <f>IF(tblOrdenes[[#This Row],[centro_costo]]="","",_xlfn.XLOOKUP(tblOrdenes[[#This Row],[centro_costo]],tblCECO[codigo],tblCECO[area],"(sin catálogo)"))</f>
        <v/>
      </c>
      <c r="V385" s="3">
        <f>IF(tblOrdenes[[#This Row],[centro_costo]]="","",_xlfn.XLOOKUP(tblOrdenes[[#This Row],[centro_costo]],tblCECO[codigo],tblCECO[coordinador],"(sin catálogo)"))</f>
        <v/>
      </c>
      <c r="W385" s="3">
        <f>IF(tblOrdenes[[#This Row],[puesto_trabajo]]="","",_xlfn.XLOOKUP(tblOrdenes[[#This Row],[puesto_trabajo]],tblPuestos[codigo],tblPuestos[especialidad],"(sin catálogo)"))</f>
        <v/>
      </c>
      <c r="X385" s="3">
        <f>IF(tblOrdenes[[#This Row],[cod_actividad]]="","",_xlfn.XLOOKUP(tblOrdenes[[#This Row],[cod_actividad]],tblActividades[codigo],tblActividades[descripcion],"(sin catálogo)"))</f>
        <v/>
      </c>
      <c r="Y385" s="12">
        <f>IF(tblOrdenes[[#This Row],[fecha_inicio]]="","",TODAY()-tblOrdenes[[#This Row],[fecha_inicio]])</f>
        <v/>
      </c>
      <c r="Z385" s="3">
        <f>IF(tblOrdenes[[#This Row],[backlog_dias]]="","",IF(tblOrdenes[[#This Row],[backlog_dias]]&lt;0,"FUTURO",IF(tblOrdenes[[#This Row],[backlog_dias]]&gt;p_dias_backlog_max,"BACKLOG","MES CORRIENTE")))</f>
        <v/>
      </c>
      <c r="AA385" s="3">
        <f>IF(tblOrdenes[[#This Row],[backlog_dias]]="",FALSE,AND(tblOrdenes[[#This Row],[backlog_dias]]&gt;p_dias_backlog_min,tblOrdenes[[#This Row],[backlog_dias]]&lt;=p_dias_backlog_max))</f>
        <v/>
      </c>
      <c r="AB385" s="6" t="n"/>
      <c r="AC3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5" s="10">
        <f>IF(tblOrdenes[[#This Row],[orden]]="","",_xlfn.XLOOKUP(tblOrdenes[[#This Row],[id_operacion]],tblEjecucion[id_operacion],tblEjecucion[precio],0))</f>
        <v/>
      </c>
      <c r="AG385" s="10">
        <f>IF(tblOrdenes[[#This Row],[orden]]="","",MAX(0,_xlfn.XLOOKUP(tblOrdenes[[#This Row],[id_operacion]],tblEjecucion[id_operacion],tblEjecucion[costo_plan_total],0)-tblOrdenes[[#This Row],[costo_servicio]]))</f>
        <v/>
      </c>
      <c r="AH385" s="10">
        <f>IF(tblOrdenes[[#This Row],[orden]]="","",tblOrdenes[[#This Row],[costo_servicio]]+tblOrdenes[[#This Row],[costo_materiales]])</f>
        <v/>
      </c>
      <c r="AI385" s="6" t="n"/>
      <c r="AJ385" s="6" t="n"/>
      <c r="AK385" s="6" t="n"/>
      <c r="AL385" s="3">
        <f>IF(tblOrdenes[[#This Row],[link_checklist]]="","",HYPERLINK(p_ruta_base_checklists&amp;tblOrdenes[[#This Row],[link_checklist]],"abrir"))</f>
        <v/>
      </c>
      <c r="AM385" s="6" t="n"/>
      <c r="AN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Row],[tipo_ot]]="","",_xlfn.XLOOKUP(tblOrdenes[[#This Row],[tipo_ot]],tblTiposOT[codigo],tblTiposOT[clasificacion],"sin_clasificar"))</f>
        <v/>
      </c>
      <c r="T386" s="3">
        <f>IF(tblOrdenes[[#This Row],[centro_costo]]="","",_xlfn.XLOOKUP(tblOrdenes[[#This Row],[centro_costo]],tblCECO[codigo],tblCECO[linea],"(sin catálogo)"))</f>
        <v/>
      </c>
      <c r="U386" s="3">
        <f>IF(tblOrdenes[[#This Row],[centro_costo]]="","",_xlfn.XLOOKUP(tblOrdenes[[#This Row],[centro_costo]],tblCECO[codigo],tblCECO[area],"(sin catálogo)"))</f>
        <v/>
      </c>
      <c r="V386" s="3">
        <f>IF(tblOrdenes[[#This Row],[centro_costo]]="","",_xlfn.XLOOKUP(tblOrdenes[[#This Row],[centro_costo]],tblCECO[codigo],tblCECO[coordinador],"(sin catálogo)"))</f>
        <v/>
      </c>
      <c r="W386" s="3">
        <f>IF(tblOrdenes[[#This Row],[puesto_trabajo]]="","",_xlfn.XLOOKUP(tblOrdenes[[#This Row],[puesto_trabajo]],tblPuestos[codigo],tblPuestos[especialidad],"(sin catálogo)"))</f>
        <v/>
      </c>
      <c r="X386" s="3">
        <f>IF(tblOrdenes[[#This Row],[cod_actividad]]="","",_xlfn.XLOOKUP(tblOrdenes[[#This Row],[cod_actividad]],tblActividades[codigo],tblActividades[descripcion],"(sin catálogo)"))</f>
        <v/>
      </c>
      <c r="Y386" s="12">
        <f>IF(tblOrdenes[[#This Row],[fecha_inicio]]="","",TODAY()-tblOrdenes[[#This Row],[fecha_inicio]])</f>
        <v/>
      </c>
      <c r="Z386" s="3">
        <f>IF(tblOrdenes[[#This Row],[backlog_dias]]="","",IF(tblOrdenes[[#This Row],[backlog_dias]]&lt;0,"FUTURO",IF(tblOrdenes[[#This Row],[backlog_dias]]&gt;p_dias_backlog_max,"BACKLOG","MES CORRIENTE")))</f>
        <v/>
      </c>
      <c r="AA386" s="3">
        <f>IF(tblOrdenes[[#This Row],[backlog_dias]]="",FALSE,AND(tblOrdenes[[#This Row],[backlog_dias]]&gt;p_dias_backlog_min,tblOrdenes[[#This Row],[backlog_dias]]&lt;=p_dias_backlog_max))</f>
        <v/>
      </c>
      <c r="AB386" s="6" t="n"/>
      <c r="AC3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6" s="10">
        <f>IF(tblOrdenes[[#This Row],[orden]]="","",_xlfn.XLOOKUP(tblOrdenes[[#This Row],[id_operacion]],tblEjecucion[id_operacion],tblEjecucion[precio],0))</f>
        <v/>
      </c>
      <c r="AG386" s="10">
        <f>IF(tblOrdenes[[#This Row],[orden]]="","",MAX(0,_xlfn.XLOOKUP(tblOrdenes[[#This Row],[id_operacion]],tblEjecucion[id_operacion],tblEjecucion[costo_plan_total],0)-tblOrdenes[[#This Row],[costo_servicio]]))</f>
        <v/>
      </c>
      <c r="AH386" s="10">
        <f>IF(tblOrdenes[[#This Row],[orden]]="","",tblOrdenes[[#This Row],[costo_servicio]]+tblOrdenes[[#This Row],[costo_materiales]])</f>
        <v/>
      </c>
      <c r="AI386" s="6" t="n"/>
      <c r="AJ386" s="6" t="n"/>
      <c r="AK386" s="6" t="n"/>
      <c r="AL386" s="3">
        <f>IF(tblOrdenes[[#This Row],[link_checklist]]="","",HYPERLINK(p_ruta_base_checklists&amp;tblOrdenes[[#This Row],[link_checklist]],"abrir"))</f>
        <v/>
      </c>
      <c r="AM386" s="6" t="n"/>
      <c r="AN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Row],[tipo_ot]]="","",_xlfn.XLOOKUP(tblOrdenes[[#This Row],[tipo_ot]],tblTiposOT[codigo],tblTiposOT[clasificacion],"sin_clasificar"))</f>
        <v/>
      </c>
      <c r="T387" s="3">
        <f>IF(tblOrdenes[[#This Row],[centro_costo]]="","",_xlfn.XLOOKUP(tblOrdenes[[#This Row],[centro_costo]],tblCECO[codigo],tblCECO[linea],"(sin catálogo)"))</f>
        <v/>
      </c>
      <c r="U387" s="3">
        <f>IF(tblOrdenes[[#This Row],[centro_costo]]="","",_xlfn.XLOOKUP(tblOrdenes[[#This Row],[centro_costo]],tblCECO[codigo],tblCECO[area],"(sin catálogo)"))</f>
        <v/>
      </c>
      <c r="V387" s="3">
        <f>IF(tblOrdenes[[#This Row],[centro_costo]]="","",_xlfn.XLOOKUP(tblOrdenes[[#This Row],[centro_costo]],tblCECO[codigo],tblCECO[coordinador],"(sin catálogo)"))</f>
        <v/>
      </c>
      <c r="W387" s="3">
        <f>IF(tblOrdenes[[#This Row],[puesto_trabajo]]="","",_xlfn.XLOOKUP(tblOrdenes[[#This Row],[puesto_trabajo]],tblPuestos[codigo],tblPuestos[especialidad],"(sin catálogo)"))</f>
        <v/>
      </c>
      <c r="X387" s="3">
        <f>IF(tblOrdenes[[#This Row],[cod_actividad]]="","",_xlfn.XLOOKUP(tblOrdenes[[#This Row],[cod_actividad]],tblActividades[codigo],tblActividades[descripcion],"(sin catálogo)"))</f>
        <v/>
      </c>
      <c r="Y387" s="12">
        <f>IF(tblOrdenes[[#This Row],[fecha_inicio]]="","",TODAY()-tblOrdenes[[#This Row],[fecha_inicio]])</f>
        <v/>
      </c>
      <c r="Z387" s="3">
        <f>IF(tblOrdenes[[#This Row],[backlog_dias]]="","",IF(tblOrdenes[[#This Row],[backlog_dias]]&lt;0,"FUTURO",IF(tblOrdenes[[#This Row],[backlog_dias]]&gt;p_dias_backlog_max,"BACKLOG","MES CORRIENTE")))</f>
        <v/>
      </c>
      <c r="AA387" s="3">
        <f>IF(tblOrdenes[[#This Row],[backlog_dias]]="",FALSE,AND(tblOrdenes[[#This Row],[backlog_dias]]&gt;p_dias_backlog_min,tblOrdenes[[#This Row],[backlog_dias]]&lt;=p_dias_backlog_max))</f>
        <v/>
      </c>
      <c r="AB387" s="6" t="n"/>
      <c r="AC3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7" s="10">
        <f>IF(tblOrdenes[[#This Row],[orden]]="","",_xlfn.XLOOKUP(tblOrdenes[[#This Row],[id_operacion]],tblEjecucion[id_operacion],tblEjecucion[precio],0))</f>
        <v/>
      </c>
      <c r="AG387" s="10">
        <f>IF(tblOrdenes[[#This Row],[orden]]="","",MAX(0,_xlfn.XLOOKUP(tblOrdenes[[#This Row],[id_operacion]],tblEjecucion[id_operacion],tblEjecucion[costo_plan_total],0)-tblOrdenes[[#This Row],[costo_servicio]]))</f>
        <v/>
      </c>
      <c r="AH387" s="10">
        <f>IF(tblOrdenes[[#This Row],[orden]]="","",tblOrdenes[[#This Row],[costo_servicio]]+tblOrdenes[[#This Row],[costo_materiales]])</f>
        <v/>
      </c>
      <c r="AI387" s="6" t="n"/>
      <c r="AJ387" s="6" t="n"/>
      <c r="AK387" s="6" t="n"/>
      <c r="AL387" s="3">
        <f>IF(tblOrdenes[[#This Row],[link_checklist]]="","",HYPERLINK(p_ruta_base_checklists&amp;tblOrdenes[[#This Row],[link_checklist]],"abrir"))</f>
        <v/>
      </c>
      <c r="AM387" s="6" t="n"/>
      <c r="AN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Row],[tipo_ot]]="","",_xlfn.XLOOKUP(tblOrdenes[[#This Row],[tipo_ot]],tblTiposOT[codigo],tblTiposOT[clasificacion],"sin_clasificar"))</f>
        <v/>
      </c>
      <c r="T388" s="3">
        <f>IF(tblOrdenes[[#This Row],[centro_costo]]="","",_xlfn.XLOOKUP(tblOrdenes[[#This Row],[centro_costo]],tblCECO[codigo],tblCECO[linea],"(sin catálogo)"))</f>
        <v/>
      </c>
      <c r="U388" s="3">
        <f>IF(tblOrdenes[[#This Row],[centro_costo]]="","",_xlfn.XLOOKUP(tblOrdenes[[#This Row],[centro_costo]],tblCECO[codigo],tblCECO[area],"(sin catálogo)"))</f>
        <v/>
      </c>
      <c r="V388" s="3">
        <f>IF(tblOrdenes[[#This Row],[centro_costo]]="","",_xlfn.XLOOKUP(tblOrdenes[[#This Row],[centro_costo]],tblCECO[codigo],tblCECO[coordinador],"(sin catálogo)"))</f>
        <v/>
      </c>
      <c r="W388" s="3">
        <f>IF(tblOrdenes[[#This Row],[puesto_trabajo]]="","",_xlfn.XLOOKUP(tblOrdenes[[#This Row],[puesto_trabajo]],tblPuestos[codigo],tblPuestos[especialidad],"(sin catálogo)"))</f>
        <v/>
      </c>
      <c r="X388" s="3">
        <f>IF(tblOrdenes[[#This Row],[cod_actividad]]="","",_xlfn.XLOOKUP(tblOrdenes[[#This Row],[cod_actividad]],tblActividades[codigo],tblActividades[descripcion],"(sin catálogo)"))</f>
        <v/>
      </c>
      <c r="Y388" s="12">
        <f>IF(tblOrdenes[[#This Row],[fecha_inicio]]="","",TODAY()-tblOrdenes[[#This Row],[fecha_inicio]])</f>
        <v/>
      </c>
      <c r="Z388" s="3">
        <f>IF(tblOrdenes[[#This Row],[backlog_dias]]="","",IF(tblOrdenes[[#This Row],[backlog_dias]]&lt;0,"FUTURO",IF(tblOrdenes[[#This Row],[backlog_dias]]&gt;p_dias_backlog_max,"BACKLOG","MES CORRIENTE")))</f>
        <v/>
      </c>
      <c r="AA388" s="3">
        <f>IF(tblOrdenes[[#This Row],[backlog_dias]]="",FALSE,AND(tblOrdenes[[#This Row],[backlog_dias]]&gt;p_dias_backlog_min,tblOrdenes[[#This Row],[backlog_dias]]&lt;=p_dias_backlog_max))</f>
        <v/>
      </c>
      <c r="AB388" s="6" t="n"/>
      <c r="AC3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8" s="10">
        <f>IF(tblOrdenes[[#This Row],[orden]]="","",_xlfn.XLOOKUP(tblOrdenes[[#This Row],[id_operacion]],tblEjecucion[id_operacion],tblEjecucion[precio],0))</f>
        <v/>
      </c>
      <c r="AG388" s="10">
        <f>IF(tblOrdenes[[#This Row],[orden]]="","",MAX(0,_xlfn.XLOOKUP(tblOrdenes[[#This Row],[id_operacion]],tblEjecucion[id_operacion],tblEjecucion[costo_plan_total],0)-tblOrdenes[[#This Row],[costo_servicio]]))</f>
        <v/>
      </c>
      <c r="AH388" s="10">
        <f>IF(tblOrdenes[[#This Row],[orden]]="","",tblOrdenes[[#This Row],[costo_servicio]]+tblOrdenes[[#This Row],[costo_materiales]])</f>
        <v/>
      </c>
      <c r="AI388" s="6" t="n"/>
      <c r="AJ388" s="6" t="n"/>
      <c r="AK388" s="6" t="n"/>
      <c r="AL388" s="3">
        <f>IF(tblOrdenes[[#This Row],[link_checklist]]="","",HYPERLINK(p_ruta_base_checklists&amp;tblOrdenes[[#This Row],[link_checklist]],"abrir"))</f>
        <v/>
      </c>
      <c r="AM388" s="6" t="n"/>
      <c r="AN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Row],[tipo_ot]]="","",_xlfn.XLOOKUP(tblOrdenes[[#This Row],[tipo_ot]],tblTiposOT[codigo],tblTiposOT[clasificacion],"sin_clasificar"))</f>
        <v/>
      </c>
      <c r="T389" s="3">
        <f>IF(tblOrdenes[[#This Row],[centro_costo]]="","",_xlfn.XLOOKUP(tblOrdenes[[#This Row],[centro_costo]],tblCECO[codigo],tblCECO[linea],"(sin catálogo)"))</f>
        <v/>
      </c>
      <c r="U389" s="3">
        <f>IF(tblOrdenes[[#This Row],[centro_costo]]="","",_xlfn.XLOOKUP(tblOrdenes[[#This Row],[centro_costo]],tblCECO[codigo],tblCECO[area],"(sin catálogo)"))</f>
        <v/>
      </c>
      <c r="V389" s="3">
        <f>IF(tblOrdenes[[#This Row],[centro_costo]]="","",_xlfn.XLOOKUP(tblOrdenes[[#This Row],[centro_costo]],tblCECO[codigo],tblCECO[coordinador],"(sin catálogo)"))</f>
        <v/>
      </c>
      <c r="W389" s="3">
        <f>IF(tblOrdenes[[#This Row],[puesto_trabajo]]="","",_xlfn.XLOOKUP(tblOrdenes[[#This Row],[puesto_trabajo]],tblPuestos[codigo],tblPuestos[especialidad],"(sin catálogo)"))</f>
        <v/>
      </c>
      <c r="X389" s="3">
        <f>IF(tblOrdenes[[#This Row],[cod_actividad]]="","",_xlfn.XLOOKUP(tblOrdenes[[#This Row],[cod_actividad]],tblActividades[codigo],tblActividades[descripcion],"(sin catálogo)"))</f>
        <v/>
      </c>
      <c r="Y389" s="12">
        <f>IF(tblOrdenes[[#This Row],[fecha_inicio]]="","",TODAY()-tblOrdenes[[#This Row],[fecha_inicio]])</f>
        <v/>
      </c>
      <c r="Z389" s="3">
        <f>IF(tblOrdenes[[#This Row],[backlog_dias]]="","",IF(tblOrdenes[[#This Row],[backlog_dias]]&lt;0,"FUTURO",IF(tblOrdenes[[#This Row],[backlog_dias]]&gt;p_dias_backlog_max,"BACKLOG","MES CORRIENTE")))</f>
        <v/>
      </c>
      <c r="AA389" s="3">
        <f>IF(tblOrdenes[[#This Row],[backlog_dias]]="",FALSE,AND(tblOrdenes[[#This Row],[backlog_dias]]&gt;p_dias_backlog_min,tblOrdenes[[#This Row],[backlog_dias]]&lt;=p_dias_backlog_max))</f>
        <v/>
      </c>
      <c r="AB389" s="6" t="n"/>
      <c r="AC3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9" s="10">
        <f>IF(tblOrdenes[[#This Row],[orden]]="","",_xlfn.XLOOKUP(tblOrdenes[[#This Row],[id_operacion]],tblEjecucion[id_operacion],tblEjecucion[precio],0))</f>
        <v/>
      </c>
      <c r="AG389" s="10">
        <f>IF(tblOrdenes[[#This Row],[orden]]="","",MAX(0,_xlfn.XLOOKUP(tblOrdenes[[#This Row],[id_operacion]],tblEjecucion[id_operacion],tblEjecucion[costo_plan_total],0)-tblOrdenes[[#This Row],[costo_servicio]]))</f>
        <v/>
      </c>
      <c r="AH389" s="10">
        <f>IF(tblOrdenes[[#This Row],[orden]]="","",tblOrdenes[[#This Row],[costo_servicio]]+tblOrdenes[[#This Row],[costo_materiales]])</f>
        <v/>
      </c>
      <c r="AI389" s="6" t="n"/>
      <c r="AJ389" s="6" t="n"/>
      <c r="AK389" s="6" t="n"/>
      <c r="AL389" s="3">
        <f>IF(tblOrdenes[[#This Row],[link_checklist]]="","",HYPERLINK(p_ruta_base_checklists&amp;tblOrdenes[[#This Row],[link_checklist]],"abrir"))</f>
        <v/>
      </c>
      <c r="AM389" s="6" t="n"/>
      <c r="AN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Row],[tipo_ot]]="","",_xlfn.XLOOKUP(tblOrdenes[[#This Row],[tipo_ot]],tblTiposOT[codigo],tblTiposOT[clasificacion],"sin_clasificar"))</f>
        <v/>
      </c>
      <c r="T390" s="3">
        <f>IF(tblOrdenes[[#This Row],[centro_costo]]="","",_xlfn.XLOOKUP(tblOrdenes[[#This Row],[centro_costo]],tblCECO[codigo],tblCECO[linea],"(sin catálogo)"))</f>
        <v/>
      </c>
      <c r="U390" s="3">
        <f>IF(tblOrdenes[[#This Row],[centro_costo]]="","",_xlfn.XLOOKUP(tblOrdenes[[#This Row],[centro_costo]],tblCECO[codigo],tblCECO[area],"(sin catálogo)"))</f>
        <v/>
      </c>
      <c r="V390" s="3">
        <f>IF(tblOrdenes[[#This Row],[centro_costo]]="","",_xlfn.XLOOKUP(tblOrdenes[[#This Row],[centro_costo]],tblCECO[codigo],tblCECO[coordinador],"(sin catálogo)"))</f>
        <v/>
      </c>
      <c r="W390" s="3">
        <f>IF(tblOrdenes[[#This Row],[puesto_trabajo]]="","",_xlfn.XLOOKUP(tblOrdenes[[#This Row],[puesto_trabajo]],tblPuestos[codigo],tblPuestos[especialidad],"(sin catálogo)"))</f>
        <v/>
      </c>
      <c r="X390" s="3">
        <f>IF(tblOrdenes[[#This Row],[cod_actividad]]="","",_xlfn.XLOOKUP(tblOrdenes[[#This Row],[cod_actividad]],tblActividades[codigo],tblActividades[descripcion],"(sin catálogo)"))</f>
        <v/>
      </c>
      <c r="Y390" s="12">
        <f>IF(tblOrdenes[[#This Row],[fecha_inicio]]="","",TODAY()-tblOrdenes[[#This Row],[fecha_inicio]])</f>
        <v/>
      </c>
      <c r="Z390" s="3">
        <f>IF(tblOrdenes[[#This Row],[backlog_dias]]="","",IF(tblOrdenes[[#This Row],[backlog_dias]]&lt;0,"FUTURO",IF(tblOrdenes[[#This Row],[backlog_dias]]&gt;p_dias_backlog_max,"BACKLOG","MES CORRIENTE")))</f>
        <v/>
      </c>
      <c r="AA390" s="3">
        <f>IF(tblOrdenes[[#This Row],[backlog_dias]]="",FALSE,AND(tblOrdenes[[#This Row],[backlog_dias]]&gt;p_dias_backlog_min,tblOrdenes[[#This Row],[backlog_dias]]&lt;=p_dias_backlog_max))</f>
        <v/>
      </c>
      <c r="AB390" s="6" t="n"/>
      <c r="AC3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0" s="10">
        <f>IF(tblOrdenes[[#This Row],[orden]]="","",_xlfn.XLOOKUP(tblOrdenes[[#This Row],[id_operacion]],tblEjecucion[id_operacion],tblEjecucion[precio],0))</f>
        <v/>
      </c>
      <c r="AG390" s="10">
        <f>IF(tblOrdenes[[#This Row],[orden]]="","",MAX(0,_xlfn.XLOOKUP(tblOrdenes[[#This Row],[id_operacion]],tblEjecucion[id_operacion],tblEjecucion[costo_plan_total],0)-tblOrdenes[[#This Row],[costo_servicio]]))</f>
        <v/>
      </c>
      <c r="AH390" s="10">
        <f>IF(tblOrdenes[[#This Row],[orden]]="","",tblOrdenes[[#This Row],[costo_servicio]]+tblOrdenes[[#This Row],[costo_materiales]])</f>
        <v/>
      </c>
      <c r="AI390" s="6" t="n"/>
      <c r="AJ390" s="6" t="n"/>
      <c r="AK390" s="6" t="n"/>
      <c r="AL390" s="3">
        <f>IF(tblOrdenes[[#This Row],[link_checklist]]="","",HYPERLINK(p_ruta_base_checklists&amp;tblOrdenes[[#This Row],[link_checklist]],"abrir"))</f>
        <v/>
      </c>
      <c r="AM390" s="6" t="n"/>
      <c r="AN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Row],[tipo_ot]]="","",_xlfn.XLOOKUP(tblOrdenes[[#This Row],[tipo_ot]],tblTiposOT[codigo],tblTiposOT[clasificacion],"sin_clasificar"))</f>
        <v/>
      </c>
      <c r="T391" s="3">
        <f>IF(tblOrdenes[[#This Row],[centro_costo]]="","",_xlfn.XLOOKUP(tblOrdenes[[#This Row],[centro_costo]],tblCECO[codigo],tblCECO[linea],"(sin catálogo)"))</f>
        <v/>
      </c>
      <c r="U391" s="3">
        <f>IF(tblOrdenes[[#This Row],[centro_costo]]="","",_xlfn.XLOOKUP(tblOrdenes[[#This Row],[centro_costo]],tblCECO[codigo],tblCECO[area],"(sin catálogo)"))</f>
        <v/>
      </c>
      <c r="V391" s="3">
        <f>IF(tblOrdenes[[#This Row],[centro_costo]]="","",_xlfn.XLOOKUP(tblOrdenes[[#This Row],[centro_costo]],tblCECO[codigo],tblCECO[coordinador],"(sin catálogo)"))</f>
        <v/>
      </c>
      <c r="W391" s="3">
        <f>IF(tblOrdenes[[#This Row],[puesto_trabajo]]="","",_xlfn.XLOOKUP(tblOrdenes[[#This Row],[puesto_trabajo]],tblPuestos[codigo],tblPuestos[especialidad],"(sin catálogo)"))</f>
        <v/>
      </c>
      <c r="X391" s="3">
        <f>IF(tblOrdenes[[#This Row],[cod_actividad]]="","",_xlfn.XLOOKUP(tblOrdenes[[#This Row],[cod_actividad]],tblActividades[codigo],tblActividades[descripcion],"(sin catálogo)"))</f>
        <v/>
      </c>
      <c r="Y391" s="12">
        <f>IF(tblOrdenes[[#This Row],[fecha_inicio]]="","",TODAY()-tblOrdenes[[#This Row],[fecha_inicio]])</f>
        <v/>
      </c>
      <c r="Z391" s="3">
        <f>IF(tblOrdenes[[#This Row],[backlog_dias]]="","",IF(tblOrdenes[[#This Row],[backlog_dias]]&lt;0,"FUTURO",IF(tblOrdenes[[#This Row],[backlog_dias]]&gt;p_dias_backlog_max,"BACKLOG","MES CORRIENTE")))</f>
        <v/>
      </c>
      <c r="AA391" s="3">
        <f>IF(tblOrdenes[[#This Row],[backlog_dias]]="",FALSE,AND(tblOrdenes[[#This Row],[backlog_dias]]&gt;p_dias_backlog_min,tblOrdenes[[#This Row],[backlog_dias]]&lt;=p_dias_backlog_max))</f>
        <v/>
      </c>
      <c r="AB391" s="6" t="n"/>
      <c r="AC3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1" s="10">
        <f>IF(tblOrdenes[[#This Row],[orden]]="","",_xlfn.XLOOKUP(tblOrdenes[[#This Row],[id_operacion]],tblEjecucion[id_operacion],tblEjecucion[precio],0))</f>
        <v/>
      </c>
      <c r="AG391" s="10">
        <f>IF(tblOrdenes[[#This Row],[orden]]="","",MAX(0,_xlfn.XLOOKUP(tblOrdenes[[#This Row],[id_operacion]],tblEjecucion[id_operacion],tblEjecucion[costo_plan_total],0)-tblOrdenes[[#This Row],[costo_servicio]]))</f>
        <v/>
      </c>
      <c r="AH391" s="10">
        <f>IF(tblOrdenes[[#This Row],[orden]]="","",tblOrdenes[[#This Row],[costo_servicio]]+tblOrdenes[[#This Row],[costo_materiales]])</f>
        <v/>
      </c>
      <c r="AI391" s="6" t="n"/>
      <c r="AJ391" s="6" t="n"/>
      <c r="AK391" s="6" t="n"/>
      <c r="AL391" s="3">
        <f>IF(tblOrdenes[[#This Row],[link_checklist]]="","",HYPERLINK(p_ruta_base_checklists&amp;tblOrdenes[[#This Row],[link_checklist]],"abrir"))</f>
        <v/>
      </c>
      <c r="AM391" s="6" t="n"/>
      <c r="AN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Row],[tipo_ot]]="","",_xlfn.XLOOKUP(tblOrdenes[[#This Row],[tipo_ot]],tblTiposOT[codigo],tblTiposOT[clasificacion],"sin_clasificar"))</f>
        <v/>
      </c>
      <c r="T392" s="3">
        <f>IF(tblOrdenes[[#This Row],[centro_costo]]="","",_xlfn.XLOOKUP(tblOrdenes[[#This Row],[centro_costo]],tblCECO[codigo],tblCECO[linea],"(sin catálogo)"))</f>
        <v/>
      </c>
      <c r="U392" s="3">
        <f>IF(tblOrdenes[[#This Row],[centro_costo]]="","",_xlfn.XLOOKUP(tblOrdenes[[#This Row],[centro_costo]],tblCECO[codigo],tblCECO[area],"(sin catálogo)"))</f>
        <v/>
      </c>
      <c r="V392" s="3">
        <f>IF(tblOrdenes[[#This Row],[centro_costo]]="","",_xlfn.XLOOKUP(tblOrdenes[[#This Row],[centro_costo]],tblCECO[codigo],tblCECO[coordinador],"(sin catálogo)"))</f>
        <v/>
      </c>
      <c r="W392" s="3">
        <f>IF(tblOrdenes[[#This Row],[puesto_trabajo]]="","",_xlfn.XLOOKUP(tblOrdenes[[#This Row],[puesto_trabajo]],tblPuestos[codigo],tblPuestos[especialidad],"(sin catálogo)"))</f>
        <v/>
      </c>
      <c r="X392" s="3">
        <f>IF(tblOrdenes[[#This Row],[cod_actividad]]="","",_xlfn.XLOOKUP(tblOrdenes[[#This Row],[cod_actividad]],tblActividades[codigo],tblActividades[descripcion],"(sin catálogo)"))</f>
        <v/>
      </c>
      <c r="Y392" s="12">
        <f>IF(tblOrdenes[[#This Row],[fecha_inicio]]="","",TODAY()-tblOrdenes[[#This Row],[fecha_inicio]])</f>
        <v/>
      </c>
      <c r="Z392" s="3">
        <f>IF(tblOrdenes[[#This Row],[backlog_dias]]="","",IF(tblOrdenes[[#This Row],[backlog_dias]]&lt;0,"FUTURO",IF(tblOrdenes[[#This Row],[backlog_dias]]&gt;p_dias_backlog_max,"BACKLOG","MES CORRIENTE")))</f>
        <v/>
      </c>
      <c r="AA392" s="3">
        <f>IF(tblOrdenes[[#This Row],[backlog_dias]]="",FALSE,AND(tblOrdenes[[#This Row],[backlog_dias]]&gt;p_dias_backlog_min,tblOrdenes[[#This Row],[backlog_dias]]&lt;=p_dias_backlog_max))</f>
        <v/>
      </c>
      <c r="AB392" s="6" t="n"/>
      <c r="AC3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2" s="10">
        <f>IF(tblOrdenes[[#This Row],[orden]]="","",_xlfn.XLOOKUP(tblOrdenes[[#This Row],[id_operacion]],tblEjecucion[id_operacion],tblEjecucion[precio],0))</f>
        <v/>
      </c>
      <c r="AG392" s="10">
        <f>IF(tblOrdenes[[#This Row],[orden]]="","",MAX(0,_xlfn.XLOOKUP(tblOrdenes[[#This Row],[id_operacion]],tblEjecucion[id_operacion],tblEjecucion[costo_plan_total],0)-tblOrdenes[[#This Row],[costo_servicio]]))</f>
        <v/>
      </c>
      <c r="AH392" s="10">
        <f>IF(tblOrdenes[[#This Row],[orden]]="","",tblOrdenes[[#This Row],[costo_servicio]]+tblOrdenes[[#This Row],[costo_materiales]])</f>
        <v/>
      </c>
      <c r="AI392" s="6" t="n"/>
      <c r="AJ392" s="6" t="n"/>
      <c r="AK392" s="6" t="n"/>
      <c r="AL392" s="3">
        <f>IF(tblOrdenes[[#This Row],[link_checklist]]="","",HYPERLINK(p_ruta_base_checklists&amp;tblOrdenes[[#This Row],[link_checklist]],"abrir"))</f>
        <v/>
      </c>
      <c r="AM392" s="6" t="n"/>
      <c r="AN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Row],[tipo_ot]]="","",_xlfn.XLOOKUP(tblOrdenes[[#This Row],[tipo_ot]],tblTiposOT[codigo],tblTiposOT[clasificacion],"sin_clasificar"))</f>
        <v/>
      </c>
      <c r="T393" s="3">
        <f>IF(tblOrdenes[[#This Row],[centro_costo]]="","",_xlfn.XLOOKUP(tblOrdenes[[#This Row],[centro_costo]],tblCECO[codigo],tblCECO[linea],"(sin catálogo)"))</f>
        <v/>
      </c>
      <c r="U393" s="3">
        <f>IF(tblOrdenes[[#This Row],[centro_costo]]="","",_xlfn.XLOOKUP(tblOrdenes[[#This Row],[centro_costo]],tblCECO[codigo],tblCECO[area],"(sin catálogo)"))</f>
        <v/>
      </c>
      <c r="V393" s="3">
        <f>IF(tblOrdenes[[#This Row],[centro_costo]]="","",_xlfn.XLOOKUP(tblOrdenes[[#This Row],[centro_costo]],tblCECO[codigo],tblCECO[coordinador],"(sin catálogo)"))</f>
        <v/>
      </c>
      <c r="W393" s="3">
        <f>IF(tblOrdenes[[#This Row],[puesto_trabajo]]="","",_xlfn.XLOOKUP(tblOrdenes[[#This Row],[puesto_trabajo]],tblPuestos[codigo],tblPuestos[especialidad],"(sin catálogo)"))</f>
        <v/>
      </c>
      <c r="X393" s="3">
        <f>IF(tblOrdenes[[#This Row],[cod_actividad]]="","",_xlfn.XLOOKUP(tblOrdenes[[#This Row],[cod_actividad]],tblActividades[codigo],tblActividades[descripcion],"(sin catálogo)"))</f>
        <v/>
      </c>
      <c r="Y393" s="12">
        <f>IF(tblOrdenes[[#This Row],[fecha_inicio]]="","",TODAY()-tblOrdenes[[#This Row],[fecha_inicio]])</f>
        <v/>
      </c>
      <c r="Z393" s="3">
        <f>IF(tblOrdenes[[#This Row],[backlog_dias]]="","",IF(tblOrdenes[[#This Row],[backlog_dias]]&lt;0,"FUTURO",IF(tblOrdenes[[#This Row],[backlog_dias]]&gt;p_dias_backlog_max,"BACKLOG","MES CORRIENTE")))</f>
        <v/>
      </c>
      <c r="AA393" s="3">
        <f>IF(tblOrdenes[[#This Row],[backlog_dias]]="",FALSE,AND(tblOrdenes[[#This Row],[backlog_dias]]&gt;p_dias_backlog_min,tblOrdenes[[#This Row],[backlog_dias]]&lt;=p_dias_backlog_max))</f>
        <v/>
      </c>
      <c r="AB393" s="6" t="n"/>
      <c r="AC3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3" s="10">
        <f>IF(tblOrdenes[[#This Row],[orden]]="","",_xlfn.XLOOKUP(tblOrdenes[[#This Row],[id_operacion]],tblEjecucion[id_operacion],tblEjecucion[precio],0))</f>
        <v/>
      </c>
      <c r="AG393" s="10">
        <f>IF(tblOrdenes[[#This Row],[orden]]="","",MAX(0,_xlfn.XLOOKUP(tblOrdenes[[#This Row],[id_operacion]],tblEjecucion[id_operacion],tblEjecucion[costo_plan_total],0)-tblOrdenes[[#This Row],[costo_servicio]]))</f>
        <v/>
      </c>
      <c r="AH393" s="10">
        <f>IF(tblOrdenes[[#This Row],[orden]]="","",tblOrdenes[[#This Row],[costo_servicio]]+tblOrdenes[[#This Row],[costo_materiales]])</f>
        <v/>
      </c>
      <c r="AI393" s="6" t="n"/>
      <c r="AJ393" s="6" t="n"/>
      <c r="AK393" s="6" t="n"/>
      <c r="AL393" s="3">
        <f>IF(tblOrdenes[[#This Row],[link_checklist]]="","",HYPERLINK(p_ruta_base_checklists&amp;tblOrdenes[[#This Row],[link_checklist]],"abrir"))</f>
        <v/>
      </c>
      <c r="AM393" s="6" t="n"/>
      <c r="AN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Row],[tipo_ot]]="","",_xlfn.XLOOKUP(tblOrdenes[[#This Row],[tipo_ot]],tblTiposOT[codigo],tblTiposOT[clasificacion],"sin_clasificar"))</f>
        <v/>
      </c>
      <c r="T394" s="3">
        <f>IF(tblOrdenes[[#This Row],[centro_costo]]="","",_xlfn.XLOOKUP(tblOrdenes[[#This Row],[centro_costo]],tblCECO[codigo],tblCECO[linea],"(sin catálogo)"))</f>
        <v/>
      </c>
      <c r="U394" s="3">
        <f>IF(tblOrdenes[[#This Row],[centro_costo]]="","",_xlfn.XLOOKUP(tblOrdenes[[#This Row],[centro_costo]],tblCECO[codigo],tblCECO[area],"(sin catálogo)"))</f>
        <v/>
      </c>
      <c r="V394" s="3">
        <f>IF(tblOrdenes[[#This Row],[centro_costo]]="","",_xlfn.XLOOKUP(tblOrdenes[[#This Row],[centro_costo]],tblCECO[codigo],tblCECO[coordinador],"(sin catálogo)"))</f>
        <v/>
      </c>
      <c r="W394" s="3">
        <f>IF(tblOrdenes[[#This Row],[puesto_trabajo]]="","",_xlfn.XLOOKUP(tblOrdenes[[#This Row],[puesto_trabajo]],tblPuestos[codigo],tblPuestos[especialidad],"(sin catálogo)"))</f>
        <v/>
      </c>
      <c r="X394" s="3">
        <f>IF(tblOrdenes[[#This Row],[cod_actividad]]="","",_xlfn.XLOOKUP(tblOrdenes[[#This Row],[cod_actividad]],tblActividades[codigo],tblActividades[descripcion],"(sin catálogo)"))</f>
        <v/>
      </c>
      <c r="Y394" s="12">
        <f>IF(tblOrdenes[[#This Row],[fecha_inicio]]="","",TODAY()-tblOrdenes[[#This Row],[fecha_inicio]])</f>
        <v/>
      </c>
      <c r="Z394" s="3">
        <f>IF(tblOrdenes[[#This Row],[backlog_dias]]="","",IF(tblOrdenes[[#This Row],[backlog_dias]]&lt;0,"FUTURO",IF(tblOrdenes[[#This Row],[backlog_dias]]&gt;p_dias_backlog_max,"BACKLOG","MES CORRIENTE")))</f>
        <v/>
      </c>
      <c r="AA394" s="3">
        <f>IF(tblOrdenes[[#This Row],[backlog_dias]]="",FALSE,AND(tblOrdenes[[#This Row],[backlog_dias]]&gt;p_dias_backlog_min,tblOrdenes[[#This Row],[backlog_dias]]&lt;=p_dias_backlog_max))</f>
        <v/>
      </c>
      <c r="AB394" s="6" t="n"/>
      <c r="AC3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4" s="10">
        <f>IF(tblOrdenes[[#This Row],[orden]]="","",_xlfn.XLOOKUP(tblOrdenes[[#This Row],[id_operacion]],tblEjecucion[id_operacion],tblEjecucion[precio],0))</f>
        <v/>
      </c>
      <c r="AG394" s="10">
        <f>IF(tblOrdenes[[#This Row],[orden]]="","",MAX(0,_xlfn.XLOOKUP(tblOrdenes[[#This Row],[id_operacion]],tblEjecucion[id_operacion],tblEjecucion[costo_plan_total],0)-tblOrdenes[[#This Row],[costo_servicio]]))</f>
        <v/>
      </c>
      <c r="AH394" s="10">
        <f>IF(tblOrdenes[[#This Row],[orden]]="","",tblOrdenes[[#This Row],[costo_servicio]]+tblOrdenes[[#This Row],[costo_materiales]])</f>
        <v/>
      </c>
      <c r="AI394" s="6" t="n"/>
      <c r="AJ394" s="6" t="n"/>
      <c r="AK394" s="6" t="n"/>
      <c r="AL394" s="3">
        <f>IF(tblOrdenes[[#This Row],[link_checklist]]="","",HYPERLINK(p_ruta_base_checklists&amp;tblOrdenes[[#This Row],[link_checklist]],"abrir"))</f>
        <v/>
      </c>
      <c r="AM394" s="6" t="n"/>
      <c r="AN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Row],[tipo_ot]]="","",_xlfn.XLOOKUP(tblOrdenes[[#This Row],[tipo_ot]],tblTiposOT[codigo],tblTiposOT[clasificacion],"sin_clasificar"))</f>
        <v/>
      </c>
      <c r="T395" s="3">
        <f>IF(tblOrdenes[[#This Row],[centro_costo]]="","",_xlfn.XLOOKUP(tblOrdenes[[#This Row],[centro_costo]],tblCECO[codigo],tblCECO[linea],"(sin catálogo)"))</f>
        <v/>
      </c>
      <c r="U395" s="3">
        <f>IF(tblOrdenes[[#This Row],[centro_costo]]="","",_xlfn.XLOOKUP(tblOrdenes[[#This Row],[centro_costo]],tblCECO[codigo],tblCECO[area],"(sin catálogo)"))</f>
        <v/>
      </c>
      <c r="V395" s="3">
        <f>IF(tblOrdenes[[#This Row],[centro_costo]]="","",_xlfn.XLOOKUP(tblOrdenes[[#This Row],[centro_costo]],tblCECO[codigo],tblCECO[coordinador],"(sin catálogo)"))</f>
        <v/>
      </c>
      <c r="W395" s="3">
        <f>IF(tblOrdenes[[#This Row],[puesto_trabajo]]="","",_xlfn.XLOOKUP(tblOrdenes[[#This Row],[puesto_trabajo]],tblPuestos[codigo],tblPuestos[especialidad],"(sin catálogo)"))</f>
        <v/>
      </c>
      <c r="X395" s="3">
        <f>IF(tblOrdenes[[#This Row],[cod_actividad]]="","",_xlfn.XLOOKUP(tblOrdenes[[#This Row],[cod_actividad]],tblActividades[codigo],tblActividades[descripcion],"(sin catálogo)"))</f>
        <v/>
      </c>
      <c r="Y395" s="12">
        <f>IF(tblOrdenes[[#This Row],[fecha_inicio]]="","",TODAY()-tblOrdenes[[#This Row],[fecha_inicio]])</f>
        <v/>
      </c>
      <c r="Z395" s="3">
        <f>IF(tblOrdenes[[#This Row],[backlog_dias]]="","",IF(tblOrdenes[[#This Row],[backlog_dias]]&lt;0,"FUTURO",IF(tblOrdenes[[#This Row],[backlog_dias]]&gt;p_dias_backlog_max,"BACKLOG","MES CORRIENTE")))</f>
        <v/>
      </c>
      <c r="AA395" s="3">
        <f>IF(tblOrdenes[[#This Row],[backlog_dias]]="",FALSE,AND(tblOrdenes[[#This Row],[backlog_dias]]&gt;p_dias_backlog_min,tblOrdenes[[#This Row],[backlog_dias]]&lt;=p_dias_backlog_max))</f>
        <v/>
      </c>
      <c r="AB395" s="6" t="n"/>
      <c r="AC3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5" s="10">
        <f>IF(tblOrdenes[[#This Row],[orden]]="","",_xlfn.XLOOKUP(tblOrdenes[[#This Row],[id_operacion]],tblEjecucion[id_operacion],tblEjecucion[precio],0))</f>
        <v/>
      </c>
      <c r="AG395" s="10">
        <f>IF(tblOrdenes[[#This Row],[orden]]="","",MAX(0,_xlfn.XLOOKUP(tblOrdenes[[#This Row],[id_operacion]],tblEjecucion[id_operacion],tblEjecucion[costo_plan_total],0)-tblOrdenes[[#This Row],[costo_servicio]]))</f>
        <v/>
      </c>
      <c r="AH395" s="10">
        <f>IF(tblOrdenes[[#This Row],[orden]]="","",tblOrdenes[[#This Row],[costo_servicio]]+tblOrdenes[[#This Row],[costo_materiales]])</f>
        <v/>
      </c>
      <c r="AI395" s="6" t="n"/>
      <c r="AJ395" s="6" t="n"/>
      <c r="AK395" s="6" t="n"/>
      <c r="AL395" s="3">
        <f>IF(tblOrdenes[[#This Row],[link_checklist]]="","",HYPERLINK(p_ruta_base_checklists&amp;tblOrdenes[[#This Row],[link_checklist]],"abrir"))</f>
        <v/>
      </c>
      <c r="AM395" s="6" t="n"/>
      <c r="AN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Row],[tipo_ot]]="","",_xlfn.XLOOKUP(tblOrdenes[[#This Row],[tipo_ot]],tblTiposOT[codigo],tblTiposOT[clasificacion],"sin_clasificar"))</f>
        <v/>
      </c>
      <c r="T396" s="3">
        <f>IF(tblOrdenes[[#This Row],[centro_costo]]="","",_xlfn.XLOOKUP(tblOrdenes[[#This Row],[centro_costo]],tblCECO[codigo],tblCECO[linea],"(sin catálogo)"))</f>
        <v/>
      </c>
      <c r="U396" s="3">
        <f>IF(tblOrdenes[[#This Row],[centro_costo]]="","",_xlfn.XLOOKUP(tblOrdenes[[#This Row],[centro_costo]],tblCECO[codigo],tblCECO[area],"(sin catálogo)"))</f>
        <v/>
      </c>
      <c r="V396" s="3">
        <f>IF(tblOrdenes[[#This Row],[centro_costo]]="","",_xlfn.XLOOKUP(tblOrdenes[[#This Row],[centro_costo]],tblCECO[codigo],tblCECO[coordinador],"(sin catálogo)"))</f>
        <v/>
      </c>
      <c r="W396" s="3">
        <f>IF(tblOrdenes[[#This Row],[puesto_trabajo]]="","",_xlfn.XLOOKUP(tblOrdenes[[#This Row],[puesto_trabajo]],tblPuestos[codigo],tblPuestos[especialidad],"(sin catálogo)"))</f>
        <v/>
      </c>
      <c r="X396" s="3">
        <f>IF(tblOrdenes[[#This Row],[cod_actividad]]="","",_xlfn.XLOOKUP(tblOrdenes[[#This Row],[cod_actividad]],tblActividades[codigo],tblActividades[descripcion],"(sin catálogo)"))</f>
        <v/>
      </c>
      <c r="Y396" s="12">
        <f>IF(tblOrdenes[[#This Row],[fecha_inicio]]="","",TODAY()-tblOrdenes[[#This Row],[fecha_inicio]])</f>
        <v/>
      </c>
      <c r="Z396" s="3">
        <f>IF(tblOrdenes[[#This Row],[backlog_dias]]="","",IF(tblOrdenes[[#This Row],[backlog_dias]]&lt;0,"FUTURO",IF(tblOrdenes[[#This Row],[backlog_dias]]&gt;p_dias_backlog_max,"BACKLOG","MES CORRIENTE")))</f>
        <v/>
      </c>
      <c r="AA396" s="3">
        <f>IF(tblOrdenes[[#This Row],[backlog_dias]]="",FALSE,AND(tblOrdenes[[#This Row],[backlog_dias]]&gt;p_dias_backlog_min,tblOrdenes[[#This Row],[backlog_dias]]&lt;=p_dias_backlog_max))</f>
        <v/>
      </c>
      <c r="AB396" s="6" t="n"/>
      <c r="AC3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6" s="10">
        <f>IF(tblOrdenes[[#This Row],[orden]]="","",_xlfn.XLOOKUP(tblOrdenes[[#This Row],[id_operacion]],tblEjecucion[id_operacion],tblEjecucion[precio],0))</f>
        <v/>
      </c>
      <c r="AG396" s="10">
        <f>IF(tblOrdenes[[#This Row],[orden]]="","",MAX(0,_xlfn.XLOOKUP(tblOrdenes[[#This Row],[id_operacion]],tblEjecucion[id_operacion],tblEjecucion[costo_plan_total],0)-tblOrdenes[[#This Row],[costo_servicio]]))</f>
        <v/>
      </c>
      <c r="AH396" s="10">
        <f>IF(tblOrdenes[[#This Row],[orden]]="","",tblOrdenes[[#This Row],[costo_servicio]]+tblOrdenes[[#This Row],[costo_materiales]])</f>
        <v/>
      </c>
      <c r="AI396" s="6" t="n"/>
      <c r="AJ396" s="6" t="n"/>
      <c r="AK396" s="6" t="n"/>
      <c r="AL396" s="3">
        <f>IF(tblOrdenes[[#This Row],[link_checklist]]="","",HYPERLINK(p_ruta_base_checklists&amp;tblOrdenes[[#This Row],[link_checklist]],"abrir"))</f>
        <v/>
      </c>
      <c r="AM396" s="6" t="n"/>
      <c r="AN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Row],[tipo_ot]]="","",_xlfn.XLOOKUP(tblOrdenes[[#This Row],[tipo_ot]],tblTiposOT[codigo],tblTiposOT[clasificacion],"sin_clasificar"))</f>
        <v/>
      </c>
      <c r="T397" s="3">
        <f>IF(tblOrdenes[[#This Row],[centro_costo]]="","",_xlfn.XLOOKUP(tblOrdenes[[#This Row],[centro_costo]],tblCECO[codigo],tblCECO[linea],"(sin catálogo)"))</f>
        <v/>
      </c>
      <c r="U397" s="3">
        <f>IF(tblOrdenes[[#This Row],[centro_costo]]="","",_xlfn.XLOOKUP(tblOrdenes[[#This Row],[centro_costo]],tblCECO[codigo],tblCECO[area],"(sin catálogo)"))</f>
        <v/>
      </c>
      <c r="V397" s="3">
        <f>IF(tblOrdenes[[#This Row],[centro_costo]]="","",_xlfn.XLOOKUP(tblOrdenes[[#This Row],[centro_costo]],tblCECO[codigo],tblCECO[coordinador],"(sin catálogo)"))</f>
        <v/>
      </c>
      <c r="W397" s="3">
        <f>IF(tblOrdenes[[#This Row],[puesto_trabajo]]="","",_xlfn.XLOOKUP(tblOrdenes[[#This Row],[puesto_trabajo]],tblPuestos[codigo],tblPuestos[especialidad],"(sin catálogo)"))</f>
        <v/>
      </c>
      <c r="X397" s="3">
        <f>IF(tblOrdenes[[#This Row],[cod_actividad]]="","",_xlfn.XLOOKUP(tblOrdenes[[#This Row],[cod_actividad]],tblActividades[codigo],tblActividades[descripcion],"(sin catálogo)"))</f>
        <v/>
      </c>
      <c r="Y397" s="12">
        <f>IF(tblOrdenes[[#This Row],[fecha_inicio]]="","",TODAY()-tblOrdenes[[#This Row],[fecha_inicio]])</f>
        <v/>
      </c>
      <c r="Z397" s="3">
        <f>IF(tblOrdenes[[#This Row],[backlog_dias]]="","",IF(tblOrdenes[[#This Row],[backlog_dias]]&lt;0,"FUTURO",IF(tblOrdenes[[#This Row],[backlog_dias]]&gt;p_dias_backlog_max,"BACKLOG","MES CORRIENTE")))</f>
        <v/>
      </c>
      <c r="AA397" s="3">
        <f>IF(tblOrdenes[[#This Row],[backlog_dias]]="",FALSE,AND(tblOrdenes[[#This Row],[backlog_dias]]&gt;p_dias_backlog_min,tblOrdenes[[#This Row],[backlog_dias]]&lt;=p_dias_backlog_max))</f>
        <v/>
      </c>
      <c r="AB397" s="6" t="n"/>
      <c r="AC3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7" s="10">
        <f>IF(tblOrdenes[[#This Row],[orden]]="","",_xlfn.XLOOKUP(tblOrdenes[[#This Row],[id_operacion]],tblEjecucion[id_operacion],tblEjecucion[precio],0))</f>
        <v/>
      </c>
      <c r="AG397" s="10">
        <f>IF(tblOrdenes[[#This Row],[orden]]="","",MAX(0,_xlfn.XLOOKUP(tblOrdenes[[#This Row],[id_operacion]],tblEjecucion[id_operacion],tblEjecucion[costo_plan_total],0)-tblOrdenes[[#This Row],[costo_servicio]]))</f>
        <v/>
      </c>
      <c r="AH397" s="10">
        <f>IF(tblOrdenes[[#This Row],[orden]]="","",tblOrdenes[[#This Row],[costo_servicio]]+tblOrdenes[[#This Row],[costo_materiales]])</f>
        <v/>
      </c>
      <c r="AI397" s="6" t="n"/>
      <c r="AJ397" s="6" t="n"/>
      <c r="AK397" s="6" t="n"/>
      <c r="AL397" s="3">
        <f>IF(tblOrdenes[[#This Row],[link_checklist]]="","",HYPERLINK(p_ruta_base_checklists&amp;tblOrdenes[[#This Row],[link_checklist]],"abrir"))</f>
        <v/>
      </c>
      <c r="AM397" s="6" t="n"/>
      <c r="AN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Row],[tipo_ot]]="","",_xlfn.XLOOKUP(tblOrdenes[[#This Row],[tipo_ot]],tblTiposOT[codigo],tblTiposOT[clasificacion],"sin_clasificar"))</f>
        <v/>
      </c>
      <c r="T398" s="3">
        <f>IF(tblOrdenes[[#This Row],[centro_costo]]="","",_xlfn.XLOOKUP(tblOrdenes[[#This Row],[centro_costo]],tblCECO[codigo],tblCECO[linea],"(sin catálogo)"))</f>
        <v/>
      </c>
      <c r="U398" s="3">
        <f>IF(tblOrdenes[[#This Row],[centro_costo]]="","",_xlfn.XLOOKUP(tblOrdenes[[#This Row],[centro_costo]],tblCECO[codigo],tblCECO[area],"(sin catálogo)"))</f>
        <v/>
      </c>
      <c r="V398" s="3">
        <f>IF(tblOrdenes[[#This Row],[centro_costo]]="","",_xlfn.XLOOKUP(tblOrdenes[[#This Row],[centro_costo]],tblCECO[codigo],tblCECO[coordinador],"(sin catálogo)"))</f>
        <v/>
      </c>
      <c r="W398" s="3">
        <f>IF(tblOrdenes[[#This Row],[puesto_trabajo]]="","",_xlfn.XLOOKUP(tblOrdenes[[#This Row],[puesto_trabajo]],tblPuestos[codigo],tblPuestos[especialidad],"(sin catálogo)"))</f>
        <v/>
      </c>
      <c r="X398" s="3">
        <f>IF(tblOrdenes[[#This Row],[cod_actividad]]="","",_xlfn.XLOOKUP(tblOrdenes[[#This Row],[cod_actividad]],tblActividades[codigo],tblActividades[descripcion],"(sin catálogo)"))</f>
        <v/>
      </c>
      <c r="Y398" s="12">
        <f>IF(tblOrdenes[[#This Row],[fecha_inicio]]="","",TODAY()-tblOrdenes[[#This Row],[fecha_inicio]])</f>
        <v/>
      </c>
      <c r="Z398" s="3">
        <f>IF(tblOrdenes[[#This Row],[backlog_dias]]="","",IF(tblOrdenes[[#This Row],[backlog_dias]]&lt;0,"FUTURO",IF(tblOrdenes[[#This Row],[backlog_dias]]&gt;p_dias_backlog_max,"BACKLOG","MES CORRIENTE")))</f>
        <v/>
      </c>
      <c r="AA398" s="3">
        <f>IF(tblOrdenes[[#This Row],[backlog_dias]]="",FALSE,AND(tblOrdenes[[#This Row],[backlog_dias]]&gt;p_dias_backlog_min,tblOrdenes[[#This Row],[backlog_dias]]&lt;=p_dias_backlog_max))</f>
        <v/>
      </c>
      <c r="AB398" s="6" t="n"/>
      <c r="AC3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8" s="10">
        <f>IF(tblOrdenes[[#This Row],[orden]]="","",_xlfn.XLOOKUP(tblOrdenes[[#This Row],[id_operacion]],tblEjecucion[id_operacion],tblEjecucion[precio],0))</f>
        <v/>
      </c>
      <c r="AG398" s="10">
        <f>IF(tblOrdenes[[#This Row],[orden]]="","",MAX(0,_xlfn.XLOOKUP(tblOrdenes[[#This Row],[id_operacion]],tblEjecucion[id_operacion],tblEjecucion[costo_plan_total],0)-tblOrdenes[[#This Row],[costo_servicio]]))</f>
        <v/>
      </c>
      <c r="AH398" s="10">
        <f>IF(tblOrdenes[[#This Row],[orden]]="","",tblOrdenes[[#This Row],[costo_servicio]]+tblOrdenes[[#This Row],[costo_materiales]])</f>
        <v/>
      </c>
      <c r="AI398" s="6" t="n"/>
      <c r="AJ398" s="6" t="n"/>
      <c r="AK398" s="6" t="n"/>
      <c r="AL398" s="3">
        <f>IF(tblOrdenes[[#This Row],[link_checklist]]="","",HYPERLINK(p_ruta_base_checklists&amp;tblOrdenes[[#This Row],[link_checklist]],"abrir"))</f>
        <v/>
      </c>
      <c r="AM398" s="6" t="n"/>
      <c r="AN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Row],[tipo_ot]]="","",_xlfn.XLOOKUP(tblOrdenes[[#This Row],[tipo_ot]],tblTiposOT[codigo],tblTiposOT[clasificacion],"sin_clasificar"))</f>
        <v/>
      </c>
      <c r="T399" s="3">
        <f>IF(tblOrdenes[[#This Row],[centro_costo]]="","",_xlfn.XLOOKUP(tblOrdenes[[#This Row],[centro_costo]],tblCECO[codigo],tblCECO[linea],"(sin catálogo)"))</f>
        <v/>
      </c>
      <c r="U399" s="3">
        <f>IF(tblOrdenes[[#This Row],[centro_costo]]="","",_xlfn.XLOOKUP(tblOrdenes[[#This Row],[centro_costo]],tblCECO[codigo],tblCECO[area],"(sin catálogo)"))</f>
        <v/>
      </c>
      <c r="V399" s="3">
        <f>IF(tblOrdenes[[#This Row],[centro_costo]]="","",_xlfn.XLOOKUP(tblOrdenes[[#This Row],[centro_costo]],tblCECO[codigo],tblCECO[coordinador],"(sin catálogo)"))</f>
        <v/>
      </c>
      <c r="W399" s="3">
        <f>IF(tblOrdenes[[#This Row],[puesto_trabajo]]="","",_xlfn.XLOOKUP(tblOrdenes[[#This Row],[puesto_trabajo]],tblPuestos[codigo],tblPuestos[especialidad],"(sin catálogo)"))</f>
        <v/>
      </c>
      <c r="X399" s="3">
        <f>IF(tblOrdenes[[#This Row],[cod_actividad]]="","",_xlfn.XLOOKUP(tblOrdenes[[#This Row],[cod_actividad]],tblActividades[codigo],tblActividades[descripcion],"(sin catálogo)"))</f>
        <v/>
      </c>
      <c r="Y399" s="12">
        <f>IF(tblOrdenes[[#This Row],[fecha_inicio]]="","",TODAY()-tblOrdenes[[#This Row],[fecha_inicio]])</f>
        <v/>
      </c>
      <c r="Z399" s="3">
        <f>IF(tblOrdenes[[#This Row],[backlog_dias]]="","",IF(tblOrdenes[[#This Row],[backlog_dias]]&lt;0,"FUTURO",IF(tblOrdenes[[#This Row],[backlog_dias]]&gt;p_dias_backlog_max,"BACKLOG","MES CORRIENTE")))</f>
        <v/>
      </c>
      <c r="AA399" s="3">
        <f>IF(tblOrdenes[[#This Row],[backlog_dias]]="",FALSE,AND(tblOrdenes[[#This Row],[backlog_dias]]&gt;p_dias_backlog_min,tblOrdenes[[#This Row],[backlog_dias]]&lt;=p_dias_backlog_max))</f>
        <v/>
      </c>
      <c r="AB399" s="6" t="n"/>
      <c r="AC3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9" s="10">
        <f>IF(tblOrdenes[[#This Row],[orden]]="","",_xlfn.XLOOKUP(tblOrdenes[[#This Row],[id_operacion]],tblEjecucion[id_operacion],tblEjecucion[precio],0))</f>
        <v/>
      </c>
      <c r="AG399" s="10">
        <f>IF(tblOrdenes[[#This Row],[orden]]="","",MAX(0,_xlfn.XLOOKUP(tblOrdenes[[#This Row],[id_operacion]],tblEjecucion[id_operacion],tblEjecucion[costo_plan_total],0)-tblOrdenes[[#This Row],[costo_servicio]]))</f>
        <v/>
      </c>
      <c r="AH399" s="10">
        <f>IF(tblOrdenes[[#This Row],[orden]]="","",tblOrdenes[[#This Row],[costo_servicio]]+tblOrdenes[[#This Row],[costo_materiales]])</f>
        <v/>
      </c>
      <c r="AI399" s="6" t="n"/>
      <c r="AJ399" s="6" t="n"/>
      <c r="AK399" s="6" t="n"/>
      <c r="AL399" s="3">
        <f>IF(tblOrdenes[[#This Row],[link_checklist]]="","",HYPERLINK(p_ruta_base_checklists&amp;tblOrdenes[[#This Row],[link_checklist]],"abrir"))</f>
        <v/>
      </c>
      <c r="AM399" s="6" t="n"/>
      <c r="AN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Row],[tipo_ot]]="","",_xlfn.XLOOKUP(tblOrdenes[[#This Row],[tipo_ot]],tblTiposOT[codigo],tblTiposOT[clasificacion],"sin_clasificar"))</f>
        <v/>
      </c>
      <c r="T400" s="3">
        <f>IF(tblOrdenes[[#This Row],[centro_costo]]="","",_xlfn.XLOOKUP(tblOrdenes[[#This Row],[centro_costo]],tblCECO[codigo],tblCECO[linea],"(sin catálogo)"))</f>
        <v/>
      </c>
      <c r="U400" s="3">
        <f>IF(tblOrdenes[[#This Row],[centro_costo]]="","",_xlfn.XLOOKUP(tblOrdenes[[#This Row],[centro_costo]],tblCECO[codigo],tblCECO[area],"(sin catálogo)"))</f>
        <v/>
      </c>
      <c r="V400" s="3">
        <f>IF(tblOrdenes[[#This Row],[centro_costo]]="","",_xlfn.XLOOKUP(tblOrdenes[[#This Row],[centro_costo]],tblCECO[codigo],tblCECO[coordinador],"(sin catálogo)"))</f>
        <v/>
      </c>
      <c r="W400" s="3">
        <f>IF(tblOrdenes[[#This Row],[puesto_trabajo]]="","",_xlfn.XLOOKUP(tblOrdenes[[#This Row],[puesto_trabajo]],tblPuestos[codigo],tblPuestos[especialidad],"(sin catálogo)"))</f>
        <v/>
      </c>
      <c r="X400" s="3">
        <f>IF(tblOrdenes[[#This Row],[cod_actividad]]="","",_xlfn.XLOOKUP(tblOrdenes[[#This Row],[cod_actividad]],tblActividades[codigo],tblActividades[descripcion],"(sin catálogo)"))</f>
        <v/>
      </c>
      <c r="Y400" s="12">
        <f>IF(tblOrdenes[[#This Row],[fecha_inicio]]="","",TODAY()-tblOrdenes[[#This Row],[fecha_inicio]])</f>
        <v/>
      </c>
      <c r="Z400" s="3">
        <f>IF(tblOrdenes[[#This Row],[backlog_dias]]="","",IF(tblOrdenes[[#This Row],[backlog_dias]]&lt;0,"FUTURO",IF(tblOrdenes[[#This Row],[backlog_dias]]&gt;p_dias_backlog_max,"BACKLOG","MES CORRIENTE")))</f>
        <v/>
      </c>
      <c r="AA400" s="3">
        <f>IF(tblOrdenes[[#This Row],[backlog_dias]]="",FALSE,AND(tblOrdenes[[#This Row],[backlog_dias]]&gt;p_dias_backlog_min,tblOrdenes[[#This Row],[backlog_dias]]&lt;=p_dias_backlog_max))</f>
        <v/>
      </c>
      <c r="AB400" s="6" t="n"/>
      <c r="AC4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0" s="10">
        <f>IF(tblOrdenes[[#This Row],[orden]]="","",_xlfn.XLOOKUP(tblOrdenes[[#This Row],[id_operacion]],tblEjecucion[id_operacion],tblEjecucion[precio],0))</f>
        <v/>
      </c>
      <c r="AG400" s="10">
        <f>IF(tblOrdenes[[#This Row],[orden]]="","",MAX(0,_xlfn.XLOOKUP(tblOrdenes[[#This Row],[id_operacion]],tblEjecucion[id_operacion],tblEjecucion[costo_plan_total],0)-tblOrdenes[[#This Row],[costo_servicio]]))</f>
        <v/>
      </c>
      <c r="AH400" s="10">
        <f>IF(tblOrdenes[[#This Row],[orden]]="","",tblOrdenes[[#This Row],[costo_servicio]]+tblOrdenes[[#This Row],[costo_materiales]])</f>
        <v/>
      </c>
      <c r="AI400" s="6" t="n"/>
      <c r="AJ400" s="6" t="n"/>
      <c r="AK400" s="6" t="n"/>
      <c r="AL400" s="3">
        <f>IF(tblOrdenes[[#This Row],[link_checklist]]="","",HYPERLINK(p_ruta_base_checklists&amp;tblOrdenes[[#This Row],[link_checklist]],"abrir"))</f>
        <v/>
      </c>
      <c r="AM400" s="6" t="n"/>
      <c r="AN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Row],[tipo_ot]]="","",_xlfn.XLOOKUP(tblOrdenes[[#This Row],[tipo_ot]],tblTiposOT[codigo],tblTiposOT[clasificacion],"sin_clasificar"))</f>
        <v/>
      </c>
      <c r="T401" s="3">
        <f>IF(tblOrdenes[[#This Row],[centro_costo]]="","",_xlfn.XLOOKUP(tblOrdenes[[#This Row],[centro_costo]],tblCECO[codigo],tblCECO[linea],"(sin catálogo)"))</f>
        <v/>
      </c>
      <c r="U401" s="3">
        <f>IF(tblOrdenes[[#This Row],[centro_costo]]="","",_xlfn.XLOOKUP(tblOrdenes[[#This Row],[centro_costo]],tblCECO[codigo],tblCECO[area],"(sin catálogo)"))</f>
        <v/>
      </c>
      <c r="V401" s="3">
        <f>IF(tblOrdenes[[#This Row],[centro_costo]]="","",_xlfn.XLOOKUP(tblOrdenes[[#This Row],[centro_costo]],tblCECO[codigo],tblCECO[coordinador],"(sin catálogo)"))</f>
        <v/>
      </c>
      <c r="W401" s="3">
        <f>IF(tblOrdenes[[#This Row],[puesto_trabajo]]="","",_xlfn.XLOOKUP(tblOrdenes[[#This Row],[puesto_trabajo]],tblPuestos[codigo],tblPuestos[especialidad],"(sin catálogo)"))</f>
        <v/>
      </c>
      <c r="X401" s="3">
        <f>IF(tblOrdenes[[#This Row],[cod_actividad]]="","",_xlfn.XLOOKUP(tblOrdenes[[#This Row],[cod_actividad]],tblActividades[codigo],tblActividades[descripcion],"(sin catálogo)"))</f>
        <v/>
      </c>
      <c r="Y401" s="12">
        <f>IF(tblOrdenes[[#This Row],[fecha_inicio]]="","",TODAY()-tblOrdenes[[#This Row],[fecha_inicio]])</f>
        <v/>
      </c>
      <c r="Z401" s="3">
        <f>IF(tblOrdenes[[#This Row],[backlog_dias]]="","",IF(tblOrdenes[[#This Row],[backlog_dias]]&lt;0,"FUTURO",IF(tblOrdenes[[#This Row],[backlog_dias]]&gt;p_dias_backlog_max,"BACKLOG","MES CORRIENTE")))</f>
        <v/>
      </c>
      <c r="AA401" s="3">
        <f>IF(tblOrdenes[[#This Row],[backlog_dias]]="",FALSE,AND(tblOrdenes[[#This Row],[backlog_dias]]&gt;p_dias_backlog_min,tblOrdenes[[#This Row],[backlog_dias]]&lt;=p_dias_backlog_max))</f>
        <v/>
      </c>
      <c r="AB401" s="6" t="n"/>
      <c r="AC4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1" s="10">
        <f>IF(tblOrdenes[[#This Row],[orden]]="","",_xlfn.XLOOKUP(tblOrdenes[[#This Row],[id_operacion]],tblEjecucion[id_operacion],tblEjecucion[precio],0))</f>
        <v/>
      </c>
      <c r="AG401" s="10">
        <f>IF(tblOrdenes[[#This Row],[orden]]="","",MAX(0,_xlfn.XLOOKUP(tblOrdenes[[#This Row],[id_operacion]],tblEjecucion[id_operacion],tblEjecucion[costo_plan_total],0)-tblOrdenes[[#This Row],[costo_servicio]]))</f>
        <v/>
      </c>
      <c r="AH401" s="10">
        <f>IF(tblOrdenes[[#This Row],[orden]]="","",tblOrdenes[[#This Row],[costo_servicio]]+tblOrdenes[[#This Row],[costo_materiales]])</f>
        <v/>
      </c>
      <c r="AI401" s="6" t="n"/>
      <c r="AJ401" s="6" t="n"/>
      <c r="AK401" s="6" t="n"/>
      <c r="AL401" s="3">
        <f>IF(tblOrdenes[[#This Row],[link_checklist]]="","",HYPERLINK(p_ruta_base_checklists&amp;tblOrdenes[[#This Row],[link_checklist]],"abrir"))</f>
        <v/>
      </c>
      <c r="AM401" s="6" t="n"/>
      <c r="AN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Row],[tipo_ot]]="","",_xlfn.XLOOKUP(tblOrdenes[[#This Row],[tipo_ot]],tblTiposOT[codigo],tblTiposOT[clasificacion],"sin_clasificar"))</f>
        <v/>
      </c>
      <c r="T402" s="3">
        <f>IF(tblOrdenes[[#This Row],[centro_costo]]="","",_xlfn.XLOOKUP(tblOrdenes[[#This Row],[centro_costo]],tblCECO[codigo],tblCECO[linea],"(sin catálogo)"))</f>
        <v/>
      </c>
      <c r="U402" s="3">
        <f>IF(tblOrdenes[[#This Row],[centro_costo]]="","",_xlfn.XLOOKUP(tblOrdenes[[#This Row],[centro_costo]],tblCECO[codigo],tblCECO[area],"(sin catálogo)"))</f>
        <v/>
      </c>
      <c r="V402" s="3">
        <f>IF(tblOrdenes[[#This Row],[centro_costo]]="","",_xlfn.XLOOKUP(tblOrdenes[[#This Row],[centro_costo]],tblCECO[codigo],tblCECO[coordinador],"(sin catálogo)"))</f>
        <v/>
      </c>
      <c r="W402" s="3">
        <f>IF(tblOrdenes[[#This Row],[puesto_trabajo]]="","",_xlfn.XLOOKUP(tblOrdenes[[#This Row],[puesto_trabajo]],tblPuestos[codigo],tblPuestos[especialidad],"(sin catálogo)"))</f>
        <v/>
      </c>
      <c r="X402" s="3">
        <f>IF(tblOrdenes[[#This Row],[cod_actividad]]="","",_xlfn.XLOOKUP(tblOrdenes[[#This Row],[cod_actividad]],tblActividades[codigo],tblActividades[descripcion],"(sin catálogo)"))</f>
        <v/>
      </c>
      <c r="Y402" s="12">
        <f>IF(tblOrdenes[[#This Row],[fecha_inicio]]="","",TODAY()-tblOrdenes[[#This Row],[fecha_inicio]])</f>
        <v/>
      </c>
      <c r="Z402" s="3">
        <f>IF(tblOrdenes[[#This Row],[backlog_dias]]="","",IF(tblOrdenes[[#This Row],[backlog_dias]]&lt;0,"FUTURO",IF(tblOrdenes[[#This Row],[backlog_dias]]&gt;p_dias_backlog_max,"BACKLOG","MES CORRIENTE")))</f>
        <v/>
      </c>
      <c r="AA402" s="3">
        <f>IF(tblOrdenes[[#This Row],[backlog_dias]]="",FALSE,AND(tblOrdenes[[#This Row],[backlog_dias]]&gt;p_dias_backlog_min,tblOrdenes[[#This Row],[backlog_dias]]&lt;=p_dias_backlog_max))</f>
        <v/>
      </c>
      <c r="AB402" s="6" t="n"/>
      <c r="AC4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2" s="10">
        <f>IF(tblOrdenes[[#This Row],[orden]]="","",_xlfn.XLOOKUP(tblOrdenes[[#This Row],[id_operacion]],tblEjecucion[id_operacion],tblEjecucion[precio],0))</f>
        <v/>
      </c>
      <c r="AG402" s="10">
        <f>IF(tblOrdenes[[#This Row],[orden]]="","",MAX(0,_xlfn.XLOOKUP(tblOrdenes[[#This Row],[id_operacion]],tblEjecucion[id_operacion],tblEjecucion[costo_plan_total],0)-tblOrdenes[[#This Row],[costo_servicio]]))</f>
        <v/>
      </c>
      <c r="AH402" s="10">
        <f>IF(tblOrdenes[[#This Row],[orden]]="","",tblOrdenes[[#This Row],[costo_servicio]]+tblOrdenes[[#This Row],[costo_materiales]])</f>
        <v/>
      </c>
      <c r="AI402" s="6" t="n"/>
      <c r="AJ402" s="6" t="n"/>
      <c r="AK402" s="6" t="n"/>
      <c r="AL402" s="3">
        <f>IF(tblOrdenes[[#This Row],[link_checklist]]="","",HYPERLINK(p_ruta_base_checklists&amp;tblOrdenes[[#This Row],[link_checklist]],"abrir"))</f>
        <v/>
      </c>
      <c r="AM402" s="6" t="n"/>
      <c r="AN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Row],[tipo_ot]]="","",_xlfn.XLOOKUP(tblOrdenes[[#This Row],[tipo_ot]],tblTiposOT[codigo],tblTiposOT[clasificacion],"sin_clasificar"))</f>
        <v/>
      </c>
      <c r="T403" s="3">
        <f>IF(tblOrdenes[[#This Row],[centro_costo]]="","",_xlfn.XLOOKUP(tblOrdenes[[#This Row],[centro_costo]],tblCECO[codigo],tblCECO[linea],"(sin catálogo)"))</f>
        <v/>
      </c>
      <c r="U403" s="3">
        <f>IF(tblOrdenes[[#This Row],[centro_costo]]="","",_xlfn.XLOOKUP(tblOrdenes[[#This Row],[centro_costo]],tblCECO[codigo],tblCECO[area],"(sin catálogo)"))</f>
        <v/>
      </c>
      <c r="V403" s="3">
        <f>IF(tblOrdenes[[#This Row],[centro_costo]]="","",_xlfn.XLOOKUP(tblOrdenes[[#This Row],[centro_costo]],tblCECO[codigo],tblCECO[coordinador],"(sin catálogo)"))</f>
        <v/>
      </c>
      <c r="W403" s="3">
        <f>IF(tblOrdenes[[#This Row],[puesto_trabajo]]="","",_xlfn.XLOOKUP(tblOrdenes[[#This Row],[puesto_trabajo]],tblPuestos[codigo],tblPuestos[especialidad],"(sin catálogo)"))</f>
        <v/>
      </c>
      <c r="X403" s="3">
        <f>IF(tblOrdenes[[#This Row],[cod_actividad]]="","",_xlfn.XLOOKUP(tblOrdenes[[#This Row],[cod_actividad]],tblActividades[codigo],tblActividades[descripcion],"(sin catálogo)"))</f>
        <v/>
      </c>
      <c r="Y403" s="12">
        <f>IF(tblOrdenes[[#This Row],[fecha_inicio]]="","",TODAY()-tblOrdenes[[#This Row],[fecha_inicio]])</f>
        <v/>
      </c>
      <c r="Z403" s="3">
        <f>IF(tblOrdenes[[#This Row],[backlog_dias]]="","",IF(tblOrdenes[[#This Row],[backlog_dias]]&lt;0,"FUTURO",IF(tblOrdenes[[#This Row],[backlog_dias]]&gt;p_dias_backlog_max,"BACKLOG","MES CORRIENTE")))</f>
        <v/>
      </c>
      <c r="AA403" s="3">
        <f>IF(tblOrdenes[[#This Row],[backlog_dias]]="",FALSE,AND(tblOrdenes[[#This Row],[backlog_dias]]&gt;p_dias_backlog_min,tblOrdenes[[#This Row],[backlog_dias]]&lt;=p_dias_backlog_max))</f>
        <v/>
      </c>
      <c r="AB403" s="6" t="n"/>
      <c r="AC4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3" s="10">
        <f>IF(tblOrdenes[[#This Row],[orden]]="","",_xlfn.XLOOKUP(tblOrdenes[[#This Row],[id_operacion]],tblEjecucion[id_operacion],tblEjecucion[precio],0))</f>
        <v/>
      </c>
      <c r="AG403" s="10">
        <f>IF(tblOrdenes[[#This Row],[orden]]="","",MAX(0,_xlfn.XLOOKUP(tblOrdenes[[#This Row],[id_operacion]],tblEjecucion[id_operacion],tblEjecucion[costo_plan_total],0)-tblOrdenes[[#This Row],[costo_servicio]]))</f>
        <v/>
      </c>
      <c r="AH403" s="10">
        <f>IF(tblOrdenes[[#This Row],[orden]]="","",tblOrdenes[[#This Row],[costo_servicio]]+tblOrdenes[[#This Row],[costo_materiales]])</f>
        <v/>
      </c>
      <c r="AI403" s="6" t="n"/>
      <c r="AJ403" s="6" t="n"/>
      <c r="AK403" s="6" t="n"/>
      <c r="AL403" s="3">
        <f>IF(tblOrdenes[[#This Row],[link_checklist]]="","",HYPERLINK(p_ruta_base_checklists&amp;tblOrdenes[[#This Row],[link_checklist]],"abrir"))</f>
        <v/>
      </c>
      <c r="AM403" s="6" t="n"/>
      <c r="AN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Row],[tipo_ot]]="","",_xlfn.XLOOKUP(tblOrdenes[[#This Row],[tipo_ot]],tblTiposOT[codigo],tblTiposOT[clasificacion],"sin_clasificar"))</f>
        <v/>
      </c>
      <c r="T404" s="3">
        <f>IF(tblOrdenes[[#This Row],[centro_costo]]="","",_xlfn.XLOOKUP(tblOrdenes[[#This Row],[centro_costo]],tblCECO[codigo],tblCECO[linea],"(sin catálogo)"))</f>
        <v/>
      </c>
      <c r="U404" s="3">
        <f>IF(tblOrdenes[[#This Row],[centro_costo]]="","",_xlfn.XLOOKUP(tblOrdenes[[#This Row],[centro_costo]],tblCECO[codigo],tblCECO[area],"(sin catálogo)"))</f>
        <v/>
      </c>
      <c r="V404" s="3">
        <f>IF(tblOrdenes[[#This Row],[centro_costo]]="","",_xlfn.XLOOKUP(tblOrdenes[[#This Row],[centro_costo]],tblCECO[codigo],tblCECO[coordinador],"(sin catálogo)"))</f>
        <v/>
      </c>
      <c r="W404" s="3">
        <f>IF(tblOrdenes[[#This Row],[puesto_trabajo]]="","",_xlfn.XLOOKUP(tblOrdenes[[#This Row],[puesto_trabajo]],tblPuestos[codigo],tblPuestos[especialidad],"(sin catálogo)"))</f>
        <v/>
      </c>
      <c r="X404" s="3">
        <f>IF(tblOrdenes[[#This Row],[cod_actividad]]="","",_xlfn.XLOOKUP(tblOrdenes[[#This Row],[cod_actividad]],tblActividades[codigo],tblActividades[descripcion],"(sin catálogo)"))</f>
        <v/>
      </c>
      <c r="Y404" s="12">
        <f>IF(tblOrdenes[[#This Row],[fecha_inicio]]="","",TODAY()-tblOrdenes[[#This Row],[fecha_inicio]])</f>
        <v/>
      </c>
      <c r="Z404" s="3">
        <f>IF(tblOrdenes[[#This Row],[backlog_dias]]="","",IF(tblOrdenes[[#This Row],[backlog_dias]]&lt;0,"FUTURO",IF(tblOrdenes[[#This Row],[backlog_dias]]&gt;p_dias_backlog_max,"BACKLOG","MES CORRIENTE")))</f>
        <v/>
      </c>
      <c r="AA404" s="3">
        <f>IF(tblOrdenes[[#This Row],[backlog_dias]]="",FALSE,AND(tblOrdenes[[#This Row],[backlog_dias]]&gt;p_dias_backlog_min,tblOrdenes[[#This Row],[backlog_dias]]&lt;=p_dias_backlog_max))</f>
        <v/>
      </c>
      <c r="AB404" s="6" t="n"/>
      <c r="AC4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4" s="10">
        <f>IF(tblOrdenes[[#This Row],[orden]]="","",_xlfn.XLOOKUP(tblOrdenes[[#This Row],[id_operacion]],tblEjecucion[id_operacion],tblEjecucion[precio],0))</f>
        <v/>
      </c>
      <c r="AG404" s="10">
        <f>IF(tblOrdenes[[#This Row],[orden]]="","",MAX(0,_xlfn.XLOOKUP(tblOrdenes[[#This Row],[id_operacion]],tblEjecucion[id_operacion],tblEjecucion[costo_plan_total],0)-tblOrdenes[[#This Row],[costo_servicio]]))</f>
        <v/>
      </c>
      <c r="AH404" s="10">
        <f>IF(tblOrdenes[[#This Row],[orden]]="","",tblOrdenes[[#This Row],[costo_servicio]]+tblOrdenes[[#This Row],[costo_materiales]])</f>
        <v/>
      </c>
      <c r="AI404" s="6" t="n"/>
      <c r="AJ404" s="6" t="n"/>
      <c r="AK404" s="6" t="n"/>
      <c r="AL404" s="3">
        <f>IF(tblOrdenes[[#This Row],[link_checklist]]="","",HYPERLINK(p_ruta_base_checklists&amp;tblOrdenes[[#This Row],[link_checklist]],"abrir"))</f>
        <v/>
      </c>
      <c r="AM404" s="6" t="n"/>
      <c r="AN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Row],[tipo_ot]]="","",_xlfn.XLOOKUP(tblOrdenes[[#This Row],[tipo_ot]],tblTiposOT[codigo],tblTiposOT[clasificacion],"sin_clasificar"))</f>
        <v/>
      </c>
      <c r="T405" s="3">
        <f>IF(tblOrdenes[[#This Row],[centro_costo]]="","",_xlfn.XLOOKUP(tblOrdenes[[#This Row],[centro_costo]],tblCECO[codigo],tblCECO[linea],"(sin catálogo)"))</f>
        <v/>
      </c>
      <c r="U405" s="3">
        <f>IF(tblOrdenes[[#This Row],[centro_costo]]="","",_xlfn.XLOOKUP(tblOrdenes[[#This Row],[centro_costo]],tblCECO[codigo],tblCECO[area],"(sin catálogo)"))</f>
        <v/>
      </c>
      <c r="V405" s="3">
        <f>IF(tblOrdenes[[#This Row],[centro_costo]]="","",_xlfn.XLOOKUP(tblOrdenes[[#This Row],[centro_costo]],tblCECO[codigo],tblCECO[coordinador],"(sin catálogo)"))</f>
        <v/>
      </c>
      <c r="W405" s="3">
        <f>IF(tblOrdenes[[#This Row],[puesto_trabajo]]="","",_xlfn.XLOOKUP(tblOrdenes[[#This Row],[puesto_trabajo]],tblPuestos[codigo],tblPuestos[especialidad],"(sin catálogo)"))</f>
        <v/>
      </c>
      <c r="X405" s="3">
        <f>IF(tblOrdenes[[#This Row],[cod_actividad]]="","",_xlfn.XLOOKUP(tblOrdenes[[#This Row],[cod_actividad]],tblActividades[codigo],tblActividades[descripcion],"(sin catálogo)"))</f>
        <v/>
      </c>
      <c r="Y405" s="12">
        <f>IF(tblOrdenes[[#This Row],[fecha_inicio]]="","",TODAY()-tblOrdenes[[#This Row],[fecha_inicio]])</f>
        <v/>
      </c>
      <c r="Z405" s="3">
        <f>IF(tblOrdenes[[#This Row],[backlog_dias]]="","",IF(tblOrdenes[[#This Row],[backlog_dias]]&lt;0,"FUTURO",IF(tblOrdenes[[#This Row],[backlog_dias]]&gt;p_dias_backlog_max,"BACKLOG","MES CORRIENTE")))</f>
        <v/>
      </c>
      <c r="AA405" s="3">
        <f>IF(tblOrdenes[[#This Row],[backlog_dias]]="",FALSE,AND(tblOrdenes[[#This Row],[backlog_dias]]&gt;p_dias_backlog_min,tblOrdenes[[#This Row],[backlog_dias]]&lt;=p_dias_backlog_max))</f>
        <v/>
      </c>
      <c r="AB405" s="6" t="n"/>
      <c r="AC4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5" s="10">
        <f>IF(tblOrdenes[[#This Row],[orden]]="","",_xlfn.XLOOKUP(tblOrdenes[[#This Row],[id_operacion]],tblEjecucion[id_operacion],tblEjecucion[precio],0))</f>
        <v/>
      </c>
      <c r="AG405" s="10">
        <f>IF(tblOrdenes[[#This Row],[orden]]="","",MAX(0,_xlfn.XLOOKUP(tblOrdenes[[#This Row],[id_operacion]],tblEjecucion[id_operacion],tblEjecucion[costo_plan_total],0)-tblOrdenes[[#This Row],[costo_servicio]]))</f>
        <v/>
      </c>
      <c r="AH405" s="10">
        <f>IF(tblOrdenes[[#This Row],[orden]]="","",tblOrdenes[[#This Row],[costo_servicio]]+tblOrdenes[[#This Row],[costo_materiales]])</f>
        <v/>
      </c>
      <c r="AI405" s="6" t="n"/>
      <c r="AJ405" s="6" t="n"/>
      <c r="AK405" s="6" t="n"/>
      <c r="AL405" s="3">
        <f>IF(tblOrdenes[[#This Row],[link_checklist]]="","",HYPERLINK(p_ruta_base_checklists&amp;tblOrdenes[[#This Row],[link_checklist]],"abrir"))</f>
        <v/>
      </c>
      <c r="AM405" s="6" t="n"/>
      <c r="AN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Row],[tipo_ot]]="","",_xlfn.XLOOKUP(tblOrdenes[[#This Row],[tipo_ot]],tblTiposOT[codigo],tblTiposOT[clasificacion],"sin_clasificar"))</f>
        <v/>
      </c>
      <c r="T406" s="3">
        <f>IF(tblOrdenes[[#This Row],[centro_costo]]="","",_xlfn.XLOOKUP(tblOrdenes[[#This Row],[centro_costo]],tblCECO[codigo],tblCECO[linea],"(sin catálogo)"))</f>
        <v/>
      </c>
      <c r="U406" s="3">
        <f>IF(tblOrdenes[[#This Row],[centro_costo]]="","",_xlfn.XLOOKUP(tblOrdenes[[#This Row],[centro_costo]],tblCECO[codigo],tblCECO[area],"(sin catálogo)"))</f>
        <v/>
      </c>
      <c r="V406" s="3">
        <f>IF(tblOrdenes[[#This Row],[centro_costo]]="","",_xlfn.XLOOKUP(tblOrdenes[[#This Row],[centro_costo]],tblCECO[codigo],tblCECO[coordinador],"(sin catálogo)"))</f>
        <v/>
      </c>
      <c r="W406" s="3">
        <f>IF(tblOrdenes[[#This Row],[puesto_trabajo]]="","",_xlfn.XLOOKUP(tblOrdenes[[#This Row],[puesto_trabajo]],tblPuestos[codigo],tblPuestos[especialidad],"(sin catálogo)"))</f>
        <v/>
      </c>
      <c r="X406" s="3">
        <f>IF(tblOrdenes[[#This Row],[cod_actividad]]="","",_xlfn.XLOOKUP(tblOrdenes[[#This Row],[cod_actividad]],tblActividades[codigo],tblActividades[descripcion],"(sin catálogo)"))</f>
        <v/>
      </c>
      <c r="Y406" s="12">
        <f>IF(tblOrdenes[[#This Row],[fecha_inicio]]="","",TODAY()-tblOrdenes[[#This Row],[fecha_inicio]])</f>
        <v/>
      </c>
      <c r="Z406" s="3">
        <f>IF(tblOrdenes[[#This Row],[backlog_dias]]="","",IF(tblOrdenes[[#This Row],[backlog_dias]]&lt;0,"FUTURO",IF(tblOrdenes[[#This Row],[backlog_dias]]&gt;p_dias_backlog_max,"BACKLOG","MES CORRIENTE")))</f>
        <v/>
      </c>
      <c r="AA406" s="3">
        <f>IF(tblOrdenes[[#This Row],[backlog_dias]]="",FALSE,AND(tblOrdenes[[#This Row],[backlog_dias]]&gt;p_dias_backlog_min,tblOrdenes[[#This Row],[backlog_dias]]&lt;=p_dias_backlog_max))</f>
        <v/>
      </c>
      <c r="AB406" s="6" t="n"/>
      <c r="AC4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6" s="10">
        <f>IF(tblOrdenes[[#This Row],[orden]]="","",_xlfn.XLOOKUP(tblOrdenes[[#This Row],[id_operacion]],tblEjecucion[id_operacion],tblEjecucion[precio],0))</f>
        <v/>
      </c>
      <c r="AG406" s="10">
        <f>IF(tblOrdenes[[#This Row],[orden]]="","",MAX(0,_xlfn.XLOOKUP(tblOrdenes[[#This Row],[id_operacion]],tblEjecucion[id_operacion],tblEjecucion[costo_plan_total],0)-tblOrdenes[[#This Row],[costo_servicio]]))</f>
        <v/>
      </c>
      <c r="AH406" s="10">
        <f>IF(tblOrdenes[[#This Row],[orden]]="","",tblOrdenes[[#This Row],[costo_servicio]]+tblOrdenes[[#This Row],[costo_materiales]])</f>
        <v/>
      </c>
      <c r="AI406" s="6" t="n"/>
      <c r="AJ406" s="6" t="n"/>
      <c r="AK406" s="6" t="n"/>
      <c r="AL406" s="3">
        <f>IF(tblOrdenes[[#This Row],[link_checklist]]="","",HYPERLINK(p_ruta_base_checklists&amp;tblOrdenes[[#This Row],[link_checklist]],"abrir"))</f>
        <v/>
      </c>
      <c r="AM406" s="6" t="n"/>
      <c r="AN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Row],[tipo_ot]]="","",_xlfn.XLOOKUP(tblOrdenes[[#This Row],[tipo_ot]],tblTiposOT[codigo],tblTiposOT[clasificacion],"sin_clasificar"))</f>
        <v/>
      </c>
      <c r="T407" s="3">
        <f>IF(tblOrdenes[[#This Row],[centro_costo]]="","",_xlfn.XLOOKUP(tblOrdenes[[#This Row],[centro_costo]],tblCECO[codigo],tblCECO[linea],"(sin catálogo)"))</f>
        <v/>
      </c>
      <c r="U407" s="3">
        <f>IF(tblOrdenes[[#This Row],[centro_costo]]="","",_xlfn.XLOOKUP(tblOrdenes[[#This Row],[centro_costo]],tblCECO[codigo],tblCECO[area],"(sin catálogo)"))</f>
        <v/>
      </c>
      <c r="V407" s="3">
        <f>IF(tblOrdenes[[#This Row],[centro_costo]]="","",_xlfn.XLOOKUP(tblOrdenes[[#This Row],[centro_costo]],tblCECO[codigo],tblCECO[coordinador],"(sin catálogo)"))</f>
        <v/>
      </c>
      <c r="W407" s="3">
        <f>IF(tblOrdenes[[#This Row],[puesto_trabajo]]="","",_xlfn.XLOOKUP(tblOrdenes[[#This Row],[puesto_trabajo]],tblPuestos[codigo],tblPuestos[especialidad],"(sin catálogo)"))</f>
        <v/>
      </c>
      <c r="X407" s="3">
        <f>IF(tblOrdenes[[#This Row],[cod_actividad]]="","",_xlfn.XLOOKUP(tblOrdenes[[#This Row],[cod_actividad]],tblActividades[codigo],tblActividades[descripcion],"(sin catálogo)"))</f>
        <v/>
      </c>
      <c r="Y407" s="12">
        <f>IF(tblOrdenes[[#This Row],[fecha_inicio]]="","",TODAY()-tblOrdenes[[#This Row],[fecha_inicio]])</f>
        <v/>
      </c>
      <c r="Z407" s="3">
        <f>IF(tblOrdenes[[#This Row],[backlog_dias]]="","",IF(tblOrdenes[[#This Row],[backlog_dias]]&lt;0,"FUTURO",IF(tblOrdenes[[#This Row],[backlog_dias]]&gt;p_dias_backlog_max,"BACKLOG","MES CORRIENTE")))</f>
        <v/>
      </c>
      <c r="AA407" s="3">
        <f>IF(tblOrdenes[[#This Row],[backlog_dias]]="",FALSE,AND(tblOrdenes[[#This Row],[backlog_dias]]&gt;p_dias_backlog_min,tblOrdenes[[#This Row],[backlog_dias]]&lt;=p_dias_backlog_max))</f>
        <v/>
      </c>
      <c r="AB407" s="6" t="n"/>
      <c r="AC4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7" s="10">
        <f>IF(tblOrdenes[[#This Row],[orden]]="","",_xlfn.XLOOKUP(tblOrdenes[[#This Row],[id_operacion]],tblEjecucion[id_operacion],tblEjecucion[precio],0))</f>
        <v/>
      </c>
      <c r="AG407" s="10">
        <f>IF(tblOrdenes[[#This Row],[orden]]="","",MAX(0,_xlfn.XLOOKUP(tblOrdenes[[#This Row],[id_operacion]],tblEjecucion[id_operacion],tblEjecucion[costo_plan_total],0)-tblOrdenes[[#This Row],[costo_servicio]]))</f>
        <v/>
      </c>
      <c r="AH407" s="10">
        <f>IF(tblOrdenes[[#This Row],[orden]]="","",tblOrdenes[[#This Row],[costo_servicio]]+tblOrdenes[[#This Row],[costo_materiales]])</f>
        <v/>
      </c>
      <c r="AI407" s="6" t="n"/>
      <c r="AJ407" s="6" t="n"/>
      <c r="AK407" s="6" t="n"/>
      <c r="AL407" s="3">
        <f>IF(tblOrdenes[[#This Row],[link_checklist]]="","",HYPERLINK(p_ruta_base_checklists&amp;tblOrdenes[[#This Row],[link_checklist]],"abrir"))</f>
        <v/>
      </c>
      <c r="AM407" s="6" t="n"/>
      <c r="AN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Row],[tipo_ot]]="","",_xlfn.XLOOKUP(tblOrdenes[[#This Row],[tipo_ot]],tblTiposOT[codigo],tblTiposOT[clasificacion],"sin_clasificar"))</f>
        <v/>
      </c>
      <c r="T408" s="3">
        <f>IF(tblOrdenes[[#This Row],[centro_costo]]="","",_xlfn.XLOOKUP(tblOrdenes[[#This Row],[centro_costo]],tblCECO[codigo],tblCECO[linea],"(sin catálogo)"))</f>
        <v/>
      </c>
      <c r="U408" s="3">
        <f>IF(tblOrdenes[[#This Row],[centro_costo]]="","",_xlfn.XLOOKUP(tblOrdenes[[#This Row],[centro_costo]],tblCECO[codigo],tblCECO[area],"(sin catálogo)"))</f>
        <v/>
      </c>
      <c r="V408" s="3">
        <f>IF(tblOrdenes[[#This Row],[centro_costo]]="","",_xlfn.XLOOKUP(tblOrdenes[[#This Row],[centro_costo]],tblCECO[codigo],tblCECO[coordinador],"(sin catálogo)"))</f>
        <v/>
      </c>
      <c r="W408" s="3">
        <f>IF(tblOrdenes[[#This Row],[puesto_trabajo]]="","",_xlfn.XLOOKUP(tblOrdenes[[#This Row],[puesto_trabajo]],tblPuestos[codigo],tblPuestos[especialidad],"(sin catálogo)"))</f>
        <v/>
      </c>
      <c r="X408" s="3">
        <f>IF(tblOrdenes[[#This Row],[cod_actividad]]="","",_xlfn.XLOOKUP(tblOrdenes[[#This Row],[cod_actividad]],tblActividades[codigo],tblActividades[descripcion],"(sin catálogo)"))</f>
        <v/>
      </c>
      <c r="Y408" s="12">
        <f>IF(tblOrdenes[[#This Row],[fecha_inicio]]="","",TODAY()-tblOrdenes[[#This Row],[fecha_inicio]])</f>
        <v/>
      </c>
      <c r="Z408" s="3">
        <f>IF(tblOrdenes[[#This Row],[backlog_dias]]="","",IF(tblOrdenes[[#This Row],[backlog_dias]]&lt;0,"FUTURO",IF(tblOrdenes[[#This Row],[backlog_dias]]&gt;p_dias_backlog_max,"BACKLOG","MES CORRIENTE")))</f>
        <v/>
      </c>
      <c r="AA408" s="3">
        <f>IF(tblOrdenes[[#This Row],[backlog_dias]]="",FALSE,AND(tblOrdenes[[#This Row],[backlog_dias]]&gt;p_dias_backlog_min,tblOrdenes[[#This Row],[backlog_dias]]&lt;=p_dias_backlog_max))</f>
        <v/>
      </c>
      <c r="AB408" s="6" t="n"/>
      <c r="AC4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8" s="10">
        <f>IF(tblOrdenes[[#This Row],[orden]]="","",_xlfn.XLOOKUP(tblOrdenes[[#This Row],[id_operacion]],tblEjecucion[id_operacion],tblEjecucion[precio],0))</f>
        <v/>
      </c>
      <c r="AG408" s="10">
        <f>IF(tblOrdenes[[#This Row],[orden]]="","",MAX(0,_xlfn.XLOOKUP(tblOrdenes[[#This Row],[id_operacion]],tblEjecucion[id_operacion],tblEjecucion[costo_plan_total],0)-tblOrdenes[[#This Row],[costo_servicio]]))</f>
        <v/>
      </c>
      <c r="AH408" s="10">
        <f>IF(tblOrdenes[[#This Row],[orden]]="","",tblOrdenes[[#This Row],[costo_servicio]]+tblOrdenes[[#This Row],[costo_materiales]])</f>
        <v/>
      </c>
      <c r="AI408" s="6" t="n"/>
      <c r="AJ408" s="6" t="n"/>
      <c r="AK408" s="6" t="n"/>
      <c r="AL408" s="3">
        <f>IF(tblOrdenes[[#This Row],[link_checklist]]="","",HYPERLINK(p_ruta_base_checklists&amp;tblOrdenes[[#This Row],[link_checklist]],"abrir"))</f>
        <v/>
      </c>
      <c r="AM408" s="6" t="n"/>
      <c r="AN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Row],[tipo_ot]]="","",_xlfn.XLOOKUP(tblOrdenes[[#This Row],[tipo_ot]],tblTiposOT[codigo],tblTiposOT[clasificacion],"sin_clasificar"))</f>
        <v/>
      </c>
      <c r="T409" s="3">
        <f>IF(tblOrdenes[[#This Row],[centro_costo]]="","",_xlfn.XLOOKUP(tblOrdenes[[#This Row],[centro_costo]],tblCECO[codigo],tblCECO[linea],"(sin catálogo)"))</f>
        <v/>
      </c>
      <c r="U409" s="3">
        <f>IF(tblOrdenes[[#This Row],[centro_costo]]="","",_xlfn.XLOOKUP(tblOrdenes[[#This Row],[centro_costo]],tblCECO[codigo],tblCECO[area],"(sin catálogo)"))</f>
        <v/>
      </c>
      <c r="V409" s="3">
        <f>IF(tblOrdenes[[#This Row],[centro_costo]]="","",_xlfn.XLOOKUP(tblOrdenes[[#This Row],[centro_costo]],tblCECO[codigo],tblCECO[coordinador],"(sin catálogo)"))</f>
        <v/>
      </c>
      <c r="W409" s="3">
        <f>IF(tblOrdenes[[#This Row],[puesto_trabajo]]="","",_xlfn.XLOOKUP(tblOrdenes[[#This Row],[puesto_trabajo]],tblPuestos[codigo],tblPuestos[especialidad],"(sin catálogo)"))</f>
        <v/>
      </c>
      <c r="X409" s="3">
        <f>IF(tblOrdenes[[#This Row],[cod_actividad]]="","",_xlfn.XLOOKUP(tblOrdenes[[#This Row],[cod_actividad]],tblActividades[codigo],tblActividades[descripcion],"(sin catálogo)"))</f>
        <v/>
      </c>
      <c r="Y409" s="12">
        <f>IF(tblOrdenes[[#This Row],[fecha_inicio]]="","",TODAY()-tblOrdenes[[#This Row],[fecha_inicio]])</f>
        <v/>
      </c>
      <c r="Z409" s="3">
        <f>IF(tblOrdenes[[#This Row],[backlog_dias]]="","",IF(tblOrdenes[[#This Row],[backlog_dias]]&lt;0,"FUTURO",IF(tblOrdenes[[#This Row],[backlog_dias]]&gt;p_dias_backlog_max,"BACKLOG","MES CORRIENTE")))</f>
        <v/>
      </c>
      <c r="AA409" s="3">
        <f>IF(tblOrdenes[[#This Row],[backlog_dias]]="",FALSE,AND(tblOrdenes[[#This Row],[backlog_dias]]&gt;p_dias_backlog_min,tblOrdenes[[#This Row],[backlog_dias]]&lt;=p_dias_backlog_max))</f>
        <v/>
      </c>
      <c r="AB409" s="6" t="n"/>
      <c r="AC4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9" s="10">
        <f>IF(tblOrdenes[[#This Row],[orden]]="","",_xlfn.XLOOKUP(tblOrdenes[[#This Row],[id_operacion]],tblEjecucion[id_operacion],tblEjecucion[precio],0))</f>
        <v/>
      </c>
      <c r="AG409" s="10">
        <f>IF(tblOrdenes[[#This Row],[orden]]="","",MAX(0,_xlfn.XLOOKUP(tblOrdenes[[#This Row],[id_operacion]],tblEjecucion[id_operacion],tblEjecucion[costo_plan_total],0)-tblOrdenes[[#This Row],[costo_servicio]]))</f>
        <v/>
      </c>
      <c r="AH409" s="10">
        <f>IF(tblOrdenes[[#This Row],[orden]]="","",tblOrdenes[[#This Row],[costo_servicio]]+tblOrdenes[[#This Row],[costo_materiales]])</f>
        <v/>
      </c>
      <c r="AI409" s="6" t="n"/>
      <c r="AJ409" s="6" t="n"/>
      <c r="AK409" s="6" t="n"/>
      <c r="AL409" s="3">
        <f>IF(tblOrdenes[[#This Row],[link_checklist]]="","",HYPERLINK(p_ruta_base_checklists&amp;tblOrdenes[[#This Row],[link_checklist]],"abrir"))</f>
        <v/>
      </c>
      <c r="AM409" s="6" t="n"/>
      <c r="AN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Row],[tipo_ot]]="","",_xlfn.XLOOKUP(tblOrdenes[[#This Row],[tipo_ot]],tblTiposOT[codigo],tblTiposOT[clasificacion],"sin_clasificar"))</f>
        <v/>
      </c>
      <c r="T410" s="3">
        <f>IF(tblOrdenes[[#This Row],[centro_costo]]="","",_xlfn.XLOOKUP(tblOrdenes[[#This Row],[centro_costo]],tblCECO[codigo],tblCECO[linea],"(sin catálogo)"))</f>
        <v/>
      </c>
      <c r="U410" s="3">
        <f>IF(tblOrdenes[[#This Row],[centro_costo]]="","",_xlfn.XLOOKUP(tblOrdenes[[#This Row],[centro_costo]],tblCECO[codigo],tblCECO[area],"(sin catálogo)"))</f>
        <v/>
      </c>
      <c r="V410" s="3">
        <f>IF(tblOrdenes[[#This Row],[centro_costo]]="","",_xlfn.XLOOKUP(tblOrdenes[[#This Row],[centro_costo]],tblCECO[codigo],tblCECO[coordinador],"(sin catálogo)"))</f>
        <v/>
      </c>
      <c r="W410" s="3">
        <f>IF(tblOrdenes[[#This Row],[puesto_trabajo]]="","",_xlfn.XLOOKUP(tblOrdenes[[#This Row],[puesto_trabajo]],tblPuestos[codigo],tblPuestos[especialidad],"(sin catálogo)"))</f>
        <v/>
      </c>
      <c r="X410" s="3">
        <f>IF(tblOrdenes[[#This Row],[cod_actividad]]="","",_xlfn.XLOOKUP(tblOrdenes[[#This Row],[cod_actividad]],tblActividades[codigo],tblActividades[descripcion],"(sin catálogo)"))</f>
        <v/>
      </c>
      <c r="Y410" s="12">
        <f>IF(tblOrdenes[[#This Row],[fecha_inicio]]="","",TODAY()-tblOrdenes[[#This Row],[fecha_inicio]])</f>
        <v/>
      </c>
      <c r="Z410" s="3">
        <f>IF(tblOrdenes[[#This Row],[backlog_dias]]="","",IF(tblOrdenes[[#This Row],[backlog_dias]]&lt;0,"FUTURO",IF(tblOrdenes[[#This Row],[backlog_dias]]&gt;p_dias_backlog_max,"BACKLOG","MES CORRIENTE")))</f>
        <v/>
      </c>
      <c r="AA410" s="3">
        <f>IF(tblOrdenes[[#This Row],[backlog_dias]]="",FALSE,AND(tblOrdenes[[#This Row],[backlog_dias]]&gt;p_dias_backlog_min,tblOrdenes[[#This Row],[backlog_dias]]&lt;=p_dias_backlog_max))</f>
        <v/>
      </c>
      <c r="AB410" s="6" t="n"/>
      <c r="AC4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0" s="10">
        <f>IF(tblOrdenes[[#This Row],[orden]]="","",_xlfn.XLOOKUP(tblOrdenes[[#This Row],[id_operacion]],tblEjecucion[id_operacion],tblEjecucion[precio],0))</f>
        <v/>
      </c>
      <c r="AG410" s="10">
        <f>IF(tblOrdenes[[#This Row],[orden]]="","",MAX(0,_xlfn.XLOOKUP(tblOrdenes[[#This Row],[id_operacion]],tblEjecucion[id_operacion],tblEjecucion[costo_plan_total],0)-tblOrdenes[[#This Row],[costo_servicio]]))</f>
        <v/>
      </c>
      <c r="AH410" s="10">
        <f>IF(tblOrdenes[[#This Row],[orden]]="","",tblOrdenes[[#This Row],[costo_servicio]]+tblOrdenes[[#This Row],[costo_materiales]])</f>
        <v/>
      </c>
      <c r="AI410" s="6" t="n"/>
      <c r="AJ410" s="6" t="n"/>
      <c r="AK410" s="6" t="n"/>
      <c r="AL410" s="3">
        <f>IF(tblOrdenes[[#This Row],[link_checklist]]="","",HYPERLINK(p_ruta_base_checklists&amp;tblOrdenes[[#This Row],[link_checklist]],"abrir"))</f>
        <v/>
      </c>
      <c r="AM410" s="6" t="n"/>
      <c r="AN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Row],[tipo_ot]]="","",_xlfn.XLOOKUP(tblOrdenes[[#This Row],[tipo_ot]],tblTiposOT[codigo],tblTiposOT[clasificacion],"sin_clasificar"))</f>
        <v/>
      </c>
      <c r="T411" s="3">
        <f>IF(tblOrdenes[[#This Row],[centro_costo]]="","",_xlfn.XLOOKUP(tblOrdenes[[#This Row],[centro_costo]],tblCECO[codigo],tblCECO[linea],"(sin catálogo)"))</f>
        <v/>
      </c>
      <c r="U411" s="3">
        <f>IF(tblOrdenes[[#This Row],[centro_costo]]="","",_xlfn.XLOOKUP(tblOrdenes[[#This Row],[centro_costo]],tblCECO[codigo],tblCECO[area],"(sin catálogo)"))</f>
        <v/>
      </c>
      <c r="V411" s="3">
        <f>IF(tblOrdenes[[#This Row],[centro_costo]]="","",_xlfn.XLOOKUP(tblOrdenes[[#This Row],[centro_costo]],tblCECO[codigo],tblCECO[coordinador],"(sin catálogo)"))</f>
        <v/>
      </c>
      <c r="W411" s="3">
        <f>IF(tblOrdenes[[#This Row],[puesto_trabajo]]="","",_xlfn.XLOOKUP(tblOrdenes[[#This Row],[puesto_trabajo]],tblPuestos[codigo],tblPuestos[especialidad],"(sin catálogo)"))</f>
        <v/>
      </c>
      <c r="X411" s="3">
        <f>IF(tblOrdenes[[#This Row],[cod_actividad]]="","",_xlfn.XLOOKUP(tblOrdenes[[#This Row],[cod_actividad]],tblActividades[codigo],tblActividades[descripcion],"(sin catálogo)"))</f>
        <v/>
      </c>
      <c r="Y411" s="12">
        <f>IF(tblOrdenes[[#This Row],[fecha_inicio]]="","",TODAY()-tblOrdenes[[#This Row],[fecha_inicio]])</f>
        <v/>
      </c>
      <c r="Z411" s="3">
        <f>IF(tblOrdenes[[#This Row],[backlog_dias]]="","",IF(tblOrdenes[[#This Row],[backlog_dias]]&lt;0,"FUTURO",IF(tblOrdenes[[#This Row],[backlog_dias]]&gt;p_dias_backlog_max,"BACKLOG","MES CORRIENTE")))</f>
        <v/>
      </c>
      <c r="AA411" s="3">
        <f>IF(tblOrdenes[[#This Row],[backlog_dias]]="",FALSE,AND(tblOrdenes[[#This Row],[backlog_dias]]&gt;p_dias_backlog_min,tblOrdenes[[#This Row],[backlog_dias]]&lt;=p_dias_backlog_max))</f>
        <v/>
      </c>
      <c r="AB411" s="6" t="n"/>
      <c r="AC4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1" s="10">
        <f>IF(tblOrdenes[[#This Row],[orden]]="","",_xlfn.XLOOKUP(tblOrdenes[[#This Row],[id_operacion]],tblEjecucion[id_operacion],tblEjecucion[precio],0))</f>
        <v/>
      </c>
      <c r="AG411" s="10">
        <f>IF(tblOrdenes[[#This Row],[orden]]="","",MAX(0,_xlfn.XLOOKUP(tblOrdenes[[#This Row],[id_operacion]],tblEjecucion[id_operacion],tblEjecucion[costo_plan_total],0)-tblOrdenes[[#This Row],[costo_servicio]]))</f>
        <v/>
      </c>
      <c r="AH411" s="10">
        <f>IF(tblOrdenes[[#This Row],[orden]]="","",tblOrdenes[[#This Row],[costo_servicio]]+tblOrdenes[[#This Row],[costo_materiales]])</f>
        <v/>
      </c>
      <c r="AI411" s="6" t="n"/>
      <c r="AJ411" s="6" t="n"/>
      <c r="AK411" s="6" t="n"/>
      <c r="AL411" s="3">
        <f>IF(tblOrdenes[[#This Row],[link_checklist]]="","",HYPERLINK(p_ruta_base_checklists&amp;tblOrdenes[[#This Row],[link_checklist]],"abrir"))</f>
        <v/>
      </c>
      <c r="AM411" s="6" t="n"/>
      <c r="AN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Row],[tipo_ot]]="","",_xlfn.XLOOKUP(tblOrdenes[[#This Row],[tipo_ot]],tblTiposOT[codigo],tblTiposOT[clasificacion],"sin_clasificar"))</f>
        <v/>
      </c>
      <c r="T412" s="3">
        <f>IF(tblOrdenes[[#This Row],[centro_costo]]="","",_xlfn.XLOOKUP(tblOrdenes[[#This Row],[centro_costo]],tblCECO[codigo],tblCECO[linea],"(sin catálogo)"))</f>
        <v/>
      </c>
      <c r="U412" s="3">
        <f>IF(tblOrdenes[[#This Row],[centro_costo]]="","",_xlfn.XLOOKUP(tblOrdenes[[#This Row],[centro_costo]],tblCECO[codigo],tblCECO[area],"(sin catálogo)"))</f>
        <v/>
      </c>
      <c r="V412" s="3">
        <f>IF(tblOrdenes[[#This Row],[centro_costo]]="","",_xlfn.XLOOKUP(tblOrdenes[[#This Row],[centro_costo]],tblCECO[codigo],tblCECO[coordinador],"(sin catálogo)"))</f>
        <v/>
      </c>
      <c r="W412" s="3">
        <f>IF(tblOrdenes[[#This Row],[puesto_trabajo]]="","",_xlfn.XLOOKUP(tblOrdenes[[#This Row],[puesto_trabajo]],tblPuestos[codigo],tblPuestos[especialidad],"(sin catálogo)"))</f>
        <v/>
      </c>
      <c r="X412" s="3">
        <f>IF(tblOrdenes[[#This Row],[cod_actividad]]="","",_xlfn.XLOOKUP(tblOrdenes[[#This Row],[cod_actividad]],tblActividades[codigo],tblActividades[descripcion],"(sin catálogo)"))</f>
        <v/>
      </c>
      <c r="Y412" s="12">
        <f>IF(tblOrdenes[[#This Row],[fecha_inicio]]="","",TODAY()-tblOrdenes[[#This Row],[fecha_inicio]])</f>
        <v/>
      </c>
      <c r="Z412" s="3">
        <f>IF(tblOrdenes[[#This Row],[backlog_dias]]="","",IF(tblOrdenes[[#This Row],[backlog_dias]]&lt;0,"FUTURO",IF(tblOrdenes[[#This Row],[backlog_dias]]&gt;p_dias_backlog_max,"BACKLOG","MES CORRIENTE")))</f>
        <v/>
      </c>
      <c r="AA412" s="3">
        <f>IF(tblOrdenes[[#This Row],[backlog_dias]]="",FALSE,AND(tblOrdenes[[#This Row],[backlog_dias]]&gt;p_dias_backlog_min,tblOrdenes[[#This Row],[backlog_dias]]&lt;=p_dias_backlog_max))</f>
        <v/>
      </c>
      <c r="AB412" s="6" t="n"/>
      <c r="AC4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2" s="10">
        <f>IF(tblOrdenes[[#This Row],[orden]]="","",_xlfn.XLOOKUP(tblOrdenes[[#This Row],[id_operacion]],tblEjecucion[id_operacion],tblEjecucion[precio],0))</f>
        <v/>
      </c>
      <c r="AG412" s="10">
        <f>IF(tblOrdenes[[#This Row],[orden]]="","",MAX(0,_xlfn.XLOOKUP(tblOrdenes[[#This Row],[id_operacion]],tblEjecucion[id_operacion],tblEjecucion[costo_plan_total],0)-tblOrdenes[[#This Row],[costo_servicio]]))</f>
        <v/>
      </c>
      <c r="AH412" s="10">
        <f>IF(tblOrdenes[[#This Row],[orden]]="","",tblOrdenes[[#This Row],[costo_servicio]]+tblOrdenes[[#This Row],[costo_materiales]])</f>
        <v/>
      </c>
      <c r="AI412" s="6" t="n"/>
      <c r="AJ412" s="6" t="n"/>
      <c r="AK412" s="6" t="n"/>
      <c r="AL412" s="3">
        <f>IF(tblOrdenes[[#This Row],[link_checklist]]="","",HYPERLINK(p_ruta_base_checklists&amp;tblOrdenes[[#This Row],[link_checklist]],"abrir"))</f>
        <v/>
      </c>
      <c r="AM412" s="6" t="n"/>
      <c r="AN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Row],[tipo_ot]]="","",_xlfn.XLOOKUP(tblOrdenes[[#This Row],[tipo_ot]],tblTiposOT[codigo],tblTiposOT[clasificacion],"sin_clasificar"))</f>
        <v/>
      </c>
      <c r="T413" s="3">
        <f>IF(tblOrdenes[[#This Row],[centro_costo]]="","",_xlfn.XLOOKUP(tblOrdenes[[#This Row],[centro_costo]],tblCECO[codigo],tblCECO[linea],"(sin catálogo)"))</f>
        <v/>
      </c>
      <c r="U413" s="3">
        <f>IF(tblOrdenes[[#This Row],[centro_costo]]="","",_xlfn.XLOOKUP(tblOrdenes[[#This Row],[centro_costo]],tblCECO[codigo],tblCECO[area],"(sin catálogo)"))</f>
        <v/>
      </c>
      <c r="V413" s="3">
        <f>IF(tblOrdenes[[#This Row],[centro_costo]]="","",_xlfn.XLOOKUP(tblOrdenes[[#This Row],[centro_costo]],tblCECO[codigo],tblCECO[coordinador],"(sin catálogo)"))</f>
        <v/>
      </c>
      <c r="W413" s="3">
        <f>IF(tblOrdenes[[#This Row],[puesto_trabajo]]="","",_xlfn.XLOOKUP(tblOrdenes[[#This Row],[puesto_trabajo]],tblPuestos[codigo],tblPuestos[especialidad],"(sin catálogo)"))</f>
        <v/>
      </c>
      <c r="X413" s="3">
        <f>IF(tblOrdenes[[#This Row],[cod_actividad]]="","",_xlfn.XLOOKUP(tblOrdenes[[#This Row],[cod_actividad]],tblActividades[codigo],tblActividades[descripcion],"(sin catálogo)"))</f>
        <v/>
      </c>
      <c r="Y413" s="12">
        <f>IF(tblOrdenes[[#This Row],[fecha_inicio]]="","",TODAY()-tblOrdenes[[#This Row],[fecha_inicio]])</f>
        <v/>
      </c>
      <c r="Z413" s="3">
        <f>IF(tblOrdenes[[#This Row],[backlog_dias]]="","",IF(tblOrdenes[[#This Row],[backlog_dias]]&lt;0,"FUTURO",IF(tblOrdenes[[#This Row],[backlog_dias]]&gt;p_dias_backlog_max,"BACKLOG","MES CORRIENTE")))</f>
        <v/>
      </c>
      <c r="AA413" s="3">
        <f>IF(tblOrdenes[[#This Row],[backlog_dias]]="",FALSE,AND(tblOrdenes[[#This Row],[backlog_dias]]&gt;p_dias_backlog_min,tblOrdenes[[#This Row],[backlog_dias]]&lt;=p_dias_backlog_max))</f>
        <v/>
      </c>
      <c r="AB413" s="6" t="n"/>
      <c r="AC4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3" s="10">
        <f>IF(tblOrdenes[[#This Row],[orden]]="","",_xlfn.XLOOKUP(tblOrdenes[[#This Row],[id_operacion]],tblEjecucion[id_operacion],tblEjecucion[precio],0))</f>
        <v/>
      </c>
      <c r="AG413" s="10">
        <f>IF(tblOrdenes[[#This Row],[orden]]="","",MAX(0,_xlfn.XLOOKUP(tblOrdenes[[#This Row],[id_operacion]],tblEjecucion[id_operacion],tblEjecucion[costo_plan_total],0)-tblOrdenes[[#This Row],[costo_servicio]]))</f>
        <v/>
      </c>
      <c r="AH413" s="10">
        <f>IF(tblOrdenes[[#This Row],[orden]]="","",tblOrdenes[[#This Row],[costo_servicio]]+tblOrdenes[[#This Row],[costo_materiales]])</f>
        <v/>
      </c>
      <c r="AI413" s="6" t="n"/>
      <c r="AJ413" s="6" t="n"/>
      <c r="AK413" s="6" t="n"/>
      <c r="AL413" s="3">
        <f>IF(tblOrdenes[[#This Row],[link_checklist]]="","",HYPERLINK(p_ruta_base_checklists&amp;tblOrdenes[[#This Row],[link_checklist]],"abrir"))</f>
        <v/>
      </c>
      <c r="AM413" s="6" t="n"/>
      <c r="AN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Row],[tipo_ot]]="","",_xlfn.XLOOKUP(tblOrdenes[[#This Row],[tipo_ot]],tblTiposOT[codigo],tblTiposOT[clasificacion],"sin_clasificar"))</f>
        <v/>
      </c>
      <c r="T414" s="3">
        <f>IF(tblOrdenes[[#This Row],[centro_costo]]="","",_xlfn.XLOOKUP(tblOrdenes[[#This Row],[centro_costo]],tblCECO[codigo],tblCECO[linea],"(sin catálogo)"))</f>
        <v/>
      </c>
      <c r="U414" s="3">
        <f>IF(tblOrdenes[[#This Row],[centro_costo]]="","",_xlfn.XLOOKUP(tblOrdenes[[#This Row],[centro_costo]],tblCECO[codigo],tblCECO[area],"(sin catálogo)"))</f>
        <v/>
      </c>
      <c r="V414" s="3">
        <f>IF(tblOrdenes[[#This Row],[centro_costo]]="","",_xlfn.XLOOKUP(tblOrdenes[[#This Row],[centro_costo]],tblCECO[codigo],tblCECO[coordinador],"(sin catálogo)"))</f>
        <v/>
      </c>
      <c r="W414" s="3">
        <f>IF(tblOrdenes[[#This Row],[puesto_trabajo]]="","",_xlfn.XLOOKUP(tblOrdenes[[#This Row],[puesto_trabajo]],tblPuestos[codigo],tblPuestos[especialidad],"(sin catálogo)"))</f>
        <v/>
      </c>
      <c r="X414" s="3">
        <f>IF(tblOrdenes[[#This Row],[cod_actividad]]="","",_xlfn.XLOOKUP(tblOrdenes[[#This Row],[cod_actividad]],tblActividades[codigo],tblActividades[descripcion],"(sin catálogo)"))</f>
        <v/>
      </c>
      <c r="Y414" s="12">
        <f>IF(tblOrdenes[[#This Row],[fecha_inicio]]="","",TODAY()-tblOrdenes[[#This Row],[fecha_inicio]])</f>
        <v/>
      </c>
      <c r="Z414" s="3">
        <f>IF(tblOrdenes[[#This Row],[backlog_dias]]="","",IF(tblOrdenes[[#This Row],[backlog_dias]]&lt;0,"FUTURO",IF(tblOrdenes[[#This Row],[backlog_dias]]&gt;p_dias_backlog_max,"BACKLOG","MES CORRIENTE")))</f>
        <v/>
      </c>
      <c r="AA414" s="3">
        <f>IF(tblOrdenes[[#This Row],[backlog_dias]]="",FALSE,AND(tblOrdenes[[#This Row],[backlog_dias]]&gt;p_dias_backlog_min,tblOrdenes[[#This Row],[backlog_dias]]&lt;=p_dias_backlog_max))</f>
        <v/>
      </c>
      <c r="AB414" s="6" t="n"/>
      <c r="AC4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4" s="10">
        <f>IF(tblOrdenes[[#This Row],[orden]]="","",_xlfn.XLOOKUP(tblOrdenes[[#This Row],[id_operacion]],tblEjecucion[id_operacion],tblEjecucion[precio],0))</f>
        <v/>
      </c>
      <c r="AG414" s="10">
        <f>IF(tblOrdenes[[#This Row],[orden]]="","",MAX(0,_xlfn.XLOOKUP(tblOrdenes[[#This Row],[id_operacion]],tblEjecucion[id_operacion],tblEjecucion[costo_plan_total],0)-tblOrdenes[[#This Row],[costo_servicio]]))</f>
        <v/>
      </c>
      <c r="AH414" s="10">
        <f>IF(tblOrdenes[[#This Row],[orden]]="","",tblOrdenes[[#This Row],[costo_servicio]]+tblOrdenes[[#This Row],[costo_materiales]])</f>
        <v/>
      </c>
      <c r="AI414" s="6" t="n"/>
      <c r="AJ414" s="6" t="n"/>
      <c r="AK414" s="6" t="n"/>
      <c r="AL414" s="3">
        <f>IF(tblOrdenes[[#This Row],[link_checklist]]="","",HYPERLINK(p_ruta_base_checklists&amp;tblOrdenes[[#This Row],[link_checklist]],"abrir"))</f>
        <v/>
      </c>
      <c r="AM414" s="6" t="n"/>
      <c r="AN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Row],[tipo_ot]]="","",_xlfn.XLOOKUP(tblOrdenes[[#This Row],[tipo_ot]],tblTiposOT[codigo],tblTiposOT[clasificacion],"sin_clasificar"))</f>
        <v/>
      </c>
      <c r="T415" s="3">
        <f>IF(tblOrdenes[[#This Row],[centro_costo]]="","",_xlfn.XLOOKUP(tblOrdenes[[#This Row],[centro_costo]],tblCECO[codigo],tblCECO[linea],"(sin catálogo)"))</f>
        <v/>
      </c>
      <c r="U415" s="3">
        <f>IF(tblOrdenes[[#This Row],[centro_costo]]="","",_xlfn.XLOOKUP(tblOrdenes[[#This Row],[centro_costo]],tblCECO[codigo],tblCECO[area],"(sin catálogo)"))</f>
        <v/>
      </c>
      <c r="V415" s="3">
        <f>IF(tblOrdenes[[#This Row],[centro_costo]]="","",_xlfn.XLOOKUP(tblOrdenes[[#This Row],[centro_costo]],tblCECO[codigo],tblCECO[coordinador],"(sin catálogo)"))</f>
        <v/>
      </c>
      <c r="W415" s="3">
        <f>IF(tblOrdenes[[#This Row],[puesto_trabajo]]="","",_xlfn.XLOOKUP(tblOrdenes[[#This Row],[puesto_trabajo]],tblPuestos[codigo],tblPuestos[especialidad],"(sin catálogo)"))</f>
        <v/>
      </c>
      <c r="X415" s="3">
        <f>IF(tblOrdenes[[#This Row],[cod_actividad]]="","",_xlfn.XLOOKUP(tblOrdenes[[#This Row],[cod_actividad]],tblActividades[codigo],tblActividades[descripcion],"(sin catálogo)"))</f>
        <v/>
      </c>
      <c r="Y415" s="12">
        <f>IF(tblOrdenes[[#This Row],[fecha_inicio]]="","",TODAY()-tblOrdenes[[#This Row],[fecha_inicio]])</f>
        <v/>
      </c>
      <c r="Z415" s="3">
        <f>IF(tblOrdenes[[#This Row],[backlog_dias]]="","",IF(tblOrdenes[[#This Row],[backlog_dias]]&lt;0,"FUTURO",IF(tblOrdenes[[#This Row],[backlog_dias]]&gt;p_dias_backlog_max,"BACKLOG","MES CORRIENTE")))</f>
        <v/>
      </c>
      <c r="AA415" s="3">
        <f>IF(tblOrdenes[[#This Row],[backlog_dias]]="",FALSE,AND(tblOrdenes[[#This Row],[backlog_dias]]&gt;p_dias_backlog_min,tblOrdenes[[#This Row],[backlog_dias]]&lt;=p_dias_backlog_max))</f>
        <v/>
      </c>
      <c r="AB415" s="6" t="n"/>
      <c r="AC4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5" s="10">
        <f>IF(tblOrdenes[[#This Row],[orden]]="","",_xlfn.XLOOKUP(tblOrdenes[[#This Row],[id_operacion]],tblEjecucion[id_operacion],tblEjecucion[precio],0))</f>
        <v/>
      </c>
      <c r="AG415" s="10">
        <f>IF(tblOrdenes[[#This Row],[orden]]="","",MAX(0,_xlfn.XLOOKUP(tblOrdenes[[#This Row],[id_operacion]],tblEjecucion[id_operacion],tblEjecucion[costo_plan_total],0)-tblOrdenes[[#This Row],[costo_servicio]]))</f>
        <v/>
      </c>
      <c r="AH415" s="10">
        <f>IF(tblOrdenes[[#This Row],[orden]]="","",tblOrdenes[[#This Row],[costo_servicio]]+tblOrdenes[[#This Row],[costo_materiales]])</f>
        <v/>
      </c>
      <c r="AI415" s="6" t="n"/>
      <c r="AJ415" s="6" t="n"/>
      <c r="AK415" s="6" t="n"/>
      <c r="AL415" s="3">
        <f>IF(tblOrdenes[[#This Row],[link_checklist]]="","",HYPERLINK(p_ruta_base_checklists&amp;tblOrdenes[[#This Row],[link_checklist]],"abrir"))</f>
        <v/>
      </c>
      <c r="AM415" s="6" t="n"/>
      <c r="AN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Row],[tipo_ot]]="","",_xlfn.XLOOKUP(tblOrdenes[[#This Row],[tipo_ot]],tblTiposOT[codigo],tblTiposOT[clasificacion],"sin_clasificar"))</f>
        <v/>
      </c>
      <c r="T416" s="3">
        <f>IF(tblOrdenes[[#This Row],[centro_costo]]="","",_xlfn.XLOOKUP(tblOrdenes[[#This Row],[centro_costo]],tblCECO[codigo],tblCECO[linea],"(sin catálogo)"))</f>
        <v/>
      </c>
      <c r="U416" s="3">
        <f>IF(tblOrdenes[[#This Row],[centro_costo]]="","",_xlfn.XLOOKUP(tblOrdenes[[#This Row],[centro_costo]],tblCECO[codigo],tblCECO[area],"(sin catálogo)"))</f>
        <v/>
      </c>
      <c r="V416" s="3">
        <f>IF(tblOrdenes[[#This Row],[centro_costo]]="","",_xlfn.XLOOKUP(tblOrdenes[[#This Row],[centro_costo]],tblCECO[codigo],tblCECO[coordinador],"(sin catálogo)"))</f>
        <v/>
      </c>
      <c r="W416" s="3">
        <f>IF(tblOrdenes[[#This Row],[puesto_trabajo]]="","",_xlfn.XLOOKUP(tblOrdenes[[#This Row],[puesto_trabajo]],tblPuestos[codigo],tblPuestos[especialidad],"(sin catálogo)"))</f>
        <v/>
      </c>
      <c r="X416" s="3">
        <f>IF(tblOrdenes[[#This Row],[cod_actividad]]="","",_xlfn.XLOOKUP(tblOrdenes[[#This Row],[cod_actividad]],tblActividades[codigo],tblActividades[descripcion],"(sin catálogo)"))</f>
        <v/>
      </c>
      <c r="Y416" s="12">
        <f>IF(tblOrdenes[[#This Row],[fecha_inicio]]="","",TODAY()-tblOrdenes[[#This Row],[fecha_inicio]])</f>
        <v/>
      </c>
      <c r="Z416" s="3">
        <f>IF(tblOrdenes[[#This Row],[backlog_dias]]="","",IF(tblOrdenes[[#This Row],[backlog_dias]]&lt;0,"FUTURO",IF(tblOrdenes[[#This Row],[backlog_dias]]&gt;p_dias_backlog_max,"BACKLOG","MES CORRIENTE")))</f>
        <v/>
      </c>
      <c r="AA416" s="3">
        <f>IF(tblOrdenes[[#This Row],[backlog_dias]]="",FALSE,AND(tblOrdenes[[#This Row],[backlog_dias]]&gt;p_dias_backlog_min,tblOrdenes[[#This Row],[backlog_dias]]&lt;=p_dias_backlog_max))</f>
        <v/>
      </c>
      <c r="AB416" s="6" t="n"/>
      <c r="AC4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6" s="10">
        <f>IF(tblOrdenes[[#This Row],[orden]]="","",_xlfn.XLOOKUP(tblOrdenes[[#This Row],[id_operacion]],tblEjecucion[id_operacion],tblEjecucion[precio],0))</f>
        <v/>
      </c>
      <c r="AG416" s="10">
        <f>IF(tblOrdenes[[#This Row],[orden]]="","",MAX(0,_xlfn.XLOOKUP(tblOrdenes[[#This Row],[id_operacion]],tblEjecucion[id_operacion],tblEjecucion[costo_plan_total],0)-tblOrdenes[[#This Row],[costo_servicio]]))</f>
        <v/>
      </c>
      <c r="AH416" s="10">
        <f>IF(tblOrdenes[[#This Row],[orden]]="","",tblOrdenes[[#This Row],[costo_servicio]]+tblOrdenes[[#This Row],[costo_materiales]])</f>
        <v/>
      </c>
      <c r="AI416" s="6" t="n"/>
      <c r="AJ416" s="6" t="n"/>
      <c r="AK416" s="6" t="n"/>
      <c r="AL416" s="3">
        <f>IF(tblOrdenes[[#This Row],[link_checklist]]="","",HYPERLINK(p_ruta_base_checklists&amp;tblOrdenes[[#This Row],[link_checklist]],"abrir"))</f>
        <v/>
      </c>
      <c r="AM416" s="6" t="n"/>
      <c r="AN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Row],[tipo_ot]]="","",_xlfn.XLOOKUP(tblOrdenes[[#This Row],[tipo_ot]],tblTiposOT[codigo],tblTiposOT[clasificacion],"sin_clasificar"))</f>
        <v/>
      </c>
      <c r="T417" s="3">
        <f>IF(tblOrdenes[[#This Row],[centro_costo]]="","",_xlfn.XLOOKUP(tblOrdenes[[#This Row],[centro_costo]],tblCECO[codigo],tblCECO[linea],"(sin catálogo)"))</f>
        <v/>
      </c>
      <c r="U417" s="3">
        <f>IF(tblOrdenes[[#This Row],[centro_costo]]="","",_xlfn.XLOOKUP(tblOrdenes[[#This Row],[centro_costo]],tblCECO[codigo],tblCECO[area],"(sin catálogo)"))</f>
        <v/>
      </c>
      <c r="V417" s="3">
        <f>IF(tblOrdenes[[#This Row],[centro_costo]]="","",_xlfn.XLOOKUP(tblOrdenes[[#This Row],[centro_costo]],tblCECO[codigo],tblCECO[coordinador],"(sin catálogo)"))</f>
        <v/>
      </c>
      <c r="W417" s="3">
        <f>IF(tblOrdenes[[#This Row],[puesto_trabajo]]="","",_xlfn.XLOOKUP(tblOrdenes[[#This Row],[puesto_trabajo]],tblPuestos[codigo],tblPuestos[especialidad],"(sin catálogo)"))</f>
        <v/>
      </c>
      <c r="X417" s="3">
        <f>IF(tblOrdenes[[#This Row],[cod_actividad]]="","",_xlfn.XLOOKUP(tblOrdenes[[#This Row],[cod_actividad]],tblActividades[codigo],tblActividades[descripcion],"(sin catálogo)"))</f>
        <v/>
      </c>
      <c r="Y417" s="12">
        <f>IF(tblOrdenes[[#This Row],[fecha_inicio]]="","",TODAY()-tblOrdenes[[#This Row],[fecha_inicio]])</f>
        <v/>
      </c>
      <c r="Z417" s="3">
        <f>IF(tblOrdenes[[#This Row],[backlog_dias]]="","",IF(tblOrdenes[[#This Row],[backlog_dias]]&lt;0,"FUTURO",IF(tblOrdenes[[#This Row],[backlog_dias]]&gt;p_dias_backlog_max,"BACKLOG","MES CORRIENTE")))</f>
        <v/>
      </c>
      <c r="AA417" s="3">
        <f>IF(tblOrdenes[[#This Row],[backlog_dias]]="",FALSE,AND(tblOrdenes[[#This Row],[backlog_dias]]&gt;p_dias_backlog_min,tblOrdenes[[#This Row],[backlog_dias]]&lt;=p_dias_backlog_max))</f>
        <v/>
      </c>
      <c r="AB417" s="6" t="n"/>
      <c r="AC4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7" s="10">
        <f>IF(tblOrdenes[[#This Row],[orden]]="","",_xlfn.XLOOKUP(tblOrdenes[[#This Row],[id_operacion]],tblEjecucion[id_operacion],tblEjecucion[precio],0))</f>
        <v/>
      </c>
      <c r="AG417" s="10">
        <f>IF(tblOrdenes[[#This Row],[orden]]="","",MAX(0,_xlfn.XLOOKUP(tblOrdenes[[#This Row],[id_operacion]],tblEjecucion[id_operacion],tblEjecucion[costo_plan_total],0)-tblOrdenes[[#This Row],[costo_servicio]]))</f>
        <v/>
      </c>
      <c r="AH417" s="10">
        <f>IF(tblOrdenes[[#This Row],[orden]]="","",tblOrdenes[[#This Row],[costo_servicio]]+tblOrdenes[[#This Row],[costo_materiales]])</f>
        <v/>
      </c>
      <c r="AI417" s="6" t="n"/>
      <c r="AJ417" s="6" t="n"/>
      <c r="AK417" s="6" t="n"/>
      <c r="AL417" s="3">
        <f>IF(tblOrdenes[[#This Row],[link_checklist]]="","",HYPERLINK(p_ruta_base_checklists&amp;tblOrdenes[[#This Row],[link_checklist]],"abrir"))</f>
        <v/>
      </c>
      <c r="AM417" s="6" t="n"/>
      <c r="AN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Row],[tipo_ot]]="","",_xlfn.XLOOKUP(tblOrdenes[[#This Row],[tipo_ot]],tblTiposOT[codigo],tblTiposOT[clasificacion],"sin_clasificar"))</f>
        <v/>
      </c>
      <c r="T418" s="3">
        <f>IF(tblOrdenes[[#This Row],[centro_costo]]="","",_xlfn.XLOOKUP(tblOrdenes[[#This Row],[centro_costo]],tblCECO[codigo],tblCECO[linea],"(sin catálogo)"))</f>
        <v/>
      </c>
      <c r="U418" s="3">
        <f>IF(tblOrdenes[[#This Row],[centro_costo]]="","",_xlfn.XLOOKUP(tblOrdenes[[#This Row],[centro_costo]],tblCECO[codigo],tblCECO[area],"(sin catálogo)"))</f>
        <v/>
      </c>
      <c r="V418" s="3">
        <f>IF(tblOrdenes[[#This Row],[centro_costo]]="","",_xlfn.XLOOKUP(tblOrdenes[[#This Row],[centro_costo]],tblCECO[codigo],tblCECO[coordinador],"(sin catálogo)"))</f>
        <v/>
      </c>
      <c r="W418" s="3">
        <f>IF(tblOrdenes[[#This Row],[puesto_trabajo]]="","",_xlfn.XLOOKUP(tblOrdenes[[#This Row],[puesto_trabajo]],tblPuestos[codigo],tblPuestos[especialidad],"(sin catálogo)"))</f>
        <v/>
      </c>
      <c r="X418" s="3">
        <f>IF(tblOrdenes[[#This Row],[cod_actividad]]="","",_xlfn.XLOOKUP(tblOrdenes[[#This Row],[cod_actividad]],tblActividades[codigo],tblActividades[descripcion],"(sin catálogo)"))</f>
        <v/>
      </c>
      <c r="Y418" s="12">
        <f>IF(tblOrdenes[[#This Row],[fecha_inicio]]="","",TODAY()-tblOrdenes[[#This Row],[fecha_inicio]])</f>
        <v/>
      </c>
      <c r="Z418" s="3">
        <f>IF(tblOrdenes[[#This Row],[backlog_dias]]="","",IF(tblOrdenes[[#This Row],[backlog_dias]]&lt;0,"FUTURO",IF(tblOrdenes[[#This Row],[backlog_dias]]&gt;p_dias_backlog_max,"BACKLOG","MES CORRIENTE")))</f>
        <v/>
      </c>
      <c r="AA418" s="3">
        <f>IF(tblOrdenes[[#This Row],[backlog_dias]]="",FALSE,AND(tblOrdenes[[#This Row],[backlog_dias]]&gt;p_dias_backlog_min,tblOrdenes[[#This Row],[backlog_dias]]&lt;=p_dias_backlog_max))</f>
        <v/>
      </c>
      <c r="AB418" s="6" t="n"/>
      <c r="AC4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8" s="10">
        <f>IF(tblOrdenes[[#This Row],[orden]]="","",_xlfn.XLOOKUP(tblOrdenes[[#This Row],[id_operacion]],tblEjecucion[id_operacion],tblEjecucion[precio],0))</f>
        <v/>
      </c>
      <c r="AG418" s="10">
        <f>IF(tblOrdenes[[#This Row],[orden]]="","",MAX(0,_xlfn.XLOOKUP(tblOrdenes[[#This Row],[id_operacion]],tblEjecucion[id_operacion],tblEjecucion[costo_plan_total],0)-tblOrdenes[[#This Row],[costo_servicio]]))</f>
        <v/>
      </c>
      <c r="AH418" s="10">
        <f>IF(tblOrdenes[[#This Row],[orden]]="","",tblOrdenes[[#This Row],[costo_servicio]]+tblOrdenes[[#This Row],[costo_materiales]])</f>
        <v/>
      </c>
      <c r="AI418" s="6" t="n"/>
      <c r="AJ418" s="6" t="n"/>
      <c r="AK418" s="6" t="n"/>
      <c r="AL418" s="3">
        <f>IF(tblOrdenes[[#This Row],[link_checklist]]="","",HYPERLINK(p_ruta_base_checklists&amp;tblOrdenes[[#This Row],[link_checklist]],"abrir"))</f>
        <v/>
      </c>
      <c r="AM418" s="6" t="n"/>
      <c r="AN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Row],[tipo_ot]]="","",_xlfn.XLOOKUP(tblOrdenes[[#This Row],[tipo_ot]],tblTiposOT[codigo],tblTiposOT[clasificacion],"sin_clasificar"))</f>
        <v/>
      </c>
      <c r="T419" s="3">
        <f>IF(tblOrdenes[[#This Row],[centro_costo]]="","",_xlfn.XLOOKUP(tblOrdenes[[#This Row],[centro_costo]],tblCECO[codigo],tblCECO[linea],"(sin catálogo)"))</f>
        <v/>
      </c>
      <c r="U419" s="3">
        <f>IF(tblOrdenes[[#This Row],[centro_costo]]="","",_xlfn.XLOOKUP(tblOrdenes[[#This Row],[centro_costo]],tblCECO[codigo],tblCECO[area],"(sin catálogo)"))</f>
        <v/>
      </c>
      <c r="V419" s="3">
        <f>IF(tblOrdenes[[#This Row],[centro_costo]]="","",_xlfn.XLOOKUP(tblOrdenes[[#This Row],[centro_costo]],tblCECO[codigo],tblCECO[coordinador],"(sin catálogo)"))</f>
        <v/>
      </c>
      <c r="W419" s="3">
        <f>IF(tblOrdenes[[#This Row],[puesto_trabajo]]="","",_xlfn.XLOOKUP(tblOrdenes[[#This Row],[puesto_trabajo]],tblPuestos[codigo],tblPuestos[especialidad],"(sin catálogo)"))</f>
        <v/>
      </c>
      <c r="X419" s="3">
        <f>IF(tblOrdenes[[#This Row],[cod_actividad]]="","",_xlfn.XLOOKUP(tblOrdenes[[#This Row],[cod_actividad]],tblActividades[codigo],tblActividades[descripcion],"(sin catálogo)"))</f>
        <v/>
      </c>
      <c r="Y419" s="12">
        <f>IF(tblOrdenes[[#This Row],[fecha_inicio]]="","",TODAY()-tblOrdenes[[#This Row],[fecha_inicio]])</f>
        <v/>
      </c>
      <c r="Z419" s="3">
        <f>IF(tblOrdenes[[#This Row],[backlog_dias]]="","",IF(tblOrdenes[[#This Row],[backlog_dias]]&lt;0,"FUTURO",IF(tblOrdenes[[#This Row],[backlog_dias]]&gt;p_dias_backlog_max,"BACKLOG","MES CORRIENTE")))</f>
        <v/>
      </c>
      <c r="AA419" s="3">
        <f>IF(tblOrdenes[[#This Row],[backlog_dias]]="",FALSE,AND(tblOrdenes[[#This Row],[backlog_dias]]&gt;p_dias_backlog_min,tblOrdenes[[#This Row],[backlog_dias]]&lt;=p_dias_backlog_max))</f>
        <v/>
      </c>
      <c r="AB419" s="6" t="n"/>
      <c r="AC4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9" s="10">
        <f>IF(tblOrdenes[[#This Row],[orden]]="","",_xlfn.XLOOKUP(tblOrdenes[[#This Row],[id_operacion]],tblEjecucion[id_operacion],tblEjecucion[precio],0))</f>
        <v/>
      </c>
      <c r="AG419" s="10">
        <f>IF(tblOrdenes[[#This Row],[orden]]="","",MAX(0,_xlfn.XLOOKUP(tblOrdenes[[#This Row],[id_operacion]],tblEjecucion[id_operacion],tblEjecucion[costo_plan_total],0)-tblOrdenes[[#This Row],[costo_servicio]]))</f>
        <v/>
      </c>
      <c r="AH419" s="10">
        <f>IF(tblOrdenes[[#This Row],[orden]]="","",tblOrdenes[[#This Row],[costo_servicio]]+tblOrdenes[[#This Row],[costo_materiales]])</f>
        <v/>
      </c>
      <c r="AI419" s="6" t="n"/>
      <c r="AJ419" s="6" t="n"/>
      <c r="AK419" s="6" t="n"/>
      <c r="AL419" s="3">
        <f>IF(tblOrdenes[[#This Row],[link_checklist]]="","",HYPERLINK(p_ruta_base_checklists&amp;tblOrdenes[[#This Row],[link_checklist]],"abrir"))</f>
        <v/>
      </c>
      <c r="AM419" s="6" t="n"/>
      <c r="AN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Row],[tipo_ot]]="","",_xlfn.XLOOKUP(tblOrdenes[[#This Row],[tipo_ot]],tblTiposOT[codigo],tblTiposOT[clasificacion],"sin_clasificar"))</f>
        <v/>
      </c>
      <c r="T420" s="3">
        <f>IF(tblOrdenes[[#This Row],[centro_costo]]="","",_xlfn.XLOOKUP(tblOrdenes[[#This Row],[centro_costo]],tblCECO[codigo],tblCECO[linea],"(sin catálogo)"))</f>
        <v/>
      </c>
      <c r="U420" s="3">
        <f>IF(tblOrdenes[[#This Row],[centro_costo]]="","",_xlfn.XLOOKUP(tblOrdenes[[#This Row],[centro_costo]],tblCECO[codigo],tblCECO[area],"(sin catálogo)"))</f>
        <v/>
      </c>
      <c r="V420" s="3">
        <f>IF(tblOrdenes[[#This Row],[centro_costo]]="","",_xlfn.XLOOKUP(tblOrdenes[[#This Row],[centro_costo]],tblCECO[codigo],tblCECO[coordinador],"(sin catálogo)"))</f>
        <v/>
      </c>
      <c r="W420" s="3">
        <f>IF(tblOrdenes[[#This Row],[puesto_trabajo]]="","",_xlfn.XLOOKUP(tblOrdenes[[#This Row],[puesto_trabajo]],tblPuestos[codigo],tblPuestos[especialidad],"(sin catálogo)"))</f>
        <v/>
      </c>
      <c r="X420" s="3">
        <f>IF(tblOrdenes[[#This Row],[cod_actividad]]="","",_xlfn.XLOOKUP(tblOrdenes[[#This Row],[cod_actividad]],tblActividades[codigo],tblActividades[descripcion],"(sin catálogo)"))</f>
        <v/>
      </c>
      <c r="Y420" s="12">
        <f>IF(tblOrdenes[[#This Row],[fecha_inicio]]="","",TODAY()-tblOrdenes[[#This Row],[fecha_inicio]])</f>
        <v/>
      </c>
      <c r="Z420" s="3">
        <f>IF(tblOrdenes[[#This Row],[backlog_dias]]="","",IF(tblOrdenes[[#This Row],[backlog_dias]]&lt;0,"FUTURO",IF(tblOrdenes[[#This Row],[backlog_dias]]&gt;p_dias_backlog_max,"BACKLOG","MES CORRIENTE")))</f>
        <v/>
      </c>
      <c r="AA420" s="3">
        <f>IF(tblOrdenes[[#This Row],[backlog_dias]]="",FALSE,AND(tblOrdenes[[#This Row],[backlog_dias]]&gt;p_dias_backlog_min,tblOrdenes[[#This Row],[backlog_dias]]&lt;=p_dias_backlog_max))</f>
        <v/>
      </c>
      <c r="AB420" s="6" t="n"/>
      <c r="AC4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0" s="10">
        <f>IF(tblOrdenes[[#This Row],[orden]]="","",_xlfn.XLOOKUP(tblOrdenes[[#This Row],[id_operacion]],tblEjecucion[id_operacion],tblEjecucion[precio],0))</f>
        <v/>
      </c>
      <c r="AG420" s="10">
        <f>IF(tblOrdenes[[#This Row],[orden]]="","",MAX(0,_xlfn.XLOOKUP(tblOrdenes[[#This Row],[id_operacion]],tblEjecucion[id_operacion],tblEjecucion[costo_plan_total],0)-tblOrdenes[[#This Row],[costo_servicio]]))</f>
        <v/>
      </c>
      <c r="AH420" s="10">
        <f>IF(tblOrdenes[[#This Row],[orden]]="","",tblOrdenes[[#This Row],[costo_servicio]]+tblOrdenes[[#This Row],[costo_materiales]])</f>
        <v/>
      </c>
      <c r="AI420" s="6" t="n"/>
      <c r="AJ420" s="6" t="n"/>
      <c r="AK420" s="6" t="n"/>
      <c r="AL420" s="3">
        <f>IF(tblOrdenes[[#This Row],[link_checklist]]="","",HYPERLINK(p_ruta_base_checklists&amp;tblOrdenes[[#This Row],[link_checklist]],"abrir"))</f>
        <v/>
      </c>
      <c r="AM420" s="6" t="n"/>
      <c r="AN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Row],[tipo_ot]]="","",_xlfn.XLOOKUP(tblOrdenes[[#This Row],[tipo_ot]],tblTiposOT[codigo],tblTiposOT[clasificacion],"sin_clasificar"))</f>
        <v/>
      </c>
      <c r="T421" s="3">
        <f>IF(tblOrdenes[[#This Row],[centro_costo]]="","",_xlfn.XLOOKUP(tblOrdenes[[#This Row],[centro_costo]],tblCECO[codigo],tblCECO[linea],"(sin catálogo)"))</f>
        <v/>
      </c>
      <c r="U421" s="3">
        <f>IF(tblOrdenes[[#This Row],[centro_costo]]="","",_xlfn.XLOOKUP(tblOrdenes[[#This Row],[centro_costo]],tblCECO[codigo],tblCECO[area],"(sin catálogo)"))</f>
        <v/>
      </c>
      <c r="V421" s="3">
        <f>IF(tblOrdenes[[#This Row],[centro_costo]]="","",_xlfn.XLOOKUP(tblOrdenes[[#This Row],[centro_costo]],tblCECO[codigo],tblCECO[coordinador],"(sin catálogo)"))</f>
        <v/>
      </c>
      <c r="W421" s="3">
        <f>IF(tblOrdenes[[#This Row],[puesto_trabajo]]="","",_xlfn.XLOOKUP(tblOrdenes[[#This Row],[puesto_trabajo]],tblPuestos[codigo],tblPuestos[especialidad],"(sin catálogo)"))</f>
        <v/>
      </c>
      <c r="X421" s="3">
        <f>IF(tblOrdenes[[#This Row],[cod_actividad]]="","",_xlfn.XLOOKUP(tblOrdenes[[#This Row],[cod_actividad]],tblActividades[codigo],tblActividades[descripcion],"(sin catálogo)"))</f>
        <v/>
      </c>
      <c r="Y421" s="12">
        <f>IF(tblOrdenes[[#This Row],[fecha_inicio]]="","",TODAY()-tblOrdenes[[#This Row],[fecha_inicio]])</f>
        <v/>
      </c>
      <c r="Z421" s="3">
        <f>IF(tblOrdenes[[#This Row],[backlog_dias]]="","",IF(tblOrdenes[[#This Row],[backlog_dias]]&lt;0,"FUTURO",IF(tblOrdenes[[#This Row],[backlog_dias]]&gt;p_dias_backlog_max,"BACKLOG","MES CORRIENTE")))</f>
        <v/>
      </c>
      <c r="AA421" s="3">
        <f>IF(tblOrdenes[[#This Row],[backlog_dias]]="",FALSE,AND(tblOrdenes[[#This Row],[backlog_dias]]&gt;p_dias_backlog_min,tblOrdenes[[#This Row],[backlog_dias]]&lt;=p_dias_backlog_max))</f>
        <v/>
      </c>
      <c r="AB421" s="6" t="n"/>
      <c r="AC4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1" s="10">
        <f>IF(tblOrdenes[[#This Row],[orden]]="","",_xlfn.XLOOKUP(tblOrdenes[[#This Row],[id_operacion]],tblEjecucion[id_operacion],tblEjecucion[precio],0))</f>
        <v/>
      </c>
      <c r="AG421" s="10">
        <f>IF(tblOrdenes[[#This Row],[orden]]="","",MAX(0,_xlfn.XLOOKUP(tblOrdenes[[#This Row],[id_operacion]],tblEjecucion[id_operacion],tblEjecucion[costo_plan_total],0)-tblOrdenes[[#This Row],[costo_servicio]]))</f>
        <v/>
      </c>
      <c r="AH421" s="10">
        <f>IF(tblOrdenes[[#This Row],[orden]]="","",tblOrdenes[[#This Row],[costo_servicio]]+tblOrdenes[[#This Row],[costo_materiales]])</f>
        <v/>
      </c>
      <c r="AI421" s="6" t="n"/>
      <c r="AJ421" s="6" t="n"/>
      <c r="AK421" s="6" t="n"/>
      <c r="AL421" s="3">
        <f>IF(tblOrdenes[[#This Row],[link_checklist]]="","",HYPERLINK(p_ruta_base_checklists&amp;tblOrdenes[[#This Row],[link_checklist]],"abrir"))</f>
        <v/>
      </c>
      <c r="AM421" s="6" t="n"/>
      <c r="AN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Row],[tipo_ot]]="","",_xlfn.XLOOKUP(tblOrdenes[[#This Row],[tipo_ot]],tblTiposOT[codigo],tblTiposOT[clasificacion],"sin_clasificar"))</f>
        <v/>
      </c>
      <c r="T422" s="3">
        <f>IF(tblOrdenes[[#This Row],[centro_costo]]="","",_xlfn.XLOOKUP(tblOrdenes[[#This Row],[centro_costo]],tblCECO[codigo],tblCECO[linea],"(sin catálogo)"))</f>
        <v/>
      </c>
      <c r="U422" s="3">
        <f>IF(tblOrdenes[[#This Row],[centro_costo]]="","",_xlfn.XLOOKUP(tblOrdenes[[#This Row],[centro_costo]],tblCECO[codigo],tblCECO[area],"(sin catálogo)"))</f>
        <v/>
      </c>
      <c r="V422" s="3">
        <f>IF(tblOrdenes[[#This Row],[centro_costo]]="","",_xlfn.XLOOKUP(tblOrdenes[[#This Row],[centro_costo]],tblCECO[codigo],tblCECO[coordinador],"(sin catálogo)"))</f>
        <v/>
      </c>
      <c r="W422" s="3">
        <f>IF(tblOrdenes[[#This Row],[puesto_trabajo]]="","",_xlfn.XLOOKUP(tblOrdenes[[#This Row],[puesto_trabajo]],tblPuestos[codigo],tblPuestos[especialidad],"(sin catálogo)"))</f>
        <v/>
      </c>
      <c r="X422" s="3">
        <f>IF(tblOrdenes[[#This Row],[cod_actividad]]="","",_xlfn.XLOOKUP(tblOrdenes[[#This Row],[cod_actividad]],tblActividades[codigo],tblActividades[descripcion],"(sin catálogo)"))</f>
        <v/>
      </c>
      <c r="Y422" s="12">
        <f>IF(tblOrdenes[[#This Row],[fecha_inicio]]="","",TODAY()-tblOrdenes[[#This Row],[fecha_inicio]])</f>
        <v/>
      </c>
      <c r="Z422" s="3">
        <f>IF(tblOrdenes[[#This Row],[backlog_dias]]="","",IF(tblOrdenes[[#This Row],[backlog_dias]]&lt;0,"FUTURO",IF(tblOrdenes[[#This Row],[backlog_dias]]&gt;p_dias_backlog_max,"BACKLOG","MES CORRIENTE")))</f>
        <v/>
      </c>
      <c r="AA422" s="3">
        <f>IF(tblOrdenes[[#This Row],[backlog_dias]]="",FALSE,AND(tblOrdenes[[#This Row],[backlog_dias]]&gt;p_dias_backlog_min,tblOrdenes[[#This Row],[backlog_dias]]&lt;=p_dias_backlog_max))</f>
        <v/>
      </c>
      <c r="AB422" s="6" t="n"/>
      <c r="AC4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2" s="10">
        <f>IF(tblOrdenes[[#This Row],[orden]]="","",_xlfn.XLOOKUP(tblOrdenes[[#This Row],[id_operacion]],tblEjecucion[id_operacion],tblEjecucion[precio],0))</f>
        <v/>
      </c>
      <c r="AG422" s="10">
        <f>IF(tblOrdenes[[#This Row],[orden]]="","",MAX(0,_xlfn.XLOOKUP(tblOrdenes[[#This Row],[id_operacion]],tblEjecucion[id_operacion],tblEjecucion[costo_plan_total],0)-tblOrdenes[[#This Row],[costo_servicio]]))</f>
        <v/>
      </c>
      <c r="AH422" s="10">
        <f>IF(tblOrdenes[[#This Row],[orden]]="","",tblOrdenes[[#This Row],[costo_servicio]]+tblOrdenes[[#This Row],[costo_materiales]])</f>
        <v/>
      </c>
      <c r="AI422" s="6" t="n"/>
      <c r="AJ422" s="6" t="n"/>
      <c r="AK422" s="6" t="n"/>
      <c r="AL422" s="3">
        <f>IF(tblOrdenes[[#This Row],[link_checklist]]="","",HYPERLINK(p_ruta_base_checklists&amp;tblOrdenes[[#This Row],[link_checklist]],"abrir"))</f>
        <v/>
      </c>
      <c r="AM422" s="6" t="n"/>
      <c r="AN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Row],[tipo_ot]]="","",_xlfn.XLOOKUP(tblOrdenes[[#This Row],[tipo_ot]],tblTiposOT[codigo],tblTiposOT[clasificacion],"sin_clasificar"))</f>
        <v/>
      </c>
      <c r="T423" s="3">
        <f>IF(tblOrdenes[[#This Row],[centro_costo]]="","",_xlfn.XLOOKUP(tblOrdenes[[#This Row],[centro_costo]],tblCECO[codigo],tblCECO[linea],"(sin catálogo)"))</f>
        <v/>
      </c>
      <c r="U423" s="3">
        <f>IF(tblOrdenes[[#This Row],[centro_costo]]="","",_xlfn.XLOOKUP(tblOrdenes[[#This Row],[centro_costo]],tblCECO[codigo],tblCECO[area],"(sin catálogo)"))</f>
        <v/>
      </c>
      <c r="V423" s="3">
        <f>IF(tblOrdenes[[#This Row],[centro_costo]]="","",_xlfn.XLOOKUP(tblOrdenes[[#This Row],[centro_costo]],tblCECO[codigo],tblCECO[coordinador],"(sin catálogo)"))</f>
        <v/>
      </c>
      <c r="W423" s="3">
        <f>IF(tblOrdenes[[#This Row],[puesto_trabajo]]="","",_xlfn.XLOOKUP(tblOrdenes[[#This Row],[puesto_trabajo]],tblPuestos[codigo],tblPuestos[especialidad],"(sin catálogo)"))</f>
        <v/>
      </c>
      <c r="X423" s="3">
        <f>IF(tblOrdenes[[#This Row],[cod_actividad]]="","",_xlfn.XLOOKUP(tblOrdenes[[#This Row],[cod_actividad]],tblActividades[codigo],tblActividades[descripcion],"(sin catálogo)"))</f>
        <v/>
      </c>
      <c r="Y423" s="12">
        <f>IF(tblOrdenes[[#This Row],[fecha_inicio]]="","",TODAY()-tblOrdenes[[#This Row],[fecha_inicio]])</f>
        <v/>
      </c>
      <c r="Z423" s="3">
        <f>IF(tblOrdenes[[#This Row],[backlog_dias]]="","",IF(tblOrdenes[[#This Row],[backlog_dias]]&lt;0,"FUTURO",IF(tblOrdenes[[#This Row],[backlog_dias]]&gt;p_dias_backlog_max,"BACKLOG","MES CORRIENTE")))</f>
        <v/>
      </c>
      <c r="AA423" s="3">
        <f>IF(tblOrdenes[[#This Row],[backlog_dias]]="",FALSE,AND(tblOrdenes[[#This Row],[backlog_dias]]&gt;p_dias_backlog_min,tblOrdenes[[#This Row],[backlog_dias]]&lt;=p_dias_backlog_max))</f>
        <v/>
      </c>
      <c r="AB423" s="6" t="n"/>
      <c r="AC4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3" s="10">
        <f>IF(tblOrdenes[[#This Row],[orden]]="","",_xlfn.XLOOKUP(tblOrdenes[[#This Row],[id_operacion]],tblEjecucion[id_operacion],tblEjecucion[precio],0))</f>
        <v/>
      </c>
      <c r="AG423" s="10">
        <f>IF(tblOrdenes[[#This Row],[orden]]="","",MAX(0,_xlfn.XLOOKUP(tblOrdenes[[#This Row],[id_operacion]],tblEjecucion[id_operacion],tblEjecucion[costo_plan_total],0)-tblOrdenes[[#This Row],[costo_servicio]]))</f>
        <v/>
      </c>
      <c r="AH423" s="10">
        <f>IF(tblOrdenes[[#This Row],[orden]]="","",tblOrdenes[[#This Row],[costo_servicio]]+tblOrdenes[[#This Row],[costo_materiales]])</f>
        <v/>
      </c>
      <c r="AI423" s="6" t="n"/>
      <c r="AJ423" s="6" t="n"/>
      <c r="AK423" s="6" t="n"/>
      <c r="AL423" s="3">
        <f>IF(tblOrdenes[[#This Row],[link_checklist]]="","",HYPERLINK(p_ruta_base_checklists&amp;tblOrdenes[[#This Row],[link_checklist]],"abrir"))</f>
        <v/>
      </c>
      <c r="AM423" s="6" t="n"/>
      <c r="AN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Row],[tipo_ot]]="","",_xlfn.XLOOKUP(tblOrdenes[[#This Row],[tipo_ot]],tblTiposOT[codigo],tblTiposOT[clasificacion],"sin_clasificar"))</f>
        <v/>
      </c>
      <c r="T424" s="3">
        <f>IF(tblOrdenes[[#This Row],[centro_costo]]="","",_xlfn.XLOOKUP(tblOrdenes[[#This Row],[centro_costo]],tblCECO[codigo],tblCECO[linea],"(sin catálogo)"))</f>
        <v/>
      </c>
      <c r="U424" s="3">
        <f>IF(tblOrdenes[[#This Row],[centro_costo]]="","",_xlfn.XLOOKUP(tblOrdenes[[#This Row],[centro_costo]],tblCECO[codigo],tblCECO[area],"(sin catálogo)"))</f>
        <v/>
      </c>
      <c r="V424" s="3">
        <f>IF(tblOrdenes[[#This Row],[centro_costo]]="","",_xlfn.XLOOKUP(tblOrdenes[[#This Row],[centro_costo]],tblCECO[codigo],tblCECO[coordinador],"(sin catálogo)"))</f>
        <v/>
      </c>
      <c r="W424" s="3">
        <f>IF(tblOrdenes[[#This Row],[puesto_trabajo]]="","",_xlfn.XLOOKUP(tblOrdenes[[#This Row],[puesto_trabajo]],tblPuestos[codigo],tblPuestos[especialidad],"(sin catálogo)"))</f>
        <v/>
      </c>
      <c r="X424" s="3">
        <f>IF(tblOrdenes[[#This Row],[cod_actividad]]="","",_xlfn.XLOOKUP(tblOrdenes[[#This Row],[cod_actividad]],tblActividades[codigo],tblActividades[descripcion],"(sin catálogo)"))</f>
        <v/>
      </c>
      <c r="Y424" s="12">
        <f>IF(tblOrdenes[[#This Row],[fecha_inicio]]="","",TODAY()-tblOrdenes[[#This Row],[fecha_inicio]])</f>
        <v/>
      </c>
      <c r="Z424" s="3">
        <f>IF(tblOrdenes[[#This Row],[backlog_dias]]="","",IF(tblOrdenes[[#This Row],[backlog_dias]]&lt;0,"FUTURO",IF(tblOrdenes[[#This Row],[backlog_dias]]&gt;p_dias_backlog_max,"BACKLOG","MES CORRIENTE")))</f>
        <v/>
      </c>
      <c r="AA424" s="3">
        <f>IF(tblOrdenes[[#This Row],[backlog_dias]]="",FALSE,AND(tblOrdenes[[#This Row],[backlog_dias]]&gt;p_dias_backlog_min,tblOrdenes[[#This Row],[backlog_dias]]&lt;=p_dias_backlog_max))</f>
        <v/>
      </c>
      <c r="AB424" s="6" t="n"/>
      <c r="AC4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4" s="10">
        <f>IF(tblOrdenes[[#This Row],[orden]]="","",_xlfn.XLOOKUP(tblOrdenes[[#This Row],[id_operacion]],tblEjecucion[id_operacion],tblEjecucion[precio],0))</f>
        <v/>
      </c>
      <c r="AG424" s="10">
        <f>IF(tblOrdenes[[#This Row],[orden]]="","",MAX(0,_xlfn.XLOOKUP(tblOrdenes[[#This Row],[id_operacion]],tblEjecucion[id_operacion],tblEjecucion[costo_plan_total],0)-tblOrdenes[[#This Row],[costo_servicio]]))</f>
        <v/>
      </c>
      <c r="AH424" s="10">
        <f>IF(tblOrdenes[[#This Row],[orden]]="","",tblOrdenes[[#This Row],[costo_servicio]]+tblOrdenes[[#This Row],[costo_materiales]])</f>
        <v/>
      </c>
      <c r="AI424" s="6" t="n"/>
      <c r="AJ424" s="6" t="n"/>
      <c r="AK424" s="6" t="n"/>
      <c r="AL424" s="3">
        <f>IF(tblOrdenes[[#This Row],[link_checklist]]="","",HYPERLINK(p_ruta_base_checklists&amp;tblOrdenes[[#This Row],[link_checklist]],"abrir"))</f>
        <v/>
      </c>
      <c r="AM424" s="6" t="n"/>
      <c r="AN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Row],[tipo_ot]]="","",_xlfn.XLOOKUP(tblOrdenes[[#This Row],[tipo_ot]],tblTiposOT[codigo],tblTiposOT[clasificacion],"sin_clasificar"))</f>
        <v/>
      </c>
      <c r="T425" s="3">
        <f>IF(tblOrdenes[[#This Row],[centro_costo]]="","",_xlfn.XLOOKUP(tblOrdenes[[#This Row],[centro_costo]],tblCECO[codigo],tblCECO[linea],"(sin catálogo)"))</f>
        <v/>
      </c>
      <c r="U425" s="3">
        <f>IF(tblOrdenes[[#This Row],[centro_costo]]="","",_xlfn.XLOOKUP(tblOrdenes[[#This Row],[centro_costo]],tblCECO[codigo],tblCECO[area],"(sin catálogo)"))</f>
        <v/>
      </c>
      <c r="V425" s="3">
        <f>IF(tblOrdenes[[#This Row],[centro_costo]]="","",_xlfn.XLOOKUP(tblOrdenes[[#This Row],[centro_costo]],tblCECO[codigo],tblCECO[coordinador],"(sin catálogo)"))</f>
        <v/>
      </c>
      <c r="W425" s="3">
        <f>IF(tblOrdenes[[#This Row],[puesto_trabajo]]="","",_xlfn.XLOOKUP(tblOrdenes[[#This Row],[puesto_trabajo]],tblPuestos[codigo],tblPuestos[especialidad],"(sin catálogo)"))</f>
        <v/>
      </c>
      <c r="X425" s="3">
        <f>IF(tblOrdenes[[#This Row],[cod_actividad]]="","",_xlfn.XLOOKUP(tblOrdenes[[#This Row],[cod_actividad]],tblActividades[codigo],tblActividades[descripcion],"(sin catálogo)"))</f>
        <v/>
      </c>
      <c r="Y425" s="12">
        <f>IF(tblOrdenes[[#This Row],[fecha_inicio]]="","",TODAY()-tblOrdenes[[#This Row],[fecha_inicio]])</f>
        <v/>
      </c>
      <c r="Z425" s="3">
        <f>IF(tblOrdenes[[#This Row],[backlog_dias]]="","",IF(tblOrdenes[[#This Row],[backlog_dias]]&lt;0,"FUTURO",IF(tblOrdenes[[#This Row],[backlog_dias]]&gt;p_dias_backlog_max,"BACKLOG","MES CORRIENTE")))</f>
        <v/>
      </c>
      <c r="AA425" s="3">
        <f>IF(tblOrdenes[[#This Row],[backlog_dias]]="",FALSE,AND(tblOrdenes[[#This Row],[backlog_dias]]&gt;p_dias_backlog_min,tblOrdenes[[#This Row],[backlog_dias]]&lt;=p_dias_backlog_max))</f>
        <v/>
      </c>
      <c r="AB425" s="6" t="n"/>
      <c r="AC4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5" s="10">
        <f>IF(tblOrdenes[[#This Row],[orden]]="","",_xlfn.XLOOKUP(tblOrdenes[[#This Row],[id_operacion]],tblEjecucion[id_operacion],tblEjecucion[precio],0))</f>
        <v/>
      </c>
      <c r="AG425" s="10">
        <f>IF(tblOrdenes[[#This Row],[orden]]="","",MAX(0,_xlfn.XLOOKUP(tblOrdenes[[#This Row],[id_operacion]],tblEjecucion[id_operacion],tblEjecucion[costo_plan_total],0)-tblOrdenes[[#This Row],[costo_servicio]]))</f>
        <v/>
      </c>
      <c r="AH425" s="10">
        <f>IF(tblOrdenes[[#This Row],[orden]]="","",tblOrdenes[[#This Row],[costo_servicio]]+tblOrdenes[[#This Row],[costo_materiales]])</f>
        <v/>
      </c>
      <c r="AI425" s="6" t="n"/>
      <c r="AJ425" s="6" t="n"/>
      <c r="AK425" s="6" t="n"/>
      <c r="AL425" s="3">
        <f>IF(tblOrdenes[[#This Row],[link_checklist]]="","",HYPERLINK(p_ruta_base_checklists&amp;tblOrdenes[[#This Row],[link_checklist]],"abrir"))</f>
        <v/>
      </c>
      <c r="AM425" s="6" t="n"/>
      <c r="AN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Row],[tipo_ot]]="","",_xlfn.XLOOKUP(tblOrdenes[[#This Row],[tipo_ot]],tblTiposOT[codigo],tblTiposOT[clasificacion],"sin_clasificar"))</f>
        <v/>
      </c>
      <c r="T426" s="3">
        <f>IF(tblOrdenes[[#This Row],[centro_costo]]="","",_xlfn.XLOOKUP(tblOrdenes[[#This Row],[centro_costo]],tblCECO[codigo],tblCECO[linea],"(sin catálogo)"))</f>
        <v/>
      </c>
      <c r="U426" s="3">
        <f>IF(tblOrdenes[[#This Row],[centro_costo]]="","",_xlfn.XLOOKUP(tblOrdenes[[#This Row],[centro_costo]],tblCECO[codigo],tblCECO[area],"(sin catálogo)"))</f>
        <v/>
      </c>
      <c r="V426" s="3">
        <f>IF(tblOrdenes[[#This Row],[centro_costo]]="","",_xlfn.XLOOKUP(tblOrdenes[[#This Row],[centro_costo]],tblCECO[codigo],tblCECO[coordinador],"(sin catálogo)"))</f>
        <v/>
      </c>
      <c r="W426" s="3">
        <f>IF(tblOrdenes[[#This Row],[puesto_trabajo]]="","",_xlfn.XLOOKUP(tblOrdenes[[#This Row],[puesto_trabajo]],tblPuestos[codigo],tblPuestos[especialidad],"(sin catálogo)"))</f>
        <v/>
      </c>
      <c r="X426" s="3">
        <f>IF(tblOrdenes[[#This Row],[cod_actividad]]="","",_xlfn.XLOOKUP(tblOrdenes[[#This Row],[cod_actividad]],tblActividades[codigo],tblActividades[descripcion],"(sin catálogo)"))</f>
        <v/>
      </c>
      <c r="Y426" s="12">
        <f>IF(tblOrdenes[[#This Row],[fecha_inicio]]="","",TODAY()-tblOrdenes[[#This Row],[fecha_inicio]])</f>
        <v/>
      </c>
      <c r="Z426" s="3">
        <f>IF(tblOrdenes[[#This Row],[backlog_dias]]="","",IF(tblOrdenes[[#This Row],[backlog_dias]]&lt;0,"FUTURO",IF(tblOrdenes[[#This Row],[backlog_dias]]&gt;p_dias_backlog_max,"BACKLOG","MES CORRIENTE")))</f>
        <v/>
      </c>
      <c r="AA426" s="3">
        <f>IF(tblOrdenes[[#This Row],[backlog_dias]]="",FALSE,AND(tblOrdenes[[#This Row],[backlog_dias]]&gt;p_dias_backlog_min,tblOrdenes[[#This Row],[backlog_dias]]&lt;=p_dias_backlog_max))</f>
        <v/>
      </c>
      <c r="AB426" s="6" t="n"/>
      <c r="AC4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6" s="10">
        <f>IF(tblOrdenes[[#This Row],[orden]]="","",_xlfn.XLOOKUP(tblOrdenes[[#This Row],[id_operacion]],tblEjecucion[id_operacion],tblEjecucion[precio],0))</f>
        <v/>
      </c>
      <c r="AG426" s="10">
        <f>IF(tblOrdenes[[#This Row],[orden]]="","",MAX(0,_xlfn.XLOOKUP(tblOrdenes[[#This Row],[id_operacion]],tblEjecucion[id_operacion],tblEjecucion[costo_plan_total],0)-tblOrdenes[[#This Row],[costo_servicio]]))</f>
        <v/>
      </c>
      <c r="AH426" s="10">
        <f>IF(tblOrdenes[[#This Row],[orden]]="","",tblOrdenes[[#This Row],[costo_servicio]]+tblOrdenes[[#This Row],[costo_materiales]])</f>
        <v/>
      </c>
      <c r="AI426" s="6" t="n"/>
      <c r="AJ426" s="6" t="n"/>
      <c r="AK426" s="6" t="n"/>
      <c r="AL426" s="3">
        <f>IF(tblOrdenes[[#This Row],[link_checklist]]="","",HYPERLINK(p_ruta_base_checklists&amp;tblOrdenes[[#This Row],[link_checklist]],"abrir"))</f>
        <v/>
      </c>
      <c r="AM426" s="6" t="n"/>
      <c r="AN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Row],[tipo_ot]]="","",_xlfn.XLOOKUP(tblOrdenes[[#This Row],[tipo_ot]],tblTiposOT[codigo],tblTiposOT[clasificacion],"sin_clasificar"))</f>
        <v/>
      </c>
      <c r="T427" s="3">
        <f>IF(tblOrdenes[[#This Row],[centro_costo]]="","",_xlfn.XLOOKUP(tblOrdenes[[#This Row],[centro_costo]],tblCECO[codigo],tblCECO[linea],"(sin catálogo)"))</f>
        <v/>
      </c>
      <c r="U427" s="3">
        <f>IF(tblOrdenes[[#This Row],[centro_costo]]="","",_xlfn.XLOOKUP(tblOrdenes[[#This Row],[centro_costo]],tblCECO[codigo],tblCECO[area],"(sin catálogo)"))</f>
        <v/>
      </c>
      <c r="V427" s="3">
        <f>IF(tblOrdenes[[#This Row],[centro_costo]]="","",_xlfn.XLOOKUP(tblOrdenes[[#This Row],[centro_costo]],tblCECO[codigo],tblCECO[coordinador],"(sin catálogo)"))</f>
        <v/>
      </c>
      <c r="W427" s="3">
        <f>IF(tblOrdenes[[#This Row],[puesto_trabajo]]="","",_xlfn.XLOOKUP(tblOrdenes[[#This Row],[puesto_trabajo]],tblPuestos[codigo],tblPuestos[especialidad],"(sin catálogo)"))</f>
        <v/>
      </c>
      <c r="X427" s="3">
        <f>IF(tblOrdenes[[#This Row],[cod_actividad]]="","",_xlfn.XLOOKUP(tblOrdenes[[#This Row],[cod_actividad]],tblActividades[codigo],tblActividades[descripcion],"(sin catálogo)"))</f>
        <v/>
      </c>
      <c r="Y427" s="12">
        <f>IF(tblOrdenes[[#This Row],[fecha_inicio]]="","",TODAY()-tblOrdenes[[#This Row],[fecha_inicio]])</f>
        <v/>
      </c>
      <c r="Z427" s="3">
        <f>IF(tblOrdenes[[#This Row],[backlog_dias]]="","",IF(tblOrdenes[[#This Row],[backlog_dias]]&lt;0,"FUTURO",IF(tblOrdenes[[#This Row],[backlog_dias]]&gt;p_dias_backlog_max,"BACKLOG","MES CORRIENTE")))</f>
        <v/>
      </c>
      <c r="AA427" s="3">
        <f>IF(tblOrdenes[[#This Row],[backlog_dias]]="",FALSE,AND(tblOrdenes[[#This Row],[backlog_dias]]&gt;p_dias_backlog_min,tblOrdenes[[#This Row],[backlog_dias]]&lt;=p_dias_backlog_max))</f>
        <v/>
      </c>
      <c r="AB427" s="6" t="n"/>
      <c r="AC4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7" s="10">
        <f>IF(tblOrdenes[[#This Row],[orden]]="","",_xlfn.XLOOKUP(tblOrdenes[[#This Row],[id_operacion]],tblEjecucion[id_operacion],tblEjecucion[precio],0))</f>
        <v/>
      </c>
      <c r="AG427" s="10">
        <f>IF(tblOrdenes[[#This Row],[orden]]="","",MAX(0,_xlfn.XLOOKUP(tblOrdenes[[#This Row],[id_operacion]],tblEjecucion[id_operacion],tblEjecucion[costo_plan_total],0)-tblOrdenes[[#This Row],[costo_servicio]]))</f>
        <v/>
      </c>
      <c r="AH427" s="10">
        <f>IF(tblOrdenes[[#This Row],[orden]]="","",tblOrdenes[[#This Row],[costo_servicio]]+tblOrdenes[[#This Row],[costo_materiales]])</f>
        <v/>
      </c>
      <c r="AI427" s="6" t="n"/>
      <c r="AJ427" s="6" t="n"/>
      <c r="AK427" s="6" t="n"/>
      <c r="AL427" s="3">
        <f>IF(tblOrdenes[[#This Row],[link_checklist]]="","",HYPERLINK(p_ruta_base_checklists&amp;tblOrdenes[[#This Row],[link_checklist]],"abrir"))</f>
        <v/>
      </c>
      <c r="AM427" s="6" t="n"/>
      <c r="AN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Row],[tipo_ot]]="","",_xlfn.XLOOKUP(tblOrdenes[[#This Row],[tipo_ot]],tblTiposOT[codigo],tblTiposOT[clasificacion],"sin_clasificar"))</f>
        <v/>
      </c>
      <c r="T428" s="3">
        <f>IF(tblOrdenes[[#This Row],[centro_costo]]="","",_xlfn.XLOOKUP(tblOrdenes[[#This Row],[centro_costo]],tblCECO[codigo],tblCECO[linea],"(sin catálogo)"))</f>
        <v/>
      </c>
      <c r="U428" s="3">
        <f>IF(tblOrdenes[[#This Row],[centro_costo]]="","",_xlfn.XLOOKUP(tblOrdenes[[#This Row],[centro_costo]],tblCECO[codigo],tblCECO[area],"(sin catálogo)"))</f>
        <v/>
      </c>
      <c r="V428" s="3">
        <f>IF(tblOrdenes[[#This Row],[centro_costo]]="","",_xlfn.XLOOKUP(tblOrdenes[[#This Row],[centro_costo]],tblCECO[codigo],tblCECO[coordinador],"(sin catálogo)"))</f>
        <v/>
      </c>
      <c r="W428" s="3">
        <f>IF(tblOrdenes[[#This Row],[puesto_trabajo]]="","",_xlfn.XLOOKUP(tblOrdenes[[#This Row],[puesto_trabajo]],tblPuestos[codigo],tblPuestos[especialidad],"(sin catálogo)"))</f>
        <v/>
      </c>
      <c r="X428" s="3">
        <f>IF(tblOrdenes[[#This Row],[cod_actividad]]="","",_xlfn.XLOOKUP(tblOrdenes[[#This Row],[cod_actividad]],tblActividades[codigo],tblActividades[descripcion],"(sin catálogo)"))</f>
        <v/>
      </c>
      <c r="Y428" s="12">
        <f>IF(tblOrdenes[[#This Row],[fecha_inicio]]="","",TODAY()-tblOrdenes[[#This Row],[fecha_inicio]])</f>
        <v/>
      </c>
      <c r="Z428" s="3">
        <f>IF(tblOrdenes[[#This Row],[backlog_dias]]="","",IF(tblOrdenes[[#This Row],[backlog_dias]]&lt;0,"FUTURO",IF(tblOrdenes[[#This Row],[backlog_dias]]&gt;p_dias_backlog_max,"BACKLOG","MES CORRIENTE")))</f>
        <v/>
      </c>
      <c r="AA428" s="3">
        <f>IF(tblOrdenes[[#This Row],[backlog_dias]]="",FALSE,AND(tblOrdenes[[#This Row],[backlog_dias]]&gt;p_dias_backlog_min,tblOrdenes[[#This Row],[backlog_dias]]&lt;=p_dias_backlog_max))</f>
        <v/>
      </c>
      <c r="AB428" s="6" t="n"/>
      <c r="AC4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8" s="10">
        <f>IF(tblOrdenes[[#This Row],[orden]]="","",_xlfn.XLOOKUP(tblOrdenes[[#This Row],[id_operacion]],tblEjecucion[id_operacion],tblEjecucion[precio],0))</f>
        <v/>
      </c>
      <c r="AG428" s="10">
        <f>IF(tblOrdenes[[#This Row],[orden]]="","",MAX(0,_xlfn.XLOOKUP(tblOrdenes[[#This Row],[id_operacion]],tblEjecucion[id_operacion],tblEjecucion[costo_plan_total],0)-tblOrdenes[[#This Row],[costo_servicio]]))</f>
        <v/>
      </c>
      <c r="AH428" s="10">
        <f>IF(tblOrdenes[[#This Row],[orden]]="","",tblOrdenes[[#This Row],[costo_servicio]]+tblOrdenes[[#This Row],[costo_materiales]])</f>
        <v/>
      </c>
      <c r="AI428" s="6" t="n"/>
      <c r="AJ428" s="6" t="n"/>
      <c r="AK428" s="6" t="n"/>
      <c r="AL428" s="3">
        <f>IF(tblOrdenes[[#This Row],[link_checklist]]="","",HYPERLINK(p_ruta_base_checklists&amp;tblOrdenes[[#This Row],[link_checklist]],"abrir"))</f>
        <v/>
      </c>
      <c r="AM428" s="6" t="n"/>
      <c r="AN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Row],[tipo_ot]]="","",_xlfn.XLOOKUP(tblOrdenes[[#This Row],[tipo_ot]],tblTiposOT[codigo],tblTiposOT[clasificacion],"sin_clasificar"))</f>
        <v/>
      </c>
      <c r="T429" s="3">
        <f>IF(tblOrdenes[[#This Row],[centro_costo]]="","",_xlfn.XLOOKUP(tblOrdenes[[#This Row],[centro_costo]],tblCECO[codigo],tblCECO[linea],"(sin catálogo)"))</f>
        <v/>
      </c>
      <c r="U429" s="3">
        <f>IF(tblOrdenes[[#This Row],[centro_costo]]="","",_xlfn.XLOOKUP(tblOrdenes[[#This Row],[centro_costo]],tblCECO[codigo],tblCECO[area],"(sin catálogo)"))</f>
        <v/>
      </c>
      <c r="V429" s="3">
        <f>IF(tblOrdenes[[#This Row],[centro_costo]]="","",_xlfn.XLOOKUP(tblOrdenes[[#This Row],[centro_costo]],tblCECO[codigo],tblCECO[coordinador],"(sin catálogo)"))</f>
        <v/>
      </c>
      <c r="W429" s="3">
        <f>IF(tblOrdenes[[#This Row],[puesto_trabajo]]="","",_xlfn.XLOOKUP(tblOrdenes[[#This Row],[puesto_trabajo]],tblPuestos[codigo],tblPuestos[especialidad],"(sin catálogo)"))</f>
        <v/>
      </c>
      <c r="X429" s="3">
        <f>IF(tblOrdenes[[#This Row],[cod_actividad]]="","",_xlfn.XLOOKUP(tblOrdenes[[#This Row],[cod_actividad]],tblActividades[codigo],tblActividades[descripcion],"(sin catálogo)"))</f>
        <v/>
      </c>
      <c r="Y429" s="12">
        <f>IF(tblOrdenes[[#This Row],[fecha_inicio]]="","",TODAY()-tblOrdenes[[#This Row],[fecha_inicio]])</f>
        <v/>
      </c>
      <c r="Z429" s="3">
        <f>IF(tblOrdenes[[#This Row],[backlog_dias]]="","",IF(tblOrdenes[[#This Row],[backlog_dias]]&lt;0,"FUTURO",IF(tblOrdenes[[#This Row],[backlog_dias]]&gt;p_dias_backlog_max,"BACKLOG","MES CORRIENTE")))</f>
        <v/>
      </c>
      <c r="AA429" s="3">
        <f>IF(tblOrdenes[[#This Row],[backlog_dias]]="",FALSE,AND(tblOrdenes[[#This Row],[backlog_dias]]&gt;p_dias_backlog_min,tblOrdenes[[#This Row],[backlog_dias]]&lt;=p_dias_backlog_max))</f>
        <v/>
      </c>
      <c r="AB429" s="6" t="n"/>
      <c r="AC4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9" s="10">
        <f>IF(tblOrdenes[[#This Row],[orden]]="","",_xlfn.XLOOKUP(tblOrdenes[[#This Row],[id_operacion]],tblEjecucion[id_operacion],tblEjecucion[precio],0))</f>
        <v/>
      </c>
      <c r="AG429" s="10">
        <f>IF(tblOrdenes[[#This Row],[orden]]="","",MAX(0,_xlfn.XLOOKUP(tblOrdenes[[#This Row],[id_operacion]],tblEjecucion[id_operacion],tblEjecucion[costo_plan_total],0)-tblOrdenes[[#This Row],[costo_servicio]]))</f>
        <v/>
      </c>
      <c r="AH429" s="10">
        <f>IF(tblOrdenes[[#This Row],[orden]]="","",tblOrdenes[[#This Row],[costo_servicio]]+tblOrdenes[[#This Row],[costo_materiales]])</f>
        <v/>
      </c>
      <c r="AI429" s="6" t="n"/>
      <c r="AJ429" s="6" t="n"/>
      <c r="AK429" s="6" t="n"/>
      <c r="AL429" s="3">
        <f>IF(tblOrdenes[[#This Row],[link_checklist]]="","",HYPERLINK(p_ruta_base_checklists&amp;tblOrdenes[[#This Row],[link_checklist]],"abrir"))</f>
        <v/>
      </c>
      <c r="AM429" s="6" t="n"/>
      <c r="AN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Row],[tipo_ot]]="","",_xlfn.XLOOKUP(tblOrdenes[[#This Row],[tipo_ot]],tblTiposOT[codigo],tblTiposOT[clasificacion],"sin_clasificar"))</f>
        <v/>
      </c>
      <c r="T430" s="3">
        <f>IF(tblOrdenes[[#This Row],[centro_costo]]="","",_xlfn.XLOOKUP(tblOrdenes[[#This Row],[centro_costo]],tblCECO[codigo],tblCECO[linea],"(sin catálogo)"))</f>
        <v/>
      </c>
      <c r="U430" s="3">
        <f>IF(tblOrdenes[[#This Row],[centro_costo]]="","",_xlfn.XLOOKUP(tblOrdenes[[#This Row],[centro_costo]],tblCECO[codigo],tblCECO[area],"(sin catálogo)"))</f>
        <v/>
      </c>
      <c r="V430" s="3">
        <f>IF(tblOrdenes[[#This Row],[centro_costo]]="","",_xlfn.XLOOKUP(tblOrdenes[[#This Row],[centro_costo]],tblCECO[codigo],tblCECO[coordinador],"(sin catálogo)"))</f>
        <v/>
      </c>
      <c r="W430" s="3">
        <f>IF(tblOrdenes[[#This Row],[puesto_trabajo]]="","",_xlfn.XLOOKUP(tblOrdenes[[#This Row],[puesto_trabajo]],tblPuestos[codigo],tblPuestos[especialidad],"(sin catálogo)"))</f>
        <v/>
      </c>
      <c r="X430" s="3">
        <f>IF(tblOrdenes[[#This Row],[cod_actividad]]="","",_xlfn.XLOOKUP(tblOrdenes[[#This Row],[cod_actividad]],tblActividades[codigo],tblActividades[descripcion],"(sin catálogo)"))</f>
        <v/>
      </c>
      <c r="Y430" s="12">
        <f>IF(tblOrdenes[[#This Row],[fecha_inicio]]="","",TODAY()-tblOrdenes[[#This Row],[fecha_inicio]])</f>
        <v/>
      </c>
      <c r="Z430" s="3">
        <f>IF(tblOrdenes[[#This Row],[backlog_dias]]="","",IF(tblOrdenes[[#This Row],[backlog_dias]]&lt;0,"FUTURO",IF(tblOrdenes[[#This Row],[backlog_dias]]&gt;p_dias_backlog_max,"BACKLOG","MES CORRIENTE")))</f>
        <v/>
      </c>
      <c r="AA430" s="3">
        <f>IF(tblOrdenes[[#This Row],[backlog_dias]]="",FALSE,AND(tblOrdenes[[#This Row],[backlog_dias]]&gt;p_dias_backlog_min,tblOrdenes[[#This Row],[backlog_dias]]&lt;=p_dias_backlog_max))</f>
        <v/>
      </c>
      <c r="AB430" s="6" t="n"/>
      <c r="AC4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0" s="10">
        <f>IF(tblOrdenes[[#This Row],[orden]]="","",_xlfn.XLOOKUP(tblOrdenes[[#This Row],[id_operacion]],tblEjecucion[id_operacion],tblEjecucion[precio],0))</f>
        <v/>
      </c>
      <c r="AG430" s="10">
        <f>IF(tblOrdenes[[#This Row],[orden]]="","",MAX(0,_xlfn.XLOOKUP(tblOrdenes[[#This Row],[id_operacion]],tblEjecucion[id_operacion],tblEjecucion[costo_plan_total],0)-tblOrdenes[[#This Row],[costo_servicio]]))</f>
        <v/>
      </c>
      <c r="AH430" s="10">
        <f>IF(tblOrdenes[[#This Row],[orden]]="","",tblOrdenes[[#This Row],[costo_servicio]]+tblOrdenes[[#This Row],[costo_materiales]])</f>
        <v/>
      </c>
      <c r="AI430" s="6" t="n"/>
      <c r="AJ430" s="6" t="n"/>
      <c r="AK430" s="6" t="n"/>
      <c r="AL430" s="3">
        <f>IF(tblOrdenes[[#This Row],[link_checklist]]="","",HYPERLINK(p_ruta_base_checklists&amp;tblOrdenes[[#This Row],[link_checklist]],"abrir"))</f>
        <v/>
      </c>
      <c r="AM430" s="6" t="n"/>
      <c r="AN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Row],[tipo_ot]]="","",_xlfn.XLOOKUP(tblOrdenes[[#This Row],[tipo_ot]],tblTiposOT[codigo],tblTiposOT[clasificacion],"sin_clasificar"))</f>
        <v/>
      </c>
      <c r="T431" s="3">
        <f>IF(tblOrdenes[[#This Row],[centro_costo]]="","",_xlfn.XLOOKUP(tblOrdenes[[#This Row],[centro_costo]],tblCECO[codigo],tblCECO[linea],"(sin catálogo)"))</f>
        <v/>
      </c>
      <c r="U431" s="3">
        <f>IF(tblOrdenes[[#This Row],[centro_costo]]="","",_xlfn.XLOOKUP(tblOrdenes[[#This Row],[centro_costo]],tblCECO[codigo],tblCECO[area],"(sin catálogo)"))</f>
        <v/>
      </c>
      <c r="V431" s="3">
        <f>IF(tblOrdenes[[#This Row],[centro_costo]]="","",_xlfn.XLOOKUP(tblOrdenes[[#This Row],[centro_costo]],tblCECO[codigo],tblCECO[coordinador],"(sin catálogo)"))</f>
        <v/>
      </c>
      <c r="W431" s="3">
        <f>IF(tblOrdenes[[#This Row],[puesto_trabajo]]="","",_xlfn.XLOOKUP(tblOrdenes[[#This Row],[puesto_trabajo]],tblPuestos[codigo],tblPuestos[especialidad],"(sin catálogo)"))</f>
        <v/>
      </c>
      <c r="X431" s="3">
        <f>IF(tblOrdenes[[#This Row],[cod_actividad]]="","",_xlfn.XLOOKUP(tblOrdenes[[#This Row],[cod_actividad]],tblActividades[codigo],tblActividades[descripcion],"(sin catálogo)"))</f>
        <v/>
      </c>
      <c r="Y431" s="12">
        <f>IF(tblOrdenes[[#This Row],[fecha_inicio]]="","",TODAY()-tblOrdenes[[#This Row],[fecha_inicio]])</f>
        <v/>
      </c>
      <c r="Z431" s="3">
        <f>IF(tblOrdenes[[#This Row],[backlog_dias]]="","",IF(tblOrdenes[[#This Row],[backlog_dias]]&lt;0,"FUTURO",IF(tblOrdenes[[#This Row],[backlog_dias]]&gt;p_dias_backlog_max,"BACKLOG","MES CORRIENTE")))</f>
        <v/>
      </c>
      <c r="AA431" s="3">
        <f>IF(tblOrdenes[[#This Row],[backlog_dias]]="",FALSE,AND(tblOrdenes[[#This Row],[backlog_dias]]&gt;p_dias_backlog_min,tblOrdenes[[#This Row],[backlog_dias]]&lt;=p_dias_backlog_max))</f>
        <v/>
      </c>
      <c r="AB431" s="6" t="n"/>
      <c r="AC4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1" s="10">
        <f>IF(tblOrdenes[[#This Row],[orden]]="","",_xlfn.XLOOKUP(tblOrdenes[[#This Row],[id_operacion]],tblEjecucion[id_operacion],tblEjecucion[precio],0))</f>
        <v/>
      </c>
      <c r="AG431" s="10">
        <f>IF(tblOrdenes[[#This Row],[orden]]="","",MAX(0,_xlfn.XLOOKUP(tblOrdenes[[#This Row],[id_operacion]],tblEjecucion[id_operacion],tblEjecucion[costo_plan_total],0)-tblOrdenes[[#This Row],[costo_servicio]]))</f>
        <v/>
      </c>
      <c r="AH431" s="10">
        <f>IF(tblOrdenes[[#This Row],[orden]]="","",tblOrdenes[[#This Row],[costo_servicio]]+tblOrdenes[[#This Row],[costo_materiales]])</f>
        <v/>
      </c>
      <c r="AI431" s="6" t="n"/>
      <c r="AJ431" s="6" t="n"/>
      <c r="AK431" s="6" t="n"/>
      <c r="AL431" s="3">
        <f>IF(tblOrdenes[[#This Row],[link_checklist]]="","",HYPERLINK(p_ruta_base_checklists&amp;tblOrdenes[[#This Row],[link_checklist]],"abrir"))</f>
        <v/>
      </c>
      <c r="AM431" s="6" t="n"/>
      <c r="AN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Row],[tipo_ot]]="","",_xlfn.XLOOKUP(tblOrdenes[[#This Row],[tipo_ot]],tblTiposOT[codigo],tblTiposOT[clasificacion],"sin_clasificar"))</f>
        <v/>
      </c>
      <c r="T432" s="3">
        <f>IF(tblOrdenes[[#This Row],[centro_costo]]="","",_xlfn.XLOOKUP(tblOrdenes[[#This Row],[centro_costo]],tblCECO[codigo],tblCECO[linea],"(sin catálogo)"))</f>
        <v/>
      </c>
      <c r="U432" s="3">
        <f>IF(tblOrdenes[[#This Row],[centro_costo]]="","",_xlfn.XLOOKUP(tblOrdenes[[#This Row],[centro_costo]],tblCECO[codigo],tblCECO[area],"(sin catálogo)"))</f>
        <v/>
      </c>
      <c r="V432" s="3">
        <f>IF(tblOrdenes[[#This Row],[centro_costo]]="","",_xlfn.XLOOKUP(tblOrdenes[[#This Row],[centro_costo]],tblCECO[codigo],tblCECO[coordinador],"(sin catálogo)"))</f>
        <v/>
      </c>
      <c r="W432" s="3">
        <f>IF(tblOrdenes[[#This Row],[puesto_trabajo]]="","",_xlfn.XLOOKUP(tblOrdenes[[#This Row],[puesto_trabajo]],tblPuestos[codigo],tblPuestos[especialidad],"(sin catálogo)"))</f>
        <v/>
      </c>
      <c r="X432" s="3">
        <f>IF(tblOrdenes[[#This Row],[cod_actividad]]="","",_xlfn.XLOOKUP(tblOrdenes[[#This Row],[cod_actividad]],tblActividades[codigo],tblActividades[descripcion],"(sin catálogo)"))</f>
        <v/>
      </c>
      <c r="Y432" s="12">
        <f>IF(tblOrdenes[[#This Row],[fecha_inicio]]="","",TODAY()-tblOrdenes[[#This Row],[fecha_inicio]])</f>
        <v/>
      </c>
      <c r="Z432" s="3">
        <f>IF(tblOrdenes[[#This Row],[backlog_dias]]="","",IF(tblOrdenes[[#This Row],[backlog_dias]]&lt;0,"FUTURO",IF(tblOrdenes[[#This Row],[backlog_dias]]&gt;p_dias_backlog_max,"BACKLOG","MES CORRIENTE")))</f>
        <v/>
      </c>
      <c r="AA432" s="3">
        <f>IF(tblOrdenes[[#This Row],[backlog_dias]]="",FALSE,AND(tblOrdenes[[#This Row],[backlog_dias]]&gt;p_dias_backlog_min,tblOrdenes[[#This Row],[backlog_dias]]&lt;=p_dias_backlog_max))</f>
        <v/>
      </c>
      <c r="AB432" s="6" t="n"/>
      <c r="AC4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2" s="10">
        <f>IF(tblOrdenes[[#This Row],[orden]]="","",_xlfn.XLOOKUP(tblOrdenes[[#This Row],[id_operacion]],tblEjecucion[id_operacion],tblEjecucion[precio],0))</f>
        <v/>
      </c>
      <c r="AG432" s="10">
        <f>IF(tblOrdenes[[#This Row],[orden]]="","",MAX(0,_xlfn.XLOOKUP(tblOrdenes[[#This Row],[id_operacion]],tblEjecucion[id_operacion],tblEjecucion[costo_plan_total],0)-tblOrdenes[[#This Row],[costo_servicio]]))</f>
        <v/>
      </c>
      <c r="AH432" s="10">
        <f>IF(tblOrdenes[[#This Row],[orden]]="","",tblOrdenes[[#This Row],[costo_servicio]]+tblOrdenes[[#This Row],[costo_materiales]])</f>
        <v/>
      </c>
      <c r="AI432" s="6" t="n"/>
      <c r="AJ432" s="6" t="n"/>
      <c r="AK432" s="6" t="n"/>
      <c r="AL432" s="3">
        <f>IF(tblOrdenes[[#This Row],[link_checklist]]="","",HYPERLINK(p_ruta_base_checklists&amp;tblOrdenes[[#This Row],[link_checklist]],"abrir"))</f>
        <v/>
      </c>
      <c r="AM432" s="6" t="n"/>
      <c r="AN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Row],[tipo_ot]]="","",_xlfn.XLOOKUP(tblOrdenes[[#This Row],[tipo_ot]],tblTiposOT[codigo],tblTiposOT[clasificacion],"sin_clasificar"))</f>
        <v/>
      </c>
      <c r="T433" s="3">
        <f>IF(tblOrdenes[[#This Row],[centro_costo]]="","",_xlfn.XLOOKUP(tblOrdenes[[#This Row],[centro_costo]],tblCECO[codigo],tblCECO[linea],"(sin catálogo)"))</f>
        <v/>
      </c>
      <c r="U433" s="3">
        <f>IF(tblOrdenes[[#This Row],[centro_costo]]="","",_xlfn.XLOOKUP(tblOrdenes[[#This Row],[centro_costo]],tblCECO[codigo],tblCECO[area],"(sin catálogo)"))</f>
        <v/>
      </c>
      <c r="V433" s="3">
        <f>IF(tblOrdenes[[#This Row],[centro_costo]]="","",_xlfn.XLOOKUP(tblOrdenes[[#This Row],[centro_costo]],tblCECO[codigo],tblCECO[coordinador],"(sin catálogo)"))</f>
        <v/>
      </c>
      <c r="W433" s="3">
        <f>IF(tblOrdenes[[#This Row],[puesto_trabajo]]="","",_xlfn.XLOOKUP(tblOrdenes[[#This Row],[puesto_trabajo]],tblPuestos[codigo],tblPuestos[especialidad],"(sin catálogo)"))</f>
        <v/>
      </c>
      <c r="X433" s="3">
        <f>IF(tblOrdenes[[#This Row],[cod_actividad]]="","",_xlfn.XLOOKUP(tblOrdenes[[#This Row],[cod_actividad]],tblActividades[codigo],tblActividades[descripcion],"(sin catálogo)"))</f>
        <v/>
      </c>
      <c r="Y433" s="12">
        <f>IF(tblOrdenes[[#This Row],[fecha_inicio]]="","",TODAY()-tblOrdenes[[#This Row],[fecha_inicio]])</f>
        <v/>
      </c>
      <c r="Z433" s="3">
        <f>IF(tblOrdenes[[#This Row],[backlog_dias]]="","",IF(tblOrdenes[[#This Row],[backlog_dias]]&lt;0,"FUTURO",IF(tblOrdenes[[#This Row],[backlog_dias]]&gt;p_dias_backlog_max,"BACKLOG","MES CORRIENTE")))</f>
        <v/>
      </c>
      <c r="AA433" s="3">
        <f>IF(tblOrdenes[[#This Row],[backlog_dias]]="",FALSE,AND(tblOrdenes[[#This Row],[backlog_dias]]&gt;p_dias_backlog_min,tblOrdenes[[#This Row],[backlog_dias]]&lt;=p_dias_backlog_max))</f>
        <v/>
      </c>
      <c r="AB433" s="6" t="n"/>
      <c r="AC4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3" s="10">
        <f>IF(tblOrdenes[[#This Row],[orden]]="","",_xlfn.XLOOKUP(tblOrdenes[[#This Row],[id_operacion]],tblEjecucion[id_operacion],tblEjecucion[precio],0))</f>
        <v/>
      </c>
      <c r="AG433" s="10">
        <f>IF(tblOrdenes[[#This Row],[orden]]="","",MAX(0,_xlfn.XLOOKUP(tblOrdenes[[#This Row],[id_operacion]],tblEjecucion[id_operacion],tblEjecucion[costo_plan_total],0)-tblOrdenes[[#This Row],[costo_servicio]]))</f>
        <v/>
      </c>
      <c r="AH433" s="10">
        <f>IF(tblOrdenes[[#This Row],[orden]]="","",tblOrdenes[[#This Row],[costo_servicio]]+tblOrdenes[[#This Row],[costo_materiales]])</f>
        <v/>
      </c>
      <c r="AI433" s="6" t="n"/>
      <c r="AJ433" s="6" t="n"/>
      <c r="AK433" s="6" t="n"/>
      <c r="AL433" s="3">
        <f>IF(tblOrdenes[[#This Row],[link_checklist]]="","",HYPERLINK(p_ruta_base_checklists&amp;tblOrdenes[[#This Row],[link_checklist]],"abrir"))</f>
        <v/>
      </c>
      <c r="AM433" s="6" t="n"/>
      <c r="AN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Row],[tipo_ot]]="","",_xlfn.XLOOKUP(tblOrdenes[[#This Row],[tipo_ot]],tblTiposOT[codigo],tblTiposOT[clasificacion],"sin_clasificar"))</f>
        <v/>
      </c>
      <c r="T434" s="3">
        <f>IF(tblOrdenes[[#This Row],[centro_costo]]="","",_xlfn.XLOOKUP(tblOrdenes[[#This Row],[centro_costo]],tblCECO[codigo],tblCECO[linea],"(sin catálogo)"))</f>
        <v/>
      </c>
      <c r="U434" s="3">
        <f>IF(tblOrdenes[[#This Row],[centro_costo]]="","",_xlfn.XLOOKUP(tblOrdenes[[#This Row],[centro_costo]],tblCECO[codigo],tblCECO[area],"(sin catálogo)"))</f>
        <v/>
      </c>
      <c r="V434" s="3">
        <f>IF(tblOrdenes[[#This Row],[centro_costo]]="","",_xlfn.XLOOKUP(tblOrdenes[[#This Row],[centro_costo]],tblCECO[codigo],tblCECO[coordinador],"(sin catálogo)"))</f>
        <v/>
      </c>
      <c r="W434" s="3">
        <f>IF(tblOrdenes[[#This Row],[puesto_trabajo]]="","",_xlfn.XLOOKUP(tblOrdenes[[#This Row],[puesto_trabajo]],tblPuestos[codigo],tblPuestos[especialidad],"(sin catálogo)"))</f>
        <v/>
      </c>
      <c r="X434" s="3">
        <f>IF(tblOrdenes[[#This Row],[cod_actividad]]="","",_xlfn.XLOOKUP(tblOrdenes[[#This Row],[cod_actividad]],tblActividades[codigo],tblActividades[descripcion],"(sin catálogo)"))</f>
        <v/>
      </c>
      <c r="Y434" s="12">
        <f>IF(tblOrdenes[[#This Row],[fecha_inicio]]="","",TODAY()-tblOrdenes[[#This Row],[fecha_inicio]])</f>
        <v/>
      </c>
      <c r="Z434" s="3">
        <f>IF(tblOrdenes[[#This Row],[backlog_dias]]="","",IF(tblOrdenes[[#This Row],[backlog_dias]]&lt;0,"FUTURO",IF(tblOrdenes[[#This Row],[backlog_dias]]&gt;p_dias_backlog_max,"BACKLOG","MES CORRIENTE")))</f>
        <v/>
      </c>
      <c r="AA434" s="3">
        <f>IF(tblOrdenes[[#This Row],[backlog_dias]]="",FALSE,AND(tblOrdenes[[#This Row],[backlog_dias]]&gt;p_dias_backlog_min,tblOrdenes[[#This Row],[backlog_dias]]&lt;=p_dias_backlog_max))</f>
        <v/>
      </c>
      <c r="AB434" s="6" t="n"/>
      <c r="AC4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4" s="10">
        <f>IF(tblOrdenes[[#This Row],[orden]]="","",_xlfn.XLOOKUP(tblOrdenes[[#This Row],[id_operacion]],tblEjecucion[id_operacion],tblEjecucion[precio],0))</f>
        <v/>
      </c>
      <c r="AG434" s="10">
        <f>IF(tblOrdenes[[#This Row],[orden]]="","",MAX(0,_xlfn.XLOOKUP(tblOrdenes[[#This Row],[id_operacion]],tblEjecucion[id_operacion],tblEjecucion[costo_plan_total],0)-tblOrdenes[[#This Row],[costo_servicio]]))</f>
        <v/>
      </c>
      <c r="AH434" s="10">
        <f>IF(tblOrdenes[[#This Row],[orden]]="","",tblOrdenes[[#This Row],[costo_servicio]]+tblOrdenes[[#This Row],[costo_materiales]])</f>
        <v/>
      </c>
      <c r="AI434" s="6" t="n"/>
      <c r="AJ434" s="6" t="n"/>
      <c r="AK434" s="6" t="n"/>
      <c r="AL434" s="3">
        <f>IF(tblOrdenes[[#This Row],[link_checklist]]="","",HYPERLINK(p_ruta_base_checklists&amp;tblOrdenes[[#This Row],[link_checklist]],"abrir"))</f>
        <v/>
      </c>
      <c r="AM434" s="6" t="n"/>
      <c r="AN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Row],[tipo_ot]]="","",_xlfn.XLOOKUP(tblOrdenes[[#This Row],[tipo_ot]],tblTiposOT[codigo],tblTiposOT[clasificacion],"sin_clasificar"))</f>
        <v/>
      </c>
      <c r="T435" s="3">
        <f>IF(tblOrdenes[[#This Row],[centro_costo]]="","",_xlfn.XLOOKUP(tblOrdenes[[#This Row],[centro_costo]],tblCECO[codigo],tblCECO[linea],"(sin catálogo)"))</f>
        <v/>
      </c>
      <c r="U435" s="3">
        <f>IF(tblOrdenes[[#This Row],[centro_costo]]="","",_xlfn.XLOOKUP(tblOrdenes[[#This Row],[centro_costo]],tblCECO[codigo],tblCECO[area],"(sin catálogo)"))</f>
        <v/>
      </c>
      <c r="V435" s="3">
        <f>IF(tblOrdenes[[#This Row],[centro_costo]]="","",_xlfn.XLOOKUP(tblOrdenes[[#This Row],[centro_costo]],tblCECO[codigo],tblCECO[coordinador],"(sin catálogo)"))</f>
        <v/>
      </c>
      <c r="W435" s="3">
        <f>IF(tblOrdenes[[#This Row],[puesto_trabajo]]="","",_xlfn.XLOOKUP(tblOrdenes[[#This Row],[puesto_trabajo]],tblPuestos[codigo],tblPuestos[especialidad],"(sin catálogo)"))</f>
        <v/>
      </c>
      <c r="X435" s="3">
        <f>IF(tblOrdenes[[#This Row],[cod_actividad]]="","",_xlfn.XLOOKUP(tblOrdenes[[#This Row],[cod_actividad]],tblActividades[codigo],tblActividades[descripcion],"(sin catálogo)"))</f>
        <v/>
      </c>
      <c r="Y435" s="12">
        <f>IF(tblOrdenes[[#This Row],[fecha_inicio]]="","",TODAY()-tblOrdenes[[#This Row],[fecha_inicio]])</f>
        <v/>
      </c>
      <c r="Z435" s="3">
        <f>IF(tblOrdenes[[#This Row],[backlog_dias]]="","",IF(tblOrdenes[[#This Row],[backlog_dias]]&lt;0,"FUTURO",IF(tblOrdenes[[#This Row],[backlog_dias]]&gt;p_dias_backlog_max,"BACKLOG","MES CORRIENTE")))</f>
        <v/>
      </c>
      <c r="AA435" s="3">
        <f>IF(tblOrdenes[[#This Row],[backlog_dias]]="",FALSE,AND(tblOrdenes[[#This Row],[backlog_dias]]&gt;p_dias_backlog_min,tblOrdenes[[#This Row],[backlog_dias]]&lt;=p_dias_backlog_max))</f>
        <v/>
      </c>
      <c r="AB435" s="6" t="n"/>
      <c r="AC4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5" s="10">
        <f>IF(tblOrdenes[[#This Row],[orden]]="","",_xlfn.XLOOKUP(tblOrdenes[[#This Row],[id_operacion]],tblEjecucion[id_operacion],tblEjecucion[precio],0))</f>
        <v/>
      </c>
      <c r="AG435" s="10">
        <f>IF(tblOrdenes[[#This Row],[orden]]="","",MAX(0,_xlfn.XLOOKUP(tblOrdenes[[#This Row],[id_operacion]],tblEjecucion[id_operacion],tblEjecucion[costo_plan_total],0)-tblOrdenes[[#This Row],[costo_servicio]]))</f>
        <v/>
      </c>
      <c r="AH435" s="10">
        <f>IF(tblOrdenes[[#This Row],[orden]]="","",tblOrdenes[[#This Row],[costo_servicio]]+tblOrdenes[[#This Row],[costo_materiales]])</f>
        <v/>
      </c>
      <c r="AI435" s="6" t="n"/>
      <c r="AJ435" s="6" t="n"/>
      <c r="AK435" s="6" t="n"/>
      <c r="AL435" s="3">
        <f>IF(tblOrdenes[[#This Row],[link_checklist]]="","",HYPERLINK(p_ruta_base_checklists&amp;tblOrdenes[[#This Row],[link_checklist]],"abrir"))</f>
        <v/>
      </c>
      <c r="AM435" s="6" t="n"/>
      <c r="AN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Row],[tipo_ot]]="","",_xlfn.XLOOKUP(tblOrdenes[[#This Row],[tipo_ot]],tblTiposOT[codigo],tblTiposOT[clasificacion],"sin_clasificar"))</f>
        <v/>
      </c>
      <c r="T436" s="3">
        <f>IF(tblOrdenes[[#This Row],[centro_costo]]="","",_xlfn.XLOOKUP(tblOrdenes[[#This Row],[centro_costo]],tblCECO[codigo],tblCECO[linea],"(sin catálogo)"))</f>
        <v/>
      </c>
      <c r="U436" s="3">
        <f>IF(tblOrdenes[[#This Row],[centro_costo]]="","",_xlfn.XLOOKUP(tblOrdenes[[#This Row],[centro_costo]],tblCECO[codigo],tblCECO[area],"(sin catálogo)"))</f>
        <v/>
      </c>
      <c r="V436" s="3">
        <f>IF(tblOrdenes[[#This Row],[centro_costo]]="","",_xlfn.XLOOKUP(tblOrdenes[[#This Row],[centro_costo]],tblCECO[codigo],tblCECO[coordinador],"(sin catálogo)"))</f>
        <v/>
      </c>
      <c r="W436" s="3">
        <f>IF(tblOrdenes[[#This Row],[puesto_trabajo]]="","",_xlfn.XLOOKUP(tblOrdenes[[#This Row],[puesto_trabajo]],tblPuestos[codigo],tblPuestos[especialidad],"(sin catálogo)"))</f>
        <v/>
      </c>
      <c r="X436" s="3">
        <f>IF(tblOrdenes[[#This Row],[cod_actividad]]="","",_xlfn.XLOOKUP(tblOrdenes[[#This Row],[cod_actividad]],tblActividades[codigo],tblActividades[descripcion],"(sin catálogo)"))</f>
        <v/>
      </c>
      <c r="Y436" s="12">
        <f>IF(tblOrdenes[[#This Row],[fecha_inicio]]="","",TODAY()-tblOrdenes[[#This Row],[fecha_inicio]])</f>
        <v/>
      </c>
      <c r="Z436" s="3">
        <f>IF(tblOrdenes[[#This Row],[backlog_dias]]="","",IF(tblOrdenes[[#This Row],[backlog_dias]]&lt;0,"FUTURO",IF(tblOrdenes[[#This Row],[backlog_dias]]&gt;p_dias_backlog_max,"BACKLOG","MES CORRIENTE")))</f>
        <v/>
      </c>
      <c r="AA436" s="3">
        <f>IF(tblOrdenes[[#This Row],[backlog_dias]]="",FALSE,AND(tblOrdenes[[#This Row],[backlog_dias]]&gt;p_dias_backlog_min,tblOrdenes[[#This Row],[backlog_dias]]&lt;=p_dias_backlog_max))</f>
        <v/>
      </c>
      <c r="AB436" s="6" t="n"/>
      <c r="AC4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6" s="10">
        <f>IF(tblOrdenes[[#This Row],[orden]]="","",_xlfn.XLOOKUP(tblOrdenes[[#This Row],[id_operacion]],tblEjecucion[id_operacion],tblEjecucion[precio],0))</f>
        <v/>
      </c>
      <c r="AG436" s="10">
        <f>IF(tblOrdenes[[#This Row],[orden]]="","",MAX(0,_xlfn.XLOOKUP(tblOrdenes[[#This Row],[id_operacion]],tblEjecucion[id_operacion],tblEjecucion[costo_plan_total],0)-tblOrdenes[[#This Row],[costo_servicio]]))</f>
        <v/>
      </c>
      <c r="AH436" s="10">
        <f>IF(tblOrdenes[[#This Row],[orden]]="","",tblOrdenes[[#This Row],[costo_servicio]]+tblOrdenes[[#This Row],[costo_materiales]])</f>
        <v/>
      </c>
      <c r="AI436" s="6" t="n"/>
      <c r="AJ436" s="6" t="n"/>
      <c r="AK436" s="6" t="n"/>
      <c r="AL436" s="3">
        <f>IF(tblOrdenes[[#This Row],[link_checklist]]="","",HYPERLINK(p_ruta_base_checklists&amp;tblOrdenes[[#This Row],[link_checklist]],"abrir"))</f>
        <v/>
      </c>
      <c r="AM436" s="6" t="n"/>
      <c r="AN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Row],[tipo_ot]]="","",_xlfn.XLOOKUP(tblOrdenes[[#This Row],[tipo_ot]],tblTiposOT[codigo],tblTiposOT[clasificacion],"sin_clasificar"))</f>
        <v/>
      </c>
      <c r="T437" s="3">
        <f>IF(tblOrdenes[[#This Row],[centro_costo]]="","",_xlfn.XLOOKUP(tblOrdenes[[#This Row],[centro_costo]],tblCECO[codigo],tblCECO[linea],"(sin catálogo)"))</f>
        <v/>
      </c>
      <c r="U437" s="3">
        <f>IF(tblOrdenes[[#This Row],[centro_costo]]="","",_xlfn.XLOOKUP(tblOrdenes[[#This Row],[centro_costo]],tblCECO[codigo],tblCECO[area],"(sin catálogo)"))</f>
        <v/>
      </c>
      <c r="V437" s="3">
        <f>IF(tblOrdenes[[#This Row],[centro_costo]]="","",_xlfn.XLOOKUP(tblOrdenes[[#This Row],[centro_costo]],tblCECO[codigo],tblCECO[coordinador],"(sin catálogo)"))</f>
        <v/>
      </c>
      <c r="W437" s="3">
        <f>IF(tblOrdenes[[#This Row],[puesto_trabajo]]="","",_xlfn.XLOOKUP(tblOrdenes[[#This Row],[puesto_trabajo]],tblPuestos[codigo],tblPuestos[especialidad],"(sin catálogo)"))</f>
        <v/>
      </c>
      <c r="X437" s="3">
        <f>IF(tblOrdenes[[#This Row],[cod_actividad]]="","",_xlfn.XLOOKUP(tblOrdenes[[#This Row],[cod_actividad]],tblActividades[codigo],tblActividades[descripcion],"(sin catálogo)"))</f>
        <v/>
      </c>
      <c r="Y437" s="12">
        <f>IF(tblOrdenes[[#This Row],[fecha_inicio]]="","",TODAY()-tblOrdenes[[#This Row],[fecha_inicio]])</f>
        <v/>
      </c>
      <c r="Z437" s="3">
        <f>IF(tblOrdenes[[#This Row],[backlog_dias]]="","",IF(tblOrdenes[[#This Row],[backlog_dias]]&lt;0,"FUTURO",IF(tblOrdenes[[#This Row],[backlog_dias]]&gt;p_dias_backlog_max,"BACKLOG","MES CORRIENTE")))</f>
        <v/>
      </c>
      <c r="AA437" s="3">
        <f>IF(tblOrdenes[[#This Row],[backlog_dias]]="",FALSE,AND(tblOrdenes[[#This Row],[backlog_dias]]&gt;p_dias_backlog_min,tblOrdenes[[#This Row],[backlog_dias]]&lt;=p_dias_backlog_max))</f>
        <v/>
      </c>
      <c r="AB437" s="6" t="n"/>
      <c r="AC4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7" s="10">
        <f>IF(tblOrdenes[[#This Row],[orden]]="","",_xlfn.XLOOKUP(tblOrdenes[[#This Row],[id_operacion]],tblEjecucion[id_operacion],tblEjecucion[precio],0))</f>
        <v/>
      </c>
      <c r="AG437" s="10">
        <f>IF(tblOrdenes[[#This Row],[orden]]="","",MAX(0,_xlfn.XLOOKUP(tblOrdenes[[#This Row],[id_operacion]],tblEjecucion[id_operacion],tblEjecucion[costo_plan_total],0)-tblOrdenes[[#This Row],[costo_servicio]]))</f>
        <v/>
      </c>
      <c r="AH437" s="10">
        <f>IF(tblOrdenes[[#This Row],[orden]]="","",tblOrdenes[[#This Row],[costo_servicio]]+tblOrdenes[[#This Row],[costo_materiales]])</f>
        <v/>
      </c>
      <c r="AI437" s="6" t="n"/>
      <c r="AJ437" s="6" t="n"/>
      <c r="AK437" s="6" t="n"/>
      <c r="AL437" s="3">
        <f>IF(tblOrdenes[[#This Row],[link_checklist]]="","",HYPERLINK(p_ruta_base_checklists&amp;tblOrdenes[[#This Row],[link_checklist]],"abrir"))</f>
        <v/>
      </c>
      <c r="AM437" s="6" t="n"/>
      <c r="AN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Row],[tipo_ot]]="","",_xlfn.XLOOKUP(tblOrdenes[[#This Row],[tipo_ot]],tblTiposOT[codigo],tblTiposOT[clasificacion],"sin_clasificar"))</f>
        <v/>
      </c>
      <c r="T438" s="3">
        <f>IF(tblOrdenes[[#This Row],[centro_costo]]="","",_xlfn.XLOOKUP(tblOrdenes[[#This Row],[centro_costo]],tblCECO[codigo],tblCECO[linea],"(sin catálogo)"))</f>
        <v/>
      </c>
      <c r="U438" s="3">
        <f>IF(tblOrdenes[[#This Row],[centro_costo]]="","",_xlfn.XLOOKUP(tblOrdenes[[#This Row],[centro_costo]],tblCECO[codigo],tblCECO[area],"(sin catálogo)"))</f>
        <v/>
      </c>
      <c r="V438" s="3">
        <f>IF(tblOrdenes[[#This Row],[centro_costo]]="","",_xlfn.XLOOKUP(tblOrdenes[[#This Row],[centro_costo]],tblCECO[codigo],tblCECO[coordinador],"(sin catálogo)"))</f>
        <v/>
      </c>
      <c r="W438" s="3">
        <f>IF(tblOrdenes[[#This Row],[puesto_trabajo]]="","",_xlfn.XLOOKUP(tblOrdenes[[#This Row],[puesto_trabajo]],tblPuestos[codigo],tblPuestos[especialidad],"(sin catálogo)"))</f>
        <v/>
      </c>
      <c r="X438" s="3">
        <f>IF(tblOrdenes[[#This Row],[cod_actividad]]="","",_xlfn.XLOOKUP(tblOrdenes[[#This Row],[cod_actividad]],tblActividades[codigo],tblActividades[descripcion],"(sin catálogo)"))</f>
        <v/>
      </c>
      <c r="Y438" s="12">
        <f>IF(tblOrdenes[[#This Row],[fecha_inicio]]="","",TODAY()-tblOrdenes[[#This Row],[fecha_inicio]])</f>
        <v/>
      </c>
      <c r="Z438" s="3">
        <f>IF(tblOrdenes[[#This Row],[backlog_dias]]="","",IF(tblOrdenes[[#This Row],[backlog_dias]]&lt;0,"FUTURO",IF(tblOrdenes[[#This Row],[backlog_dias]]&gt;p_dias_backlog_max,"BACKLOG","MES CORRIENTE")))</f>
        <v/>
      </c>
      <c r="AA438" s="3">
        <f>IF(tblOrdenes[[#This Row],[backlog_dias]]="",FALSE,AND(tblOrdenes[[#This Row],[backlog_dias]]&gt;p_dias_backlog_min,tblOrdenes[[#This Row],[backlog_dias]]&lt;=p_dias_backlog_max))</f>
        <v/>
      </c>
      <c r="AB438" s="6" t="n"/>
      <c r="AC4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8" s="10">
        <f>IF(tblOrdenes[[#This Row],[orden]]="","",_xlfn.XLOOKUP(tblOrdenes[[#This Row],[id_operacion]],tblEjecucion[id_operacion],tblEjecucion[precio],0))</f>
        <v/>
      </c>
      <c r="AG438" s="10">
        <f>IF(tblOrdenes[[#This Row],[orden]]="","",MAX(0,_xlfn.XLOOKUP(tblOrdenes[[#This Row],[id_operacion]],tblEjecucion[id_operacion],tblEjecucion[costo_plan_total],0)-tblOrdenes[[#This Row],[costo_servicio]]))</f>
        <v/>
      </c>
      <c r="AH438" s="10">
        <f>IF(tblOrdenes[[#This Row],[orden]]="","",tblOrdenes[[#This Row],[costo_servicio]]+tblOrdenes[[#This Row],[costo_materiales]])</f>
        <v/>
      </c>
      <c r="AI438" s="6" t="n"/>
      <c r="AJ438" s="6" t="n"/>
      <c r="AK438" s="6" t="n"/>
      <c r="AL438" s="3">
        <f>IF(tblOrdenes[[#This Row],[link_checklist]]="","",HYPERLINK(p_ruta_base_checklists&amp;tblOrdenes[[#This Row],[link_checklist]],"abrir"))</f>
        <v/>
      </c>
      <c r="AM438" s="6" t="n"/>
      <c r="AN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Row],[tipo_ot]]="","",_xlfn.XLOOKUP(tblOrdenes[[#This Row],[tipo_ot]],tblTiposOT[codigo],tblTiposOT[clasificacion],"sin_clasificar"))</f>
        <v/>
      </c>
      <c r="T439" s="3">
        <f>IF(tblOrdenes[[#This Row],[centro_costo]]="","",_xlfn.XLOOKUP(tblOrdenes[[#This Row],[centro_costo]],tblCECO[codigo],tblCECO[linea],"(sin catálogo)"))</f>
        <v/>
      </c>
      <c r="U439" s="3">
        <f>IF(tblOrdenes[[#This Row],[centro_costo]]="","",_xlfn.XLOOKUP(tblOrdenes[[#This Row],[centro_costo]],tblCECO[codigo],tblCECO[area],"(sin catálogo)"))</f>
        <v/>
      </c>
      <c r="V439" s="3">
        <f>IF(tblOrdenes[[#This Row],[centro_costo]]="","",_xlfn.XLOOKUP(tblOrdenes[[#This Row],[centro_costo]],tblCECO[codigo],tblCECO[coordinador],"(sin catálogo)"))</f>
        <v/>
      </c>
      <c r="W439" s="3">
        <f>IF(tblOrdenes[[#This Row],[puesto_trabajo]]="","",_xlfn.XLOOKUP(tblOrdenes[[#This Row],[puesto_trabajo]],tblPuestos[codigo],tblPuestos[especialidad],"(sin catálogo)"))</f>
        <v/>
      </c>
      <c r="X439" s="3">
        <f>IF(tblOrdenes[[#This Row],[cod_actividad]]="","",_xlfn.XLOOKUP(tblOrdenes[[#This Row],[cod_actividad]],tblActividades[codigo],tblActividades[descripcion],"(sin catálogo)"))</f>
        <v/>
      </c>
      <c r="Y439" s="12">
        <f>IF(tblOrdenes[[#This Row],[fecha_inicio]]="","",TODAY()-tblOrdenes[[#This Row],[fecha_inicio]])</f>
        <v/>
      </c>
      <c r="Z439" s="3">
        <f>IF(tblOrdenes[[#This Row],[backlog_dias]]="","",IF(tblOrdenes[[#This Row],[backlog_dias]]&lt;0,"FUTURO",IF(tblOrdenes[[#This Row],[backlog_dias]]&gt;p_dias_backlog_max,"BACKLOG","MES CORRIENTE")))</f>
        <v/>
      </c>
      <c r="AA439" s="3">
        <f>IF(tblOrdenes[[#This Row],[backlog_dias]]="",FALSE,AND(tblOrdenes[[#This Row],[backlog_dias]]&gt;p_dias_backlog_min,tblOrdenes[[#This Row],[backlog_dias]]&lt;=p_dias_backlog_max))</f>
        <v/>
      </c>
      <c r="AB439" s="6" t="n"/>
      <c r="AC4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9" s="10">
        <f>IF(tblOrdenes[[#This Row],[orden]]="","",_xlfn.XLOOKUP(tblOrdenes[[#This Row],[id_operacion]],tblEjecucion[id_operacion],tblEjecucion[precio],0))</f>
        <v/>
      </c>
      <c r="AG439" s="10">
        <f>IF(tblOrdenes[[#This Row],[orden]]="","",MAX(0,_xlfn.XLOOKUP(tblOrdenes[[#This Row],[id_operacion]],tblEjecucion[id_operacion],tblEjecucion[costo_plan_total],0)-tblOrdenes[[#This Row],[costo_servicio]]))</f>
        <v/>
      </c>
      <c r="AH439" s="10">
        <f>IF(tblOrdenes[[#This Row],[orden]]="","",tblOrdenes[[#This Row],[costo_servicio]]+tblOrdenes[[#This Row],[costo_materiales]])</f>
        <v/>
      </c>
      <c r="AI439" s="6" t="n"/>
      <c r="AJ439" s="6" t="n"/>
      <c r="AK439" s="6" t="n"/>
      <c r="AL439" s="3">
        <f>IF(tblOrdenes[[#This Row],[link_checklist]]="","",HYPERLINK(p_ruta_base_checklists&amp;tblOrdenes[[#This Row],[link_checklist]],"abrir"))</f>
        <v/>
      </c>
      <c r="AM439" s="6" t="n"/>
      <c r="AN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Row],[tipo_ot]]="","",_xlfn.XLOOKUP(tblOrdenes[[#This Row],[tipo_ot]],tblTiposOT[codigo],tblTiposOT[clasificacion],"sin_clasificar"))</f>
        <v/>
      </c>
      <c r="T440" s="3">
        <f>IF(tblOrdenes[[#This Row],[centro_costo]]="","",_xlfn.XLOOKUP(tblOrdenes[[#This Row],[centro_costo]],tblCECO[codigo],tblCECO[linea],"(sin catálogo)"))</f>
        <v/>
      </c>
      <c r="U440" s="3">
        <f>IF(tblOrdenes[[#This Row],[centro_costo]]="","",_xlfn.XLOOKUP(tblOrdenes[[#This Row],[centro_costo]],tblCECO[codigo],tblCECO[area],"(sin catálogo)"))</f>
        <v/>
      </c>
      <c r="V440" s="3">
        <f>IF(tblOrdenes[[#This Row],[centro_costo]]="","",_xlfn.XLOOKUP(tblOrdenes[[#This Row],[centro_costo]],tblCECO[codigo],tblCECO[coordinador],"(sin catálogo)"))</f>
        <v/>
      </c>
      <c r="W440" s="3">
        <f>IF(tblOrdenes[[#This Row],[puesto_trabajo]]="","",_xlfn.XLOOKUP(tblOrdenes[[#This Row],[puesto_trabajo]],tblPuestos[codigo],tblPuestos[especialidad],"(sin catálogo)"))</f>
        <v/>
      </c>
      <c r="X440" s="3">
        <f>IF(tblOrdenes[[#This Row],[cod_actividad]]="","",_xlfn.XLOOKUP(tblOrdenes[[#This Row],[cod_actividad]],tblActividades[codigo],tblActividades[descripcion],"(sin catálogo)"))</f>
        <v/>
      </c>
      <c r="Y440" s="12">
        <f>IF(tblOrdenes[[#This Row],[fecha_inicio]]="","",TODAY()-tblOrdenes[[#This Row],[fecha_inicio]])</f>
        <v/>
      </c>
      <c r="Z440" s="3">
        <f>IF(tblOrdenes[[#This Row],[backlog_dias]]="","",IF(tblOrdenes[[#This Row],[backlog_dias]]&lt;0,"FUTURO",IF(tblOrdenes[[#This Row],[backlog_dias]]&gt;p_dias_backlog_max,"BACKLOG","MES CORRIENTE")))</f>
        <v/>
      </c>
      <c r="AA440" s="3">
        <f>IF(tblOrdenes[[#This Row],[backlog_dias]]="",FALSE,AND(tblOrdenes[[#This Row],[backlog_dias]]&gt;p_dias_backlog_min,tblOrdenes[[#This Row],[backlog_dias]]&lt;=p_dias_backlog_max))</f>
        <v/>
      </c>
      <c r="AB440" s="6" t="n"/>
      <c r="AC4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0" s="10">
        <f>IF(tblOrdenes[[#This Row],[orden]]="","",_xlfn.XLOOKUP(tblOrdenes[[#This Row],[id_operacion]],tblEjecucion[id_operacion],tblEjecucion[precio],0))</f>
        <v/>
      </c>
      <c r="AG440" s="10">
        <f>IF(tblOrdenes[[#This Row],[orden]]="","",MAX(0,_xlfn.XLOOKUP(tblOrdenes[[#This Row],[id_operacion]],tblEjecucion[id_operacion],tblEjecucion[costo_plan_total],0)-tblOrdenes[[#This Row],[costo_servicio]]))</f>
        <v/>
      </c>
      <c r="AH440" s="10">
        <f>IF(tblOrdenes[[#This Row],[orden]]="","",tblOrdenes[[#This Row],[costo_servicio]]+tblOrdenes[[#This Row],[costo_materiales]])</f>
        <v/>
      </c>
      <c r="AI440" s="6" t="n"/>
      <c r="AJ440" s="6" t="n"/>
      <c r="AK440" s="6" t="n"/>
      <c r="AL440" s="3">
        <f>IF(tblOrdenes[[#This Row],[link_checklist]]="","",HYPERLINK(p_ruta_base_checklists&amp;tblOrdenes[[#This Row],[link_checklist]],"abrir"))</f>
        <v/>
      </c>
      <c r="AM440" s="6" t="n"/>
      <c r="AN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Row],[tipo_ot]]="","",_xlfn.XLOOKUP(tblOrdenes[[#This Row],[tipo_ot]],tblTiposOT[codigo],tblTiposOT[clasificacion],"sin_clasificar"))</f>
        <v/>
      </c>
      <c r="T441" s="3">
        <f>IF(tblOrdenes[[#This Row],[centro_costo]]="","",_xlfn.XLOOKUP(tblOrdenes[[#This Row],[centro_costo]],tblCECO[codigo],tblCECO[linea],"(sin catálogo)"))</f>
        <v/>
      </c>
      <c r="U441" s="3">
        <f>IF(tblOrdenes[[#This Row],[centro_costo]]="","",_xlfn.XLOOKUP(tblOrdenes[[#This Row],[centro_costo]],tblCECO[codigo],tblCECO[area],"(sin catálogo)"))</f>
        <v/>
      </c>
      <c r="V441" s="3">
        <f>IF(tblOrdenes[[#This Row],[centro_costo]]="","",_xlfn.XLOOKUP(tblOrdenes[[#This Row],[centro_costo]],tblCECO[codigo],tblCECO[coordinador],"(sin catálogo)"))</f>
        <v/>
      </c>
      <c r="W441" s="3">
        <f>IF(tblOrdenes[[#This Row],[puesto_trabajo]]="","",_xlfn.XLOOKUP(tblOrdenes[[#This Row],[puesto_trabajo]],tblPuestos[codigo],tblPuestos[especialidad],"(sin catálogo)"))</f>
        <v/>
      </c>
      <c r="X441" s="3">
        <f>IF(tblOrdenes[[#This Row],[cod_actividad]]="","",_xlfn.XLOOKUP(tblOrdenes[[#This Row],[cod_actividad]],tblActividades[codigo],tblActividades[descripcion],"(sin catálogo)"))</f>
        <v/>
      </c>
      <c r="Y441" s="12">
        <f>IF(tblOrdenes[[#This Row],[fecha_inicio]]="","",TODAY()-tblOrdenes[[#This Row],[fecha_inicio]])</f>
        <v/>
      </c>
      <c r="Z441" s="3">
        <f>IF(tblOrdenes[[#This Row],[backlog_dias]]="","",IF(tblOrdenes[[#This Row],[backlog_dias]]&lt;0,"FUTURO",IF(tblOrdenes[[#This Row],[backlog_dias]]&gt;p_dias_backlog_max,"BACKLOG","MES CORRIENTE")))</f>
        <v/>
      </c>
      <c r="AA441" s="3">
        <f>IF(tblOrdenes[[#This Row],[backlog_dias]]="",FALSE,AND(tblOrdenes[[#This Row],[backlog_dias]]&gt;p_dias_backlog_min,tblOrdenes[[#This Row],[backlog_dias]]&lt;=p_dias_backlog_max))</f>
        <v/>
      </c>
      <c r="AB441" s="6" t="n"/>
      <c r="AC4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1" s="10">
        <f>IF(tblOrdenes[[#This Row],[orden]]="","",_xlfn.XLOOKUP(tblOrdenes[[#This Row],[id_operacion]],tblEjecucion[id_operacion],tblEjecucion[precio],0))</f>
        <v/>
      </c>
      <c r="AG441" s="10">
        <f>IF(tblOrdenes[[#This Row],[orden]]="","",MAX(0,_xlfn.XLOOKUP(tblOrdenes[[#This Row],[id_operacion]],tblEjecucion[id_operacion],tblEjecucion[costo_plan_total],0)-tblOrdenes[[#This Row],[costo_servicio]]))</f>
        <v/>
      </c>
      <c r="AH441" s="10">
        <f>IF(tblOrdenes[[#This Row],[orden]]="","",tblOrdenes[[#This Row],[costo_servicio]]+tblOrdenes[[#This Row],[costo_materiales]])</f>
        <v/>
      </c>
      <c r="AI441" s="6" t="n"/>
      <c r="AJ441" s="6" t="n"/>
      <c r="AK441" s="6" t="n"/>
      <c r="AL441" s="3">
        <f>IF(tblOrdenes[[#This Row],[link_checklist]]="","",HYPERLINK(p_ruta_base_checklists&amp;tblOrdenes[[#This Row],[link_checklist]],"abrir"))</f>
        <v/>
      </c>
      <c r="AM441" s="6" t="n"/>
      <c r="AN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Row],[tipo_ot]]="","",_xlfn.XLOOKUP(tblOrdenes[[#This Row],[tipo_ot]],tblTiposOT[codigo],tblTiposOT[clasificacion],"sin_clasificar"))</f>
        <v/>
      </c>
      <c r="T442" s="3">
        <f>IF(tblOrdenes[[#This Row],[centro_costo]]="","",_xlfn.XLOOKUP(tblOrdenes[[#This Row],[centro_costo]],tblCECO[codigo],tblCECO[linea],"(sin catálogo)"))</f>
        <v/>
      </c>
      <c r="U442" s="3">
        <f>IF(tblOrdenes[[#This Row],[centro_costo]]="","",_xlfn.XLOOKUP(tblOrdenes[[#This Row],[centro_costo]],tblCECO[codigo],tblCECO[area],"(sin catálogo)"))</f>
        <v/>
      </c>
      <c r="V442" s="3">
        <f>IF(tblOrdenes[[#This Row],[centro_costo]]="","",_xlfn.XLOOKUP(tblOrdenes[[#This Row],[centro_costo]],tblCECO[codigo],tblCECO[coordinador],"(sin catálogo)"))</f>
        <v/>
      </c>
      <c r="W442" s="3">
        <f>IF(tblOrdenes[[#This Row],[puesto_trabajo]]="","",_xlfn.XLOOKUP(tblOrdenes[[#This Row],[puesto_trabajo]],tblPuestos[codigo],tblPuestos[especialidad],"(sin catálogo)"))</f>
        <v/>
      </c>
      <c r="X442" s="3">
        <f>IF(tblOrdenes[[#This Row],[cod_actividad]]="","",_xlfn.XLOOKUP(tblOrdenes[[#This Row],[cod_actividad]],tblActividades[codigo],tblActividades[descripcion],"(sin catálogo)"))</f>
        <v/>
      </c>
      <c r="Y442" s="12">
        <f>IF(tblOrdenes[[#This Row],[fecha_inicio]]="","",TODAY()-tblOrdenes[[#This Row],[fecha_inicio]])</f>
        <v/>
      </c>
      <c r="Z442" s="3">
        <f>IF(tblOrdenes[[#This Row],[backlog_dias]]="","",IF(tblOrdenes[[#This Row],[backlog_dias]]&lt;0,"FUTURO",IF(tblOrdenes[[#This Row],[backlog_dias]]&gt;p_dias_backlog_max,"BACKLOG","MES CORRIENTE")))</f>
        <v/>
      </c>
      <c r="AA442" s="3">
        <f>IF(tblOrdenes[[#This Row],[backlog_dias]]="",FALSE,AND(tblOrdenes[[#This Row],[backlog_dias]]&gt;p_dias_backlog_min,tblOrdenes[[#This Row],[backlog_dias]]&lt;=p_dias_backlog_max))</f>
        <v/>
      </c>
      <c r="AB442" s="6" t="n"/>
      <c r="AC4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2" s="10">
        <f>IF(tblOrdenes[[#This Row],[orden]]="","",_xlfn.XLOOKUP(tblOrdenes[[#This Row],[id_operacion]],tblEjecucion[id_operacion],tblEjecucion[precio],0))</f>
        <v/>
      </c>
      <c r="AG442" s="10">
        <f>IF(tblOrdenes[[#This Row],[orden]]="","",MAX(0,_xlfn.XLOOKUP(tblOrdenes[[#This Row],[id_operacion]],tblEjecucion[id_operacion],tblEjecucion[costo_plan_total],0)-tblOrdenes[[#This Row],[costo_servicio]]))</f>
        <v/>
      </c>
      <c r="AH442" s="10">
        <f>IF(tblOrdenes[[#This Row],[orden]]="","",tblOrdenes[[#This Row],[costo_servicio]]+tblOrdenes[[#This Row],[costo_materiales]])</f>
        <v/>
      </c>
      <c r="AI442" s="6" t="n"/>
      <c r="AJ442" s="6" t="n"/>
      <c r="AK442" s="6" t="n"/>
      <c r="AL442" s="3">
        <f>IF(tblOrdenes[[#This Row],[link_checklist]]="","",HYPERLINK(p_ruta_base_checklists&amp;tblOrdenes[[#This Row],[link_checklist]],"abrir"))</f>
        <v/>
      </c>
      <c r="AM442" s="6" t="n"/>
      <c r="AN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Row],[tipo_ot]]="","",_xlfn.XLOOKUP(tblOrdenes[[#This Row],[tipo_ot]],tblTiposOT[codigo],tblTiposOT[clasificacion],"sin_clasificar"))</f>
        <v/>
      </c>
      <c r="T443" s="3">
        <f>IF(tblOrdenes[[#This Row],[centro_costo]]="","",_xlfn.XLOOKUP(tblOrdenes[[#This Row],[centro_costo]],tblCECO[codigo],tblCECO[linea],"(sin catálogo)"))</f>
        <v/>
      </c>
      <c r="U443" s="3">
        <f>IF(tblOrdenes[[#This Row],[centro_costo]]="","",_xlfn.XLOOKUP(tblOrdenes[[#This Row],[centro_costo]],tblCECO[codigo],tblCECO[area],"(sin catálogo)"))</f>
        <v/>
      </c>
      <c r="V443" s="3">
        <f>IF(tblOrdenes[[#This Row],[centro_costo]]="","",_xlfn.XLOOKUP(tblOrdenes[[#This Row],[centro_costo]],tblCECO[codigo],tblCECO[coordinador],"(sin catálogo)"))</f>
        <v/>
      </c>
      <c r="W443" s="3">
        <f>IF(tblOrdenes[[#This Row],[puesto_trabajo]]="","",_xlfn.XLOOKUP(tblOrdenes[[#This Row],[puesto_trabajo]],tblPuestos[codigo],tblPuestos[especialidad],"(sin catálogo)"))</f>
        <v/>
      </c>
      <c r="X443" s="3">
        <f>IF(tblOrdenes[[#This Row],[cod_actividad]]="","",_xlfn.XLOOKUP(tblOrdenes[[#This Row],[cod_actividad]],tblActividades[codigo],tblActividades[descripcion],"(sin catálogo)"))</f>
        <v/>
      </c>
      <c r="Y443" s="12">
        <f>IF(tblOrdenes[[#This Row],[fecha_inicio]]="","",TODAY()-tblOrdenes[[#This Row],[fecha_inicio]])</f>
        <v/>
      </c>
      <c r="Z443" s="3">
        <f>IF(tblOrdenes[[#This Row],[backlog_dias]]="","",IF(tblOrdenes[[#This Row],[backlog_dias]]&lt;0,"FUTURO",IF(tblOrdenes[[#This Row],[backlog_dias]]&gt;p_dias_backlog_max,"BACKLOG","MES CORRIENTE")))</f>
        <v/>
      </c>
      <c r="AA443" s="3">
        <f>IF(tblOrdenes[[#This Row],[backlog_dias]]="",FALSE,AND(tblOrdenes[[#This Row],[backlog_dias]]&gt;p_dias_backlog_min,tblOrdenes[[#This Row],[backlog_dias]]&lt;=p_dias_backlog_max))</f>
        <v/>
      </c>
      <c r="AB443" s="6" t="n"/>
      <c r="AC4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3" s="10">
        <f>IF(tblOrdenes[[#This Row],[orden]]="","",_xlfn.XLOOKUP(tblOrdenes[[#This Row],[id_operacion]],tblEjecucion[id_operacion],tblEjecucion[precio],0))</f>
        <v/>
      </c>
      <c r="AG443" s="10">
        <f>IF(tblOrdenes[[#This Row],[orden]]="","",MAX(0,_xlfn.XLOOKUP(tblOrdenes[[#This Row],[id_operacion]],tblEjecucion[id_operacion],tblEjecucion[costo_plan_total],0)-tblOrdenes[[#This Row],[costo_servicio]]))</f>
        <v/>
      </c>
      <c r="AH443" s="10">
        <f>IF(tblOrdenes[[#This Row],[orden]]="","",tblOrdenes[[#This Row],[costo_servicio]]+tblOrdenes[[#This Row],[costo_materiales]])</f>
        <v/>
      </c>
      <c r="AI443" s="6" t="n"/>
      <c r="AJ443" s="6" t="n"/>
      <c r="AK443" s="6" t="n"/>
      <c r="AL443" s="3">
        <f>IF(tblOrdenes[[#This Row],[link_checklist]]="","",HYPERLINK(p_ruta_base_checklists&amp;tblOrdenes[[#This Row],[link_checklist]],"abrir"))</f>
        <v/>
      </c>
      <c r="AM443" s="6" t="n"/>
      <c r="AN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Row],[tipo_ot]]="","",_xlfn.XLOOKUP(tblOrdenes[[#This Row],[tipo_ot]],tblTiposOT[codigo],tblTiposOT[clasificacion],"sin_clasificar"))</f>
        <v/>
      </c>
      <c r="T444" s="3">
        <f>IF(tblOrdenes[[#This Row],[centro_costo]]="","",_xlfn.XLOOKUP(tblOrdenes[[#This Row],[centro_costo]],tblCECO[codigo],tblCECO[linea],"(sin catálogo)"))</f>
        <v/>
      </c>
      <c r="U444" s="3">
        <f>IF(tblOrdenes[[#This Row],[centro_costo]]="","",_xlfn.XLOOKUP(tblOrdenes[[#This Row],[centro_costo]],tblCECO[codigo],tblCECO[area],"(sin catálogo)"))</f>
        <v/>
      </c>
      <c r="V444" s="3">
        <f>IF(tblOrdenes[[#This Row],[centro_costo]]="","",_xlfn.XLOOKUP(tblOrdenes[[#This Row],[centro_costo]],tblCECO[codigo],tblCECO[coordinador],"(sin catálogo)"))</f>
        <v/>
      </c>
      <c r="W444" s="3">
        <f>IF(tblOrdenes[[#This Row],[puesto_trabajo]]="","",_xlfn.XLOOKUP(tblOrdenes[[#This Row],[puesto_trabajo]],tblPuestos[codigo],tblPuestos[especialidad],"(sin catálogo)"))</f>
        <v/>
      </c>
      <c r="X444" s="3">
        <f>IF(tblOrdenes[[#This Row],[cod_actividad]]="","",_xlfn.XLOOKUP(tblOrdenes[[#This Row],[cod_actividad]],tblActividades[codigo],tblActividades[descripcion],"(sin catálogo)"))</f>
        <v/>
      </c>
      <c r="Y444" s="12">
        <f>IF(tblOrdenes[[#This Row],[fecha_inicio]]="","",TODAY()-tblOrdenes[[#This Row],[fecha_inicio]])</f>
        <v/>
      </c>
      <c r="Z444" s="3">
        <f>IF(tblOrdenes[[#This Row],[backlog_dias]]="","",IF(tblOrdenes[[#This Row],[backlog_dias]]&lt;0,"FUTURO",IF(tblOrdenes[[#This Row],[backlog_dias]]&gt;p_dias_backlog_max,"BACKLOG","MES CORRIENTE")))</f>
        <v/>
      </c>
      <c r="AA444" s="3">
        <f>IF(tblOrdenes[[#This Row],[backlog_dias]]="",FALSE,AND(tblOrdenes[[#This Row],[backlog_dias]]&gt;p_dias_backlog_min,tblOrdenes[[#This Row],[backlog_dias]]&lt;=p_dias_backlog_max))</f>
        <v/>
      </c>
      <c r="AB444" s="6" t="n"/>
      <c r="AC4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4" s="10">
        <f>IF(tblOrdenes[[#This Row],[orden]]="","",_xlfn.XLOOKUP(tblOrdenes[[#This Row],[id_operacion]],tblEjecucion[id_operacion],tblEjecucion[precio],0))</f>
        <v/>
      </c>
      <c r="AG444" s="10">
        <f>IF(tblOrdenes[[#This Row],[orden]]="","",MAX(0,_xlfn.XLOOKUP(tblOrdenes[[#This Row],[id_operacion]],tblEjecucion[id_operacion],tblEjecucion[costo_plan_total],0)-tblOrdenes[[#This Row],[costo_servicio]]))</f>
        <v/>
      </c>
      <c r="AH444" s="10">
        <f>IF(tblOrdenes[[#This Row],[orden]]="","",tblOrdenes[[#This Row],[costo_servicio]]+tblOrdenes[[#This Row],[costo_materiales]])</f>
        <v/>
      </c>
      <c r="AI444" s="6" t="n"/>
      <c r="AJ444" s="6" t="n"/>
      <c r="AK444" s="6" t="n"/>
      <c r="AL444" s="3">
        <f>IF(tblOrdenes[[#This Row],[link_checklist]]="","",HYPERLINK(p_ruta_base_checklists&amp;tblOrdenes[[#This Row],[link_checklist]],"abrir"))</f>
        <v/>
      </c>
      <c r="AM444" s="6" t="n"/>
      <c r="AN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Row],[tipo_ot]]="","",_xlfn.XLOOKUP(tblOrdenes[[#This Row],[tipo_ot]],tblTiposOT[codigo],tblTiposOT[clasificacion],"sin_clasificar"))</f>
        <v/>
      </c>
      <c r="T445" s="3">
        <f>IF(tblOrdenes[[#This Row],[centro_costo]]="","",_xlfn.XLOOKUP(tblOrdenes[[#This Row],[centro_costo]],tblCECO[codigo],tblCECO[linea],"(sin catálogo)"))</f>
        <v/>
      </c>
      <c r="U445" s="3">
        <f>IF(tblOrdenes[[#This Row],[centro_costo]]="","",_xlfn.XLOOKUP(tblOrdenes[[#This Row],[centro_costo]],tblCECO[codigo],tblCECO[area],"(sin catálogo)"))</f>
        <v/>
      </c>
      <c r="V445" s="3">
        <f>IF(tblOrdenes[[#This Row],[centro_costo]]="","",_xlfn.XLOOKUP(tblOrdenes[[#This Row],[centro_costo]],tblCECO[codigo],tblCECO[coordinador],"(sin catálogo)"))</f>
        <v/>
      </c>
      <c r="W445" s="3">
        <f>IF(tblOrdenes[[#This Row],[puesto_trabajo]]="","",_xlfn.XLOOKUP(tblOrdenes[[#This Row],[puesto_trabajo]],tblPuestos[codigo],tblPuestos[especialidad],"(sin catálogo)"))</f>
        <v/>
      </c>
      <c r="X445" s="3">
        <f>IF(tblOrdenes[[#This Row],[cod_actividad]]="","",_xlfn.XLOOKUP(tblOrdenes[[#This Row],[cod_actividad]],tblActividades[codigo],tblActividades[descripcion],"(sin catálogo)"))</f>
        <v/>
      </c>
      <c r="Y445" s="12">
        <f>IF(tblOrdenes[[#This Row],[fecha_inicio]]="","",TODAY()-tblOrdenes[[#This Row],[fecha_inicio]])</f>
        <v/>
      </c>
      <c r="Z445" s="3">
        <f>IF(tblOrdenes[[#This Row],[backlog_dias]]="","",IF(tblOrdenes[[#This Row],[backlog_dias]]&lt;0,"FUTURO",IF(tblOrdenes[[#This Row],[backlog_dias]]&gt;p_dias_backlog_max,"BACKLOG","MES CORRIENTE")))</f>
        <v/>
      </c>
      <c r="AA445" s="3">
        <f>IF(tblOrdenes[[#This Row],[backlog_dias]]="",FALSE,AND(tblOrdenes[[#This Row],[backlog_dias]]&gt;p_dias_backlog_min,tblOrdenes[[#This Row],[backlog_dias]]&lt;=p_dias_backlog_max))</f>
        <v/>
      </c>
      <c r="AB445" s="6" t="n"/>
      <c r="AC4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5" s="10">
        <f>IF(tblOrdenes[[#This Row],[orden]]="","",_xlfn.XLOOKUP(tblOrdenes[[#This Row],[id_operacion]],tblEjecucion[id_operacion],tblEjecucion[precio],0))</f>
        <v/>
      </c>
      <c r="AG445" s="10">
        <f>IF(tblOrdenes[[#This Row],[orden]]="","",MAX(0,_xlfn.XLOOKUP(tblOrdenes[[#This Row],[id_operacion]],tblEjecucion[id_operacion],tblEjecucion[costo_plan_total],0)-tblOrdenes[[#This Row],[costo_servicio]]))</f>
        <v/>
      </c>
      <c r="AH445" s="10">
        <f>IF(tblOrdenes[[#This Row],[orden]]="","",tblOrdenes[[#This Row],[costo_servicio]]+tblOrdenes[[#This Row],[costo_materiales]])</f>
        <v/>
      </c>
      <c r="AI445" s="6" t="n"/>
      <c r="AJ445" s="6" t="n"/>
      <c r="AK445" s="6" t="n"/>
      <c r="AL445" s="3">
        <f>IF(tblOrdenes[[#This Row],[link_checklist]]="","",HYPERLINK(p_ruta_base_checklists&amp;tblOrdenes[[#This Row],[link_checklist]],"abrir"))</f>
        <v/>
      </c>
      <c r="AM445" s="6" t="n"/>
      <c r="AN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Row],[tipo_ot]]="","",_xlfn.XLOOKUP(tblOrdenes[[#This Row],[tipo_ot]],tblTiposOT[codigo],tblTiposOT[clasificacion],"sin_clasificar"))</f>
        <v/>
      </c>
      <c r="T446" s="3">
        <f>IF(tblOrdenes[[#This Row],[centro_costo]]="","",_xlfn.XLOOKUP(tblOrdenes[[#This Row],[centro_costo]],tblCECO[codigo],tblCECO[linea],"(sin catálogo)"))</f>
        <v/>
      </c>
      <c r="U446" s="3">
        <f>IF(tblOrdenes[[#This Row],[centro_costo]]="","",_xlfn.XLOOKUP(tblOrdenes[[#This Row],[centro_costo]],tblCECO[codigo],tblCECO[area],"(sin catálogo)"))</f>
        <v/>
      </c>
      <c r="V446" s="3">
        <f>IF(tblOrdenes[[#This Row],[centro_costo]]="","",_xlfn.XLOOKUP(tblOrdenes[[#This Row],[centro_costo]],tblCECO[codigo],tblCECO[coordinador],"(sin catálogo)"))</f>
        <v/>
      </c>
      <c r="W446" s="3">
        <f>IF(tblOrdenes[[#This Row],[puesto_trabajo]]="","",_xlfn.XLOOKUP(tblOrdenes[[#This Row],[puesto_trabajo]],tblPuestos[codigo],tblPuestos[especialidad],"(sin catálogo)"))</f>
        <v/>
      </c>
      <c r="X446" s="3">
        <f>IF(tblOrdenes[[#This Row],[cod_actividad]]="","",_xlfn.XLOOKUP(tblOrdenes[[#This Row],[cod_actividad]],tblActividades[codigo],tblActividades[descripcion],"(sin catálogo)"))</f>
        <v/>
      </c>
      <c r="Y446" s="12">
        <f>IF(tblOrdenes[[#This Row],[fecha_inicio]]="","",TODAY()-tblOrdenes[[#This Row],[fecha_inicio]])</f>
        <v/>
      </c>
      <c r="Z446" s="3">
        <f>IF(tblOrdenes[[#This Row],[backlog_dias]]="","",IF(tblOrdenes[[#This Row],[backlog_dias]]&lt;0,"FUTURO",IF(tblOrdenes[[#This Row],[backlog_dias]]&gt;p_dias_backlog_max,"BACKLOG","MES CORRIENTE")))</f>
        <v/>
      </c>
      <c r="AA446" s="3">
        <f>IF(tblOrdenes[[#This Row],[backlog_dias]]="",FALSE,AND(tblOrdenes[[#This Row],[backlog_dias]]&gt;p_dias_backlog_min,tblOrdenes[[#This Row],[backlog_dias]]&lt;=p_dias_backlog_max))</f>
        <v/>
      </c>
      <c r="AB446" s="6" t="n"/>
      <c r="AC4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6" s="10">
        <f>IF(tblOrdenes[[#This Row],[orden]]="","",_xlfn.XLOOKUP(tblOrdenes[[#This Row],[id_operacion]],tblEjecucion[id_operacion],tblEjecucion[precio],0))</f>
        <v/>
      </c>
      <c r="AG446" s="10">
        <f>IF(tblOrdenes[[#This Row],[orden]]="","",MAX(0,_xlfn.XLOOKUP(tblOrdenes[[#This Row],[id_operacion]],tblEjecucion[id_operacion],tblEjecucion[costo_plan_total],0)-tblOrdenes[[#This Row],[costo_servicio]]))</f>
        <v/>
      </c>
      <c r="AH446" s="10">
        <f>IF(tblOrdenes[[#This Row],[orden]]="","",tblOrdenes[[#This Row],[costo_servicio]]+tblOrdenes[[#This Row],[costo_materiales]])</f>
        <v/>
      </c>
      <c r="AI446" s="6" t="n"/>
      <c r="AJ446" s="6" t="n"/>
      <c r="AK446" s="6" t="n"/>
      <c r="AL446" s="3">
        <f>IF(tblOrdenes[[#This Row],[link_checklist]]="","",HYPERLINK(p_ruta_base_checklists&amp;tblOrdenes[[#This Row],[link_checklist]],"abrir"))</f>
        <v/>
      </c>
      <c r="AM446" s="6" t="n"/>
      <c r="AN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Row],[tipo_ot]]="","",_xlfn.XLOOKUP(tblOrdenes[[#This Row],[tipo_ot]],tblTiposOT[codigo],tblTiposOT[clasificacion],"sin_clasificar"))</f>
        <v/>
      </c>
      <c r="T447" s="3">
        <f>IF(tblOrdenes[[#This Row],[centro_costo]]="","",_xlfn.XLOOKUP(tblOrdenes[[#This Row],[centro_costo]],tblCECO[codigo],tblCECO[linea],"(sin catálogo)"))</f>
        <v/>
      </c>
      <c r="U447" s="3">
        <f>IF(tblOrdenes[[#This Row],[centro_costo]]="","",_xlfn.XLOOKUP(tblOrdenes[[#This Row],[centro_costo]],tblCECO[codigo],tblCECO[area],"(sin catálogo)"))</f>
        <v/>
      </c>
      <c r="V447" s="3">
        <f>IF(tblOrdenes[[#This Row],[centro_costo]]="","",_xlfn.XLOOKUP(tblOrdenes[[#This Row],[centro_costo]],tblCECO[codigo],tblCECO[coordinador],"(sin catálogo)"))</f>
        <v/>
      </c>
      <c r="W447" s="3">
        <f>IF(tblOrdenes[[#This Row],[puesto_trabajo]]="","",_xlfn.XLOOKUP(tblOrdenes[[#This Row],[puesto_trabajo]],tblPuestos[codigo],tblPuestos[especialidad],"(sin catálogo)"))</f>
        <v/>
      </c>
      <c r="X447" s="3">
        <f>IF(tblOrdenes[[#This Row],[cod_actividad]]="","",_xlfn.XLOOKUP(tblOrdenes[[#This Row],[cod_actividad]],tblActividades[codigo],tblActividades[descripcion],"(sin catálogo)"))</f>
        <v/>
      </c>
      <c r="Y447" s="12">
        <f>IF(tblOrdenes[[#This Row],[fecha_inicio]]="","",TODAY()-tblOrdenes[[#This Row],[fecha_inicio]])</f>
        <v/>
      </c>
      <c r="Z447" s="3">
        <f>IF(tblOrdenes[[#This Row],[backlog_dias]]="","",IF(tblOrdenes[[#This Row],[backlog_dias]]&lt;0,"FUTURO",IF(tblOrdenes[[#This Row],[backlog_dias]]&gt;p_dias_backlog_max,"BACKLOG","MES CORRIENTE")))</f>
        <v/>
      </c>
      <c r="AA447" s="3">
        <f>IF(tblOrdenes[[#This Row],[backlog_dias]]="",FALSE,AND(tblOrdenes[[#This Row],[backlog_dias]]&gt;p_dias_backlog_min,tblOrdenes[[#This Row],[backlog_dias]]&lt;=p_dias_backlog_max))</f>
        <v/>
      </c>
      <c r="AB447" s="6" t="n"/>
      <c r="AC4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7" s="10">
        <f>IF(tblOrdenes[[#This Row],[orden]]="","",_xlfn.XLOOKUP(tblOrdenes[[#This Row],[id_operacion]],tblEjecucion[id_operacion],tblEjecucion[precio],0))</f>
        <v/>
      </c>
      <c r="AG447" s="10">
        <f>IF(tblOrdenes[[#This Row],[orden]]="","",MAX(0,_xlfn.XLOOKUP(tblOrdenes[[#This Row],[id_operacion]],tblEjecucion[id_operacion],tblEjecucion[costo_plan_total],0)-tblOrdenes[[#This Row],[costo_servicio]]))</f>
        <v/>
      </c>
      <c r="AH447" s="10">
        <f>IF(tblOrdenes[[#This Row],[orden]]="","",tblOrdenes[[#This Row],[costo_servicio]]+tblOrdenes[[#This Row],[costo_materiales]])</f>
        <v/>
      </c>
      <c r="AI447" s="6" t="n"/>
      <c r="AJ447" s="6" t="n"/>
      <c r="AK447" s="6" t="n"/>
      <c r="AL447" s="3">
        <f>IF(tblOrdenes[[#This Row],[link_checklist]]="","",HYPERLINK(p_ruta_base_checklists&amp;tblOrdenes[[#This Row],[link_checklist]],"abrir"))</f>
        <v/>
      </c>
      <c r="AM447" s="6" t="n"/>
      <c r="AN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Row],[tipo_ot]]="","",_xlfn.XLOOKUP(tblOrdenes[[#This Row],[tipo_ot]],tblTiposOT[codigo],tblTiposOT[clasificacion],"sin_clasificar"))</f>
        <v/>
      </c>
      <c r="T448" s="3">
        <f>IF(tblOrdenes[[#This Row],[centro_costo]]="","",_xlfn.XLOOKUP(tblOrdenes[[#This Row],[centro_costo]],tblCECO[codigo],tblCECO[linea],"(sin catálogo)"))</f>
        <v/>
      </c>
      <c r="U448" s="3">
        <f>IF(tblOrdenes[[#This Row],[centro_costo]]="","",_xlfn.XLOOKUP(tblOrdenes[[#This Row],[centro_costo]],tblCECO[codigo],tblCECO[area],"(sin catálogo)"))</f>
        <v/>
      </c>
      <c r="V448" s="3">
        <f>IF(tblOrdenes[[#This Row],[centro_costo]]="","",_xlfn.XLOOKUP(tblOrdenes[[#This Row],[centro_costo]],tblCECO[codigo],tblCECO[coordinador],"(sin catálogo)"))</f>
        <v/>
      </c>
      <c r="W448" s="3">
        <f>IF(tblOrdenes[[#This Row],[puesto_trabajo]]="","",_xlfn.XLOOKUP(tblOrdenes[[#This Row],[puesto_trabajo]],tblPuestos[codigo],tblPuestos[especialidad],"(sin catálogo)"))</f>
        <v/>
      </c>
      <c r="X448" s="3">
        <f>IF(tblOrdenes[[#This Row],[cod_actividad]]="","",_xlfn.XLOOKUP(tblOrdenes[[#This Row],[cod_actividad]],tblActividades[codigo],tblActividades[descripcion],"(sin catálogo)"))</f>
        <v/>
      </c>
      <c r="Y448" s="12">
        <f>IF(tblOrdenes[[#This Row],[fecha_inicio]]="","",TODAY()-tblOrdenes[[#This Row],[fecha_inicio]])</f>
        <v/>
      </c>
      <c r="Z448" s="3">
        <f>IF(tblOrdenes[[#This Row],[backlog_dias]]="","",IF(tblOrdenes[[#This Row],[backlog_dias]]&lt;0,"FUTURO",IF(tblOrdenes[[#This Row],[backlog_dias]]&gt;p_dias_backlog_max,"BACKLOG","MES CORRIENTE")))</f>
        <v/>
      </c>
      <c r="AA448" s="3">
        <f>IF(tblOrdenes[[#This Row],[backlog_dias]]="",FALSE,AND(tblOrdenes[[#This Row],[backlog_dias]]&gt;p_dias_backlog_min,tblOrdenes[[#This Row],[backlog_dias]]&lt;=p_dias_backlog_max))</f>
        <v/>
      </c>
      <c r="AB448" s="6" t="n"/>
      <c r="AC4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8" s="10">
        <f>IF(tblOrdenes[[#This Row],[orden]]="","",_xlfn.XLOOKUP(tblOrdenes[[#This Row],[id_operacion]],tblEjecucion[id_operacion],tblEjecucion[precio],0))</f>
        <v/>
      </c>
      <c r="AG448" s="10">
        <f>IF(tblOrdenes[[#This Row],[orden]]="","",MAX(0,_xlfn.XLOOKUP(tblOrdenes[[#This Row],[id_operacion]],tblEjecucion[id_operacion],tblEjecucion[costo_plan_total],0)-tblOrdenes[[#This Row],[costo_servicio]]))</f>
        <v/>
      </c>
      <c r="AH448" s="10">
        <f>IF(tblOrdenes[[#This Row],[orden]]="","",tblOrdenes[[#This Row],[costo_servicio]]+tblOrdenes[[#This Row],[costo_materiales]])</f>
        <v/>
      </c>
      <c r="AI448" s="6" t="n"/>
      <c r="AJ448" s="6" t="n"/>
      <c r="AK448" s="6" t="n"/>
      <c r="AL448" s="3">
        <f>IF(tblOrdenes[[#This Row],[link_checklist]]="","",HYPERLINK(p_ruta_base_checklists&amp;tblOrdenes[[#This Row],[link_checklist]],"abrir"))</f>
        <v/>
      </c>
      <c r="AM448" s="6" t="n"/>
      <c r="AN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Row],[tipo_ot]]="","",_xlfn.XLOOKUP(tblOrdenes[[#This Row],[tipo_ot]],tblTiposOT[codigo],tblTiposOT[clasificacion],"sin_clasificar"))</f>
        <v/>
      </c>
      <c r="T449" s="3">
        <f>IF(tblOrdenes[[#This Row],[centro_costo]]="","",_xlfn.XLOOKUP(tblOrdenes[[#This Row],[centro_costo]],tblCECO[codigo],tblCECO[linea],"(sin catálogo)"))</f>
        <v/>
      </c>
      <c r="U449" s="3">
        <f>IF(tblOrdenes[[#This Row],[centro_costo]]="","",_xlfn.XLOOKUP(tblOrdenes[[#This Row],[centro_costo]],tblCECO[codigo],tblCECO[area],"(sin catálogo)"))</f>
        <v/>
      </c>
      <c r="V449" s="3">
        <f>IF(tblOrdenes[[#This Row],[centro_costo]]="","",_xlfn.XLOOKUP(tblOrdenes[[#This Row],[centro_costo]],tblCECO[codigo],tblCECO[coordinador],"(sin catálogo)"))</f>
        <v/>
      </c>
      <c r="W449" s="3">
        <f>IF(tblOrdenes[[#This Row],[puesto_trabajo]]="","",_xlfn.XLOOKUP(tblOrdenes[[#This Row],[puesto_trabajo]],tblPuestos[codigo],tblPuestos[especialidad],"(sin catálogo)"))</f>
        <v/>
      </c>
      <c r="X449" s="3">
        <f>IF(tblOrdenes[[#This Row],[cod_actividad]]="","",_xlfn.XLOOKUP(tblOrdenes[[#This Row],[cod_actividad]],tblActividades[codigo],tblActividades[descripcion],"(sin catálogo)"))</f>
        <v/>
      </c>
      <c r="Y449" s="12">
        <f>IF(tblOrdenes[[#This Row],[fecha_inicio]]="","",TODAY()-tblOrdenes[[#This Row],[fecha_inicio]])</f>
        <v/>
      </c>
      <c r="Z449" s="3">
        <f>IF(tblOrdenes[[#This Row],[backlog_dias]]="","",IF(tblOrdenes[[#This Row],[backlog_dias]]&lt;0,"FUTURO",IF(tblOrdenes[[#This Row],[backlog_dias]]&gt;p_dias_backlog_max,"BACKLOG","MES CORRIENTE")))</f>
        <v/>
      </c>
      <c r="AA449" s="3">
        <f>IF(tblOrdenes[[#This Row],[backlog_dias]]="",FALSE,AND(tblOrdenes[[#This Row],[backlog_dias]]&gt;p_dias_backlog_min,tblOrdenes[[#This Row],[backlog_dias]]&lt;=p_dias_backlog_max))</f>
        <v/>
      </c>
      <c r="AB449" s="6" t="n"/>
      <c r="AC4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9" s="10">
        <f>IF(tblOrdenes[[#This Row],[orden]]="","",_xlfn.XLOOKUP(tblOrdenes[[#This Row],[id_operacion]],tblEjecucion[id_operacion],tblEjecucion[precio],0))</f>
        <v/>
      </c>
      <c r="AG449" s="10">
        <f>IF(tblOrdenes[[#This Row],[orden]]="","",MAX(0,_xlfn.XLOOKUP(tblOrdenes[[#This Row],[id_operacion]],tblEjecucion[id_operacion],tblEjecucion[costo_plan_total],0)-tblOrdenes[[#This Row],[costo_servicio]]))</f>
        <v/>
      </c>
      <c r="AH449" s="10">
        <f>IF(tblOrdenes[[#This Row],[orden]]="","",tblOrdenes[[#This Row],[costo_servicio]]+tblOrdenes[[#This Row],[costo_materiales]])</f>
        <v/>
      </c>
      <c r="AI449" s="6" t="n"/>
      <c r="AJ449" s="6" t="n"/>
      <c r="AK449" s="6" t="n"/>
      <c r="AL449" s="3">
        <f>IF(tblOrdenes[[#This Row],[link_checklist]]="","",HYPERLINK(p_ruta_base_checklists&amp;tblOrdenes[[#This Row],[link_checklist]],"abrir"))</f>
        <v/>
      </c>
      <c r="AM449" s="6" t="n"/>
      <c r="AN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Row],[tipo_ot]]="","",_xlfn.XLOOKUP(tblOrdenes[[#This Row],[tipo_ot]],tblTiposOT[codigo],tblTiposOT[clasificacion],"sin_clasificar"))</f>
        <v/>
      </c>
      <c r="T450" s="3">
        <f>IF(tblOrdenes[[#This Row],[centro_costo]]="","",_xlfn.XLOOKUP(tblOrdenes[[#This Row],[centro_costo]],tblCECO[codigo],tblCECO[linea],"(sin catálogo)"))</f>
        <v/>
      </c>
      <c r="U450" s="3">
        <f>IF(tblOrdenes[[#This Row],[centro_costo]]="","",_xlfn.XLOOKUP(tblOrdenes[[#This Row],[centro_costo]],tblCECO[codigo],tblCECO[area],"(sin catálogo)"))</f>
        <v/>
      </c>
      <c r="V450" s="3">
        <f>IF(tblOrdenes[[#This Row],[centro_costo]]="","",_xlfn.XLOOKUP(tblOrdenes[[#This Row],[centro_costo]],tblCECO[codigo],tblCECO[coordinador],"(sin catálogo)"))</f>
        <v/>
      </c>
      <c r="W450" s="3">
        <f>IF(tblOrdenes[[#This Row],[puesto_trabajo]]="","",_xlfn.XLOOKUP(tblOrdenes[[#This Row],[puesto_trabajo]],tblPuestos[codigo],tblPuestos[especialidad],"(sin catálogo)"))</f>
        <v/>
      </c>
      <c r="X450" s="3">
        <f>IF(tblOrdenes[[#This Row],[cod_actividad]]="","",_xlfn.XLOOKUP(tblOrdenes[[#This Row],[cod_actividad]],tblActividades[codigo],tblActividades[descripcion],"(sin catálogo)"))</f>
        <v/>
      </c>
      <c r="Y450" s="12">
        <f>IF(tblOrdenes[[#This Row],[fecha_inicio]]="","",TODAY()-tblOrdenes[[#This Row],[fecha_inicio]])</f>
        <v/>
      </c>
      <c r="Z450" s="3">
        <f>IF(tblOrdenes[[#This Row],[backlog_dias]]="","",IF(tblOrdenes[[#This Row],[backlog_dias]]&lt;0,"FUTURO",IF(tblOrdenes[[#This Row],[backlog_dias]]&gt;p_dias_backlog_max,"BACKLOG","MES CORRIENTE")))</f>
        <v/>
      </c>
      <c r="AA450" s="3">
        <f>IF(tblOrdenes[[#This Row],[backlog_dias]]="",FALSE,AND(tblOrdenes[[#This Row],[backlog_dias]]&gt;p_dias_backlog_min,tblOrdenes[[#This Row],[backlog_dias]]&lt;=p_dias_backlog_max))</f>
        <v/>
      </c>
      <c r="AB450" s="6" t="n"/>
      <c r="AC4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0" s="10">
        <f>IF(tblOrdenes[[#This Row],[orden]]="","",_xlfn.XLOOKUP(tblOrdenes[[#This Row],[id_operacion]],tblEjecucion[id_operacion],tblEjecucion[precio],0))</f>
        <v/>
      </c>
      <c r="AG450" s="10">
        <f>IF(tblOrdenes[[#This Row],[orden]]="","",MAX(0,_xlfn.XLOOKUP(tblOrdenes[[#This Row],[id_operacion]],tblEjecucion[id_operacion],tblEjecucion[costo_plan_total],0)-tblOrdenes[[#This Row],[costo_servicio]]))</f>
        <v/>
      </c>
      <c r="AH450" s="10">
        <f>IF(tblOrdenes[[#This Row],[orden]]="","",tblOrdenes[[#This Row],[costo_servicio]]+tblOrdenes[[#This Row],[costo_materiales]])</f>
        <v/>
      </c>
      <c r="AI450" s="6" t="n"/>
      <c r="AJ450" s="6" t="n"/>
      <c r="AK450" s="6" t="n"/>
      <c r="AL450" s="3">
        <f>IF(tblOrdenes[[#This Row],[link_checklist]]="","",HYPERLINK(p_ruta_base_checklists&amp;tblOrdenes[[#This Row],[link_checklist]],"abrir"))</f>
        <v/>
      </c>
      <c r="AM450" s="6" t="n"/>
      <c r="AN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Row],[tipo_ot]]="","",_xlfn.XLOOKUP(tblOrdenes[[#This Row],[tipo_ot]],tblTiposOT[codigo],tblTiposOT[clasificacion],"sin_clasificar"))</f>
        <v/>
      </c>
      <c r="T451" s="3">
        <f>IF(tblOrdenes[[#This Row],[centro_costo]]="","",_xlfn.XLOOKUP(tblOrdenes[[#This Row],[centro_costo]],tblCECO[codigo],tblCECO[linea],"(sin catálogo)"))</f>
        <v/>
      </c>
      <c r="U451" s="3">
        <f>IF(tblOrdenes[[#This Row],[centro_costo]]="","",_xlfn.XLOOKUP(tblOrdenes[[#This Row],[centro_costo]],tblCECO[codigo],tblCECO[area],"(sin catálogo)"))</f>
        <v/>
      </c>
      <c r="V451" s="3">
        <f>IF(tblOrdenes[[#This Row],[centro_costo]]="","",_xlfn.XLOOKUP(tblOrdenes[[#This Row],[centro_costo]],tblCECO[codigo],tblCECO[coordinador],"(sin catálogo)"))</f>
        <v/>
      </c>
      <c r="W451" s="3">
        <f>IF(tblOrdenes[[#This Row],[puesto_trabajo]]="","",_xlfn.XLOOKUP(tblOrdenes[[#This Row],[puesto_trabajo]],tblPuestos[codigo],tblPuestos[especialidad],"(sin catálogo)"))</f>
        <v/>
      </c>
      <c r="X451" s="3">
        <f>IF(tblOrdenes[[#This Row],[cod_actividad]]="","",_xlfn.XLOOKUP(tblOrdenes[[#This Row],[cod_actividad]],tblActividades[codigo],tblActividades[descripcion],"(sin catálogo)"))</f>
        <v/>
      </c>
      <c r="Y451" s="12">
        <f>IF(tblOrdenes[[#This Row],[fecha_inicio]]="","",TODAY()-tblOrdenes[[#This Row],[fecha_inicio]])</f>
        <v/>
      </c>
      <c r="Z451" s="3">
        <f>IF(tblOrdenes[[#This Row],[backlog_dias]]="","",IF(tblOrdenes[[#This Row],[backlog_dias]]&lt;0,"FUTURO",IF(tblOrdenes[[#This Row],[backlog_dias]]&gt;p_dias_backlog_max,"BACKLOG","MES CORRIENTE")))</f>
        <v/>
      </c>
      <c r="AA451" s="3">
        <f>IF(tblOrdenes[[#This Row],[backlog_dias]]="",FALSE,AND(tblOrdenes[[#This Row],[backlog_dias]]&gt;p_dias_backlog_min,tblOrdenes[[#This Row],[backlog_dias]]&lt;=p_dias_backlog_max))</f>
        <v/>
      </c>
      <c r="AB451" s="6" t="n"/>
      <c r="AC4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1" s="10">
        <f>IF(tblOrdenes[[#This Row],[orden]]="","",_xlfn.XLOOKUP(tblOrdenes[[#This Row],[id_operacion]],tblEjecucion[id_operacion],tblEjecucion[precio],0))</f>
        <v/>
      </c>
      <c r="AG451" s="10">
        <f>IF(tblOrdenes[[#This Row],[orden]]="","",MAX(0,_xlfn.XLOOKUP(tblOrdenes[[#This Row],[id_operacion]],tblEjecucion[id_operacion],tblEjecucion[costo_plan_total],0)-tblOrdenes[[#This Row],[costo_servicio]]))</f>
        <v/>
      </c>
      <c r="AH451" s="10">
        <f>IF(tblOrdenes[[#This Row],[orden]]="","",tblOrdenes[[#This Row],[costo_servicio]]+tblOrdenes[[#This Row],[costo_materiales]])</f>
        <v/>
      </c>
      <c r="AI451" s="6" t="n"/>
      <c r="AJ451" s="6" t="n"/>
      <c r="AK451" s="6" t="n"/>
      <c r="AL451" s="3">
        <f>IF(tblOrdenes[[#This Row],[link_checklist]]="","",HYPERLINK(p_ruta_base_checklists&amp;tblOrdenes[[#This Row],[link_checklist]],"abrir"))</f>
        <v/>
      </c>
      <c r="AM451" s="6" t="n"/>
      <c r="AN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Row],[tipo_ot]]="","",_xlfn.XLOOKUP(tblOrdenes[[#This Row],[tipo_ot]],tblTiposOT[codigo],tblTiposOT[clasificacion],"sin_clasificar"))</f>
        <v/>
      </c>
      <c r="T452" s="3">
        <f>IF(tblOrdenes[[#This Row],[centro_costo]]="","",_xlfn.XLOOKUP(tblOrdenes[[#This Row],[centro_costo]],tblCECO[codigo],tblCECO[linea],"(sin catálogo)"))</f>
        <v/>
      </c>
      <c r="U452" s="3">
        <f>IF(tblOrdenes[[#This Row],[centro_costo]]="","",_xlfn.XLOOKUP(tblOrdenes[[#This Row],[centro_costo]],tblCECO[codigo],tblCECO[area],"(sin catálogo)"))</f>
        <v/>
      </c>
      <c r="V452" s="3">
        <f>IF(tblOrdenes[[#This Row],[centro_costo]]="","",_xlfn.XLOOKUP(tblOrdenes[[#This Row],[centro_costo]],tblCECO[codigo],tblCECO[coordinador],"(sin catálogo)"))</f>
        <v/>
      </c>
      <c r="W452" s="3">
        <f>IF(tblOrdenes[[#This Row],[puesto_trabajo]]="","",_xlfn.XLOOKUP(tblOrdenes[[#This Row],[puesto_trabajo]],tblPuestos[codigo],tblPuestos[especialidad],"(sin catálogo)"))</f>
        <v/>
      </c>
      <c r="X452" s="3">
        <f>IF(tblOrdenes[[#This Row],[cod_actividad]]="","",_xlfn.XLOOKUP(tblOrdenes[[#This Row],[cod_actividad]],tblActividades[codigo],tblActividades[descripcion],"(sin catálogo)"))</f>
        <v/>
      </c>
      <c r="Y452" s="12">
        <f>IF(tblOrdenes[[#This Row],[fecha_inicio]]="","",TODAY()-tblOrdenes[[#This Row],[fecha_inicio]])</f>
        <v/>
      </c>
      <c r="Z452" s="3">
        <f>IF(tblOrdenes[[#This Row],[backlog_dias]]="","",IF(tblOrdenes[[#This Row],[backlog_dias]]&lt;0,"FUTURO",IF(tblOrdenes[[#This Row],[backlog_dias]]&gt;p_dias_backlog_max,"BACKLOG","MES CORRIENTE")))</f>
        <v/>
      </c>
      <c r="AA452" s="3">
        <f>IF(tblOrdenes[[#This Row],[backlog_dias]]="",FALSE,AND(tblOrdenes[[#This Row],[backlog_dias]]&gt;p_dias_backlog_min,tblOrdenes[[#This Row],[backlog_dias]]&lt;=p_dias_backlog_max))</f>
        <v/>
      </c>
      <c r="AB452" s="6" t="n"/>
      <c r="AC4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2" s="10">
        <f>IF(tblOrdenes[[#This Row],[orden]]="","",_xlfn.XLOOKUP(tblOrdenes[[#This Row],[id_operacion]],tblEjecucion[id_operacion],tblEjecucion[precio],0))</f>
        <v/>
      </c>
      <c r="AG452" s="10">
        <f>IF(tblOrdenes[[#This Row],[orden]]="","",MAX(0,_xlfn.XLOOKUP(tblOrdenes[[#This Row],[id_operacion]],tblEjecucion[id_operacion],tblEjecucion[costo_plan_total],0)-tblOrdenes[[#This Row],[costo_servicio]]))</f>
        <v/>
      </c>
      <c r="AH452" s="10">
        <f>IF(tblOrdenes[[#This Row],[orden]]="","",tblOrdenes[[#This Row],[costo_servicio]]+tblOrdenes[[#This Row],[costo_materiales]])</f>
        <v/>
      </c>
      <c r="AI452" s="6" t="n"/>
      <c r="AJ452" s="6" t="n"/>
      <c r="AK452" s="6" t="n"/>
      <c r="AL452" s="3">
        <f>IF(tblOrdenes[[#This Row],[link_checklist]]="","",HYPERLINK(p_ruta_base_checklists&amp;tblOrdenes[[#This Row],[link_checklist]],"abrir"))</f>
        <v/>
      </c>
      <c r="AM452" s="6" t="n"/>
      <c r="AN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Row],[tipo_ot]]="","",_xlfn.XLOOKUP(tblOrdenes[[#This Row],[tipo_ot]],tblTiposOT[codigo],tblTiposOT[clasificacion],"sin_clasificar"))</f>
        <v/>
      </c>
      <c r="T453" s="3">
        <f>IF(tblOrdenes[[#This Row],[centro_costo]]="","",_xlfn.XLOOKUP(tblOrdenes[[#This Row],[centro_costo]],tblCECO[codigo],tblCECO[linea],"(sin catálogo)"))</f>
        <v/>
      </c>
      <c r="U453" s="3">
        <f>IF(tblOrdenes[[#This Row],[centro_costo]]="","",_xlfn.XLOOKUP(tblOrdenes[[#This Row],[centro_costo]],tblCECO[codigo],tblCECO[area],"(sin catálogo)"))</f>
        <v/>
      </c>
      <c r="V453" s="3">
        <f>IF(tblOrdenes[[#This Row],[centro_costo]]="","",_xlfn.XLOOKUP(tblOrdenes[[#This Row],[centro_costo]],tblCECO[codigo],tblCECO[coordinador],"(sin catálogo)"))</f>
        <v/>
      </c>
      <c r="W453" s="3">
        <f>IF(tblOrdenes[[#This Row],[puesto_trabajo]]="","",_xlfn.XLOOKUP(tblOrdenes[[#This Row],[puesto_trabajo]],tblPuestos[codigo],tblPuestos[especialidad],"(sin catálogo)"))</f>
        <v/>
      </c>
      <c r="X453" s="3">
        <f>IF(tblOrdenes[[#This Row],[cod_actividad]]="","",_xlfn.XLOOKUP(tblOrdenes[[#This Row],[cod_actividad]],tblActividades[codigo],tblActividades[descripcion],"(sin catálogo)"))</f>
        <v/>
      </c>
      <c r="Y453" s="12">
        <f>IF(tblOrdenes[[#This Row],[fecha_inicio]]="","",TODAY()-tblOrdenes[[#This Row],[fecha_inicio]])</f>
        <v/>
      </c>
      <c r="Z453" s="3">
        <f>IF(tblOrdenes[[#This Row],[backlog_dias]]="","",IF(tblOrdenes[[#This Row],[backlog_dias]]&lt;0,"FUTURO",IF(tblOrdenes[[#This Row],[backlog_dias]]&gt;p_dias_backlog_max,"BACKLOG","MES CORRIENTE")))</f>
        <v/>
      </c>
      <c r="AA453" s="3">
        <f>IF(tblOrdenes[[#This Row],[backlog_dias]]="",FALSE,AND(tblOrdenes[[#This Row],[backlog_dias]]&gt;p_dias_backlog_min,tblOrdenes[[#This Row],[backlog_dias]]&lt;=p_dias_backlog_max))</f>
        <v/>
      </c>
      <c r="AB453" s="6" t="n"/>
      <c r="AC4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3" s="10">
        <f>IF(tblOrdenes[[#This Row],[orden]]="","",_xlfn.XLOOKUP(tblOrdenes[[#This Row],[id_operacion]],tblEjecucion[id_operacion],tblEjecucion[precio],0))</f>
        <v/>
      </c>
      <c r="AG453" s="10">
        <f>IF(tblOrdenes[[#This Row],[orden]]="","",MAX(0,_xlfn.XLOOKUP(tblOrdenes[[#This Row],[id_operacion]],tblEjecucion[id_operacion],tblEjecucion[costo_plan_total],0)-tblOrdenes[[#This Row],[costo_servicio]]))</f>
        <v/>
      </c>
      <c r="AH453" s="10">
        <f>IF(tblOrdenes[[#This Row],[orden]]="","",tblOrdenes[[#This Row],[costo_servicio]]+tblOrdenes[[#This Row],[costo_materiales]])</f>
        <v/>
      </c>
      <c r="AI453" s="6" t="n"/>
      <c r="AJ453" s="6" t="n"/>
      <c r="AK453" s="6" t="n"/>
      <c r="AL453" s="3">
        <f>IF(tblOrdenes[[#This Row],[link_checklist]]="","",HYPERLINK(p_ruta_base_checklists&amp;tblOrdenes[[#This Row],[link_checklist]],"abrir"))</f>
        <v/>
      </c>
      <c r="AM453" s="6" t="n"/>
      <c r="AN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Row],[tipo_ot]]="","",_xlfn.XLOOKUP(tblOrdenes[[#This Row],[tipo_ot]],tblTiposOT[codigo],tblTiposOT[clasificacion],"sin_clasificar"))</f>
        <v/>
      </c>
      <c r="T454" s="3">
        <f>IF(tblOrdenes[[#This Row],[centro_costo]]="","",_xlfn.XLOOKUP(tblOrdenes[[#This Row],[centro_costo]],tblCECO[codigo],tblCECO[linea],"(sin catálogo)"))</f>
        <v/>
      </c>
      <c r="U454" s="3">
        <f>IF(tblOrdenes[[#This Row],[centro_costo]]="","",_xlfn.XLOOKUP(tblOrdenes[[#This Row],[centro_costo]],tblCECO[codigo],tblCECO[area],"(sin catálogo)"))</f>
        <v/>
      </c>
      <c r="V454" s="3">
        <f>IF(tblOrdenes[[#This Row],[centro_costo]]="","",_xlfn.XLOOKUP(tblOrdenes[[#This Row],[centro_costo]],tblCECO[codigo],tblCECO[coordinador],"(sin catálogo)"))</f>
        <v/>
      </c>
      <c r="W454" s="3">
        <f>IF(tblOrdenes[[#This Row],[puesto_trabajo]]="","",_xlfn.XLOOKUP(tblOrdenes[[#This Row],[puesto_trabajo]],tblPuestos[codigo],tblPuestos[especialidad],"(sin catálogo)"))</f>
        <v/>
      </c>
      <c r="X454" s="3">
        <f>IF(tblOrdenes[[#This Row],[cod_actividad]]="","",_xlfn.XLOOKUP(tblOrdenes[[#This Row],[cod_actividad]],tblActividades[codigo],tblActividades[descripcion],"(sin catálogo)"))</f>
        <v/>
      </c>
      <c r="Y454" s="12">
        <f>IF(tblOrdenes[[#This Row],[fecha_inicio]]="","",TODAY()-tblOrdenes[[#This Row],[fecha_inicio]])</f>
        <v/>
      </c>
      <c r="Z454" s="3">
        <f>IF(tblOrdenes[[#This Row],[backlog_dias]]="","",IF(tblOrdenes[[#This Row],[backlog_dias]]&lt;0,"FUTURO",IF(tblOrdenes[[#This Row],[backlog_dias]]&gt;p_dias_backlog_max,"BACKLOG","MES CORRIENTE")))</f>
        <v/>
      </c>
      <c r="AA454" s="3">
        <f>IF(tblOrdenes[[#This Row],[backlog_dias]]="",FALSE,AND(tblOrdenes[[#This Row],[backlog_dias]]&gt;p_dias_backlog_min,tblOrdenes[[#This Row],[backlog_dias]]&lt;=p_dias_backlog_max))</f>
        <v/>
      </c>
      <c r="AB454" s="6" t="n"/>
      <c r="AC4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4" s="10">
        <f>IF(tblOrdenes[[#This Row],[orden]]="","",_xlfn.XLOOKUP(tblOrdenes[[#This Row],[id_operacion]],tblEjecucion[id_operacion],tblEjecucion[precio],0))</f>
        <v/>
      </c>
      <c r="AG454" s="10">
        <f>IF(tblOrdenes[[#This Row],[orden]]="","",MAX(0,_xlfn.XLOOKUP(tblOrdenes[[#This Row],[id_operacion]],tblEjecucion[id_operacion],tblEjecucion[costo_plan_total],0)-tblOrdenes[[#This Row],[costo_servicio]]))</f>
        <v/>
      </c>
      <c r="AH454" s="10">
        <f>IF(tblOrdenes[[#This Row],[orden]]="","",tblOrdenes[[#This Row],[costo_servicio]]+tblOrdenes[[#This Row],[costo_materiales]])</f>
        <v/>
      </c>
      <c r="AI454" s="6" t="n"/>
      <c r="AJ454" s="6" t="n"/>
      <c r="AK454" s="6" t="n"/>
      <c r="AL454" s="3">
        <f>IF(tblOrdenes[[#This Row],[link_checklist]]="","",HYPERLINK(p_ruta_base_checklists&amp;tblOrdenes[[#This Row],[link_checklist]],"abrir"))</f>
        <v/>
      </c>
      <c r="AM454" s="6" t="n"/>
      <c r="AN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Row],[tipo_ot]]="","",_xlfn.XLOOKUP(tblOrdenes[[#This Row],[tipo_ot]],tblTiposOT[codigo],tblTiposOT[clasificacion],"sin_clasificar"))</f>
        <v/>
      </c>
      <c r="T455" s="3">
        <f>IF(tblOrdenes[[#This Row],[centro_costo]]="","",_xlfn.XLOOKUP(tblOrdenes[[#This Row],[centro_costo]],tblCECO[codigo],tblCECO[linea],"(sin catálogo)"))</f>
        <v/>
      </c>
      <c r="U455" s="3">
        <f>IF(tblOrdenes[[#This Row],[centro_costo]]="","",_xlfn.XLOOKUP(tblOrdenes[[#This Row],[centro_costo]],tblCECO[codigo],tblCECO[area],"(sin catálogo)"))</f>
        <v/>
      </c>
      <c r="V455" s="3">
        <f>IF(tblOrdenes[[#This Row],[centro_costo]]="","",_xlfn.XLOOKUP(tblOrdenes[[#This Row],[centro_costo]],tblCECO[codigo],tblCECO[coordinador],"(sin catálogo)"))</f>
        <v/>
      </c>
      <c r="W455" s="3">
        <f>IF(tblOrdenes[[#This Row],[puesto_trabajo]]="","",_xlfn.XLOOKUP(tblOrdenes[[#This Row],[puesto_trabajo]],tblPuestos[codigo],tblPuestos[especialidad],"(sin catálogo)"))</f>
        <v/>
      </c>
      <c r="X455" s="3">
        <f>IF(tblOrdenes[[#This Row],[cod_actividad]]="","",_xlfn.XLOOKUP(tblOrdenes[[#This Row],[cod_actividad]],tblActividades[codigo],tblActividades[descripcion],"(sin catálogo)"))</f>
        <v/>
      </c>
      <c r="Y455" s="12">
        <f>IF(tblOrdenes[[#This Row],[fecha_inicio]]="","",TODAY()-tblOrdenes[[#This Row],[fecha_inicio]])</f>
        <v/>
      </c>
      <c r="Z455" s="3">
        <f>IF(tblOrdenes[[#This Row],[backlog_dias]]="","",IF(tblOrdenes[[#This Row],[backlog_dias]]&lt;0,"FUTURO",IF(tblOrdenes[[#This Row],[backlog_dias]]&gt;p_dias_backlog_max,"BACKLOG","MES CORRIENTE")))</f>
        <v/>
      </c>
      <c r="AA455" s="3">
        <f>IF(tblOrdenes[[#This Row],[backlog_dias]]="",FALSE,AND(tblOrdenes[[#This Row],[backlog_dias]]&gt;p_dias_backlog_min,tblOrdenes[[#This Row],[backlog_dias]]&lt;=p_dias_backlog_max))</f>
        <v/>
      </c>
      <c r="AB455" s="6" t="n"/>
      <c r="AC4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5" s="10">
        <f>IF(tblOrdenes[[#This Row],[orden]]="","",_xlfn.XLOOKUP(tblOrdenes[[#This Row],[id_operacion]],tblEjecucion[id_operacion],tblEjecucion[precio],0))</f>
        <v/>
      </c>
      <c r="AG455" s="10">
        <f>IF(tblOrdenes[[#This Row],[orden]]="","",MAX(0,_xlfn.XLOOKUP(tblOrdenes[[#This Row],[id_operacion]],tblEjecucion[id_operacion],tblEjecucion[costo_plan_total],0)-tblOrdenes[[#This Row],[costo_servicio]]))</f>
        <v/>
      </c>
      <c r="AH455" s="10">
        <f>IF(tblOrdenes[[#This Row],[orden]]="","",tblOrdenes[[#This Row],[costo_servicio]]+tblOrdenes[[#This Row],[costo_materiales]])</f>
        <v/>
      </c>
      <c r="AI455" s="6" t="n"/>
      <c r="AJ455" s="6" t="n"/>
      <c r="AK455" s="6" t="n"/>
      <c r="AL455" s="3">
        <f>IF(tblOrdenes[[#This Row],[link_checklist]]="","",HYPERLINK(p_ruta_base_checklists&amp;tblOrdenes[[#This Row],[link_checklist]],"abrir"))</f>
        <v/>
      </c>
      <c r="AM455" s="6" t="n"/>
      <c r="AN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Row],[tipo_ot]]="","",_xlfn.XLOOKUP(tblOrdenes[[#This Row],[tipo_ot]],tblTiposOT[codigo],tblTiposOT[clasificacion],"sin_clasificar"))</f>
        <v/>
      </c>
      <c r="T456" s="3">
        <f>IF(tblOrdenes[[#This Row],[centro_costo]]="","",_xlfn.XLOOKUP(tblOrdenes[[#This Row],[centro_costo]],tblCECO[codigo],tblCECO[linea],"(sin catálogo)"))</f>
        <v/>
      </c>
      <c r="U456" s="3">
        <f>IF(tblOrdenes[[#This Row],[centro_costo]]="","",_xlfn.XLOOKUP(tblOrdenes[[#This Row],[centro_costo]],tblCECO[codigo],tblCECO[area],"(sin catálogo)"))</f>
        <v/>
      </c>
      <c r="V456" s="3">
        <f>IF(tblOrdenes[[#This Row],[centro_costo]]="","",_xlfn.XLOOKUP(tblOrdenes[[#This Row],[centro_costo]],tblCECO[codigo],tblCECO[coordinador],"(sin catálogo)"))</f>
        <v/>
      </c>
      <c r="W456" s="3">
        <f>IF(tblOrdenes[[#This Row],[puesto_trabajo]]="","",_xlfn.XLOOKUP(tblOrdenes[[#This Row],[puesto_trabajo]],tblPuestos[codigo],tblPuestos[especialidad],"(sin catálogo)"))</f>
        <v/>
      </c>
      <c r="X456" s="3">
        <f>IF(tblOrdenes[[#This Row],[cod_actividad]]="","",_xlfn.XLOOKUP(tblOrdenes[[#This Row],[cod_actividad]],tblActividades[codigo],tblActividades[descripcion],"(sin catálogo)"))</f>
        <v/>
      </c>
      <c r="Y456" s="12">
        <f>IF(tblOrdenes[[#This Row],[fecha_inicio]]="","",TODAY()-tblOrdenes[[#This Row],[fecha_inicio]])</f>
        <v/>
      </c>
      <c r="Z456" s="3">
        <f>IF(tblOrdenes[[#This Row],[backlog_dias]]="","",IF(tblOrdenes[[#This Row],[backlog_dias]]&lt;0,"FUTURO",IF(tblOrdenes[[#This Row],[backlog_dias]]&gt;p_dias_backlog_max,"BACKLOG","MES CORRIENTE")))</f>
        <v/>
      </c>
      <c r="AA456" s="3">
        <f>IF(tblOrdenes[[#This Row],[backlog_dias]]="",FALSE,AND(tblOrdenes[[#This Row],[backlog_dias]]&gt;p_dias_backlog_min,tblOrdenes[[#This Row],[backlog_dias]]&lt;=p_dias_backlog_max))</f>
        <v/>
      </c>
      <c r="AB456" s="6" t="n"/>
      <c r="AC4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6" s="10">
        <f>IF(tblOrdenes[[#This Row],[orden]]="","",_xlfn.XLOOKUP(tblOrdenes[[#This Row],[id_operacion]],tblEjecucion[id_operacion],tblEjecucion[precio],0))</f>
        <v/>
      </c>
      <c r="AG456" s="10">
        <f>IF(tblOrdenes[[#This Row],[orden]]="","",MAX(0,_xlfn.XLOOKUP(tblOrdenes[[#This Row],[id_operacion]],tblEjecucion[id_operacion],tblEjecucion[costo_plan_total],0)-tblOrdenes[[#This Row],[costo_servicio]]))</f>
        <v/>
      </c>
      <c r="AH456" s="10">
        <f>IF(tblOrdenes[[#This Row],[orden]]="","",tblOrdenes[[#This Row],[costo_servicio]]+tblOrdenes[[#This Row],[costo_materiales]])</f>
        <v/>
      </c>
      <c r="AI456" s="6" t="n"/>
      <c r="AJ456" s="6" t="n"/>
      <c r="AK456" s="6" t="n"/>
      <c r="AL456" s="3">
        <f>IF(tblOrdenes[[#This Row],[link_checklist]]="","",HYPERLINK(p_ruta_base_checklists&amp;tblOrdenes[[#This Row],[link_checklist]],"abrir"))</f>
        <v/>
      </c>
      <c r="AM456" s="6" t="n"/>
      <c r="AN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Row],[tipo_ot]]="","",_xlfn.XLOOKUP(tblOrdenes[[#This Row],[tipo_ot]],tblTiposOT[codigo],tblTiposOT[clasificacion],"sin_clasificar"))</f>
        <v/>
      </c>
      <c r="T457" s="3">
        <f>IF(tblOrdenes[[#This Row],[centro_costo]]="","",_xlfn.XLOOKUP(tblOrdenes[[#This Row],[centro_costo]],tblCECO[codigo],tblCECO[linea],"(sin catálogo)"))</f>
        <v/>
      </c>
      <c r="U457" s="3">
        <f>IF(tblOrdenes[[#This Row],[centro_costo]]="","",_xlfn.XLOOKUP(tblOrdenes[[#This Row],[centro_costo]],tblCECO[codigo],tblCECO[area],"(sin catálogo)"))</f>
        <v/>
      </c>
      <c r="V457" s="3">
        <f>IF(tblOrdenes[[#This Row],[centro_costo]]="","",_xlfn.XLOOKUP(tblOrdenes[[#This Row],[centro_costo]],tblCECO[codigo],tblCECO[coordinador],"(sin catálogo)"))</f>
        <v/>
      </c>
      <c r="W457" s="3">
        <f>IF(tblOrdenes[[#This Row],[puesto_trabajo]]="","",_xlfn.XLOOKUP(tblOrdenes[[#This Row],[puesto_trabajo]],tblPuestos[codigo],tblPuestos[especialidad],"(sin catálogo)"))</f>
        <v/>
      </c>
      <c r="X457" s="3">
        <f>IF(tblOrdenes[[#This Row],[cod_actividad]]="","",_xlfn.XLOOKUP(tblOrdenes[[#This Row],[cod_actividad]],tblActividades[codigo],tblActividades[descripcion],"(sin catálogo)"))</f>
        <v/>
      </c>
      <c r="Y457" s="12">
        <f>IF(tblOrdenes[[#This Row],[fecha_inicio]]="","",TODAY()-tblOrdenes[[#This Row],[fecha_inicio]])</f>
        <v/>
      </c>
      <c r="Z457" s="3">
        <f>IF(tblOrdenes[[#This Row],[backlog_dias]]="","",IF(tblOrdenes[[#This Row],[backlog_dias]]&lt;0,"FUTURO",IF(tblOrdenes[[#This Row],[backlog_dias]]&gt;p_dias_backlog_max,"BACKLOG","MES CORRIENTE")))</f>
        <v/>
      </c>
      <c r="AA457" s="3">
        <f>IF(tblOrdenes[[#This Row],[backlog_dias]]="",FALSE,AND(tblOrdenes[[#This Row],[backlog_dias]]&gt;p_dias_backlog_min,tblOrdenes[[#This Row],[backlog_dias]]&lt;=p_dias_backlog_max))</f>
        <v/>
      </c>
      <c r="AB457" s="6" t="n"/>
      <c r="AC4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7" s="10">
        <f>IF(tblOrdenes[[#This Row],[orden]]="","",_xlfn.XLOOKUP(tblOrdenes[[#This Row],[id_operacion]],tblEjecucion[id_operacion],tblEjecucion[precio],0))</f>
        <v/>
      </c>
      <c r="AG457" s="10">
        <f>IF(tblOrdenes[[#This Row],[orden]]="","",MAX(0,_xlfn.XLOOKUP(tblOrdenes[[#This Row],[id_operacion]],tblEjecucion[id_operacion],tblEjecucion[costo_plan_total],0)-tblOrdenes[[#This Row],[costo_servicio]]))</f>
        <v/>
      </c>
      <c r="AH457" s="10">
        <f>IF(tblOrdenes[[#This Row],[orden]]="","",tblOrdenes[[#This Row],[costo_servicio]]+tblOrdenes[[#This Row],[costo_materiales]])</f>
        <v/>
      </c>
      <c r="AI457" s="6" t="n"/>
      <c r="AJ457" s="6" t="n"/>
      <c r="AK457" s="6" t="n"/>
      <c r="AL457" s="3">
        <f>IF(tblOrdenes[[#This Row],[link_checklist]]="","",HYPERLINK(p_ruta_base_checklists&amp;tblOrdenes[[#This Row],[link_checklist]],"abrir"))</f>
        <v/>
      </c>
      <c r="AM457" s="6" t="n"/>
      <c r="AN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Row],[tipo_ot]]="","",_xlfn.XLOOKUP(tblOrdenes[[#This Row],[tipo_ot]],tblTiposOT[codigo],tblTiposOT[clasificacion],"sin_clasificar"))</f>
        <v/>
      </c>
      <c r="T458" s="3">
        <f>IF(tblOrdenes[[#This Row],[centro_costo]]="","",_xlfn.XLOOKUP(tblOrdenes[[#This Row],[centro_costo]],tblCECO[codigo],tblCECO[linea],"(sin catálogo)"))</f>
        <v/>
      </c>
      <c r="U458" s="3">
        <f>IF(tblOrdenes[[#This Row],[centro_costo]]="","",_xlfn.XLOOKUP(tblOrdenes[[#This Row],[centro_costo]],tblCECO[codigo],tblCECO[area],"(sin catálogo)"))</f>
        <v/>
      </c>
      <c r="V458" s="3">
        <f>IF(tblOrdenes[[#This Row],[centro_costo]]="","",_xlfn.XLOOKUP(tblOrdenes[[#This Row],[centro_costo]],tblCECO[codigo],tblCECO[coordinador],"(sin catálogo)"))</f>
        <v/>
      </c>
      <c r="W458" s="3">
        <f>IF(tblOrdenes[[#This Row],[puesto_trabajo]]="","",_xlfn.XLOOKUP(tblOrdenes[[#This Row],[puesto_trabajo]],tblPuestos[codigo],tblPuestos[especialidad],"(sin catálogo)"))</f>
        <v/>
      </c>
      <c r="X458" s="3">
        <f>IF(tblOrdenes[[#This Row],[cod_actividad]]="","",_xlfn.XLOOKUP(tblOrdenes[[#This Row],[cod_actividad]],tblActividades[codigo],tblActividades[descripcion],"(sin catálogo)"))</f>
        <v/>
      </c>
      <c r="Y458" s="12">
        <f>IF(tblOrdenes[[#This Row],[fecha_inicio]]="","",TODAY()-tblOrdenes[[#This Row],[fecha_inicio]])</f>
        <v/>
      </c>
      <c r="Z458" s="3">
        <f>IF(tblOrdenes[[#This Row],[backlog_dias]]="","",IF(tblOrdenes[[#This Row],[backlog_dias]]&lt;0,"FUTURO",IF(tblOrdenes[[#This Row],[backlog_dias]]&gt;p_dias_backlog_max,"BACKLOG","MES CORRIENTE")))</f>
        <v/>
      </c>
      <c r="AA458" s="3">
        <f>IF(tblOrdenes[[#This Row],[backlog_dias]]="",FALSE,AND(tblOrdenes[[#This Row],[backlog_dias]]&gt;p_dias_backlog_min,tblOrdenes[[#This Row],[backlog_dias]]&lt;=p_dias_backlog_max))</f>
        <v/>
      </c>
      <c r="AB458" s="6" t="n"/>
      <c r="AC4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8" s="10">
        <f>IF(tblOrdenes[[#This Row],[orden]]="","",_xlfn.XLOOKUP(tblOrdenes[[#This Row],[id_operacion]],tblEjecucion[id_operacion],tblEjecucion[precio],0))</f>
        <v/>
      </c>
      <c r="AG458" s="10">
        <f>IF(tblOrdenes[[#This Row],[orden]]="","",MAX(0,_xlfn.XLOOKUP(tblOrdenes[[#This Row],[id_operacion]],tblEjecucion[id_operacion],tblEjecucion[costo_plan_total],0)-tblOrdenes[[#This Row],[costo_servicio]]))</f>
        <v/>
      </c>
      <c r="AH458" s="10">
        <f>IF(tblOrdenes[[#This Row],[orden]]="","",tblOrdenes[[#This Row],[costo_servicio]]+tblOrdenes[[#This Row],[costo_materiales]])</f>
        <v/>
      </c>
      <c r="AI458" s="6" t="n"/>
      <c r="AJ458" s="6" t="n"/>
      <c r="AK458" s="6" t="n"/>
      <c r="AL458" s="3">
        <f>IF(tblOrdenes[[#This Row],[link_checklist]]="","",HYPERLINK(p_ruta_base_checklists&amp;tblOrdenes[[#This Row],[link_checklist]],"abrir"))</f>
        <v/>
      </c>
      <c r="AM458" s="6" t="n"/>
      <c r="AN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Row],[tipo_ot]]="","",_xlfn.XLOOKUP(tblOrdenes[[#This Row],[tipo_ot]],tblTiposOT[codigo],tblTiposOT[clasificacion],"sin_clasificar"))</f>
        <v/>
      </c>
      <c r="T459" s="3">
        <f>IF(tblOrdenes[[#This Row],[centro_costo]]="","",_xlfn.XLOOKUP(tblOrdenes[[#This Row],[centro_costo]],tblCECO[codigo],tblCECO[linea],"(sin catálogo)"))</f>
        <v/>
      </c>
      <c r="U459" s="3">
        <f>IF(tblOrdenes[[#This Row],[centro_costo]]="","",_xlfn.XLOOKUP(tblOrdenes[[#This Row],[centro_costo]],tblCECO[codigo],tblCECO[area],"(sin catálogo)"))</f>
        <v/>
      </c>
      <c r="V459" s="3">
        <f>IF(tblOrdenes[[#This Row],[centro_costo]]="","",_xlfn.XLOOKUP(tblOrdenes[[#This Row],[centro_costo]],tblCECO[codigo],tblCECO[coordinador],"(sin catálogo)"))</f>
        <v/>
      </c>
      <c r="W459" s="3">
        <f>IF(tblOrdenes[[#This Row],[puesto_trabajo]]="","",_xlfn.XLOOKUP(tblOrdenes[[#This Row],[puesto_trabajo]],tblPuestos[codigo],tblPuestos[especialidad],"(sin catálogo)"))</f>
        <v/>
      </c>
      <c r="X459" s="3">
        <f>IF(tblOrdenes[[#This Row],[cod_actividad]]="","",_xlfn.XLOOKUP(tblOrdenes[[#This Row],[cod_actividad]],tblActividades[codigo],tblActividades[descripcion],"(sin catálogo)"))</f>
        <v/>
      </c>
      <c r="Y459" s="12">
        <f>IF(tblOrdenes[[#This Row],[fecha_inicio]]="","",TODAY()-tblOrdenes[[#This Row],[fecha_inicio]])</f>
        <v/>
      </c>
      <c r="Z459" s="3">
        <f>IF(tblOrdenes[[#This Row],[backlog_dias]]="","",IF(tblOrdenes[[#This Row],[backlog_dias]]&lt;0,"FUTURO",IF(tblOrdenes[[#This Row],[backlog_dias]]&gt;p_dias_backlog_max,"BACKLOG","MES CORRIENTE")))</f>
        <v/>
      </c>
      <c r="AA459" s="3">
        <f>IF(tblOrdenes[[#This Row],[backlog_dias]]="",FALSE,AND(tblOrdenes[[#This Row],[backlog_dias]]&gt;p_dias_backlog_min,tblOrdenes[[#This Row],[backlog_dias]]&lt;=p_dias_backlog_max))</f>
        <v/>
      </c>
      <c r="AB459" s="6" t="n"/>
      <c r="AC4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9" s="10">
        <f>IF(tblOrdenes[[#This Row],[orden]]="","",_xlfn.XLOOKUP(tblOrdenes[[#This Row],[id_operacion]],tblEjecucion[id_operacion],tblEjecucion[precio],0))</f>
        <v/>
      </c>
      <c r="AG459" s="10">
        <f>IF(tblOrdenes[[#This Row],[orden]]="","",MAX(0,_xlfn.XLOOKUP(tblOrdenes[[#This Row],[id_operacion]],tblEjecucion[id_operacion],tblEjecucion[costo_plan_total],0)-tblOrdenes[[#This Row],[costo_servicio]]))</f>
        <v/>
      </c>
      <c r="AH459" s="10">
        <f>IF(tblOrdenes[[#This Row],[orden]]="","",tblOrdenes[[#This Row],[costo_servicio]]+tblOrdenes[[#This Row],[costo_materiales]])</f>
        <v/>
      </c>
      <c r="AI459" s="6" t="n"/>
      <c r="AJ459" s="6" t="n"/>
      <c r="AK459" s="6" t="n"/>
      <c r="AL459" s="3">
        <f>IF(tblOrdenes[[#This Row],[link_checklist]]="","",HYPERLINK(p_ruta_base_checklists&amp;tblOrdenes[[#This Row],[link_checklist]],"abrir"))</f>
        <v/>
      </c>
      <c r="AM459" s="6" t="n"/>
      <c r="AN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Row],[tipo_ot]]="","",_xlfn.XLOOKUP(tblOrdenes[[#This Row],[tipo_ot]],tblTiposOT[codigo],tblTiposOT[clasificacion],"sin_clasificar"))</f>
        <v/>
      </c>
      <c r="T460" s="3">
        <f>IF(tblOrdenes[[#This Row],[centro_costo]]="","",_xlfn.XLOOKUP(tblOrdenes[[#This Row],[centro_costo]],tblCECO[codigo],tblCECO[linea],"(sin catálogo)"))</f>
        <v/>
      </c>
      <c r="U460" s="3">
        <f>IF(tblOrdenes[[#This Row],[centro_costo]]="","",_xlfn.XLOOKUP(tblOrdenes[[#This Row],[centro_costo]],tblCECO[codigo],tblCECO[area],"(sin catálogo)"))</f>
        <v/>
      </c>
      <c r="V460" s="3">
        <f>IF(tblOrdenes[[#This Row],[centro_costo]]="","",_xlfn.XLOOKUP(tblOrdenes[[#This Row],[centro_costo]],tblCECO[codigo],tblCECO[coordinador],"(sin catálogo)"))</f>
        <v/>
      </c>
      <c r="W460" s="3">
        <f>IF(tblOrdenes[[#This Row],[puesto_trabajo]]="","",_xlfn.XLOOKUP(tblOrdenes[[#This Row],[puesto_trabajo]],tblPuestos[codigo],tblPuestos[especialidad],"(sin catálogo)"))</f>
        <v/>
      </c>
      <c r="X460" s="3">
        <f>IF(tblOrdenes[[#This Row],[cod_actividad]]="","",_xlfn.XLOOKUP(tblOrdenes[[#This Row],[cod_actividad]],tblActividades[codigo],tblActividades[descripcion],"(sin catálogo)"))</f>
        <v/>
      </c>
      <c r="Y460" s="12">
        <f>IF(tblOrdenes[[#This Row],[fecha_inicio]]="","",TODAY()-tblOrdenes[[#This Row],[fecha_inicio]])</f>
        <v/>
      </c>
      <c r="Z460" s="3">
        <f>IF(tblOrdenes[[#This Row],[backlog_dias]]="","",IF(tblOrdenes[[#This Row],[backlog_dias]]&lt;0,"FUTURO",IF(tblOrdenes[[#This Row],[backlog_dias]]&gt;p_dias_backlog_max,"BACKLOG","MES CORRIENTE")))</f>
        <v/>
      </c>
      <c r="AA460" s="3">
        <f>IF(tblOrdenes[[#This Row],[backlog_dias]]="",FALSE,AND(tblOrdenes[[#This Row],[backlog_dias]]&gt;p_dias_backlog_min,tblOrdenes[[#This Row],[backlog_dias]]&lt;=p_dias_backlog_max))</f>
        <v/>
      </c>
      <c r="AB460" s="6" t="n"/>
      <c r="AC4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0" s="10">
        <f>IF(tblOrdenes[[#This Row],[orden]]="","",_xlfn.XLOOKUP(tblOrdenes[[#This Row],[id_operacion]],tblEjecucion[id_operacion],tblEjecucion[precio],0))</f>
        <v/>
      </c>
      <c r="AG460" s="10">
        <f>IF(tblOrdenes[[#This Row],[orden]]="","",MAX(0,_xlfn.XLOOKUP(tblOrdenes[[#This Row],[id_operacion]],tblEjecucion[id_operacion],tblEjecucion[costo_plan_total],0)-tblOrdenes[[#This Row],[costo_servicio]]))</f>
        <v/>
      </c>
      <c r="AH460" s="10">
        <f>IF(tblOrdenes[[#This Row],[orden]]="","",tblOrdenes[[#This Row],[costo_servicio]]+tblOrdenes[[#This Row],[costo_materiales]])</f>
        <v/>
      </c>
      <c r="AI460" s="6" t="n"/>
      <c r="AJ460" s="6" t="n"/>
      <c r="AK460" s="6" t="n"/>
      <c r="AL460" s="3">
        <f>IF(tblOrdenes[[#This Row],[link_checklist]]="","",HYPERLINK(p_ruta_base_checklists&amp;tblOrdenes[[#This Row],[link_checklist]],"abrir"))</f>
        <v/>
      </c>
      <c r="AM460" s="6" t="n"/>
      <c r="AN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Row],[tipo_ot]]="","",_xlfn.XLOOKUP(tblOrdenes[[#This Row],[tipo_ot]],tblTiposOT[codigo],tblTiposOT[clasificacion],"sin_clasificar"))</f>
        <v/>
      </c>
      <c r="T461" s="3">
        <f>IF(tblOrdenes[[#This Row],[centro_costo]]="","",_xlfn.XLOOKUP(tblOrdenes[[#This Row],[centro_costo]],tblCECO[codigo],tblCECO[linea],"(sin catálogo)"))</f>
        <v/>
      </c>
      <c r="U461" s="3">
        <f>IF(tblOrdenes[[#This Row],[centro_costo]]="","",_xlfn.XLOOKUP(tblOrdenes[[#This Row],[centro_costo]],tblCECO[codigo],tblCECO[area],"(sin catálogo)"))</f>
        <v/>
      </c>
      <c r="V461" s="3">
        <f>IF(tblOrdenes[[#This Row],[centro_costo]]="","",_xlfn.XLOOKUP(tblOrdenes[[#This Row],[centro_costo]],tblCECO[codigo],tblCECO[coordinador],"(sin catálogo)"))</f>
        <v/>
      </c>
      <c r="W461" s="3">
        <f>IF(tblOrdenes[[#This Row],[puesto_trabajo]]="","",_xlfn.XLOOKUP(tblOrdenes[[#This Row],[puesto_trabajo]],tblPuestos[codigo],tblPuestos[especialidad],"(sin catálogo)"))</f>
        <v/>
      </c>
      <c r="X461" s="3">
        <f>IF(tblOrdenes[[#This Row],[cod_actividad]]="","",_xlfn.XLOOKUP(tblOrdenes[[#This Row],[cod_actividad]],tblActividades[codigo],tblActividades[descripcion],"(sin catálogo)"))</f>
        <v/>
      </c>
      <c r="Y461" s="12">
        <f>IF(tblOrdenes[[#This Row],[fecha_inicio]]="","",TODAY()-tblOrdenes[[#This Row],[fecha_inicio]])</f>
        <v/>
      </c>
      <c r="Z461" s="3">
        <f>IF(tblOrdenes[[#This Row],[backlog_dias]]="","",IF(tblOrdenes[[#This Row],[backlog_dias]]&lt;0,"FUTURO",IF(tblOrdenes[[#This Row],[backlog_dias]]&gt;p_dias_backlog_max,"BACKLOG","MES CORRIENTE")))</f>
        <v/>
      </c>
      <c r="AA461" s="3">
        <f>IF(tblOrdenes[[#This Row],[backlog_dias]]="",FALSE,AND(tblOrdenes[[#This Row],[backlog_dias]]&gt;p_dias_backlog_min,tblOrdenes[[#This Row],[backlog_dias]]&lt;=p_dias_backlog_max))</f>
        <v/>
      </c>
      <c r="AB461" s="6" t="n"/>
      <c r="AC4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1" s="10">
        <f>IF(tblOrdenes[[#This Row],[orden]]="","",_xlfn.XLOOKUP(tblOrdenes[[#This Row],[id_operacion]],tblEjecucion[id_operacion],tblEjecucion[precio],0))</f>
        <v/>
      </c>
      <c r="AG461" s="10">
        <f>IF(tblOrdenes[[#This Row],[orden]]="","",MAX(0,_xlfn.XLOOKUP(tblOrdenes[[#This Row],[id_operacion]],tblEjecucion[id_operacion],tblEjecucion[costo_plan_total],0)-tblOrdenes[[#This Row],[costo_servicio]]))</f>
        <v/>
      </c>
      <c r="AH461" s="10">
        <f>IF(tblOrdenes[[#This Row],[orden]]="","",tblOrdenes[[#This Row],[costo_servicio]]+tblOrdenes[[#This Row],[costo_materiales]])</f>
        <v/>
      </c>
      <c r="AI461" s="6" t="n"/>
      <c r="AJ461" s="6" t="n"/>
      <c r="AK461" s="6" t="n"/>
      <c r="AL461" s="3">
        <f>IF(tblOrdenes[[#This Row],[link_checklist]]="","",HYPERLINK(p_ruta_base_checklists&amp;tblOrdenes[[#This Row],[link_checklist]],"abrir"))</f>
        <v/>
      </c>
      <c r="AM461" s="6" t="n"/>
      <c r="AN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Row],[tipo_ot]]="","",_xlfn.XLOOKUP(tblOrdenes[[#This Row],[tipo_ot]],tblTiposOT[codigo],tblTiposOT[clasificacion],"sin_clasificar"))</f>
        <v/>
      </c>
      <c r="T462" s="3">
        <f>IF(tblOrdenes[[#This Row],[centro_costo]]="","",_xlfn.XLOOKUP(tblOrdenes[[#This Row],[centro_costo]],tblCECO[codigo],tblCECO[linea],"(sin catálogo)"))</f>
        <v/>
      </c>
      <c r="U462" s="3">
        <f>IF(tblOrdenes[[#This Row],[centro_costo]]="","",_xlfn.XLOOKUP(tblOrdenes[[#This Row],[centro_costo]],tblCECO[codigo],tblCECO[area],"(sin catálogo)"))</f>
        <v/>
      </c>
      <c r="V462" s="3">
        <f>IF(tblOrdenes[[#This Row],[centro_costo]]="","",_xlfn.XLOOKUP(tblOrdenes[[#This Row],[centro_costo]],tblCECO[codigo],tblCECO[coordinador],"(sin catálogo)"))</f>
        <v/>
      </c>
      <c r="W462" s="3">
        <f>IF(tblOrdenes[[#This Row],[puesto_trabajo]]="","",_xlfn.XLOOKUP(tblOrdenes[[#This Row],[puesto_trabajo]],tblPuestos[codigo],tblPuestos[especialidad],"(sin catálogo)"))</f>
        <v/>
      </c>
      <c r="X462" s="3">
        <f>IF(tblOrdenes[[#This Row],[cod_actividad]]="","",_xlfn.XLOOKUP(tblOrdenes[[#This Row],[cod_actividad]],tblActividades[codigo],tblActividades[descripcion],"(sin catálogo)"))</f>
        <v/>
      </c>
      <c r="Y462" s="12">
        <f>IF(tblOrdenes[[#This Row],[fecha_inicio]]="","",TODAY()-tblOrdenes[[#This Row],[fecha_inicio]])</f>
        <v/>
      </c>
      <c r="Z462" s="3">
        <f>IF(tblOrdenes[[#This Row],[backlog_dias]]="","",IF(tblOrdenes[[#This Row],[backlog_dias]]&lt;0,"FUTURO",IF(tblOrdenes[[#This Row],[backlog_dias]]&gt;p_dias_backlog_max,"BACKLOG","MES CORRIENTE")))</f>
        <v/>
      </c>
      <c r="AA462" s="3">
        <f>IF(tblOrdenes[[#This Row],[backlog_dias]]="",FALSE,AND(tblOrdenes[[#This Row],[backlog_dias]]&gt;p_dias_backlog_min,tblOrdenes[[#This Row],[backlog_dias]]&lt;=p_dias_backlog_max))</f>
        <v/>
      </c>
      <c r="AB462" s="6" t="n"/>
      <c r="AC4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2" s="10">
        <f>IF(tblOrdenes[[#This Row],[orden]]="","",_xlfn.XLOOKUP(tblOrdenes[[#This Row],[id_operacion]],tblEjecucion[id_operacion],tblEjecucion[precio],0))</f>
        <v/>
      </c>
      <c r="AG462" s="10">
        <f>IF(tblOrdenes[[#This Row],[orden]]="","",MAX(0,_xlfn.XLOOKUP(tblOrdenes[[#This Row],[id_operacion]],tblEjecucion[id_operacion],tblEjecucion[costo_plan_total],0)-tblOrdenes[[#This Row],[costo_servicio]]))</f>
        <v/>
      </c>
      <c r="AH462" s="10">
        <f>IF(tblOrdenes[[#This Row],[orden]]="","",tblOrdenes[[#This Row],[costo_servicio]]+tblOrdenes[[#This Row],[costo_materiales]])</f>
        <v/>
      </c>
      <c r="AI462" s="6" t="n"/>
      <c r="AJ462" s="6" t="n"/>
      <c r="AK462" s="6" t="n"/>
      <c r="AL462" s="3">
        <f>IF(tblOrdenes[[#This Row],[link_checklist]]="","",HYPERLINK(p_ruta_base_checklists&amp;tblOrdenes[[#This Row],[link_checklist]],"abrir"))</f>
        <v/>
      </c>
      <c r="AM462" s="6" t="n"/>
      <c r="AN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Row],[tipo_ot]]="","",_xlfn.XLOOKUP(tblOrdenes[[#This Row],[tipo_ot]],tblTiposOT[codigo],tblTiposOT[clasificacion],"sin_clasificar"))</f>
        <v/>
      </c>
      <c r="T463" s="3">
        <f>IF(tblOrdenes[[#This Row],[centro_costo]]="","",_xlfn.XLOOKUP(tblOrdenes[[#This Row],[centro_costo]],tblCECO[codigo],tblCECO[linea],"(sin catálogo)"))</f>
        <v/>
      </c>
      <c r="U463" s="3">
        <f>IF(tblOrdenes[[#This Row],[centro_costo]]="","",_xlfn.XLOOKUP(tblOrdenes[[#This Row],[centro_costo]],tblCECO[codigo],tblCECO[area],"(sin catálogo)"))</f>
        <v/>
      </c>
      <c r="V463" s="3">
        <f>IF(tblOrdenes[[#This Row],[centro_costo]]="","",_xlfn.XLOOKUP(tblOrdenes[[#This Row],[centro_costo]],tblCECO[codigo],tblCECO[coordinador],"(sin catálogo)"))</f>
        <v/>
      </c>
      <c r="W463" s="3">
        <f>IF(tblOrdenes[[#This Row],[puesto_trabajo]]="","",_xlfn.XLOOKUP(tblOrdenes[[#This Row],[puesto_trabajo]],tblPuestos[codigo],tblPuestos[especialidad],"(sin catálogo)"))</f>
        <v/>
      </c>
      <c r="X463" s="3">
        <f>IF(tblOrdenes[[#This Row],[cod_actividad]]="","",_xlfn.XLOOKUP(tblOrdenes[[#This Row],[cod_actividad]],tblActividades[codigo],tblActividades[descripcion],"(sin catálogo)"))</f>
        <v/>
      </c>
      <c r="Y463" s="12">
        <f>IF(tblOrdenes[[#This Row],[fecha_inicio]]="","",TODAY()-tblOrdenes[[#This Row],[fecha_inicio]])</f>
        <v/>
      </c>
      <c r="Z463" s="3">
        <f>IF(tblOrdenes[[#This Row],[backlog_dias]]="","",IF(tblOrdenes[[#This Row],[backlog_dias]]&lt;0,"FUTURO",IF(tblOrdenes[[#This Row],[backlog_dias]]&gt;p_dias_backlog_max,"BACKLOG","MES CORRIENTE")))</f>
        <v/>
      </c>
      <c r="AA463" s="3">
        <f>IF(tblOrdenes[[#This Row],[backlog_dias]]="",FALSE,AND(tblOrdenes[[#This Row],[backlog_dias]]&gt;p_dias_backlog_min,tblOrdenes[[#This Row],[backlog_dias]]&lt;=p_dias_backlog_max))</f>
        <v/>
      </c>
      <c r="AB463" s="6" t="n"/>
      <c r="AC4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3" s="10">
        <f>IF(tblOrdenes[[#This Row],[orden]]="","",_xlfn.XLOOKUP(tblOrdenes[[#This Row],[id_operacion]],tblEjecucion[id_operacion],tblEjecucion[precio],0))</f>
        <v/>
      </c>
      <c r="AG463" s="10">
        <f>IF(tblOrdenes[[#This Row],[orden]]="","",MAX(0,_xlfn.XLOOKUP(tblOrdenes[[#This Row],[id_operacion]],tblEjecucion[id_operacion],tblEjecucion[costo_plan_total],0)-tblOrdenes[[#This Row],[costo_servicio]]))</f>
        <v/>
      </c>
      <c r="AH463" s="10">
        <f>IF(tblOrdenes[[#This Row],[orden]]="","",tblOrdenes[[#This Row],[costo_servicio]]+tblOrdenes[[#This Row],[costo_materiales]])</f>
        <v/>
      </c>
      <c r="AI463" s="6" t="n"/>
      <c r="AJ463" s="6" t="n"/>
      <c r="AK463" s="6" t="n"/>
      <c r="AL463" s="3">
        <f>IF(tblOrdenes[[#This Row],[link_checklist]]="","",HYPERLINK(p_ruta_base_checklists&amp;tblOrdenes[[#This Row],[link_checklist]],"abrir"))</f>
        <v/>
      </c>
      <c r="AM463" s="6" t="n"/>
      <c r="AN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Row],[tipo_ot]]="","",_xlfn.XLOOKUP(tblOrdenes[[#This Row],[tipo_ot]],tblTiposOT[codigo],tblTiposOT[clasificacion],"sin_clasificar"))</f>
        <v/>
      </c>
      <c r="T464" s="3">
        <f>IF(tblOrdenes[[#This Row],[centro_costo]]="","",_xlfn.XLOOKUP(tblOrdenes[[#This Row],[centro_costo]],tblCECO[codigo],tblCECO[linea],"(sin catálogo)"))</f>
        <v/>
      </c>
      <c r="U464" s="3">
        <f>IF(tblOrdenes[[#This Row],[centro_costo]]="","",_xlfn.XLOOKUP(tblOrdenes[[#This Row],[centro_costo]],tblCECO[codigo],tblCECO[area],"(sin catálogo)"))</f>
        <v/>
      </c>
      <c r="V464" s="3">
        <f>IF(tblOrdenes[[#This Row],[centro_costo]]="","",_xlfn.XLOOKUP(tblOrdenes[[#This Row],[centro_costo]],tblCECO[codigo],tblCECO[coordinador],"(sin catálogo)"))</f>
        <v/>
      </c>
      <c r="W464" s="3">
        <f>IF(tblOrdenes[[#This Row],[puesto_trabajo]]="","",_xlfn.XLOOKUP(tblOrdenes[[#This Row],[puesto_trabajo]],tblPuestos[codigo],tblPuestos[especialidad],"(sin catálogo)"))</f>
        <v/>
      </c>
      <c r="X464" s="3">
        <f>IF(tblOrdenes[[#This Row],[cod_actividad]]="","",_xlfn.XLOOKUP(tblOrdenes[[#This Row],[cod_actividad]],tblActividades[codigo],tblActividades[descripcion],"(sin catálogo)"))</f>
        <v/>
      </c>
      <c r="Y464" s="12">
        <f>IF(tblOrdenes[[#This Row],[fecha_inicio]]="","",TODAY()-tblOrdenes[[#This Row],[fecha_inicio]])</f>
        <v/>
      </c>
      <c r="Z464" s="3">
        <f>IF(tblOrdenes[[#This Row],[backlog_dias]]="","",IF(tblOrdenes[[#This Row],[backlog_dias]]&lt;0,"FUTURO",IF(tblOrdenes[[#This Row],[backlog_dias]]&gt;p_dias_backlog_max,"BACKLOG","MES CORRIENTE")))</f>
        <v/>
      </c>
      <c r="AA464" s="3">
        <f>IF(tblOrdenes[[#This Row],[backlog_dias]]="",FALSE,AND(tblOrdenes[[#This Row],[backlog_dias]]&gt;p_dias_backlog_min,tblOrdenes[[#This Row],[backlog_dias]]&lt;=p_dias_backlog_max))</f>
        <v/>
      </c>
      <c r="AB464" s="6" t="n"/>
      <c r="AC4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4" s="10">
        <f>IF(tblOrdenes[[#This Row],[orden]]="","",_xlfn.XLOOKUP(tblOrdenes[[#This Row],[id_operacion]],tblEjecucion[id_operacion],tblEjecucion[precio],0))</f>
        <v/>
      </c>
      <c r="AG464" s="10">
        <f>IF(tblOrdenes[[#This Row],[orden]]="","",MAX(0,_xlfn.XLOOKUP(tblOrdenes[[#This Row],[id_operacion]],tblEjecucion[id_operacion],tblEjecucion[costo_plan_total],0)-tblOrdenes[[#This Row],[costo_servicio]]))</f>
        <v/>
      </c>
      <c r="AH464" s="10">
        <f>IF(tblOrdenes[[#This Row],[orden]]="","",tblOrdenes[[#This Row],[costo_servicio]]+tblOrdenes[[#This Row],[costo_materiales]])</f>
        <v/>
      </c>
      <c r="AI464" s="6" t="n"/>
      <c r="AJ464" s="6" t="n"/>
      <c r="AK464" s="6" t="n"/>
      <c r="AL464" s="3">
        <f>IF(tblOrdenes[[#This Row],[link_checklist]]="","",HYPERLINK(p_ruta_base_checklists&amp;tblOrdenes[[#This Row],[link_checklist]],"abrir"))</f>
        <v/>
      </c>
      <c r="AM464" s="6" t="n"/>
      <c r="AN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Row],[tipo_ot]]="","",_xlfn.XLOOKUP(tblOrdenes[[#This Row],[tipo_ot]],tblTiposOT[codigo],tblTiposOT[clasificacion],"sin_clasificar"))</f>
        <v/>
      </c>
      <c r="T465" s="3">
        <f>IF(tblOrdenes[[#This Row],[centro_costo]]="","",_xlfn.XLOOKUP(tblOrdenes[[#This Row],[centro_costo]],tblCECO[codigo],tblCECO[linea],"(sin catálogo)"))</f>
        <v/>
      </c>
      <c r="U465" s="3">
        <f>IF(tblOrdenes[[#This Row],[centro_costo]]="","",_xlfn.XLOOKUP(tblOrdenes[[#This Row],[centro_costo]],tblCECO[codigo],tblCECO[area],"(sin catálogo)"))</f>
        <v/>
      </c>
      <c r="V465" s="3">
        <f>IF(tblOrdenes[[#This Row],[centro_costo]]="","",_xlfn.XLOOKUP(tblOrdenes[[#This Row],[centro_costo]],tblCECO[codigo],tblCECO[coordinador],"(sin catálogo)"))</f>
        <v/>
      </c>
      <c r="W465" s="3">
        <f>IF(tblOrdenes[[#This Row],[puesto_trabajo]]="","",_xlfn.XLOOKUP(tblOrdenes[[#This Row],[puesto_trabajo]],tblPuestos[codigo],tblPuestos[especialidad],"(sin catálogo)"))</f>
        <v/>
      </c>
      <c r="X465" s="3">
        <f>IF(tblOrdenes[[#This Row],[cod_actividad]]="","",_xlfn.XLOOKUP(tblOrdenes[[#This Row],[cod_actividad]],tblActividades[codigo],tblActividades[descripcion],"(sin catálogo)"))</f>
        <v/>
      </c>
      <c r="Y465" s="12">
        <f>IF(tblOrdenes[[#This Row],[fecha_inicio]]="","",TODAY()-tblOrdenes[[#This Row],[fecha_inicio]])</f>
        <v/>
      </c>
      <c r="Z465" s="3">
        <f>IF(tblOrdenes[[#This Row],[backlog_dias]]="","",IF(tblOrdenes[[#This Row],[backlog_dias]]&lt;0,"FUTURO",IF(tblOrdenes[[#This Row],[backlog_dias]]&gt;p_dias_backlog_max,"BACKLOG","MES CORRIENTE")))</f>
        <v/>
      </c>
      <c r="AA465" s="3">
        <f>IF(tblOrdenes[[#This Row],[backlog_dias]]="",FALSE,AND(tblOrdenes[[#This Row],[backlog_dias]]&gt;p_dias_backlog_min,tblOrdenes[[#This Row],[backlog_dias]]&lt;=p_dias_backlog_max))</f>
        <v/>
      </c>
      <c r="AB465" s="6" t="n"/>
      <c r="AC4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5" s="10">
        <f>IF(tblOrdenes[[#This Row],[orden]]="","",_xlfn.XLOOKUP(tblOrdenes[[#This Row],[id_operacion]],tblEjecucion[id_operacion],tblEjecucion[precio],0))</f>
        <v/>
      </c>
      <c r="AG465" s="10">
        <f>IF(tblOrdenes[[#This Row],[orden]]="","",MAX(0,_xlfn.XLOOKUP(tblOrdenes[[#This Row],[id_operacion]],tblEjecucion[id_operacion],tblEjecucion[costo_plan_total],0)-tblOrdenes[[#This Row],[costo_servicio]]))</f>
        <v/>
      </c>
      <c r="AH465" s="10">
        <f>IF(tblOrdenes[[#This Row],[orden]]="","",tblOrdenes[[#This Row],[costo_servicio]]+tblOrdenes[[#This Row],[costo_materiales]])</f>
        <v/>
      </c>
      <c r="AI465" s="6" t="n"/>
      <c r="AJ465" s="6" t="n"/>
      <c r="AK465" s="6" t="n"/>
      <c r="AL465" s="3">
        <f>IF(tblOrdenes[[#This Row],[link_checklist]]="","",HYPERLINK(p_ruta_base_checklists&amp;tblOrdenes[[#This Row],[link_checklist]],"abrir"))</f>
        <v/>
      </c>
      <c r="AM465" s="6" t="n"/>
      <c r="AN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Row],[tipo_ot]]="","",_xlfn.XLOOKUP(tblOrdenes[[#This Row],[tipo_ot]],tblTiposOT[codigo],tblTiposOT[clasificacion],"sin_clasificar"))</f>
        <v/>
      </c>
      <c r="T466" s="3">
        <f>IF(tblOrdenes[[#This Row],[centro_costo]]="","",_xlfn.XLOOKUP(tblOrdenes[[#This Row],[centro_costo]],tblCECO[codigo],tblCECO[linea],"(sin catálogo)"))</f>
        <v/>
      </c>
      <c r="U466" s="3">
        <f>IF(tblOrdenes[[#This Row],[centro_costo]]="","",_xlfn.XLOOKUP(tblOrdenes[[#This Row],[centro_costo]],tblCECO[codigo],tblCECO[area],"(sin catálogo)"))</f>
        <v/>
      </c>
      <c r="V466" s="3">
        <f>IF(tblOrdenes[[#This Row],[centro_costo]]="","",_xlfn.XLOOKUP(tblOrdenes[[#This Row],[centro_costo]],tblCECO[codigo],tblCECO[coordinador],"(sin catálogo)"))</f>
        <v/>
      </c>
      <c r="W466" s="3">
        <f>IF(tblOrdenes[[#This Row],[puesto_trabajo]]="","",_xlfn.XLOOKUP(tblOrdenes[[#This Row],[puesto_trabajo]],tblPuestos[codigo],tblPuestos[especialidad],"(sin catálogo)"))</f>
        <v/>
      </c>
      <c r="X466" s="3">
        <f>IF(tblOrdenes[[#This Row],[cod_actividad]]="","",_xlfn.XLOOKUP(tblOrdenes[[#This Row],[cod_actividad]],tblActividades[codigo],tblActividades[descripcion],"(sin catálogo)"))</f>
        <v/>
      </c>
      <c r="Y466" s="12">
        <f>IF(tblOrdenes[[#This Row],[fecha_inicio]]="","",TODAY()-tblOrdenes[[#This Row],[fecha_inicio]])</f>
        <v/>
      </c>
      <c r="Z466" s="3">
        <f>IF(tblOrdenes[[#This Row],[backlog_dias]]="","",IF(tblOrdenes[[#This Row],[backlog_dias]]&lt;0,"FUTURO",IF(tblOrdenes[[#This Row],[backlog_dias]]&gt;p_dias_backlog_max,"BACKLOG","MES CORRIENTE")))</f>
        <v/>
      </c>
      <c r="AA466" s="3">
        <f>IF(tblOrdenes[[#This Row],[backlog_dias]]="",FALSE,AND(tblOrdenes[[#This Row],[backlog_dias]]&gt;p_dias_backlog_min,tblOrdenes[[#This Row],[backlog_dias]]&lt;=p_dias_backlog_max))</f>
        <v/>
      </c>
      <c r="AB466" s="6" t="n"/>
      <c r="AC4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6" s="10">
        <f>IF(tblOrdenes[[#This Row],[orden]]="","",_xlfn.XLOOKUP(tblOrdenes[[#This Row],[id_operacion]],tblEjecucion[id_operacion],tblEjecucion[precio],0))</f>
        <v/>
      </c>
      <c r="AG466" s="10">
        <f>IF(tblOrdenes[[#This Row],[orden]]="","",MAX(0,_xlfn.XLOOKUP(tblOrdenes[[#This Row],[id_operacion]],tblEjecucion[id_operacion],tblEjecucion[costo_plan_total],0)-tblOrdenes[[#This Row],[costo_servicio]]))</f>
        <v/>
      </c>
      <c r="AH466" s="10">
        <f>IF(tblOrdenes[[#This Row],[orden]]="","",tblOrdenes[[#This Row],[costo_servicio]]+tblOrdenes[[#This Row],[costo_materiales]])</f>
        <v/>
      </c>
      <c r="AI466" s="6" t="n"/>
      <c r="AJ466" s="6" t="n"/>
      <c r="AK466" s="6" t="n"/>
      <c r="AL466" s="3">
        <f>IF(tblOrdenes[[#This Row],[link_checklist]]="","",HYPERLINK(p_ruta_base_checklists&amp;tblOrdenes[[#This Row],[link_checklist]],"abrir"))</f>
        <v/>
      </c>
      <c r="AM466" s="6" t="n"/>
      <c r="AN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Row],[tipo_ot]]="","",_xlfn.XLOOKUP(tblOrdenes[[#This Row],[tipo_ot]],tblTiposOT[codigo],tblTiposOT[clasificacion],"sin_clasificar"))</f>
        <v/>
      </c>
      <c r="T467" s="3">
        <f>IF(tblOrdenes[[#This Row],[centro_costo]]="","",_xlfn.XLOOKUP(tblOrdenes[[#This Row],[centro_costo]],tblCECO[codigo],tblCECO[linea],"(sin catálogo)"))</f>
        <v/>
      </c>
      <c r="U467" s="3">
        <f>IF(tblOrdenes[[#This Row],[centro_costo]]="","",_xlfn.XLOOKUP(tblOrdenes[[#This Row],[centro_costo]],tblCECO[codigo],tblCECO[area],"(sin catálogo)"))</f>
        <v/>
      </c>
      <c r="V467" s="3">
        <f>IF(tblOrdenes[[#This Row],[centro_costo]]="","",_xlfn.XLOOKUP(tblOrdenes[[#This Row],[centro_costo]],tblCECO[codigo],tblCECO[coordinador],"(sin catálogo)"))</f>
        <v/>
      </c>
      <c r="W467" s="3">
        <f>IF(tblOrdenes[[#This Row],[puesto_trabajo]]="","",_xlfn.XLOOKUP(tblOrdenes[[#This Row],[puesto_trabajo]],tblPuestos[codigo],tblPuestos[especialidad],"(sin catálogo)"))</f>
        <v/>
      </c>
      <c r="X467" s="3">
        <f>IF(tblOrdenes[[#This Row],[cod_actividad]]="","",_xlfn.XLOOKUP(tblOrdenes[[#This Row],[cod_actividad]],tblActividades[codigo],tblActividades[descripcion],"(sin catálogo)"))</f>
        <v/>
      </c>
      <c r="Y467" s="12">
        <f>IF(tblOrdenes[[#This Row],[fecha_inicio]]="","",TODAY()-tblOrdenes[[#This Row],[fecha_inicio]])</f>
        <v/>
      </c>
      <c r="Z467" s="3">
        <f>IF(tblOrdenes[[#This Row],[backlog_dias]]="","",IF(tblOrdenes[[#This Row],[backlog_dias]]&lt;0,"FUTURO",IF(tblOrdenes[[#This Row],[backlog_dias]]&gt;p_dias_backlog_max,"BACKLOG","MES CORRIENTE")))</f>
        <v/>
      </c>
      <c r="AA467" s="3">
        <f>IF(tblOrdenes[[#This Row],[backlog_dias]]="",FALSE,AND(tblOrdenes[[#This Row],[backlog_dias]]&gt;p_dias_backlog_min,tblOrdenes[[#This Row],[backlog_dias]]&lt;=p_dias_backlog_max))</f>
        <v/>
      </c>
      <c r="AB467" s="6" t="n"/>
      <c r="AC4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7" s="10">
        <f>IF(tblOrdenes[[#This Row],[orden]]="","",_xlfn.XLOOKUP(tblOrdenes[[#This Row],[id_operacion]],tblEjecucion[id_operacion],tblEjecucion[precio],0))</f>
        <v/>
      </c>
      <c r="AG467" s="10">
        <f>IF(tblOrdenes[[#This Row],[orden]]="","",MAX(0,_xlfn.XLOOKUP(tblOrdenes[[#This Row],[id_operacion]],tblEjecucion[id_operacion],tblEjecucion[costo_plan_total],0)-tblOrdenes[[#This Row],[costo_servicio]]))</f>
        <v/>
      </c>
      <c r="AH467" s="10">
        <f>IF(tblOrdenes[[#This Row],[orden]]="","",tblOrdenes[[#This Row],[costo_servicio]]+tblOrdenes[[#This Row],[costo_materiales]])</f>
        <v/>
      </c>
      <c r="AI467" s="6" t="n"/>
      <c r="AJ467" s="6" t="n"/>
      <c r="AK467" s="6" t="n"/>
      <c r="AL467" s="3">
        <f>IF(tblOrdenes[[#This Row],[link_checklist]]="","",HYPERLINK(p_ruta_base_checklists&amp;tblOrdenes[[#This Row],[link_checklist]],"abrir"))</f>
        <v/>
      </c>
      <c r="AM467" s="6" t="n"/>
      <c r="AN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Row],[tipo_ot]]="","",_xlfn.XLOOKUP(tblOrdenes[[#This Row],[tipo_ot]],tblTiposOT[codigo],tblTiposOT[clasificacion],"sin_clasificar"))</f>
        <v/>
      </c>
      <c r="T468" s="3">
        <f>IF(tblOrdenes[[#This Row],[centro_costo]]="","",_xlfn.XLOOKUP(tblOrdenes[[#This Row],[centro_costo]],tblCECO[codigo],tblCECO[linea],"(sin catálogo)"))</f>
        <v/>
      </c>
      <c r="U468" s="3">
        <f>IF(tblOrdenes[[#This Row],[centro_costo]]="","",_xlfn.XLOOKUP(tblOrdenes[[#This Row],[centro_costo]],tblCECO[codigo],tblCECO[area],"(sin catálogo)"))</f>
        <v/>
      </c>
      <c r="V468" s="3">
        <f>IF(tblOrdenes[[#This Row],[centro_costo]]="","",_xlfn.XLOOKUP(tblOrdenes[[#This Row],[centro_costo]],tblCECO[codigo],tblCECO[coordinador],"(sin catálogo)"))</f>
        <v/>
      </c>
      <c r="W468" s="3">
        <f>IF(tblOrdenes[[#This Row],[puesto_trabajo]]="","",_xlfn.XLOOKUP(tblOrdenes[[#This Row],[puesto_trabajo]],tblPuestos[codigo],tblPuestos[especialidad],"(sin catálogo)"))</f>
        <v/>
      </c>
      <c r="X468" s="3">
        <f>IF(tblOrdenes[[#This Row],[cod_actividad]]="","",_xlfn.XLOOKUP(tblOrdenes[[#This Row],[cod_actividad]],tblActividades[codigo],tblActividades[descripcion],"(sin catálogo)"))</f>
        <v/>
      </c>
      <c r="Y468" s="12">
        <f>IF(tblOrdenes[[#This Row],[fecha_inicio]]="","",TODAY()-tblOrdenes[[#This Row],[fecha_inicio]])</f>
        <v/>
      </c>
      <c r="Z468" s="3">
        <f>IF(tblOrdenes[[#This Row],[backlog_dias]]="","",IF(tblOrdenes[[#This Row],[backlog_dias]]&lt;0,"FUTURO",IF(tblOrdenes[[#This Row],[backlog_dias]]&gt;p_dias_backlog_max,"BACKLOG","MES CORRIENTE")))</f>
        <v/>
      </c>
      <c r="AA468" s="3">
        <f>IF(tblOrdenes[[#This Row],[backlog_dias]]="",FALSE,AND(tblOrdenes[[#This Row],[backlog_dias]]&gt;p_dias_backlog_min,tblOrdenes[[#This Row],[backlog_dias]]&lt;=p_dias_backlog_max))</f>
        <v/>
      </c>
      <c r="AB468" s="6" t="n"/>
      <c r="AC4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8" s="10">
        <f>IF(tblOrdenes[[#This Row],[orden]]="","",_xlfn.XLOOKUP(tblOrdenes[[#This Row],[id_operacion]],tblEjecucion[id_operacion],tblEjecucion[precio],0))</f>
        <v/>
      </c>
      <c r="AG468" s="10">
        <f>IF(tblOrdenes[[#This Row],[orden]]="","",MAX(0,_xlfn.XLOOKUP(tblOrdenes[[#This Row],[id_operacion]],tblEjecucion[id_operacion],tblEjecucion[costo_plan_total],0)-tblOrdenes[[#This Row],[costo_servicio]]))</f>
        <v/>
      </c>
      <c r="AH468" s="10">
        <f>IF(tblOrdenes[[#This Row],[orden]]="","",tblOrdenes[[#This Row],[costo_servicio]]+tblOrdenes[[#This Row],[costo_materiales]])</f>
        <v/>
      </c>
      <c r="AI468" s="6" t="n"/>
      <c r="AJ468" s="6" t="n"/>
      <c r="AK468" s="6" t="n"/>
      <c r="AL468" s="3">
        <f>IF(tblOrdenes[[#This Row],[link_checklist]]="","",HYPERLINK(p_ruta_base_checklists&amp;tblOrdenes[[#This Row],[link_checklist]],"abrir"))</f>
        <v/>
      </c>
      <c r="AM468" s="6" t="n"/>
      <c r="AN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Row],[tipo_ot]]="","",_xlfn.XLOOKUP(tblOrdenes[[#This Row],[tipo_ot]],tblTiposOT[codigo],tblTiposOT[clasificacion],"sin_clasificar"))</f>
        <v/>
      </c>
      <c r="T469" s="3">
        <f>IF(tblOrdenes[[#This Row],[centro_costo]]="","",_xlfn.XLOOKUP(tblOrdenes[[#This Row],[centro_costo]],tblCECO[codigo],tblCECO[linea],"(sin catálogo)"))</f>
        <v/>
      </c>
      <c r="U469" s="3">
        <f>IF(tblOrdenes[[#This Row],[centro_costo]]="","",_xlfn.XLOOKUP(tblOrdenes[[#This Row],[centro_costo]],tblCECO[codigo],tblCECO[area],"(sin catálogo)"))</f>
        <v/>
      </c>
      <c r="V469" s="3">
        <f>IF(tblOrdenes[[#This Row],[centro_costo]]="","",_xlfn.XLOOKUP(tblOrdenes[[#This Row],[centro_costo]],tblCECO[codigo],tblCECO[coordinador],"(sin catálogo)"))</f>
        <v/>
      </c>
      <c r="W469" s="3">
        <f>IF(tblOrdenes[[#This Row],[puesto_trabajo]]="","",_xlfn.XLOOKUP(tblOrdenes[[#This Row],[puesto_trabajo]],tblPuestos[codigo],tblPuestos[especialidad],"(sin catálogo)"))</f>
        <v/>
      </c>
      <c r="X469" s="3">
        <f>IF(tblOrdenes[[#This Row],[cod_actividad]]="","",_xlfn.XLOOKUP(tblOrdenes[[#This Row],[cod_actividad]],tblActividades[codigo],tblActividades[descripcion],"(sin catálogo)"))</f>
        <v/>
      </c>
      <c r="Y469" s="12">
        <f>IF(tblOrdenes[[#This Row],[fecha_inicio]]="","",TODAY()-tblOrdenes[[#This Row],[fecha_inicio]])</f>
        <v/>
      </c>
      <c r="Z469" s="3">
        <f>IF(tblOrdenes[[#This Row],[backlog_dias]]="","",IF(tblOrdenes[[#This Row],[backlog_dias]]&lt;0,"FUTURO",IF(tblOrdenes[[#This Row],[backlog_dias]]&gt;p_dias_backlog_max,"BACKLOG","MES CORRIENTE")))</f>
        <v/>
      </c>
      <c r="AA469" s="3">
        <f>IF(tblOrdenes[[#This Row],[backlog_dias]]="",FALSE,AND(tblOrdenes[[#This Row],[backlog_dias]]&gt;p_dias_backlog_min,tblOrdenes[[#This Row],[backlog_dias]]&lt;=p_dias_backlog_max))</f>
        <v/>
      </c>
      <c r="AB469" s="6" t="n"/>
      <c r="AC4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9" s="10">
        <f>IF(tblOrdenes[[#This Row],[orden]]="","",_xlfn.XLOOKUP(tblOrdenes[[#This Row],[id_operacion]],tblEjecucion[id_operacion],tblEjecucion[precio],0))</f>
        <v/>
      </c>
      <c r="AG469" s="10">
        <f>IF(tblOrdenes[[#This Row],[orden]]="","",MAX(0,_xlfn.XLOOKUP(tblOrdenes[[#This Row],[id_operacion]],tblEjecucion[id_operacion],tblEjecucion[costo_plan_total],0)-tblOrdenes[[#This Row],[costo_servicio]]))</f>
        <v/>
      </c>
      <c r="AH469" s="10">
        <f>IF(tblOrdenes[[#This Row],[orden]]="","",tblOrdenes[[#This Row],[costo_servicio]]+tblOrdenes[[#This Row],[costo_materiales]])</f>
        <v/>
      </c>
      <c r="AI469" s="6" t="n"/>
      <c r="AJ469" s="6" t="n"/>
      <c r="AK469" s="6" t="n"/>
      <c r="AL469" s="3">
        <f>IF(tblOrdenes[[#This Row],[link_checklist]]="","",HYPERLINK(p_ruta_base_checklists&amp;tblOrdenes[[#This Row],[link_checklist]],"abrir"))</f>
        <v/>
      </c>
      <c r="AM469" s="6" t="n"/>
      <c r="AN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Row],[tipo_ot]]="","",_xlfn.XLOOKUP(tblOrdenes[[#This Row],[tipo_ot]],tblTiposOT[codigo],tblTiposOT[clasificacion],"sin_clasificar"))</f>
        <v/>
      </c>
      <c r="T470" s="3">
        <f>IF(tblOrdenes[[#This Row],[centro_costo]]="","",_xlfn.XLOOKUP(tblOrdenes[[#This Row],[centro_costo]],tblCECO[codigo],tblCECO[linea],"(sin catálogo)"))</f>
        <v/>
      </c>
      <c r="U470" s="3">
        <f>IF(tblOrdenes[[#This Row],[centro_costo]]="","",_xlfn.XLOOKUP(tblOrdenes[[#This Row],[centro_costo]],tblCECO[codigo],tblCECO[area],"(sin catálogo)"))</f>
        <v/>
      </c>
      <c r="V470" s="3">
        <f>IF(tblOrdenes[[#This Row],[centro_costo]]="","",_xlfn.XLOOKUP(tblOrdenes[[#This Row],[centro_costo]],tblCECO[codigo],tblCECO[coordinador],"(sin catálogo)"))</f>
        <v/>
      </c>
      <c r="W470" s="3">
        <f>IF(tblOrdenes[[#This Row],[puesto_trabajo]]="","",_xlfn.XLOOKUP(tblOrdenes[[#This Row],[puesto_trabajo]],tblPuestos[codigo],tblPuestos[especialidad],"(sin catálogo)"))</f>
        <v/>
      </c>
      <c r="X470" s="3">
        <f>IF(tblOrdenes[[#This Row],[cod_actividad]]="","",_xlfn.XLOOKUP(tblOrdenes[[#This Row],[cod_actividad]],tblActividades[codigo],tblActividades[descripcion],"(sin catálogo)"))</f>
        <v/>
      </c>
      <c r="Y470" s="12">
        <f>IF(tblOrdenes[[#This Row],[fecha_inicio]]="","",TODAY()-tblOrdenes[[#This Row],[fecha_inicio]])</f>
        <v/>
      </c>
      <c r="Z470" s="3">
        <f>IF(tblOrdenes[[#This Row],[backlog_dias]]="","",IF(tblOrdenes[[#This Row],[backlog_dias]]&lt;0,"FUTURO",IF(tblOrdenes[[#This Row],[backlog_dias]]&gt;p_dias_backlog_max,"BACKLOG","MES CORRIENTE")))</f>
        <v/>
      </c>
      <c r="AA470" s="3">
        <f>IF(tblOrdenes[[#This Row],[backlog_dias]]="",FALSE,AND(tblOrdenes[[#This Row],[backlog_dias]]&gt;p_dias_backlog_min,tblOrdenes[[#This Row],[backlog_dias]]&lt;=p_dias_backlog_max))</f>
        <v/>
      </c>
      <c r="AB470" s="6" t="n"/>
      <c r="AC4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0" s="10">
        <f>IF(tblOrdenes[[#This Row],[orden]]="","",_xlfn.XLOOKUP(tblOrdenes[[#This Row],[id_operacion]],tblEjecucion[id_operacion],tblEjecucion[precio],0))</f>
        <v/>
      </c>
      <c r="AG470" s="10">
        <f>IF(tblOrdenes[[#This Row],[orden]]="","",MAX(0,_xlfn.XLOOKUP(tblOrdenes[[#This Row],[id_operacion]],tblEjecucion[id_operacion],tblEjecucion[costo_plan_total],0)-tblOrdenes[[#This Row],[costo_servicio]]))</f>
        <v/>
      </c>
      <c r="AH470" s="10">
        <f>IF(tblOrdenes[[#This Row],[orden]]="","",tblOrdenes[[#This Row],[costo_servicio]]+tblOrdenes[[#This Row],[costo_materiales]])</f>
        <v/>
      </c>
      <c r="AI470" s="6" t="n"/>
      <c r="AJ470" s="6" t="n"/>
      <c r="AK470" s="6" t="n"/>
      <c r="AL470" s="3">
        <f>IF(tblOrdenes[[#This Row],[link_checklist]]="","",HYPERLINK(p_ruta_base_checklists&amp;tblOrdenes[[#This Row],[link_checklist]],"abrir"))</f>
        <v/>
      </c>
      <c r="AM470" s="6" t="n"/>
      <c r="AN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Row],[tipo_ot]]="","",_xlfn.XLOOKUP(tblOrdenes[[#This Row],[tipo_ot]],tblTiposOT[codigo],tblTiposOT[clasificacion],"sin_clasificar"))</f>
        <v/>
      </c>
      <c r="T471" s="3">
        <f>IF(tblOrdenes[[#This Row],[centro_costo]]="","",_xlfn.XLOOKUP(tblOrdenes[[#This Row],[centro_costo]],tblCECO[codigo],tblCECO[linea],"(sin catálogo)"))</f>
        <v/>
      </c>
      <c r="U471" s="3">
        <f>IF(tblOrdenes[[#This Row],[centro_costo]]="","",_xlfn.XLOOKUP(tblOrdenes[[#This Row],[centro_costo]],tblCECO[codigo],tblCECO[area],"(sin catálogo)"))</f>
        <v/>
      </c>
      <c r="V471" s="3">
        <f>IF(tblOrdenes[[#This Row],[centro_costo]]="","",_xlfn.XLOOKUP(tblOrdenes[[#This Row],[centro_costo]],tblCECO[codigo],tblCECO[coordinador],"(sin catálogo)"))</f>
        <v/>
      </c>
      <c r="W471" s="3">
        <f>IF(tblOrdenes[[#This Row],[puesto_trabajo]]="","",_xlfn.XLOOKUP(tblOrdenes[[#This Row],[puesto_trabajo]],tblPuestos[codigo],tblPuestos[especialidad],"(sin catálogo)"))</f>
        <v/>
      </c>
      <c r="X471" s="3">
        <f>IF(tblOrdenes[[#This Row],[cod_actividad]]="","",_xlfn.XLOOKUP(tblOrdenes[[#This Row],[cod_actividad]],tblActividades[codigo],tblActividades[descripcion],"(sin catálogo)"))</f>
        <v/>
      </c>
      <c r="Y471" s="12">
        <f>IF(tblOrdenes[[#This Row],[fecha_inicio]]="","",TODAY()-tblOrdenes[[#This Row],[fecha_inicio]])</f>
        <v/>
      </c>
      <c r="Z471" s="3">
        <f>IF(tblOrdenes[[#This Row],[backlog_dias]]="","",IF(tblOrdenes[[#This Row],[backlog_dias]]&lt;0,"FUTURO",IF(tblOrdenes[[#This Row],[backlog_dias]]&gt;p_dias_backlog_max,"BACKLOG","MES CORRIENTE")))</f>
        <v/>
      </c>
      <c r="AA471" s="3">
        <f>IF(tblOrdenes[[#This Row],[backlog_dias]]="",FALSE,AND(tblOrdenes[[#This Row],[backlog_dias]]&gt;p_dias_backlog_min,tblOrdenes[[#This Row],[backlog_dias]]&lt;=p_dias_backlog_max))</f>
        <v/>
      </c>
      <c r="AB471" s="6" t="n"/>
      <c r="AC4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1" s="10">
        <f>IF(tblOrdenes[[#This Row],[orden]]="","",_xlfn.XLOOKUP(tblOrdenes[[#This Row],[id_operacion]],tblEjecucion[id_operacion],tblEjecucion[precio],0))</f>
        <v/>
      </c>
      <c r="AG471" s="10">
        <f>IF(tblOrdenes[[#This Row],[orden]]="","",MAX(0,_xlfn.XLOOKUP(tblOrdenes[[#This Row],[id_operacion]],tblEjecucion[id_operacion],tblEjecucion[costo_plan_total],0)-tblOrdenes[[#This Row],[costo_servicio]]))</f>
        <v/>
      </c>
      <c r="AH471" s="10">
        <f>IF(tblOrdenes[[#This Row],[orden]]="","",tblOrdenes[[#This Row],[costo_servicio]]+tblOrdenes[[#This Row],[costo_materiales]])</f>
        <v/>
      </c>
      <c r="AI471" s="6" t="n"/>
      <c r="AJ471" s="6" t="n"/>
      <c r="AK471" s="6" t="n"/>
      <c r="AL471" s="3">
        <f>IF(tblOrdenes[[#This Row],[link_checklist]]="","",HYPERLINK(p_ruta_base_checklists&amp;tblOrdenes[[#This Row],[link_checklist]],"abrir"))</f>
        <v/>
      </c>
      <c r="AM471" s="6" t="n"/>
      <c r="AN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Row],[tipo_ot]]="","",_xlfn.XLOOKUP(tblOrdenes[[#This Row],[tipo_ot]],tblTiposOT[codigo],tblTiposOT[clasificacion],"sin_clasificar"))</f>
        <v/>
      </c>
      <c r="T472" s="3">
        <f>IF(tblOrdenes[[#This Row],[centro_costo]]="","",_xlfn.XLOOKUP(tblOrdenes[[#This Row],[centro_costo]],tblCECO[codigo],tblCECO[linea],"(sin catálogo)"))</f>
        <v/>
      </c>
      <c r="U472" s="3">
        <f>IF(tblOrdenes[[#This Row],[centro_costo]]="","",_xlfn.XLOOKUP(tblOrdenes[[#This Row],[centro_costo]],tblCECO[codigo],tblCECO[area],"(sin catálogo)"))</f>
        <v/>
      </c>
      <c r="V472" s="3">
        <f>IF(tblOrdenes[[#This Row],[centro_costo]]="","",_xlfn.XLOOKUP(tblOrdenes[[#This Row],[centro_costo]],tblCECO[codigo],tblCECO[coordinador],"(sin catálogo)"))</f>
        <v/>
      </c>
      <c r="W472" s="3">
        <f>IF(tblOrdenes[[#This Row],[puesto_trabajo]]="","",_xlfn.XLOOKUP(tblOrdenes[[#This Row],[puesto_trabajo]],tblPuestos[codigo],tblPuestos[especialidad],"(sin catálogo)"))</f>
        <v/>
      </c>
      <c r="X472" s="3">
        <f>IF(tblOrdenes[[#This Row],[cod_actividad]]="","",_xlfn.XLOOKUP(tblOrdenes[[#This Row],[cod_actividad]],tblActividades[codigo],tblActividades[descripcion],"(sin catálogo)"))</f>
        <v/>
      </c>
      <c r="Y472" s="12">
        <f>IF(tblOrdenes[[#This Row],[fecha_inicio]]="","",TODAY()-tblOrdenes[[#This Row],[fecha_inicio]])</f>
        <v/>
      </c>
      <c r="Z472" s="3">
        <f>IF(tblOrdenes[[#This Row],[backlog_dias]]="","",IF(tblOrdenes[[#This Row],[backlog_dias]]&lt;0,"FUTURO",IF(tblOrdenes[[#This Row],[backlog_dias]]&gt;p_dias_backlog_max,"BACKLOG","MES CORRIENTE")))</f>
        <v/>
      </c>
      <c r="AA472" s="3">
        <f>IF(tblOrdenes[[#This Row],[backlog_dias]]="",FALSE,AND(tblOrdenes[[#This Row],[backlog_dias]]&gt;p_dias_backlog_min,tblOrdenes[[#This Row],[backlog_dias]]&lt;=p_dias_backlog_max))</f>
        <v/>
      </c>
      <c r="AB472" s="6" t="n"/>
      <c r="AC4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2" s="10">
        <f>IF(tblOrdenes[[#This Row],[orden]]="","",_xlfn.XLOOKUP(tblOrdenes[[#This Row],[id_operacion]],tblEjecucion[id_operacion],tblEjecucion[precio],0))</f>
        <v/>
      </c>
      <c r="AG472" s="10">
        <f>IF(tblOrdenes[[#This Row],[orden]]="","",MAX(0,_xlfn.XLOOKUP(tblOrdenes[[#This Row],[id_operacion]],tblEjecucion[id_operacion],tblEjecucion[costo_plan_total],0)-tblOrdenes[[#This Row],[costo_servicio]]))</f>
        <v/>
      </c>
      <c r="AH472" s="10">
        <f>IF(tblOrdenes[[#This Row],[orden]]="","",tblOrdenes[[#This Row],[costo_servicio]]+tblOrdenes[[#This Row],[costo_materiales]])</f>
        <v/>
      </c>
      <c r="AI472" s="6" t="n"/>
      <c r="AJ472" s="6" t="n"/>
      <c r="AK472" s="6" t="n"/>
      <c r="AL472" s="3">
        <f>IF(tblOrdenes[[#This Row],[link_checklist]]="","",HYPERLINK(p_ruta_base_checklists&amp;tblOrdenes[[#This Row],[link_checklist]],"abrir"))</f>
        <v/>
      </c>
      <c r="AM472" s="6" t="n"/>
      <c r="AN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Row],[tipo_ot]]="","",_xlfn.XLOOKUP(tblOrdenes[[#This Row],[tipo_ot]],tblTiposOT[codigo],tblTiposOT[clasificacion],"sin_clasificar"))</f>
        <v/>
      </c>
      <c r="T473" s="3">
        <f>IF(tblOrdenes[[#This Row],[centro_costo]]="","",_xlfn.XLOOKUP(tblOrdenes[[#This Row],[centro_costo]],tblCECO[codigo],tblCECO[linea],"(sin catálogo)"))</f>
        <v/>
      </c>
      <c r="U473" s="3">
        <f>IF(tblOrdenes[[#This Row],[centro_costo]]="","",_xlfn.XLOOKUP(tblOrdenes[[#This Row],[centro_costo]],tblCECO[codigo],tblCECO[area],"(sin catálogo)"))</f>
        <v/>
      </c>
      <c r="V473" s="3">
        <f>IF(tblOrdenes[[#This Row],[centro_costo]]="","",_xlfn.XLOOKUP(tblOrdenes[[#This Row],[centro_costo]],tblCECO[codigo],tblCECO[coordinador],"(sin catálogo)"))</f>
        <v/>
      </c>
      <c r="W473" s="3">
        <f>IF(tblOrdenes[[#This Row],[puesto_trabajo]]="","",_xlfn.XLOOKUP(tblOrdenes[[#This Row],[puesto_trabajo]],tblPuestos[codigo],tblPuestos[especialidad],"(sin catálogo)"))</f>
        <v/>
      </c>
      <c r="X473" s="3">
        <f>IF(tblOrdenes[[#This Row],[cod_actividad]]="","",_xlfn.XLOOKUP(tblOrdenes[[#This Row],[cod_actividad]],tblActividades[codigo],tblActividades[descripcion],"(sin catálogo)"))</f>
        <v/>
      </c>
      <c r="Y473" s="12">
        <f>IF(tblOrdenes[[#This Row],[fecha_inicio]]="","",TODAY()-tblOrdenes[[#This Row],[fecha_inicio]])</f>
        <v/>
      </c>
      <c r="Z473" s="3">
        <f>IF(tblOrdenes[[#This Row],[backlog_dias]]="","",IF(tblOrdenes[[#This Row],[backlog_dias]]&lt;0,"FUTURO",IF(tblOrdenes[[#This Row],[backlog_dias]]&gt;p_dias_backlog_max,"BACKLOG","MES CORRIENTE")))</f>
        <v/>
      </c>
      <c r="AA473" s="3">
        <f>IF(tblOrdenes[[#This Row],[backlog_dias]]="",FALSE,AND(tblOrdenes[[#This Row],[backlog_dias]]&gt;p_dias_backlog_min,tblOrdenes[[#This Row],[backlog_dias]]&lt;=p_dias_backlog_max))</f>
        <v/>
      </c>
      <c r="AB473" s="6" t="n"/>
      <c r="AC4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3" s="10">
        <f>IF(tblOrdenes[[#This Row],[orden]]="","",_xlfn.XLOOKUP(tblOrdenes[[#This Row],[id_operacion]],tblEjecucion[id_operacion],tblEjecucion[precio],0))</f>
        <v/>
      </c>
      <c r="AG473" s="10">
        <f>IF(tblOrdenes[[#This Row],[orden]]="","",MAX(0,_xlfn.XLOOKUP(tblOrdenes[[#This Row],[id_operacion]],tblEjecucion[id_operacion],tblEjecucion[costo_plan_total],0)-tblOrdenes[[#This Row],[costo_servicio]]))</f>
        <v/>
      </c>
      <c r="AH473" s="10">
        <f>IF(tblOrdenes[[#This Row],[orden]]="","",tblOrdenes[[#This Row],[costo_servicio]]+tblOrdenes[[#This Row],[costo_materiales]])</f>
        <v/>
      </c>
      <c r="AI473" s="6" t="n"/>
      <c r="AJ473" s="6" t="n"/>
      <c r="AK473" s="6" t="n"/>
      <c r="AL473" s="3">
        <f>IF(tblOrdenes[[#This Row],[link_checklist]]="","",HYPERLINK(p_ruta_base_checklists&amp;tblOrdenes[[#This Row],[link_checklist]],"abrir"))</f>
        <v/>
      </c>
      <c r="AM473" s="6" t="n"/>
      <c r="AN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Row],[tipo_ot]]="","",_xlfn.XLOOKUP(tblOrdenes[[#This Row],[tipo_ot]],tblTiposOT[codigo],tblTiposOT[clasificacion],"sin_clasificar"))</f>
        <v/>
      </c>
      <c r="T474" s="3">
        <f>IF(tblOrdenes[[#This Row],[centro_costo]]="","",_xlfn.XLOOKUP(tblOrdenes[[#This Row],[centro_costo]],tblCECO[codigo],tblCECO[linea],"(sin catálogo)"))</f>
        <v/>
      </c>
      <c r="U474" s="3">
        <f>IF(tblOrdenes[[#This Row],[centro_costo]]="","",_xlfn.XLOOKUP(tblOrdenes[[#This Row],[centro_costo]],tblCECO[codigo],tblCECO[area],"(sin catálogo)"))</f>
        <v/>
      </c>
      <c r="V474" s="3">
        <f>IF(tblOrdenes[[#This Row],[centro_costo]]="","",_xlfn.XLOOKUP(tblOrdenes[[#This Row],[centro_costo]],tblCECO[codigo],tblCECO[coordinador],"(sin catálogo)"))</f>
        <v/>
      </c>
      <c r="W474" s="3">
        <f>IF(tblOrdenes[[#This Row],[puesto_trabajo]]="","",_xlfn.XLOOKUP(tblOrdenes[[#This Row],[puesto_trabajo]],tblPuestos[codigo],tblPuestos[especialidad],"(sin catálogo)"))</f>
        <v/>
      </c>
      <c r="X474" s="3">
        <f>IF(tblOrdenes[[#This Row],[cod_actividad]]="","",_xlfn.XLOOKUP(tblOrdenes[[#This Row],[cod_actividad]],tblActividades[codigo],tblActividades[descripcion],"(sin catálogo)"))</f>
        <v/>
      </c>
      <c r="Y474" s="12">
        <f>IF(tblOrdenes[[#This Row],[fecha_inicio]]="","",TODAY()-tblOrdenes[[#This Row],[fecha_inicio]])</f>
        <v/>
      </c>
      <c r="Z474" s="3">
        <f>IF(tblOrdenes[[#This Row],[backlog_dias]]="","",IF(tblOrdenes[[#This Row],[backlog_dias]]&lt;0,"FUTURO",IF(tblOrdenes[[#This Row],[backlog_dias]]&gt;p_dias_backlog_max,"BACKLOG","MES CORRIENTE")))</f>
        <v/>
      </c>
      <c r="AA474" s="3">
        <f>IF(tblOrdenes[[#This Row],[backlog_dias]]="",FALSE,AND(tblOrdenes[[#This Row],[backlog_dias]]&gt;p_dias_backlog_min,tblOrdenes[[#This Row],[backlog_dias]]&lt;=p_dias_backlog_max))</f>
        <v/>
      </c>
      <c r="AB474" s="6" t="n"/>
      <c r="AC4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4" s="10">
        <f>IF(tblOrdenes[[#This Row],[orden]]="","",_xlfn.XLOOKUP(tblOrdenes[[#This Row],[id_operacion]],tblEjecucion[id_operacion],tblEjecucion[precio],0))</f>
        <v/>
      </c>
      <c r="AG474" s="10">
        <f>IF(tblOrdenes[[#This Row],[orden]]="","",MAX(0,_xlfn.XLOOKUP(tblOrdenes[[#This Row],[id_operacion]],tblEjecucion[id_operacion],tblEjecucion[costo_plan_total],0)-tblOrdenes[[#This Row],[costo_servicio]]))</f>
        <v/>
      </c>
      <c r="AH474" s="10">
        <f>IF(tblOrdenes[[#This Row],[orden]]="","",tblOrdenes[[#This Row],[costo_servicio]]+tblOrdenes[[#This Row],[costo_materiales]])</f>
        <v/>
      </c>
      <c r="AI474" s="6" t="n"/>
      <c r="AJ474" s="6" t="n"/>
      <c r="AK474" s="6" t="n"/>
      <c r="AL474" s="3">
        <f>IF(tblOrdenes[[#This Row],[link_checklist]]="","",HYPERLINK(p_ruta_base_checklists&amp;tblOrdenes[[#This Row],[link_checklist]],"abrir"))</f>
        <v/>
      </c>
      <c r="AM474" s="6" t="n"/>
      <c r="AN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Row],[tipo_ot]]="","",_xlfn.XLOOKUP(tblOrdenes[[#This Row],[tipo_ot]],tblTiposOT[codigo],tblTiposOT[clasificacion],"sin_clasificar"))</f>
        <v/>
      </c>
      <c r="T475" s="3">
        <f>IF(tblOrdenes[[#This Row],[centro_costo]]="","",_xlfn.XLOOKUP(tblOrdenes[[#This Row],[centro_costo]],tblCECO[codigo],tblCECO[linea],"(sin catálogo)"))</f>
        <v/>
      </c>
      <c r="U475" s="3">
        <f>IF(tblOrdenes[[#This Row],[centro_costo]]="","",_xlfn.XLOOKUP(tblOrdenes[[#This Row],[centro_costo]],tblCECO[codigo],tblCECO[area],"(sin catálogo)"))</f>
        <v/>
      </c>
      <c r="V475" s="3">
        <f>IF(tblOrdenes[[#This Row],[centro_costo]]="","",_xlfn.XLOOKUP(tblOrdenes[[#This Row],[centro_costo]],tblCECO[codigo],tblCECO[coordinador],"(sin catálogo)"))</f>
        <v/>
      </c>
      <c r="W475" s="3">
        <f>IF(tblOrdenes[[#This Row],[puesto_trabajo]]="","",_xlfn.XLOOKUP(tblOrdenes[[#This Row],[puesto_trabajo]],tblPuestos[codigo],tblPuestos[especialidad],"(sin catálogo)"))</f>
        <v/>
      </c>
      <c r="X475" s="3">
        <f>IF(tblOrdenes[[#This Row],[cod_actividad]]="","",_xlfn.XLOOKUP(tblOrdenes[[#This Row],[cod_actividad]],tblActividades[codigo],tblActividades[descripcion],"(sin catálogo)"))</f>
        <v/>
      </c>
      <c r="Y475" s="12">
        <f>IF(tblOrdenes[[#This Row],[fecha_inicio]]="","",TODAY()-tblOrdenes[[#This Row],[fecha_inicio]])</f>
        <v/>
      </c>
      <c r="Z475" s="3">
        <f>IF(tblOrdenes[[#This Row],[backlog_dias]]="","",IF(tblOrdenes[[#This Row],[backlog_dias]]&lt;0,"FUTURO",IF(tblOrdenes[[#This Row],[backlog_dias]]&gt;p_dias_backlog_max,"BACKLOG","MES CORRIENTE")))</f>
        <v/>
      </c>
      <c r="AA475" s="3">
        <f>IF(tblOrdenes[[#This Row],[backlog_dias]]="",FALSE,AND(tblOrdenes[[#This Row],[backlog_dias]]&gt;p_dias_backlog_min,tblOrdenes[[#This Row],[backlog_dias]]&lt;=p_dias_backlog_max))</f>
        <v/>
      </c>
      <c r="AB475" s="6" t="n"/>
      <c r="AC4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5" s="10">
        <f>IF(tblOrdenes[[#This Row],[orden]]="","",_xlfn.XLOOKUP(tblOrdenes[[#This Row],[id_operacion]],tblEjecucion[id_operacion],tblEjecucion[precio],0))</f>
        <v/>
      </c>
      <c r="AG475" s="10">
        <f>IF(tblOrdenes[[#This Row],[orden]]="","",MAX(0,_xlfn.XLOOKUP(tblOrdenes[[#This Row],[id_operacion]],tblEjecucion[id_operacion],tblEjecucion[costo_plan_total],0)-tblOrdenes[[#This Row],[costo_servicio]]))</f>
        <v/>
      </c>
      <c r="AH475" s="10">
        <f>IF(tblOrdenes[[#This Row],[orden]]="","",tblOrdenes[[#This Row],[costo_servicio]]+tblOrdenes[[#This Row],[costo_materiales]])</f>
        <v/>
      </c>
      <c r="AI475" s="6" t="n"/>
      <c r="AJ475" s="6" t="n"/>
      <c r="AK475" s="6" t="n"/>
      <c r="AL475" s="3">
        <f>IF(tblOrdenes[[#This Row],[link_checklist]]="","",HYPERLINK(p_ruta_base_checklists&amp;tblOrdenes[[#This Row],[link_checklist]],"abrir"))</f>
        <v/>
      </c>
      <c r="AM475" s="6" t="n"/>
      <c r="AN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Row],[tipo_ot]]="","",_xlfn.XLOOKUP(tblOrdenes[[#This Row],[tipo_ot]],tblTiposOT[codigo],tblTiposOT[clasificacion],"sin_clasificar"))</f>
        <v/>
      </c>
      <c r="T476" s="3">
        <f>IF(tblOrdenes[[#This Row],[centro_costo]]="","",_xlfn.XLOOKUP(tblOrdenes[[#This Row],[centro_costo]],tblCECO[codigo],tblCECO[linea],"(sin catálogo)"))</f>
        <v/>
      </c>
      <c r="U476" s="3">
        <f>IF(tblOrdenes[[#This Row],[centro_costo]]="","",_xlfn.XLOOKUP(tblOrdenes[[#This Row],[centro_costo]],tblCECO[codigo],tblCECO[area],"(sin catálogo)"))</f>
        <v/>
      </c>
      <c r="V476" s="3">
        <f>IF(tblOrdenes[[#This Row],[centro_costo]]="","",_xlfn.XLOOKUP(tblOrdenes[[#This Row],[centro_costo]],tblCECO[codigo],tblCECO[coordinador],"(sin catálogo)"))</f>
        <v/>
      </c>
      <c r="W476" s="3">
        <f>IF(tblOrdenes[[#This Row],[puesto_trabajo]]="","",_xlfn.XLOOKUP(tblOrdenes[[#This Row],[puesto_trabajo]],tblPuestos[codigo],tblPuestos[especialidad],"(sin catálogo)"))</f>
        <v/>
      </c>
      <c r="X476" s="3">
        <f>IF(tblOrdenes[[#This Row],[cod_actividad]]="","",_xlfn.XLOOKUP(tblOrdenes[[#This Row],[cod_actividad]],tblActividades[codigo],tblActividades[descripcion],"(sin catálogo)"))</f>
        <v/>
      </c>
      <c r="Y476" s="12">
        <f>IF(tblOrdenes[[#This Row],[fecha_inicio]]="","",TODAY()-tblOrdenes[[#This Row],[fecha_inicio]])</f>
        <v/>
      </c>
      <c r="Z476" s="3">
        <f>IF(tblOrdenes[[#This Row],[backlog_dias]]="","",IF(tblOrdenes[[#This Row],[backlog_dias]]&lt;0,"FUTURO",IF(tblOrdenes[[#This Row],[backlog_dias]]&gt;p_dias_backlog_max,"BACKLOG","MES CORRIENTE")))</f>
        <v/>
      </c>
      <c r="AA476" s="3">
        <f>IF(tblOrdenes[[#This Row],[backlog_dias]]="",FALSE,AND(tblOrdenes[[#This Row],[backlog_dias]]&gt;p_dias_backlog_min,tblOrdenes[[#This Row],[backlog_dias]]&lt;=p_dias_backlog_max))</f>
        <v/>
      </c>
      <c r="AB476" s="6" t="n"/>
      <c r="AC4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6" s="10">
        <f>IF(tblOrdenes[[#This Row],[orden]]="","",_xlfn.XLOOKUP(tblOrdenes[[#This Row],[id_operacion]],tblEjecucion[id_operacion],tblEjecucion[precio],0))</f>
        <v/>
      </c>
      <c r="AG476" s="10">
        <f>IF(tblOrdenes[[#This Row],[orden]]="","",MAX(0,_xlfn.XLOOKUP(tblOrdenes[[#This Row],[id_operacion]],tblEjecucion[id_operacion],tblEjecucion[costo_plan_total],0)-tblOrdenes[[#This Row],[costo_servicio]]))</f>
        <v/>
      </c>
      <c r="AH476" s="10">
        <f>IF(tblOrdenes[[#This Row],[orden]]="","",tblOrdenes[[#This Row],[costo_servicio]]+tblOrdenes[[#This Row],[costo_materiales]])</f>
        <v/>
      </c>
      <c r="AI476" s="6" t="n"/>
      <c r="AJ476" s="6" t="n"/>
      <c r="AK476" s="6" t="n"/>
      <c r="AL476" s="3">
        <f>IF(tblOrdenes[[#This Row],[link_checklist]]="","",HYPERLINK(p_ruta_base_checklists&amp;tblOrdenes[[#This Row],[link_checklist]],"abrir"))</f>
        <v/>
      </c>
      <c r="AM476" s="6" t="n"/>
      <c r="AN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Row],[tipo_ot]]="","",_xlfn.XLOOKUP(tblOrdenes[[#This Row],[tipo_ot]],tblTiposOT[codigo],tblTiposOT[clasificacion],"sin_clasificar"))</f>
        <v/>
      </c>
      <c r="T477" s="3">
        <f>IF(tblOrdenes[[#This Row],[centro_costo]]="","",_xlfn.XLOOKUP(tblOrdenes[[#This Row],[centro_costo]],tblCECO[codigo],tblCECO[linea],"(sin catálogo)"))</f>
        <v/>
      </c>
      <c r="U477" s="3">
        <f>IF(tblOrdenes[[#This Row],[centro_costo]]="","",_xlfn.XLOOKUP(tblOrdenes[[#This Row],[centro_costo]],tblCECO[codigo],tblCECO[area],"(sin catálogo)"))</f>
        <v/>
      </c>
      <c r="V477" s="3">
        <f>IF(tblOrdenes[[#This Row],[centro_costo]]="","",_xlfn.XLOOKUP(tblOrdenes[[#This Row],[centro_costo]],tblCECO[codigo],tblCECO[coordinador],"(sin catálogo)"))</f>
        <v/>
      </c>
      <c r="W477" s="3">
        <f>IF(tblOrdenes[[#This Row],[puesto_trabajo]]="","",_xlfn.XLOOKUP(tblOrdenes[[#This Row],[puesto_trabajo]],tblPuestos[codigo],tblPuestos[especialidad],"(sin catálogo)"))</f>
        <v/>
      </c>
      <c r="X477" s="3">
        <f>IF(tblOrdenes[[#This Row],[cod_actividad]]="","",_xlfn.XLOOKUP(tblOrdenes[[#This Row],[cod_actividad]],tblActividades[codigo],tblActividades[descripcion],"(sin catálogo)"))</f>
        <v/>
      </c>
      <c r="Y477" s="12">
        <f>IF(tblOrdenes[[#This Row],[fecha_inicio]]="","",TODAY()-tblOrdenes[[#This Row],[fecha_inicio]])</f>
        <v/>
      </c>
      <c r="Z477" s="3">
        <f>IF(tblOrdenes[[#This Row],[backlog_dias]]="","",IF(tblOrdenes[[#This Row],[backlog_dias]]&lt;0,"FUTURO",IF(tblOrdenes[[#This Row],[backlog_dias]]&gt;p_dias_backlog_max,"BACKLOG","MES CORRIENTE")))</f>
        <v/>
      </c>
      <c r="AA477" s="3">
        <f>IF(tblOrdenes[[#This Row],[backlog_dias]]="",FALSE,AND(tblOrdenes[[#This Row],[backlog_dias]]&gt;p_dias_backlog_min,tblOrdenes[[#This Row],[backlog_dias]]&lt;=p_dias_backlog_max))</f>
        <v/>
      </c>
      <c r="AB477" s="6" t="n"/>
      <c r="AC4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7" s="10">
        <f>IF(tblOrdenes[[#This Row],[orden]]="","",_xlfn.XLOOKUP(tblOrdenes[[#This Row],[id_operacion]],tblEjecucion[id_operacion],tblEjecucion[precio],0))</f>
        <v/>
      </c>
      <c r="AG477" s="10">
        <f>IF(tblOrdenes[[#This Row],[orden]]="","",MAX(0,_xlfn.XLOOKUP(tblOrdenes[[#This Row],[id_operacion]],tblEjecucion[id_operacion],tblEjecucion[costo_plan_total],0)-tblOrdenes[[#This Row],[costo_servicio]]))</f>
        <v/>
      </c>
      <c r="AH477" s="10">
        <f>IF(tblOrdenes[[#This Row],[orden]]="","",tblOrdenes[[#This Row],[costo_servicio]]+tblOrdenes[[#This Row],[costo_materiales]])</f>
        <v/>
      </c>
      <c r="AI477" s="6" t="n"/>
      <c r="AJ477" s="6" t="n"/>
      <c r="AK477" s="6" t="n"/>
      <c r="AL477" s="3">
        <f>IF(tblOrdenes[[#This Row],[link_checklist]]="","",HYPERLINK(p_ruta_base_checklists&amp;tblOrdenes[[#This Row],[link_checklist]],"abrir"))</f>
        <v/>
      </c>
      <c r="AM477" s="6" t="n"/>
      <c r="AN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Row],[tipo_ot]]="","",_xlfn.XLOOKUP(tblOrdenes[[#This Row],[tipo_ot]],tblTiposOT[codigo],tblTiposOT[clasificacion],"sin_clasificar"))</f>
        <v/>
      </c>
      <c r="T478" s="3">
        <f>IF(tblOrdenes[[#This Row],[centro_costo]]="","",_xlfn.XLOOKUP(tblOrdenes[[#This Row],[centro_costo]],tblCECO[codigo],tblCECO[linea],"(sin catálogo)"))</f>
        <v/>
      </c>
      <c r="U478" s="3">
        <f>IF(tblOrdenes[[#This Row],[centro_costo]]="","",_xlfn.XLOOKUP(tblOrdenes[[#This Row],[centro_costo]],tblCECO[codigo],tblCECO[area],"(sin catálogo)"))</f>
        <v/>
      </c>
      <c r="V478" s="3">
        <f>IF(tblOrdenes[[#This Row],[centro_costo]]="","",_xlfn.XLOOKUP(tblOrdenes[[#This Row],[centro_costo]],tblCECO[codigo],tblCECO[coordinador],"(sin catálogo)"))</f>
        <v/>
      </c>
      <c r="W478" s="3">
        <f>IF(tblOrdenes[[#This Row],[puesto_trabajo]]="","",_xlfn.XLOOKUP(tblOrdenes[[#This Row],[puesto_trabajo]],tblPuestos[codigo],tblPuestos[especialidad],"(sin catálogo)"))</f>
        <v/>
      </c>
      <c r="X478" s="3">
        <f>IF(tblOrdenes[[#This Row],[cod_actividad]]="","",_xlfn.XLOOKUP(tblOrdenes[[#This Row],[cod_actividad]],tblActividades[codigo],tblActividades[descripcion],"(sin catálogo)"))</f>
        <v/>
      </c>
      <c r="Y478" s="12">
        <f>IF(tblOrdenes[[#This Row],[fecha_inicio]]="","",TODAY()-tblOrdenes[[#This Row],[fecha_inicio]])</f>
        <v/>
      </c>
      <c r="Z478" s="3">
        <f>IF(tblOrdenes[[#This Row],[backlog_dias]]="","",IF(tblOrdenes[[#This Row],[backlog_dias]]&lt;0,"FUTURO",IF(tblOrdenes[[#This Row],[backlog_dias]]&gt;p_dias_backlog_max,"BACKLOG","MES CORRIENTE")))</f>
        <v/>
      </c>
      <c r="AA478" s="3">
        <f>IF(tblOrdenes[[#This Row],[backlog_dias]]="",FALSE,AND(tblOrdenes[[#This Row],[backlog_dias]]&gt;p_dias_backlog_min,tblOrdenes[[#This Row],[backlog_dias]]&lt;=p_dias_backlog_max))</f>
        <v/>
      </c>
      <c r="AB478" s="6" t="n"/>
      <c r="AC4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8" s="10">
        <f>IF(tblOrdenes[[#This Row],[orden]]="","",_xlfn.XLOOKUP(tblOrdenes[[#This Row],[id_operacion]],tblEjecucion[id_operacion],tblEjecucion[precio],0))</f>
        <v/>
      </c>
      <c r="AG478" s="10">
        <f>IF(tblOrdenes[[#This Row],[orden]]="","",MAX(0,_xlfn.XLOOKUP(tblOrdenes[[#This Row],[id_operacion]],tblEjecucion[id_operacion],tblEjecucion[costo_plan_total],0)-tblOrdenes[[#This Row],[costo_servicio]]))</f>
        <v/>
      </c>
      <c r="AH478" s="10">
        <f>IF(tblOrdenes[[#This Row],[orden]]="","",tblOrdenes[[#This Row],[costo_servicio]]+tblOrdenes[[#This Row],[costo_materiales]])</f>
        <v/>
      </c>
      <c r="AI478" s="6" t="n"/>
      <c r="AJ478" s="6" t="n"/>
      <c r="AK478" s="6" t="n"/>
      <c r="AL478" s="3">
        <f>IF(tblOrdenes[[#This Row],[link_checklist]]="","",HYPERLINK(p_ruta_base_checklists&amp;tblOrdenes[[#This Row],[link_checklist]],"abrir"))</f>
        <v/>
      </c>
      <c r="AM478" s="6" t="n"/>
      <c r="AN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Row],[tipo_ot]]="","",_xlfn.XLOOKUP(tblOrdenes[[#This Row],[tipo_ot]],tblTiposOT[codigo],tblTiposOT[clasificacion],"sin_clasificar"))</f>
        <v/>
      </c>
      <c r="T479" s="3">
        <f>IF(tblOrdenes[[#This Row],[centro_costo]]="","",_xlfn.XLOOKUP(tblOrdenes[[#This Row],[centro_costo]],tblCECO[codigo],tblCECO[linea],"(sin catálogo)"))</f>
        <v/>
      </c>
      <c r="U479" s="3">
        <f>IF(tblOrdenes[[#This Row],[centro_costo]]="","",_xlfn.XLOOKUP(tblOrdenes[[#This Row],[centro_costo]],tblCECO[codigo],tblCECO[area],"(sin catálogo)"))</f>
        <v/>
      </c>
      <c r="V479" s="3">
        <f>IF(tblOrdenes[[#This Row],[centro_costo]]="","",_xlfn.XLOOKUP(tblOrdenes[[#This Row],[centro_costo]],tblCECO[codigo],tblCECO[coordinador],"(sin catálogo)"))</f>
        <v/>
      </c>
      <c r="W479" s="3">
        <f>IF(tblOrdenes[[#This Row],[puesto_trabajo]]="","",_xlfn.XLOOKUP(tblOrdenes[[#This Row],[puesto_trabajo]],tblPuestos[codigo],tblPuestos[especialidad],"(sin catálogo)"))</f>
        <v/>
      </c>
      <c r="X479" s="3">
        <f>IF(tblOrdenes[[#This Row],[cod_actividad]]="","",_xlfn.XLOOKUP(tblOrdenes[[#This Row],[cod_actividad]],tblActividades[codigo],tblActividades[descripcion],"(sin catálogo)"))</f>
        <v/>
      </c>
      <c r="Y479" s="12">
        <f>IF(tblOrdenes[[#This Row],[fecha_inicio]]="","",TODAY()-tblOrdenes[[#This Row],[fecha_inicio]])</f>
        <v/>
      </c>
      <c r="Z479" s="3">
        <f>IF(tblOrdenes[[#This Row],[backlog_dias]]="","",IF(tblOrdenes[[#This Row],[backlog_dias]]&lt;0,"FUTURO",IF(tblOrdenes[[#This Row],[backlog_dias]]&gt;p_dias_backlog_max,"BACKLOG","MES CORRIENTE")))</f>
        <v/>
      </c>
      <c r="AA479" s="3">
        <f>IF(tblOrdenes[[#This Row],[backlog_dias]]="",FALSE,AND(tblOrdenes[[#This Row],[backlog_dias]]&gt;p_dias_backlog_min,tblOrdenes[[#This Row],[backlog_dias]]&lt;=p_dias_backlog_max))</f>
        <v/>
      </c>
      <c r="AB479" s="6" t="n"/>
      <c r="AC4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9" s="10">
        <f>IF(tblOrdenes[[#This Row],[orden]]="","",_xlfn.XLOOKUP(tblOrdenes[[#This Row],[id_operacion]],tblEjecucion[id_operacion],tblEjecucion[precio],0))</f>
        <v/>
      </c>
      <c r="AG479" s="10">
        <f>IF(tblOrdenes[[#This Row],[orden]]="","",MAX(0,_xlfn.XLOOKUP(tblOrdenes[[#This Row],[id_operacion]],tblEjecucion[id_operacion],tblEjecucion[costo_plan_total],0)-tblOrdenes[[#This Row],[costo_servicio]]))</f>
        <v/>
      </c>
      <c r="AH479" s="10">
        <f>IF(tblOrdenes[[#This Row],[orden]]="","",tblOrdenes[[#This Row],[costo_servicio]]+tblOrdenes[[#This Row],[costo_materiales]])</f>
        <v/>
      </c>
      <c r="AI479" s="6" t="n"/>
      <c r="AJ479" s="6" t="n"/>
      <c r="AK479" s="6" t="n"/>
      <c r="AL479" s="3">
        <f>IF(tblOrdenes[[#This Row],[link_checklist]]="","",HYPERLINK(p_ruta_base_checklists&amp;tblOrdenes[[#This Row],[link_checklist]],"abrir"))</f>
        <v/>
      </c>
      <c r="AM479" s="6" t="n"/>
      <c r="AN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Row],[tipo_ot]]="","",_xlfn.XLOOKUP(tblOrdenes[[#This Row],[tipo_ot]],tblTiposOT[codigo],tblTiposOT[clasificacion],"sin_clasificar"))</f>
        <v/>
      </c>
      <c r="T480" s="3">
        <f>IF(tblOrdenes[[#This Row],[centro_costo]]="","",_xlfn.XLOOKUP(tblOrdenes[[#This Row],[centro_costo]],tblCECO[codigo],tblCECO[linea],"(sin catálogo)"))</f>
        <v/>
      </c>
      <c r="U480" s="3">
        <f>IF(tblOrdenes[[#This Row],[centro_costo]]="","",_xlfn.XLOOKUP(tblOrdenes[[#This Row],[centro_costo]],tblCECO[codigo],tblCECO[area],"(sin catálogo)"))</f>
        <v/>
      </c>
      <c r="V480" s="3">
        <f>IF(tblOrdenes[[#This Row],[centro_costo]]="","",_xlfn.XLOOKUP(tblOrdenes[[#This Row],[centro_costo]],tblCECO[codigo],tblCECO[coordinador],"(sin catálogo)"))</f>
        <v/>
      </c>
      <c r="W480" s="3">
        <f>IF(tblOrdenes[[#This Row],[puesto_trabajo]]="","",_xlfn.XLOOKUP(tblOrdenes[[#This Row],[puesto_trabajo]],tblPuestos[codigo],tblPuestos[especialidad],"(sin catálogo)"))</f>
        <v/>
      </c>
      <c r="X480" s="3">
        <f>IF(tblOrdenes[[#This Row],[cod_actividad]]="","",_xlfn.XLOOKUP(tblOrdenes[[#This Row],[cod_actividad]],tblActividades[codigo],tblActividades[descripcion],"(sin catálogo)"))</f>
        <v/>
      </c>
      <c r="Y480" s="12">
        <f>IF(tblOrdenes[[#This Row],[fecha_inicio]]="","",TODAY()-tblOrdenes[[#This Row],[fecha_inicio]])</f>
        <v/>
      </c>
      <c r="Z480" s="3">
        <f>IF(tblOrdenes[[#This Row],[backlog_dias]]="","",IF(tblOrdenes[[#This Row],[backlog_dias]]&lt;0,"FUTURO",IF(tblOrdenes[[#This Row],[backlog_dias]]&gt;p_dias_backlog_max,"BACKLOG","MES CORRIENTE")))</f>
        <v/>
      </c>
      <c r="AA480" s="3">
        <f>IF(tblOrdenes[[#This Row],[backlog_dias]]="",FALSE,AND(tblOrdenes[[#This Row],[backlog_dias]]&gt;p_dias_backlog_min,tblOrdenes[[#This Row],[backlog_dias]]&lt;=p_dias_backlog_max))</f>
        <v/>
      </c>
      <c r="AB480" s="6" t="n"/>
      <c r="AC4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0" s="10">
        <f>IF(tblOrdenes[[#This Row],[orden]]="","",_xlfn.XLOOKUP(tblOrdenes[[#This Row],[id_operacion]],tblEjecucion[id_operacion],tblEjecucion[precio],0))</f>
        <v/>
      </c>
      <c r="AG480" s="10">
        <f>IF(tblOrdenes[[#This Row],[orden]]="","",MAX(0,_xlfn.XLOOKUP(tblOrdenes[[#This Row],[id_operacion]],tblEjecucion[id_operacion],tblEjecucion[costo_plan_total],0)-tblOrdenes[[#This Row],[costo_servicio]]))</f>
        <v/>
      </c>
      <c r="AH480" s="10">
        <f>IF(tblOrdenes[[#This Row],[orden]]="","",tblOrdenes[[#This Row],[costo_servicio]]+tblOrdenes[[#This Row],[costo_materiales]])</f>
        <v/>
      </c>
      <c r="AI480" s="6" t="n"/>
      <c r="AJ480" s="6" t="n"/>
      <c r="AK480" s="6" t="n"/>
      <c r="AL480" s="3">
        <f>IF(tblOrdenes[[#This Row],[link_checklist]]="","",HYPERLINK(p_ruta_base_checklists&amp;tblOrdenes[[#This Row],[link_checklist]],"abrir"))</f>
        <v/>
      </c>
      <c r="AM480" s="6" t="n"/>
      <c r="AN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Row],[tipo_ot]]="","",_xlfn.XLOOKUP(tblOrdenes[[#This Row],[tipo_ot]],tblTiposOT[codigo],tblTiposOT[clasificacion],"sin_clasificar"))</f>
        <v/>
      </c>
      <c r="T481" s="3">
        <f>IF(tblOrdenes[[#This Row],[centro_costo]]="","",_xlfn.XLOOKUP(tblOrdenes[[#This Row],[centro_costo]],tblCECO[codigo],tblCECO[linea],"(sin catálogo)"))</f>
        <v/>
      </c>
      <c r="U481" s="3">
        <f>IF(tblOrdenes[[#This Row],[centro_costo]]="","",_xlfn.XLOOKUP(tblOrdenes[[#This Row],[centro_costo]],tblCECO[codigo],tblCECO[area],"(sin catálogo)"))</f>
        <v/>
      </c>
      <c r="V481" s="3">
        <f>IF(tblOrdenes[[#This Row],[centro_costo]]="","",_xlfn.XLOOKUP(tblOrdenes[[#This Row],[centro_costo]],tblCECO[codigo],tblCECO[coordinador],"(sin catálogo)"))</f>
        <v/>
      </c>
      <c r="W481" s="3">
        <f>IF(tblOrdenes[[#This Row],[puesto_trabajo]]="","",_xlfn.XLOOKUP(tblOrdenes[[#This Row],[puesto_trabajo]],tblPuestos[codigo],tblPuestos[especialidad],"(sin catálogo)"))</f>
        <v/>
      </c>
      <c r="X481" s="3">
        <f>IF(tblOrdenes[[#This Row],[cod_actividad]]="","",_xlfn.XLOOKUP(tblOrdenes[[#This Row],[cod_actividad]],tblActividades[codigo],tblActividades[descripcion],"(sin catálogo)"))</f>
        <v/>
      </c>
      <c r="Y481" s="12">
        <f>IF(tblOrdenes[[#This Row],[fecha_inicio]]="","",TODAY()-tblOrdenes[[#This Row],[fecha_inicio]])</f>
        <v/>
      </c>
      <c r="Z481" s="3">
        <f>IF(tblOrdenes[[#This Row],[backlog_dias]]="","",IF(tblOrdenes[[#This Row],[backlog_dias]]&lt;0,"FUTURO",IF(tblOrdenes[[#This Row],[backlog_dias]]&gt;p_dias_backlog_max,"BACKLOG","MES CORRIENTE")))</f>
        <v/>
      </c>
      <c r="AA481" s="3">
        <f>IF(tblOrdenes[[#This Row],[backlog_dias]]="",FALSE,AND(tblOrdenes[[#This Row],[backlog_dias]]&gt;p_dias_backlog_min,tblOrdenes[[#This Row],[backlog_dias]]&lt;=p_dias_backlog_max))</f>
        <v/>
      </c>
      <c r="AB481" s="6" t="n"/>
      <c r="AC4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1" s="10">
        <f>IF(tblOrdenes[[#This Row],[orden]]="","",_xlfn.XLOOKUP(tblOrdenes[[#This Row],[id_operacion]],tblEjecucion[id_operacion],tblEjecucion[precio],0))</f>
        <v/>
      </c>
      <c r="AG481" s="10">
        <f>IF(tblOrdenes[[#This Row],[orden]]="","",MAX(0,_xlfn.XLOOKUP(tblOrdenes[[#This Row],[id_operacion]],tblEjecucion[id_operacion],tblEjecucion[costo_plan_total],0)-tblOrdenes[[#This Row],[costo_servicio]]))</f>
        <v/>
      </c>
      <c r="AH481" s="10">
        <f>IF(tblOrdenes[[#This Row],[orden]]="","",tblOrdenes[[#This Row],[costo_servicio]]+tblOrdenes[[#This Row],[costo_materiales]])</f>
        <v/>
      </c>
      <c r="AI481" s="6" t="n"/>
      <c r="AJ481" s="6" t="n"/>
      <c r="AK481" s="6" t="n"/>
      <c r="AL481" s="3">
        <f>IF(tblOrdenes[[#This Row],[link_checklist]]="","",HYPERLINK(p_ruta_base_checklists&amp;tblOrdenes[[#This Row],[link_checklist]],"abrir"))</f>
        <v/>
      </c>
      <c r="AM481" s="6" t="n"/>
      <c r="AN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Row],[tipo_ot]]="","",_xlfn.XLOOKUP(tblOrdenes[[#This Row],[tipo_ot]],tblTiposOT[codigo],tblTiposOT[clasificacion],"sin_clasificar"))</f>
        <v/>
      </c>
      <c r="T482" s="3">
        <f>IF(tblOrdenes[[#This Row],[centro_costo]]="","",_xlfn.XLOOKUP(tblOrdenes[[#This Row],[centro_costo]],tblCECO[codigo],tblCECO[linea],"(sin catálogo)"))</f>
        <v/>
      </c>
      <c r="U482" s="3">
        <f>IF(tblOrdenes[[#This Row],[centro_costo]]="","",_xlfn.XLOOKUP(tblOrdenes[[#This Row],[centro_costo]],tblCECO[codigo],tblCECO[area],"(sin catálogo)"))</f>
        <v/>
      </c>
      <c r="V482" s="3">
        <f>IF(tblOrdenes[[#This Row],[centro_costo]]="","",_xlfn.XLOOKUP(tblOrdenes[[#This Row],[centro_costo]],tblCECO[codigo],tblCECO[coordinador],"(sin catálogo)"))</f>
        <v/>
      </c>
      <c r="W482" s="3">
        <f>IF(tblOrdenes[[#This Row],[puesto_trabajo]]="","",_xlfn.XLOOKUP(tblOrdenes[[#This Row],[puesto_trabajo]],tblPuestos[codigo],tblPuestos[especialidad],"(sin catálogo)"))</f>
        <v/>
      </c>
      <c r="X482" s="3">
        <f>IF(tblOrdenes[[#This Row],[cod_actividad]]="","",_xlfn.XLOOKUP(tblOrdenes[[#This Row],[cod_actividad]],tblActividades[codigo],tblActividades[descripcion],"(sin catálogo)"))</f>
        <v/>
      </c>
      <c r="Y482" s="12">
        <f>IF(tblOrdenes[[#This Row],[fecha_inicio]]="","",TODAY()-tblOrdenes[[#This Row],[fecha_inicio]])</f>
        <v/>
      </c>
      <c r="Z482" s="3">
        <f>IF(tblOrdenes[[#This Row],[backlog_dias]]="","",IF(tblOrdenes[[#This Row],[backlog_dias]]&lt;0,"FUTURO",IF(tblOrdenes[[#This Row],[backlog_dias]]&gt;p_dias_backlog_max,"BACKLOG","MES CORRIENTE")))</f>
        <v/>
      </c>
      <c r="AA482" s="3">
        <f>IF(tblOrdenes[[#This Row],[backlog_dias]]="",FALSE,AND(tblOrdenes[[#This Row],[backlog_dias]]&gt;p_dias_backlog_min,tblOrdenes[[#This Row],[backlog_dias]]&lt;=p_dias_backlog_max))</f>
        <v/>
      </c>
      <c r="AB482" s="6" t="n"/>
      <c r="AC4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2" s="10">
        <f>IF(tblOrdenes[[#This Row],[orden]]="","",_xlfn.XLOOKUP(tblOrdenes[[#This Row],[id_operacion]],tblEjecucion[id_operacion],tblEjecucion[precio],0))</f>
        <v/>
      </c>
      <c r="AG482" s="10">
        <f>IF(tblOrdenes[[#This Row],[orden]]="","",MAX(0,_xlfn.XLOOKUP(tblOrdenes[[#This Row],[id_operacion]],tblEjecucion[id_operacion],tblEjecucion[costo_plan_total],0)-tblOrdenes[[#This Row],[costo_servicio]]))</f>
        <v/>
      </c>
      <c r="AH482" s="10">
        <f>IF(tblOrdenes[[#This Row],[orden]]="","",tblOrdenes[[#This Row],[costo_servicio]]+tblOrdenes[[#This Row],[costo_materiales]])</f>
        <v/>
      </c>
      <c r="AI482" s="6" t="n"/>
      <c r="AJ482" s="6" t="n"/>
      <c r="AK482" s="6" t="n"/>
      <c r="AL482" s="3">
        <f>IF(tblOrdenes[[#This Row],[link_checklist]]="","",HYPERLINK(p_ruta_base_checklists&amp;tblOrdenes[[#This Row],[link_checklist]],"abrir"))</f>
        <v/>
      </c>
      <c r="AM482" s="6" t="n"/>
      <c r="AN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Row],[tipo_ot]]="","",_xlfn.XLOOKUP(tblOrdenes[[#This Row],[tipo_ot]],tblTiposOT[codigo],tblTiposOT[clasificacion],"sin_clasificar"))</f>
        <v/>
      </c>
      <c r="T483" s="3">
        <f>IF(tblOrdenes[[#This Row],[centro_costo]]="","",_xlfn.XLOOKUP(tblOrdenes[[#This Row],[centro_costo]],tblCECO[codigo],tblCECO[linea],"(sin catálogo)"))</f>
        <v/>
      </c>
      <c r="U483" s="3">
        <f>IF(tblOrdenes[[#This Row],[centro_costo]]="","",_xlfn.XLOOKUP(tblOrdenes[[#This Row],[centro_costo]],tblCECO[codigo],tblCECO[area],"(sin catálogo)"))</f>
        <v/>
      </c>
      <c r="V483" s="3">
        <f>IF(tblOrdenes[[#This Row],[centro_costo]]="","",_xlfn.XLOOKUP(tblOrdenes[[#This Row],[centro_costo]],tblCECO[codigo],tblCECO[coordinador],"(sin catálogo)"))</f>
        <v/>
      </c>
      <c r="W483" s="3">
        <f>IF(tblOrdenes[[#This Row],[puesto_trabajo]]="","",_xlfn.XLOOKUP(tblOrdenes[[#This Row],[puesto_trabajo]],tblPuestos[codigo],tblPuestos[especialidad],"(sin catálogo)"))</f>
        <v/>
      </c>
      <c r="X483" s="3">
        <f>IF(tblOrdenes[[#This Row],[cod_actividad]]="","",_xlfn.XLOOKUP(tblOrdenes[[#This Row],[cod_actividad]],tblActividades[codigo],tblActividades[descripcion],"(sin catálogo)"))</f>
        <v/>
      </c>
      <c r="Y483" s="12">
        <f>IF(tblOrdenes[[#This Row],[fecha_inicio]]="","",TODAY()-tblOrdenes[[#This Row],[fecha_inicio]])</f>
        <v/>
      </c>
      <c r="Z483" s="3">
        <f>IF(tblOrdenes[[#This Row],[backlog_dias]]="","",IF(tblOrdenes[[#This Row],[backlog_dias]]&lt;0,"FUTURO",IF(tblOrdenes[[#This Row],[backlog_dias]]&gt;p_dias_backlog_max,"BACKLOG","MES CORRIENTE")))</f>
        <v/>
      </c>
      <c r="AA483" s="3">
        <f>IF(tblOrdenes[[#This Row],[backlog_dias]]="",FALSE,AND(tblOrdenes[[#This Row],[backlog_dias]]&gt;p_dias_backlog_min,tblOrdenes[[#This Row],[backlog_dias]]&lt;=p_dias_backlog_max))</f>
        <v/>
      </c>
      <c r="AB483" s="6" t="n"/>
      <c r="AC4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3" s="10">
        <f>IF(tblOrdenes[[#This Row],[orden]]="","",_xlfn.XLOOKUP(tblOrdenes[[#This Row],[id_operacion]],tblEjecucion[id_operacion],tblEjecucion[precio],0))</f>
        <v/>
      </c>
      <c r="AG483" s="10">
        <f>IF(tblOrdenes[[#This Row],[orden]]="","",MAX(0,_xlfn.XLOOKUP(tblOrdenes[[#This Row],[id_operacion]],tblEjecucion[id_operacion],tblEjecucion[costo_plan_total],0)-tblOrdenes[[#This Row],[costo_servicio]]))</f>
        <v/>
      </c>
      <c r="AH483" s="10">
        <f>IF(tblOrdenes[[#This Row],[orden]]="","",tblOrdenes[[#This Row],[costo_servicio]]+tblOrdenes[[#This Row],[costo_materiales]])</f>
        <v/>
      </c>
      <c r="AI483" s="6" t="n"/>
      <c r="AJ483" s="6" t="n"/>
      <c r="AK483" s="6" t="n"/>
      <c r="AL483" s="3">
        <f>IF(tblOrdenes[[#This Row],[link_checklist]]="","",HYPERLINK(p_ruta_base_checklists&amp;tblOrdenes[[#This Row],[link_checklist]],"abrir"))</f>
        <v/>
      </c>
      <c r="AM483" s="6" t="n"/>
      <c r="AN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Row],[tipo_ot]]="","",_xlfn.XLOOKUP(tblOrdenes[[#This Row],[tipo_ot]],tblTiposOT[codigo],tblTiposOT[clasificacion],"sin_clasificar"))</f>
        <v/>
      </c>
      <c r="T484" s="3">
        <f>IF(tblOrdenes[[#This Row],[centro_costo]]="","",_xlfn.XLOOKUP(tblOrdenes[[#This Row],[centro_costo]],tblCECO[codigo],tblCECO[linea],"(sin catálogo)"))</f>
        <v/>
      </c>
      <c r="U484" s="3">
        <f>IF(tblOrdenes[[#This Row],[centro_costo]]="","",_xlfn.XLOOKUP(tblOrdenes[[#This Row],[centro_costo]],tblCECO[codigo],tblCECO[area],"(sin catálogo)"))</f>
        <v/>
      </c>
      <c r="V484" s="3">
        <f>IF(tblOrdenes[[#This Row],[centro_costo]]="","",_xlfn.XLOOKUP(tblOrdenes[[#This Row],[centro_costo]],tblCECO[codigo],tblCECO[coordinador],"(sin catálogo)"))</f>
        <v/>
      </c>
      <c r="W484" s="3">
        <f>IF(tblOrdenes[[#This Row],[puesto_trabajo]]="","",_xlfn.XLOOKUP(tblOrdenes[[#This Row],[puesto_trabajo]],tblPuestos[codigo],tblPuestos[especialidad],"(sin catálogo)"))</f>
        <v/>
      </c>
      <c r="X484" s="3">
        <f>IF(tblOrdenes[[#This Row],[cod_actividad]]="","",_xlfn.XLOOKUP(tblOrdenes[[#This Row],[cod_actividad]],tblActividades[codigo],tblActividades[descripcion],"(sin catálogo)"))</f>
        <v/>
      </c>
      <c r="Y484" s="12">
        <f>IF(tblOrdenes[[#This Row],[fecha_inicio]]="","",TODAY()-tblOrdenes[[#This Row],[fecha_inicio]])</f>
        <v/>
      </c>
      <c r="Z484" s="3">
        <f>IF(tblOrdenes[[#This Row],[backlog_dias]]="","",IF(tblOrdenes[[#This Row],[backlog_dias]]&lt;0,"FUTURO",IF(tblOrdenes[[#This Row],[backlog_dias]]&gt;p_dias_backlog_max,"BACKLOG","MES CORRIENTE")))</f>
        <v/>
      </c>
      <c r="AA484" s="3">
        <f>IF(tblOrdenes[[#This Row],[backlog_dias]]="",FALSE,AND(tblOrdenes[[#This Row],[backlog_dias]]&gt;p_dias_backlog_min,tblOrdenes[[#This Row],[backlog_dias]]&lt;=p_dias_backlog_max))</f>
        <v/>
      </c>
      <c r="AB484" s="6" t="n"/>
      <c r="AC4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4" s="10">
        <f>IF(tblOrdenes[[#This Row],[orden]]="","",_xlfn.XLOOKUP(tblOrdenes[[#This Row],[id_operacion]],tblEjecucion[id_operacion],tblEjecucion[precio],0))</f>
        <v/>
      </c>
      <c r="AG484" s="10">
        <f>IF(tblOrdenes[[#This Row],[orden]]="","",MAX(0,_xlfn.XLOOKUP(tblOrdenes[[#This Row],[id_operacion]],tblEjecucion[id_operacion],tblEjecucion[costo_plan_total],0)-tblOrdenes[[#This Row],[costo_servicio]]))</f>
        <v/>
      </c>
      <c r="AH484" s="10">
        <f>IF(tblOrdenes[[#This Row],[orden]]="","",tblOrdenes[[#This Row],[costo_servicio]]+tblOrdenes[[#This Row],[costo_materiales]])</f>
        <v/>
      </c>
      <c r="AI484" s="6" t="n"/>
      <c r="AJ484" s="6" t="n"/>
      <c r="AK484" s="6" t="n"/>
      <c r="AL484" s="3">
        <f>IF(tblOrdenes[[#This Row],[link_checklist]]="","",HYPERLINK(p_ruta_base_checklists&amp;tblOrdenes[[#This Row],[link_checklist]],"abrir"))</f>
        <v/>
      </c>
      <c r="AM484" s="6" t="n"/>
      <c r="AN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Row],[tipo_ot]]="","",_xlfn.XLOOKUP(tblOrdenes[[#This Row],[tipo_ot]],tblTiposOT[codigo],tblTiposOT[clasificacion],"sin_clasificar"))</f>
        <v/>
      </c>
      <c r="T485" s="3">
        <f>IF(tblOrdenes[[#This Row],[centro_costo]]="","",_xlfn.XLOOKUP(tblOrdenes[[#This Row],[centro_costo]],tblCECO[codigo],tblCECO[linea],"(sin catálogo)"))</f>
        <v/>
      </c>
      <c r="U485" s="3">
        <f>IF(tblOrdenes[[#This Row],[centro_costo]]="","",_xlfn.XLOOKUP(tblOrdenes[[#This Row],[centro_costo]],tblCECO[codigo],tblCECO[area],"(sin catálogo)"))</f>
        <v/>
      </c>
      <c r="V485" s="3">
        <f>IF(tblOrdenes[[#This Row],[centro_costo]]="","",_xlfn.XLOOKUP(tblOrdenes[[#This Row],[centro_costo]],tblCECO[codigo],tblCECO[coordinador],"(sin catálogo)"))</f>
        <v/>
      </c>
      <c r="W485" s="3">
        <f>IF(tblOrdenes[[#This Row],[puesto_trabajo]]="","",_xlfn.XLOOKUP(tblOrdenes[[#This Row],[puesto_trabajo]],tblPuestos[codigo],tblPuestos[especialidad],"(sin catálogo)"))</f>
        <v/>
      </c>
      <c r="X485" s="3">
        <f>IF(tblOrdenes[[#This Row],[cod_actividad]]="","",_xlfn.XLOOKUP(tblOrdenes[[#This Row],[cod_actividad]],tblActividades[codigo],tblActividades[descripcion],"(sin catálogo)"))</f>
        <v/>
      </c>
      <c r="Y485" s="12">
        <f>IF(tblOrdenes[[#This Row],[fecha_inicio]]="","",TODAY()-tblOrdenes[[#This Row],[fecha_inicio]])</f>
        <v/>
      </c>
      <c r="Z485" s="3">
        <f>IF(tblOrdenes[[#This Row],[backlog_dias]]="","",IF(tblOrdenes[[#This Row],[backlog_dias]]&lt;0,"FUTURO",IF(tblOrdenes[[#This Row],[backlog_dias]]&gt;p_dias_backlog_max,"BACKLOG","MES CORRIENTE")))</f>
        <v/>
      </c>
      <c r="AA485" s="3">
        <f>IF(tblOrdenes[[#This Row],[backlog_dias]]="",FALSE,AND(tblOrdenes[[#This Row],[backlog_dias]]&gt;p_dias_backlog_min,tblOrdenes[[#This Row],[backlog_dias]]&lt;=p_dias_backlog_max))</f>
        <v/>
      </c>
      <c r="AB485" s="6" t="n"/>
      <c r="AC4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5" s="10">
        <f>IF(tblOrdenes[[#This Row],[orden]]="","",_xlfn.XLOOKUP(tblOrdenes[[#This Row],[id_operacion]],tblEjecucion[id_operacion],tblEjecucion[precio],0))</f>
        <v/>
      </c>
      <c r="AG485" s="10">
        <f>IF(tblOrdenes[[#This Row],[orden]]="","",MAX(0,_xlfn.XLOOKUP(tblOrdenes[[#This Row],[id_operacion]],tblEjecucion[id_operacion],tblEjecucion[costo_plan_total],0)-tblOrdenes[[#This Row],[costo_servicio]]))</f>
        <v/>
      </c>
      <c r="AH485" s="10">
        <f>IF(tblOrdenes[[#This Row],[orden]]="","",tblOrdenes[[#This Row],[costo_servicio]]+tblOrdenes[[#This Row],[costo_materiales]])</f>
        <v/>
      </c>
      <c r="AI485" s="6" t="n"/>
      <c r="AJ485" s="6" t="n"/>
      <c r="AK485" s="6" t="n"/>
      <c r="AL485" s="3">
        <f>IF(tblOrdenes[[#This Row],[link_checklist]]="","",HYPERLINK(p_ruta_base_checklists&amp;tblOrdenes[[#This Row],[link_checklist]],"abrir"))</f>
        <v/>
      </c>
      <c r="AM485" s="6" t="n"/>
      <c r="AN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Row],[tipo_ot]]="","",_xlfn.XLOOKUP(tblOrdenes[[#This Row],[tipo_ot]],tblTiposOT[codigo],tblTiposOT[clasificacion],"sin_clasificar"))</f>
        <v/>
      </c>
      <c r="T486" s="3">
        <f>IF(tblOrdenes[[#This Row],[centro_costo]]="","",_xlfn.XLOOKUP(tblOrdenes[[#This Row],[centro_costo]],tblCECO[codigo],tblCECO[linea],"(sin catálogo)"))</f>
        <v/>
      </c>
      <c r="U486" s="3">
        <f>IF(tblOrdenes[[#This Row],[centro_costo]]="","",_xlfn.XLOOKUP(tblOrdenes[[#This Row],[centro_costo]],tblCECO[codigo],tblCECO[area],"(sin catálogo)"))</f>
        <v/>
      </c>
      <c r="V486" s="3">
        <f>IF(tblOrdenes[[#This Row],[centro_costo]]="","",_xlfn.XLOOKUP(tblOrdenes[[#This Row],[centro_costo]],tblCECO[codigo],tblCECO[coordinador],"(sin catálogo)"))</f>
        <v/>
      </c>
      <c r="W486" s="3">
        <f>IF(tblOrdenes[[#This Row],[puesto_trabajo]]="","",_xlfn.XLOOKUP(tblOrdenes[[#This Row],[puesto_trabajo]],tblPuestos[codigo],tblPuestos[especialidad],"(sin catálogo)"))</f>
        <v/>
      </c>
      <c r="X486" s="3">
        <f>IF(tblOrdenes[[#This Row],[cod_actividad]]="","",_xlfn.XLOOKUP(tblOrdenes[[#This Row],[cod_actividad]],tblActividades[codigo],tblActividades[descripcion],"(sin catálogo)"))</f>
        <v/>
      </c>
      <c r="Y486" s="12">
        <f>IF(tblOrdenes[[#This Row],[fecha_inicio]]="","",TODAY()-tblOrdenes[[#This Row],[fecha_inicio]])</f>
        <v/>
      </c>
      <c r="Z486" s="3">
        <f>IF(tblOrdenes[[#This Row],[backlog_dias]]="","",IF(tblOrdenes[[#This Row],[backlog_dias]]&lt;0,"FUTURO",IF(tblOrdenes[[#This Row],[backlog_dias]]&gt;p_dias_backlog_max,"BACKLOG","MES CORRIENTE")))</f>
        <v/>
      </c>
      <c r="AA486" s="3">
        <f>IF(tblOrdenes[[#This Row],[backlog_dias]]="",FALSE,AND(tblOrdenes[[#This Row],[backlog_dias]]&gt;p_dias_backlog_min,tblOrdenes[[#This Row],[backlog_dias]]&lt;=p_dias_backlog_max))</f>
        <v/>
      </c>
      <c r="AB486" s="6" t="n"/>
      <c r="AC4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6" s="10">
        <f>IF(tblOrdenes[[#This Row],[orden]]="","",_xlfn.XLOOKUP(tblOrdenes[[#This Row],[id_operacion]],tblEjecucion[id_operacion],tblEjecucion[precio],0))</f>
        <v/>
      </c>
      <c r="AG486" s="10">
        <f>IF(tblOrdenes[[#This Row],[orden]]="","",MAX(0,_xlfn.XLOOKUP(tblOrdenes[[#This Row],[id_operacion]],tblEjecucion[id_operacion],tblEjecucion[costo_plan_total],0)-tblOrdenes[[#This Row],[costo_servicio]]))</f>
        <v/>
      </c>
      <c r="AH486" s="10">
        <f>IF(tblOrdenes[[#This Row],[orden]]="","",tblOrdenes[[#This Row],[costo_servicio]]+tblOrdenes[[#This Row],[costo_materiales]])</f>
        <v/>
      </c>
      <c r="AI486" s="6" t="n"/>
      <c r="AJ486" s="6" t="n"/>
      <c r="AK486" s="6" t="n"/>
      <c r="AL486" s="3">
        <f>IF(tblOrdenes[[#This Row],[link_checklist]]="","",HYPERLINK(p_ruta_base_checklists&amp;tblOrdenes[[#This Row],[link_checklist]],"abrir"))</f>
        <v/>
      </c>
      <c r="AM486" s="6" t="n"/>
      <c r="AN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Row],[tipo_ot]]="","",_xlfn.XLOOKUP(tblOrdenes[[#This Row],[tipo_ot]],tblTiposOT[codigo],tblTiposOT[clasificacion],"sin_clasificar"))</f>
        <v/>
      </c>
      <c r="T487" s="3">
        <f>IF(tblOrdenes[[#This Row],[centro_costo]]="","",_xlfn.XLOOKUP(tblOrdenes[[#This Row],[centro_costo]],tblCECO[codigo],tblCECO[linea],"(sin catálogo)"))</f>
        <v/>
      </c>
      <c r="U487" s="3">
        <f>IF(tblOrdenes[[#This Row],[centro_costo]]="","",_xlfn.XLOOKUP(tblOrdenes[[#This Row],[centro_costo]],tblCECO[codigo],tblCECO[area],"(sin catálogo)"))</f>
        <v/>
      </c>
      <c r="V487" s="3">
        <f>IF(tblOrdenes[[#This Row],[centro_costo]]="","",_xlfn.XLOOKUP(tblOrdenes[[#This Row],[centro_costo]],tblCECO[codigo],tblCECO[coordinador],"(sin catálogo)"))</f>
        <v/>
      </c>
      <c r="W487" s="3">
        <f>IF(tblOrdenes[[#This Row],[puesto_trabajo]]="","",_xlfn.XLOOKUP(tblOrdenes[[#This Row],[puesto_trabajo]],tblPuestos[codigo],tblPuestos[especialidad],"(sin catálogo)"))</f>
        <v/>
      </c>
      <c r="X487" s="3">
        <f>IF(tblOrdenes[[#This Row],[cod_actividad]]="","",_xlfn.XLOOKUP(tblOrdenes[[#This Row],[cod_actividad]],tblActividades[codigo],tblActividades[descripcion],"(sin catálogo)"))</f>
        <v/>
      </c>
      <c r="Y487" s="12">
        <f>IF(tblOrdenes[[#This Row],[fecha_inicio]]="","",TODAY()-tblOrdenes[[#This Row],[fecha_inicio]])</f>
        <v/>
      </c>
      <c r="Z487" s="3">
        <f>IF(tblOrdenes[[#This Row],[backlog_dias]]="","",IF(tblOrdenes[[#This Row],[backlog_dias]]&lt;0,"FUTURO",IF(tblOrdenes[[#This Row],[backlog_dias]]&gt;p_dias_backlog_max,"BACKLOG","MES CORRIENTE")))</f>
        <v/>
      </c>
      <c r="AA487" s="3">
        <f>IF(tblOrdenes[[#This Row],[backlog_dias]]="",FALSE,AND(tblOrdenes[[#This Row],[backlog_dias]]&gt;p_dias_backlog_min,tblOrdenes[[#This Row],[backlog_dias]]&lt;=p_dias_backlog_max))</f>
        <v/>
      </c>
      <c r="AB487" s="6" t="n"/>
      <c r="AC4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7" s="10">
        <f>IF(tblOrdenes[[#This Row],[orden]]="","",_xlfn.XLOOKUP(tblOrdenes[[#This Row],[id_operacion]],tblEjecucion[id_operacion],tblEjecucion[precio],0))</f>
        <v/>
      </c>
      <c r="AG487" s="10">
        <f>IF(tblOrdenes[[#This Row],[orden]]="","",MAX(0,_xlfn.XLOOKUP(tblOrdenes[[#This Row],[id_operacion]],tblEjecucion[id_operacion],tblEjecucion[costo_plan_total],0)-tblOrdenes[[#This Row],[costo_servicio]]))</f>
        <v/>
      </c>
      <c r="AH487" s="10">
        <f>IF(tblOrdenes[[#This Row],[orden]]="","",tblOrdenes[[#This Row],[costo_servicio]]+tblOrdenes[[#This Row],[costo_materiales]])</f>
        <v/>
      </c>
      <c r="AI487" s="6" t="n"/>
      <c r="AJ487" s="6" t="n"/>
      <c r="AK487" s="6" t="n"/>
      <c r="AL487" s="3">
        <f>IF(tblOrdenes[[#This Row],[link_checklist]]="","",HYPERLINK(p_ruta_base_checklists&amp;tblOrdenes[[#This Row],[link_checklist]],"abrir"))</f>
        <v/>
      </c>
      <c r="AM487" s="6" t="n"/>
      <c r="AN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Row],[tipo_ot]]="","",_xlfn.XLOOKUP(tblOrdenes[[#This Row],[tipo_ot]],tblTiposOT[codigo],tblTiposOT[clasificacion],"sin_clasificar"))</f>
        <v/>
      </c>
      <c r="T488" s="3">
        <f>IF(tblOrdenes[[#This Row],[centro_costo]]="","",_xlfn.XLOOKUP(tblOrdenes[[#This Row],[centro_costo]],tblCECO[codigo],tblCECO[linea],"(sin catálogo)"))</f>
        <v/>
      </c>
      <c r="U488" s="3">
        <f>IF(tblOrdenes[[#This Row],[centro_costo]]="","",_xlfn.XLOOKUP(tblOrdenes[[#This Row],[centro_costo]],tblCECO[codigo],tblCECO[area],"(sin catálogo)"))</f>
        <v/>
      </c>
      <c r="V488" s="3">
        <f>IF(tblOrdenes[[#This Row],[centro_costo]]="","",_xlfn.XLOOKUP(tblOrdenes[[#This Row],[centro_costo]],tblCECO[codigo],tblCECO[coordinador],"(sin catálogo)"))</f>
        <v/>
      </c>
      <c r="W488" s="3">
        <f>IF(tblOrdenes[[#This Row],[puesto_trabajo]]="","",_xlfn.XLOOKUP(tblOrdenes[[#This Row],[puesto_trabajo]],tblPuestos[codigo],tblPuestos[especialidad],"(sin catálogo)"))</f>
        <v/>
      </c>
      <c r="X488" s="3">
        <f>IF(tblOrdenes[[#This Row],[cod_actividad]]="","",_xlfn.XLOOKUP(tblOrdenes[[#This Row],[cod_actividad]],tblActividades[codigo],tblActividades[descripcion],"(sin catálogo)"))</f>
        <v/>
      </c>
      <c r="Y488" s="12">
        <f>IF(tblOrdenes[[#This Row],[fecha_inicio]]="","",TODAY()-tblOrdenes[[#This Row],[fecha_inicio]])</f>
        <v/>
      </c>
      <c r="Z488" s="3">
        <f>IF(tblOrdenes[[#This Row],[backlog_dias]]="","",IF(tblOrdenes[[#This Row],[backlog_dias]]&lt;0,"FUTURO",IF(tblOrdenes[[#This Row],[backlog_dias]]&gt;p_dias_backlog_max,"BACKLOG","MES CORRIENTE")))</f>
        <v/>
      </c>
      <c r="AA488" s="3">
        <f>IF(tblOrdenes[[#This Row],[backlog_dias]]="",FALSE,AND(tblOrdenes[[#This Row],[backlog_dias]]&gt;p_dias_backlog_min,tblOrdenes[[#This Row],[backlog_dias]]&lt;=p_dias_backlog_max))</f>
        <v/>
      </c>
      <c r="AB488" s="6" t="n"/>
      <c r="AC4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8" s="10">
        <f>IF(tblOrdenes[[#This Row],[orden]]="","",_xlfn.XLOOKUP(tblOrdenes[[#This Row],[id_operacion]],tblEjecucion[id_operacion],tblEjecucion[precio],0))</f>
        <v/>
      </c>
      <c r="AG488" s="10">
        <f>IF(tblOrdenes[[#This Row],[orden]]="","",MAX(0,_xlfn.XLOOKUP(tblOrdenes[[#This Row],[id_operacion]],tblEjecucion[id_operacion],tblEjecucion[costo_plan_total],0)-tblOrdenes[[#This Row],[costo_servicio]]))</f>
        <v/>
      </c>
      <c r="AH488" s="10">
        <f>IF(tblOrdenes[[#This Row],[orden]]="","",tblOrdenes[[#This Row],[costo_servicio]]+tblOrdenes[[#This Row],[costo_materiales]])</f>
        <v/>
      </c>
      <c r="AI488" s="6" t="n"/>
      <c r="AJ488" s="6" t="n"/>
      <c r="AK488" s="6" t="n"/>
      <c r="AL488" s="3">
        <f>IF(tblOrdenes[[#This Row],[link_checklist]]="","",HYPERLINK(p_ruta_base_checklists&amp;tblOrdenes[[#This Row],[link_checklist]],"abrir"))</f>
        <v/>
      </c>
      <c r="AM488" s="6" t="n"/>
      <c r="AN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Row],[tipo_ot]]="","",_xlfn.XLOOKUP(tblOrdenes[[#This Row],[tipo_ot]],tblTiposOT[codigo],tblTiposOT[clasificacion],"sin_clasificar"))</f>
        <v/>
      </c>
      <c r="T489" s="3">
        <f>IF(tblOrdenes[[#This Row],[centro_costo]]="","",_xlfn.XLOOKUP(tblOrdenes[[#This Row],[centro_costo]],tblCECO[codigo],tblCECO[linea],"(sin catálogo)"))</f>
        <v/>
      </c>
      <c r="U489" s="3">
        <f>IF(tblOrdenes[[#This Row],[centro_costo]]="","",_xlfn.XLOOKUP(tblOrdenes[[#This Row],[centro_costo]],tblCECO[codigo],tblCECO[area],"(sin catálogo)"))</f>
        <v/>
      </c>
      <c r="V489" s="3">
        <f>IF(tblOrdenes[[#This Row],[centro_costo]]="","",_xlfn.XLOOKUP(tblOrdenes[[#This Row],[centro_costo]],tblCECO[codigo],tblCECO[coordinador],"(sin catálogo)"))</f>
        <v/>
      </c>
      <c r="W489" s="3">
        <f>IF(tblOrdenes[[#This Row],[puesto_trabajo]]="","",_xlfn.XLOOKUP(tblOrdenes[[#This Row],[puesto_trabajo]],tblPuestos[codigo],tblPuestos[especialidad],"(sin catálogo)"))</f>
        <v/>
      </c>
      <c r="X489" s="3">
        <f>IF(tblOrdenes[[#This Row],[cod_actividad]]="","",_xlfn.XLOOKUP(tblOrdenes[[#This Row],[cod_actividad]],tblActividades[codigo],tblActividades[descripcion],"(sin catálogo)"))</f>
        <v/>
      </c>
      <c r="Y489" s="12">
        <f>IF(tblOrdenes[[#This Row],[fecha_inicio]]="","",TODAY()-tblOrdenes[[#This Row],[fecha_inicio]])</f>
        <v/>
      </c>
      <c r="Z489" s="3">
        <f>IF(tblOrdenes[[#This Row],[backlog_dias]]="","",IF(tblOrdenes[[#This Row],[backlog_dias]]&lt;0,"FUTURO",IF(tblOrdenes[[#This Row],[backlog_dias]]&gt;p_dias_backlog_max,"BACKLOG","MES CORRIENTE")))</f>
        <v/>
      </c>
      <c r="AA489" s="3">
        <f>IF(tblOrdenes[[#This Row],[backlog_dias]]="",FALSE,AND(tblOrdenes[[#This Row],[backlog_dias]]&gt;p_dias_backlog_min,tblOrdenes[[#This Row],[backlog_dias]]&lt;=p_dias_backlog_max))</f>
        <v/>
      </c>
      <c r="AB489" s="6" t="n"/>
      <c r="AC4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9" s="10">
        <f>IF(tblOrdenes[[#This Row],[orden]]="","",_xlfn.XLOOKUP(tblOrdenes[[#This Row],[id_operacion]],tblEjecucion[id_operacion],tblEjecucion[precio],0))</f>
        <v/>
      </c>
      <c r="AG489" s="10">
        <f>IF(tblOrdenes[[#This Row],[orden]]="","",MAX(0,_xlfn.XLOOKUP(tblOrdenes[[#This Row],[id_operacion]],tblEjecucion[id_operacion],tblEjecucion[costo_plan_total],0)-tblOrdenes[[#This Row],[costo_servicio]]))</f>
        <v/>
      </c>
      <c r="AH489" s="10">
        <f>IF(tblOrdenes[[#This Row],[orden]]="","",tblOrdenes[[#This Row],[costo_servicio]]+tblOrdenes[[#This Row],[costo_materiales]])</f>
        <v/>
      </c>
      <c r="AI489" s="6" t="n"/>
      <c r="AJ489" s="6" t="n"/>
      <c r="AK489" s="6" t="n"/>
      <c r="AL489" s="3">
        <f>IF(tblOrdenes[[#This Row],[link_checklist]]="","",HYPERLINK(p_ruta_base_checklists&amp;tblOrdenes[[#This Row],[link_checklist]],"abrir"))</f>
        <v/>
      </c>
      <c r="AM489" s="6" t="n"/>
      <c r="AN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Row],[tipo_ot]]="","",_xlfn.XLOOKUP(tblOrdenes[[#This Row],[tipo_ot]],tblTiposOT[codigo],tblTiposOT[clasificacion],"sin_clasificar"))</f>
        <v/>
      </c>
      <c r="T490" s="3">
        <f>IF(tblOrdenes[[#This Row],[centro_costo]]="","",_xlfn.XLOOKUP(tblOrdenes[[#This Row],[centro_costo]],tblCECO[codigo],tblCECO[linea],"(sin catálogo)"))</f>
        <v/>
      </c>
      <c r="U490" s="3">
        <f>IF(tblOrdenes[[#This Row],[centro_costo]]="","",_xlfn.XLOOKUP(tblOrdenes[[#This Row],[centro_costo]],tblCECO[codigo],tblCECO[area],"(sin catálogo)"))</f>
        <v/>
      </c>
      <c r="V490" s="3">
        <f>IF(tblOrdenes[[#This Row],[centro_costo]]="","",_xlfn.XLOOKUP(tblOrdenes[[#This Row],[centro_costo]],tblCECO[codigo],tblCECO[coordinador],"(sin catálogo)"))</f>
        <v/>
      </c>
      <c r="W490" s="3">
        <f>IF(tblOrdenes[[#This Row],[puesto_trabajo]]="","",_xlfn.XLOOKUP(tblOrdenes[[#This Row],[puesto_trabajo]],tblPuestos[codigo],tblPuestos[especialidad],"(sin catálogo)"))</f>
        <v/>
      </c>
      <c r="X490" s="3">
        <f>IF(tblOrdenes[[#This Row],[cod_actividad]]="","",_xlfn.XLOOKUP(tblOrdenes[[#This Row],[cod_actividad]],tblActividades[codigo],tblActividades[descripcion],"(sin catálogo)"))</f>
        <v/>
      </c>
      <c r="Y490" s="12">
        <f>IF(tblOrdenes[[#This Row],[fecha_inicio]]="","",TODAY()-tblOrdenes[[#This Row],[fecha_inicio]])</f>
        <v/>
      </c>
      <c r="Z490" s="3">
        <f>IF(tblOrdenes[[#This Row],[backlog_dias]]="","",IF(tblOrdenes[[#This Row],[backlog_dias]]&lt;0,"FUTURO",IF(tblOrdenes[[#This Row],[backlog_dias]]&gt;p_dias_backlog_max,"BACKLOG","MES CORRIENTE")))</f>
        <v/>
      </c>
      <c r="AA490" s="3">
        <f>IF(tblOrdenes[[#This Row],[backlog_dias]]="",FALSE,AND(tblOrdenes[[#This Row],[backlog_dias]]&gt;p_dias_backlog_min,tblOrdenes[[#This Row],[backlog_dias]]&lt;=p_dias_backlog_max))</f>
        <v/>
      </c>
      <c r="AB490" s="6" t="n"/>
      <c r="AC4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0" s="10">
        <f>IF(tblOrdenes[[#This Row],[orden]]="","",_xlfn.XLOOKUP(tblOrdenes[[#This Row],[id_operacion]],tblEjecucion[id_operacion],tblEjecucion[precio],0))</f>
        <v/>
      </c>
      <c r="AG490" s="10">
        <f>IF(tblOrdenes[[#This Row],[orden]]="","",MAX(0,_xlfn.XLOOKUP(tblOrdenes[[#This Row],[id_operacion]],tblEjecucion[id_operacion],tblEjecucion[costo_plan_total],0)-tblOrdenes[[#This Row],[costo_servicio]]))</f>
        <v/>
      </c>
      <c r="AH490" s="10">
        <f>IF(tblOrdenes[[#This Row],[orden]]="","",tblOrdenes[[#This Row],[costo_servicio]]+tblOrdenes[[#This Row],[costo_materiales]])</f>
        <v/>
      </c>
      <c r="AI490" s="6" t="n"/>
      <c r="AJ490" s="6" t="n"/>
      <c r="AK490" s="6" t="n"/>
      <c r="AL490" s="3">
        <f>IF(tblOrdenes[[#This Row],[link_checklist]]="","",HYPERLINK(p_ruta_base_checklists&amp;tblOrdenes[[#This Row],[link_checklist]],"abrir"))</f>
        <v/>
      </c>
      <c r="AM490" s="6" t="n"/>
      <c r="AN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Row],[tipo_ot]]="","",_xlfn.XLOOKUP(tblOrdenes[[#This Row],[tipo_ot]],tblTiposOT[codigo],tblTiposOT[clasificacion],"sin_clasificar"))</f>
        <v/>
      </c>
      <c r="T491" s="3">
        <f>IF(tblOrdenes[[#This Row],[centro_costo]]="","",_xlfn.XLOOKUP(tblOrdenes[[#This Row],[centro_costo]],tblCECO[codigo],tblCECO[linea],"(sin catálogo)"))</f>
        <v/>
      </c>
      <c r="U491" s="3">
        <f>IF(tblOrdenes[[#This Row],[centro_costo]]="","",_xlfn.XLOOKUP(tblOrdenes[[#This Row],[centro_costo]],tblCECO[codigo],tblCECO[area],"(sin catálogo)"))</f>
        <v/>
      </c>
      <c r="V491" s="3">
        <f>IF(tblOrdenes[[#This Row],[centro_costo]]="","",_xlfn.XLOOKUP(tblOrdenes[[#This Row],[centro_costo]],tblCECO[codigo],tblCECO[coordinador],"(sin catálogo)"))</f>
        <v/>
      </c>
      <c r="W491" s="3">
        <f>IF(tblOrdenes[[#This Row],[puesto_trabajo]]="","",_xlfn.XLOOKUP(tblOrdenes[[#This Row],[puesto_trabajo]],tblPuestos[codigo],tblPuestos[especialidad],"(sin catálogo)"))</f>
        <v/>
      </c>
      <c r="X491" s="3">
        <f>IF(tblOrdenes[[#This Row],[cod_actividad]]="","",_xlfn.XLOOKUP(tblOrdenes[[#This Row],[cod_actividad]],tblActividades[codigo],tblActividades[descripcion],"(sin catálogo)"))</f>
        <v/>
      </c>
      <c r="Y491" s="12">
        <f>IF(tblOrdenes[[#This Row],[fecha_inicio]]="","",TODAY()-tblOrdenes[[#This Row],[fecha_inicio]])</f>
        <v/>
      </c>
      <c r="Z491" s="3">
        <f>IF(tblOrdenes[[#This Row],[backlog_dias]]="","",IF(tblOrdenes[[#This Row],[backlog_dias]]&lt;0,"FUTURO",IF(tblOrdenes[[#This Row],[backlog_dias]]&gt;p_dias_backlog_max,"BACKLOG","MES CORRIENTE")))</f>
        <v/>
      </c>
      <c r="AA491" s="3">
        <f>IF(tblOrdenes[[#This Row],[backlog_dias]]="",FALSE,AND(tblOrdenes[[#This Row],[backlog_dias]]&gt;p_dias_backlog_min,tblOrdenes[[#This Row],[backlog_dias]]&lt;=p_dias_backlog_max))</f>
        <v/>
      </c>
      <c r="AB491" s="6" t="n"/>
      <c r="AC4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1" s="10">
        <f>IF(tblOrdenes[[#This Row],[orden]]="","",_xlfn.XLOOKUP(tblOrdenes[[#This Row],[id_operacion]],tblEjecucion[id_operacion],tblEjecucion[precio],0))</f>
        <v/>
      </c>
      <c r="AG491" s="10">
        <f>IF(tblOrdenes[[#This Row],[orden]]="","",MAX(0,_xlfn.XLOOKUP(tblOrdenes[[#This Row],[id_operacion]],tblEjecucion[id_operacion],tblEjecucion[costo_plan_total],0)-tblOrdenes[[#This Row],[costo_servicio]]))</f>
        <v/>
      </c>
      <c r="AH491" s="10">
        <f>IF(tblOrdenes[[#This Row],[orden]]="","",tblOrdenes[[#This Row],[costo_servicio]]+tblOrdenes[[#This Row],[costo_materiales]])</f>
        <v/>
      </c>
      <c r="AI491" s="6" t="n"/>
      <c r="AJ491" s="6" t="n"/>
      <c r="AK491" s="6" t="n"/>
      <c r="AL491" s="3">
        <f>IF(tblOrdenes[[#This Row],[link_checklist]]="","",HYPERLINK(p_ruta_base_checklists&amp;tblOrdenes[[#This Row],[link_checklist]],"abrir"))</f>
        <v/>
      </c>
      <c r="AM491" s="6" t="n"/>
      <c r="AN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Row],[tipo_ot]]="","",_xlfn.XLOOKUP(tblOrdenes[[#This Row],[tipo_ot]],tblTiposOT[codigo],tblTiposOT[clasificacion],"sin_clasificar"))</f>
        <v/>
      </c>
      <c r="T492" s="3">
        <f>IF(tblOrdenes[[#This Row],[centro_costo]]="","",_xlfn.XLOOKUP(tblOrdenes[[#This Row],[centro_costo]],tblCECO[codigo],tblCECO[linea],"(sin catálogo)"))</f>
        <v/>
      </c>
      <c r="U492" s="3">
        <f>IF(tblOrdenes[[#This Row],[centro_costo]]="","",_xlfn.XLOOKUP(tblOrdenes[[#This Row],[centro_costo]],tblCECO[codigo],tblCECO[area],"(sin catálogo)"))</f>
        <v/>
      </c>
      <c r="V492" s="3">
        <f>IF(tblOrdenes[[#This Row],[centro_costo]]="","",_xlfn.XLOOKUP(tblOrdenes[[#This Row],[centro_costo]],tblCECO[codigo],tblCECO[coordinador],"(sin catálogo)"))</f>
        <v/>
      </c>
      <c r="W492" s="3">
        <f>IF(tblOrdenes[[#This Row],[puesto_trabajo]]="","",_xlfn.XLOOKUP(tblOrdenes[[#This Row],[puesto_trabajo]],tblPuestos[codigo],tblPuestos[especialidad],"(sin catálogo)"))</f>
        <v/>
      </c>
      <c r="X492" s="3">
        <f>IF(tblOrdenes[[#This Row],[cod_actividad]]="","",_xlfn.XLOOKUP(tblOrdenes[[#This Row],[cod_actividad]],tblActividades[codigo],tblActividades[descripcion],"(sin catálogo)"))</f>
        <v/>
      </c>
      <c r="Y492" s="12">
        <f>IF(tblOrdenes[[#This Row],[fecha_inicio]]="","",TODAY()-tblOrdenes[[#This Row],[fecha_inicio]])</f>
        <v/>
      </c>
      <c r="Z492" s="3">
        <f>IF(tblOrdenes[[#This Row],[backlog_dias]]="","",IF(tblOrdenes[[#This Row],[backlog_dias]]&lt;0,"FUTURO",IF(tblOrdenes[[#This Row],[backlog_dias]]&gt;p_dias_backlog_max,"BACKLOG","MES CORRIENTE")))</f>
        <v/>
      </c>
      <c r="AA492" s="3">
        <f>IF(tblOrdenes[[#This Row],[backlog_dias]]="",FALSE,AND(tblOrdenes[[#This Row],[backlog_dias]]&gt;p_dias_backlog_min,tblOrdenes[[#This Row],[backlog_dias]]&lt;=p_dias_backlog_max))</f>
        <v/>
      </c>
      <c r="AB492" s="6" t="n"/>
      <c r="AC4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2" s="10">
        <f>IF(tblOrdenes[[#This Row],[orden]]="","",_xlfn.XLOOKUP(tblOrdenes[[#This Row],[id_operacion]],tblEjecucion[id_operacion],tblEjecucion[precio],0))</f>
        <v/>
      </c>
      <c r="AG492" s="10">
        <f>IF(tblOrdenes[[#This Row],[orden]]="","",MAX(0,_xlfn.XLOOKUP(tblOrdenes[[#This Row],[id_operacion]],tblEjecucion[id_operacion],tblEjecucion[costo_plan_total],0)-tblOrdenes[[#This Row],[costo_servicio]]))</f>
        <v/>
      </c>
      <c r="AH492" s="10">
        <f>IF(tblOrdenes[[#This Row],[orden]]="","",tblOrdenes[[#This Row],[costo_servicio]]+tblOrdenes[[#This Row],[costo_materiales]])</f>
        <v/>
      </c>
      <c r="AI492" s="6" t="n"/>
      <c r="AJ492" s="6" t="n"/>
      <c r="AK492" s="6" t="n"/>
      <c r="AL492" s="3">
        <f>IF(tblOrdenes[[#This Row],[link_checklist]]="","",HYPERLINK(p_ruta_base_checklists&amp;tblOrdenes[[#This Row],[link_checklist]],"abrir"))</f>
        <v/>
      </c>
      <c r="AM492" s="6" t="n"/>
      <c r="AN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Row],[tipo_ot]]="","",_xlfn.XLOOKUP(tblOrdenes[[#This Row],[tipo_ot]],tblTiposOT[codigo],tblTiposOT[clasificacion],"sin_clasificar"))</f>
        <v/>
      </c>
      <c r="T493" s="3">
        <f>IF(tblOrdenes[[#This Row],[centro_costo]]="","",_xlfn.XLOOKUP(tblOrdenes[[#This Row],[centro_costo]],tblCECO[codigo],tblCECO[linea],"(sin catálogo)"))</f>
        <v/>
      </c>
      <c r="U493" s="3">
        <f>IF(tblOrdenes[[#This Row],[centro_costo]]="","",_xlfn.XLOOKUP(tblOrdenes[[#This Row],[centro_costo]],tblCECO[codigo],tblCECO[area],"(sin catálogo)"))</f>
        <v/>
      </c>
      <c r="V493" s="3">
        <f>IF(tblOrdenes[[#This Row],[centro_costo]]="","",_xlfn.XLOOKUP(tblOrdenes[[#This Row],[centro_costo]],tblCECO[codigo],tblCECO[coordinador],"(sin catálogo)"))</f>
        <v/>
      </c>
      <c r="W493" s="3">
        <f>IF(tblOrdenes[[#This Row],[puesto_trabajo]]="","",_xlfn.XLOOKUP(tblOrdenes[[#This Row],[puesto_trabajo]],tblPuestos[codigo],tblPuestos[especialidad],"(sin catálogo)"))</f>
        <v/>
      </c>
      <c r="X493" s="3">
        <f>IF(tblOrdenes[[#This Row],[cod_actividad]]="","",_xlfn.XLOOKUP(tblOrdenes[[#This Row],[cod_actividad]],tblActividades[codigo],tblActividades[descripcion],"(sin catálogo)"))</f>
        <v/>
      </c>
      <c r="Y493" s="12">
        <f>IF(tblOrdenes[[#This Row],[fecha_inicio]]="","",TODAY()-tblOrdenes[[#This Row],[fecha_inicio]])</f>
        <v/>
      </c>
      <c r="Z493" s="3">
        <f>IF(tblOrdenes[[#This Row],[backlog_dias]]="","",IF(tblOrdenes[[#This Row],[backlog_dias]]&lt;0,"FUTURO",IF(tblOrdenes[[#This Row],[backlog_dias]]&gt;p_dias_backlog_max,"BACKLOG","MES CORRIENTE")))</f>
        <v/>
      </c>
      <c r="AA493" s="3">
        <f>IF(tblOrdenes[[#This Row],[backlog_dias]]="",FALSE,AND(tblOrdenes[[#This Row],[backlog_dias]]&gt;p_dias_backlog_min,tblOrdenes[[#This Row],[backlog_dias]]&lt;=p_dias_backlog_max))</f>
        <v/>
      </c>
      <c r="AB493" s="6" t="n"/>
      <c r="AC4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3" s="10">
        <f>IF(tblOrdenes[[#This Row],[orden]]="","",_xlfn.XLOOKUP(tblOrdenes[[#This Row],[id_operacion]],tblEjecucion[id_operacion],tblEjecucion[precio],0))</f>
        <v/>
      </c>
      <c r="AG493" s="10">
        <f>IF(tblOrdenes[[#This Row],[orden]]="","",MAX(0,_xlfn.XLOOKUP(tblOrdenes[[#This Row],[id_operacion]],tblEjecucion[id_operacion],tblEjecucion[costo_plan_total],0)-tblOrdenes[[#This Row],[costo_servicio]]))</f>
        <v/>
      </c>
      <c r="AH493" s="10">
        <f>IF(tblOrdenes[[#This Row],[orden]]="","",tblOrdenes[[#This Row],[costo_servicio]]+tblOrdenes[[#This Row],[costo_materiales]])</f>
        <v/>
      </c>
      <c r="AI493" s="6" t="n"/>
      <c r="AJ493" s="6" t="n"/>
      <c r="AK493" s="6" t="n"/>
      <c r="AL493" s="3">
        <f>IF(tblOrdenes[[#This Row],[link_checklist]]="","",HYPERLINK(p_ruta_base_checklists&amp;tblOrdenes[[#This Row],[link_checklist]],"abrir"))</f>
        <v/>
      </c>
      <c r="AM493" s="6" t="n"/>
      <c r="AN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Row],[tipo_ot]]="","",_xlfn.XLOOKUP(tblOrdenes[[#This Row],[tipo_ot]],tblTiposOT[codigo],tblTiposOT[clasificacion],"sin_clasificar"))</f>
        <v/>
      </c>
      <c r="T494" s="3">
        <f>IF(tblOrdenes[[#This Row],[centro_costo]]="","",_xlfn.XLOOKUP(tblOrdenes[[#This Row],[centro_costo]],tblCECO[codigo],tblCECO[linea],"(sin catálogo)"))</f>
        <v/>
      </c>
      <c r="U494" s="3">
        <f>IF(tblOrdenes[[#This Row],[centro_costo]]="","",_xlfn.XLOOKUP(tblOrdenes[[#This Row],[centro_costo]],tblCECO[codigo],tblCECO[area],"(sin catálogo)"))</f>
        <v/>
      </c>
      <c r="V494" s="3">
        <f>IF(tblOrdenes[[#This Row],[centro_costo]]="","",_xlfn.XLOOKUP(tblOrdenes[[#This Row],[centro_costo]],tblCECO[codigo],tblCECO[coordinador],"(sin catálogo)"))</f>
        <v/>
      </c>
      <c r="W494" s="3">
        <f>IF(tblOrdenes[[#This Row],[puesto_trabajo]]="","",_xlfn.XLOOKUP(tblOrdenes[[#This Row],[puesto_trabajo]],tblPuestos[codigo],tblPuestos[especialidad],"(sin catálogo)"))</f>
        <v/>
      </c>
      <c r="X494" s="3">
        <f>IF(tblOrdenes[[#This Row],[cod_actividad]]="","",_xlfn.XLOOKUP(tblOrdenes[[#This Row],[cod_actividad]],tblActividades[codigo],tblActividades[descripcion],"(sin catálogo)"))</f>
        <v/>
      </c>
      <c r="Y494" s="12">
        <f>IF(tblOrdenes[[#This Row],[fecha_inicio]]="","",TODAY()-tblOrdenes[[#This Row],[fecha_inicio]])</f>
        <v/>
      </c>
      <c r="Z494" s="3">
        <f>IF(tblOrdenes[[#This Row],[backlog_dias]]="","",IF(tblOrdenes[[#This Row],[backlog_dias]]&lt;0,"FUTURO",IF(tblOrdenes[[#This Row],[backlog_dias]]&gt;p_dias_backlog_max,"BACKLOG","MES CORRIENTE")))</f>
        <v/>
      </c>
      <c r="AA494" s="3">
        <f>IF(tblOrdenes[[#This Row],[backlog_dias]]="",FALSE,AND(tblOrdenes[[#This Row],[backlog_dias]]&gt;p_dias_backlog_min,tblOrdenes[[#This Row],[backlog_dias]]&lt;=p_dias_backlog_max))</f>
        <v/>
      </c>
      <c r="AB494" s="6" t="n"/>
      <c r="AC4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4" s="10">
        <f>IF(tblOrdenes[[#This Row],[orden]]="","",_xlfn.XLOOKUP(tblOrdenes[[#This Row],[id_operacion]],tblEjecucion[id_operacion],tblEjecucion[precio],0))</f>
        <v/>
      </c>
      <c r="AG494" s="10">
        <f>IF(tblOrdenes[[#This Row],[orden]]="","",MAX(0,_xlfn.XLOOKUP(tblOrdenes[[#This Row],[id_operacion]],tblEjecucion[id_operacion],tblEjecucion[costo_plan_total],0)-tblOrdenes[[#This Row],[costo_servicio]]))</f>
        <v/>
      </c>
      <c r="AH494" s="10">
        <f>IF(tblOrdenes[[#This Row],[orden]]="","",tblOrdenes[[#This Row],[costo_servicio]]+tblOrdenes[[#This Row],[costo_materiales]])</f>
        <v/>
      </c>
      <c r="AI494" s="6" t="n"/>
      <c r="AJ494" s="6" t="n"/>
      <c r="AK494" s="6" t="n"/>
      <c r="AL494" s="3">
        <f>IF(tblOrdenes[[#This Row],[link_checklist]]="","",HYPERLINK(p_ruta_base_checklists&amp;tblOrdenes[[#This Row],[link_checklist]],"abrir"))</f>
        <v/>
      </c>
      <c r="AM494" s="6" t="n"/>
      <c r="AN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Row],[tipo_ot]]="","",_xlfn.XLOOKUP(tblOrdenes[[#This Row],[tipo_ot]],tblTiposOT[codigo],tblTiposOT[clasificacion],"sin_clasificar"))</f>
        <v/>
      </c>
      <c r="T495" s="3">
        <f>IF(tblOrdenes[[#This Row],[centro_costo]]="","",_xlfn.XLOOKUP(tblOrdenes[[#This Row],[centro_costo]],tblCECO[codigo],tblCECO[linea],"(sin catálogo)"))</f>
        <v/>
      </c>
      <c r="U495" s="3">
        <f>IF(tblOrdenes[[#This Row],[centro_costo]]="","",_xlfn.XLOOKUP(tblOrdenes[[#This Row],[centro_costo]],tblCECO[codigo],tblCECO[area],"(sin catálogo)"))</f>
        <v/>
      </c>
      <c r="V495" s="3">
        <f>IF(tblOrdenes[[#This Row],[centro_costo]]="","",_xlfn.XLOOKUP(tblOrdenes[[#This Row],[centro_costo]],tblCECO[codigo],tblCECO[coordinador],"(sin catálogo)"))</f>
        <v/>
      </c>
      <c r="W495" s="3">
        <f>IF(tblOrdenes[[#This Row],[puesto_trabajo]]="","",_xlfn.XLOOKUP(tblOrdenes[[#This Row],[puesto_trabajo]],tblPuestos[codigo],tblPuestos[especialidad],"(sin catálogo)"))</f>
        <v/>
      </c>
      <c r="X495" s="3">
        <f>IF(tblOrdenes[[#This Row],[cod_actividad]]="","",_xlfn.XLOOKUP(tblOrdenes[[#This Row],[cod_actividad]],tblActividades[codigo],tblActividades[descripcion],"(sin catálogo)"))</f>
        <v/>
      </c>
      <c r="Y495" s="12">
        <f>IF(tblOrdenes[[#This Row],[fecha_inicio]]="","",TODAY()-tblOrdenes[[#This Row],[fecha_inicio]])</f>
        <v/>
      </c>
      <c r="Z495" s="3">
        <f>IF(tblOrdenes[[#This Row],[backlog_dias]]="","",IF(tblOrdenes[[#This Row],[backlog_dias]]&lt;0,"FUTURO",IF(tblOrdenes[[#This Row],[backlog_dias]]&gt;p_dias_backlog_max,"BACKLOG","MES CORRIENTE")))</f>
        <v/>
      </c>
      <c r="AA495" s="3">
        <f>IF(tblOrdenes[[#This Row],[backlog_dias]]="",FALSE,AND(tblOrdenes[[#This Row],[backlog_dias]]&gt;p_dias_backlog_min,tblOrdenes[[#This Row],[backlog_dias]]&lt;=p_dias_backlog_max))</f>
        <v/>
      </c>
      <c r="AB495" s="6" t="n"/>
      <c r="AC4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5" s="10">
        <f>IF(tblOrdenes[[#This Row],[orden]]="","",_xlfn.XLOOKUP(tblOrdenes[[#This Row],[id_operacion]],tblEjecucion[id_operacion],tblEjecucion[precio],0))</f>
        <v/>
      </c>
      <c r="AG495" s="10">
        <f>IF(tblOrdenes[[#This Row],[orden]]="","",MAX(0,_xlfn.XLOOKUP(tblOrdenes[[#This Row],[id_operacion]],tblEjecucion[id_operacion],tblEjecucion[costo_plan_total],0)-tblOrdenes[[#This Row],[costo_servicio]]))</f>
        <v/>
      </c>
      <c r="AH495" s="10">
        <f>IF(tblOrdenes[[#This Row],[orden]]="","",tblOrdenes[[#This Row],[costo_servicio]]+tblOrdenes[[#This Row],[costo_materiales]])</f>
        <v/>
      </c>
      <c r="AI495" s="6" t="n"/>
      <c r="AJ495" s="6" t="n"/>
      <c r="AK495" s="6" t="n"/>
      <c r="AL495" s="3">
        <f>IF(tblOrdenes[[#This Row],[link_checklist]]="","",HYPERLINK(p_ruta_base_checklists&amp;tblOrdenes[[#This Row],[link_checklist]],"abrir"))</f>
        <v/>
      </c>
      <c r="AM495" s="6" t="n"/>
      <c r="AN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Row],[tipo_ot]]="","",_xlfn.XLOOKUP(tblOrdenes[[#This Row],[tipo_ot]],tblTiposOT[codigo],tblTiposOT[clasificacion],"sin_clasificar"))</f>
        <v/>
      </c>
      <c r="T496" s="3">
        <f>IF(tblOrdenes[[#This Row],[centro_costo]]="","",_xlfn.XLOOKUP(tblOrdenes[[#This Row],[centro_costo]],tblCECO[codigo],tblCECO[linea],"(sin catálogo)"))</f>
        <v/>
      </c>
      <c r="U496" s="3">
        <f>IF(tblOrdenes[[#This Row],[centro_costo]]="","",_xlfn.XLOOKUP(tblOrdenes[[#This Row],[centro_costo]],tblCECO[codigo],tblCECO[area],"(sin catálogo)"))</f>
        <v/>
      </c>
      <c r="V496" s="3">
        <f>IF(tblOrdenes[[#This Row],[centro_costo]]="","",_xlfn.XLOOKUP(tblOrdenes[[#This Row],[centro_costo]],tblCECO[codigo],tblCECO[coordinador],"(sin catálogo)"))</f>
        <v/>
      </c>
      <c r="W496" s="3">
        <f>IF(tblOrdenes[[#This Row],[puesto_trabajo]]="","",_xlfn.XLOOKUP(tblOrdenes[[#This Row],[puesto_trabajo]],tblPuestos[codigo],tblPuestos[especialidad],"(sin catálogo)"))</f>
        <v/>
      </c>
      <c r="X496" s="3">
        <f>IF(tblOrdenes[[#This Row],[cod_actividad]]="","",_xlfn.XLOOKUP(tblOrdenes[[#This Row],[cod_actividad]],tblActividades[codigo],tblActividades[descripcion],"(sin catálogo)"))</f>
        <v/>
      </c>
      <c r="Y496" s="12">
        <f>IF(tblOrdenes[[#This Row],[fecha_inicio]]="","",TODAY()-tblOrdenes[[#This Row],[fecha_inicio]])</f>
        <v/>
      </c>
      <c r="Z496" s="3">
        <f>IF(tblOrdenes[[#This Row],[backlog_dias]]="","",IF(tblOrdenes[[#This Row],[backlog_dias]]&lt;0,"FUTURO",IF(tblOrdenes[[#This Row],[backlog_dias]]&gt;p_dias_backlog_max,"BACKLOG","MES CORRIENTE")))</f>
        <v/>
      </c>
      <c r="AA496" s="3">
        <f>IF(tblOrdenes[[#This Row],[backlog_dias]]="",FALSE,AND(tblOrdenes[[#This Row],[backlog_dias]]&gt;p_dias_backlog_min,tblOrdenes[[#This Row],[backlog_dias]]&lt;=p_dias_backlog_max))</f>
        <v/>
      </c>
      <c r="AB496" s="6" t="n"/>
      <c r="AC4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6" s="10">
        <f>IF(tblOrdenes[[#This Row],[orden]]="","",_xlfn.XLOOKUP(tblOrdenes[[#This Row],[id_operacion]],tblEjecucion[id_operacion],tblEjecucion[precio],0))</f>
        <v/>
      </c>
      <c r="AG496" s="10">
        <f>IF(tblOrdenes[[#This Row],[orden]]="","",MAX(0,_xlfn.XLOOKUP(tblOrdenes[[#This Row],[id_operacion]],tblEjecucion[id_operacion],tblEjecucion[costo_plan_total],0)-tblOrdenes[[#This Row],[costo_servicio]]))</f>
        <v/>
      </c>
      <c r="AH496" s="10">
        <f>IF(tblOrdenes[[#This Row],[orden]]="","",tblOrdenes[[#This Row],[costo_servicio]]+tblOrdenes[[#This Row],[costo_materiales]])</f>
        <v/>
      </c>
      <c r="AI496" s="6" t="n"/>
      <c r="AJ496" s="6" t="n"/>
      <c r="AK496" s="6" t="n"/>
      <c r="AL496" s="3">
        <f>IF(tblOrdenes[[#This Row],[link_checklist]]="","",HYPERLINK(p_ruta_base_checklists&amp;tblOrdenes[[#This Row],[link_checklist]],"abrir"))</f>
        <v/>
      </c>
      <c r="AM496" s="6" t="n"/>
      <c r="AN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Row],[tipo_ot]]="","",_xlfn.XLOOKUP(tblOrdenes[[#This Row],[tipo_ot]],tblTiposOT[codigo],tblTiposOT[clasificacion],"sin_clasificar"))</f>
        <v/>
      </c>
      <c r="T497" s="3">
        <f>IF(tblOrdenes[[#This Row],[centro_costo]]="","",_xlfn.XLOOKUP(tblOrdenes[[#This Row],[centro_costo]],tblCECO[codigo],tblCECO[linea],"(sin catálogo)"))</f>
        <v/>
      </c>
      <c r="U497" s="3">
        <f>IF(tblOrdenes[[#This Row],[centro_costo]]="","",_xlfn.XLOOKUP(tblOrdenes[[#This Row],[centro_costo]],tblCECO[codigo],tblCECO[area],"(sin catálogo)"))</f>
        <v/>
      </c>
      <c r="V497" s="3">
        <f>IF(tblOrdenes[[#This Row],[centro_costo]]="","",_xlfn.XLOOKUP(tblOrdenes[[#This Row],[centro_costo]],tblCECO[codigo],tblCECO[coordinador],"(sin catálogo)"))</f>
        <v/>
      </c>
      <c r="W497" s="3">
        <f>IF(tblOrdenes[[#This Row],[puesto_trabajo]]="","",_xlfn.XLOOKUP(tblOrdenes[[#This Row],[puesto_trabajo]],tblPuestos[codigo],tblPuestos[especialidad],"(sin catálogo)"))</f>
        <v/>
      </c>
      <c r="X497" s="3">
        <f>IF(tblOrdenes[[#This Row],[cod_actividad]]="","",_xlfn.XLOOKUP(tblOrdenes[[#This Row],[cod_actividad]],tblActividades[codigo],tblActividades[descripcion],"(sin catálogo)"))</f>
        <v/>
      </c>
      <c r="Y497" s="12">
        <f>IF(tblOrdenes[[#This Row],[fecha_inicio]]="","",TODAY()-tblOrdenes[[#This Row],[fecha_inicio]])</f>
        <v/>
      </c>
      <c r="Z497" s="3">
        <f>IF(tblOrdenes[[#This Row],[backlog_dias]]="","",IF(tblOrdenes[[#This Row],[backlog_dias]]&lt;0,"FUTURO",IF(tblOrdenes[[#This Row],[backlog_dias]]&gt;p_dias_backlog_max,"BACKLOG","MES CORRIENTE")))</f>
        <v/>
      </c>
      <c r="AA497" s="3">
        <f>IF(tblOrdenes[[#This Row],[backlog_dias]]="",FALSE,AND(tblOrdenes[[#This Row],[backlog_dias]]&gt;p_dias_backlog_min,tblOrdenes[[#This Row],[backlog_dias]]&lt;=p_dias_backlog_max))</f>
        <v/>
      </c>
      <c r="AB497" s="6" t="n"/>
      <c r="AC4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7" s="10">
        <f>IF(tblOrdenes[[#This Row],[orden]]="","",_xlfn.XLOOKUP(tblOrdenes[[#This Row],[id_operacion]],tblEjecucion[id_operacion],tblEjecucion[precio],0))</f>
        <v/>
      </c>
      <c r="AG497" s="10">
        <f>IF(tblOrdenes[[#This Row],[orden]]="","",MAX(0,_xlfn.XLOOKUP(tblOrdenes[[#This Row],[id_operacion]],tblEjecucion[id_operacion],tblEjecucion[costo_plan_total],0)-tblOrdenes[[#This Row],[costo_servicio]]))</f>
        <v/>
      </c>
      <c r="AH497" s="10">
        <f>IF(tblOrdenes[[#This Row],[orden]]="","",tblOrdenes[[#This Row],[costo_servicio]]+tblOrdenes[[#This Row],[costo_materiales]])</f>
        <v/>
      </c>
      <c r="AI497" s="6" t="n"/>
      <c r="AJ497" s="6" t="n"/>
      <c r="AK497" s="6" t="n"/>
      <c r="AL497" s="3">
        <f>IF(tblOrdenes[[#This Row],[link_checklist]]="","",HYPERLINK(p_ruta_base_checklists&amp;tblOrdenes[[#This Row],[link_checklist]],"abrir"))</f>
        <v/>
      </c>
      <c r="AM497" s="6" t="n"/>
      <c r="AN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Row],[tipo_ot]]="","",_xlfn.XLOOKUP(tblOrdenes[[#This Row],[tipo_ot]],tblTiposOT[codigo],tblTiposOT[clasificacion],"sin_clasificar"))</f>
        <v/>
      </c>
      <c r="T498" s="3">
        <f>IF(tblOrdenes[[#This Row],[centro_costo]]="","",_xlfn.XLOOKUP(tblOrdenes[[#This Row],[centro_costo]],tblCECO[codigo],tblCECO[linea],"(sin catálogo)"))</f>
        <v/>
      </c>
      <c r="U498" s="3">
        <f>IF(tblOrdenes[[#This Row],[centro_costo]]="","",_xlfn.XLOOKUP(tblOrdenes[[#This Row],[centro_costo]],tblCECO[codigo],tblCECO[area],"(sin catálogo)"))</f>
        <v/>
      </c>
      <c r="V498" s="3">
        <f>IF(tblOrdenes[[#This Row],[centro_costo]]="","",_xlfn.XLOOKUP(tblOrdenes[[#This Row],[centro_costo]],tblCECO[codigo],tblCECO[coordinador],"(sin catálogo)"))</f>
        <v/>
      </c>
      <c r="W498" s="3">
        <f>IF(tblOrdenes[[#This Row],[puesto_trabajo]]="","",_xlfn.XLOOKUP(tblOrdenes[[#This Row],[puesto_trabajo]],tblPuestos[codigo],tblPuestos[especialidad],"(sin catálogo)"))</f>
        <v/>
      </c>
      <c r="X498" s="3">
        <f>IF(tblOrdenes[[#This Row],[cod_actividad]]="","",_xlfn.XLOOKUP(tblOrdenes[[#This Row],[cod_actividad]],tblActividades[codigo],tblActividades[descripcion],"(sin catálogo)"))</f>
        <v/>
      </c>
      <c r="Y498" s="12">
        <f>IF(tblOrdenes[[#This Row],[fecha_inicio]]="","",TODAY()-tblOrdenes[[#This Row],[fecha_inicio]])</f>
        <v/>
      </c>
      <c r="Z498" s="3">
        <f>IF(tblOrdenes[[#This Row],[backlog_dias]]="","",IF(tblOrdenes[[#This Row],[backlog_dias]]&lt;0,"FUTURO",IF(tblOrdenes[[#This Row],[backlog_dias]]&gt;p_dias_backlog_max,"BACKLOG","MES CORRIENTE")))</f>
        <v/>
      </c>
      <c r="AA498" s="3">
        <f>IF(tblOrdenes[[#This Row],[backlog_dias]]="",FALSE,AND(tblOrdenes[[#This Row],[backlog_dias]]&gt;p_dias_backlog_min,tblOrdenes[[#This Row],[backlog_dias]]&lt;=p_dias_backlog_max))</f>
        <v/>
      </c>
      <c r="AB498" s="6" t="n"/>
      <c r="AC4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8" s="10">
        <f>IF(tblOrdenes[[#This Row],[orden]]="","",_xlfn.XLOOKUP(tblOrdenes[[#This Row],[id_operacion]],tblEjecucion[id_operacion],tblEjecucion[precio],0))</f>
        <v/>
      </c>
      <c r="AG498" s="10">
        <f>IF(tblOrdenes[[#This Row],[orden]]="","",MAX(0,_xlfn.XLOOKUP(tblOrdenes[[#This Row],[id_operacion]],tblEjecucion[id_operacion],tblEjecucion[costo_plan_total],0)-tblOrdenes[[#This Row],[costo_servicio]]))</f>
        <v/>
      </c>
      <c r="AH498" s="10">
        <f>IF(tblOrdenes[[#This Row],[orden]]="","",tblOrdenes[[#This Row],[costo_servicio]]+tblOrdenes[[#This Row],[costo_materiales]])</f>
        <v/>
      </c>
      <c r="AI498" s="6" t="n"/>
      <c r="AJ498" s="6" t="n"/>
      <c r="AK498" s="6" t="n"/>
      <c r="AL498" s="3">
        <f>IF(tblOrdenes[[#This Row],[link_checklist]]="","",HYPERLINK(p_ruta_base_checklists&amp;tblOrdenes[[#This Row],[link_checklist]],"abrir"))</f>
        <v/>
      </c>
      <c r="AM498" s="6" t="n"/>
      <c r="AN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Row],[tipo_ot]]="","",_xlfn.XLOOKUP(tblOrdenes[[#This Row],[tipo_ot]],tblTiposOT[codigo],tblTiposOT[clasificacion],"sin_clasificar"))</f>
        <v/>
      </c>
      <c r="T499" s="3">
        <f>IF(tblOrdenes[[#This Row],[centro_costo]]="","",_xlfn.XLOOKUP(tblOrdenes[[#This Row],[centro_costo]],tblCECO[codigo],tblCECO[linea],"(sin catálogo)"))</f>
        <v/>
      </c>
      <c r="U499" s="3">
        <f>IF(tblOrdenes[[#This Row],[centro_costo]]="","",_xlfn.XLOOKUP(tblOrdenes[[#This Row],[centro_costo]],tblCECO[codigo],tblCECO[area],"(sin catálogo)"))</f>
        <v/>
      </c>
      <c r="V499" s="3">
        <f>IF(tblOrdenes[[#This Row],[centro_costo]]="","",_xlfn.XLOOKUP(tblOrdenes[[#This Row],[centro_costo]],tblCECO[codigo],tblCECO[coordinador],"(sin catálogo)"))</f>
        <v/>
      </c>
      <c r="W499" s="3">
        <f>IF(tblOrdenes[[#This Row],[puesto_trabajo]]="","",_xlfn.XLOOKUP(tblOrdenes[[#This Row],[puesto_trabajo]],tblPuestos[codigo],tblPuestos[especialidad],"(sin catálogo)"))</f>
        <v/>
      </c>
      <c r="X499" s="3">
        <f>IF(tblOrdenes[[#This Row],[cod_actividad]]="","",_xlfn.XLOOKUP(tblOrdenes[[#This Row],[cod_actividad]],tblActividades[codigo],tblActividades[descripcion],"(sin catálogo)"))</f>
        <v/>
      </c>
      <c r="Y499" s="12">
        <f>IF(tblOrdenes[[#This Row],[fecha_inicio]]="","",TODAY()-tblOrdenes[[#This Row],[fecha_inicio]])</f>
        <v/>
      </c>
      <c r="Z499" s="3">
        <f>IF(tblOrdenes[[#This Row],[backlog_dias]]="","",IF(tblOrdenes[[#This Row],[backlog_dias]]&lt;0,"FUTURO",IF(tblOrdenes[[#This Row],[backlog_dias]]&gt;p_dias_backlog_max,"BACKLOG","MES CORRIENTE")))</f>
        <v/>
      </c>
      <c r="AA499" s="3">
        <f>IF(tblOrdenes[[#This Row],[backlog_dias]]="",FALSE,AND(tblOrdenes[[#This Row],[backlog_dias]]&gt;p_dias_backlog_min,tblOrdenes[[#This Row],[backlog_dias]]&lt;=p_dias_backlog_max))</f>
        <v/>
      </c>
      <c r="AB499" s="6" t="n"/>
      <c r="AC4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9" s="10">
        <f>IF(tblOrdenes[[#This Row],[orden]]="","",_xlfn.XLOOKUP(tblOrdenes[[#This Row],[id_operacion]],tblEjecucion[id_operacion],tblEjecucion[precio],0))</f>
        <v/>
      </c>
      <c r="AG499" s="10">
        <f>IF(tblOrdenes[[#This Row],[orden]]="","",MAX(0,_xlfn.XLOOKUP(tblOrdenes[[#This Row],[id_operacion]],tblEjecucion[id_operacion],tblEjecucion[costo_plan_total],0)-tblOrdenes[[#This Row],[costo_servicio]]))</f>
        <v/>
      </c>
      <c r="AH499" s="10">
        <f>IF(tblOrdenes[[#This Row],[orden]]="","",tblOrdenes[[#This Row],[costo_servicio]]+tblOrdenes[[#This Row],[costo_materiales]])</f>
        <v/>
      </c>
      <c r="AI499" s="6" t="n"/>
      <c r="AJ499" s="6" t="n"/>
      <c r="AK499" s="6" t="n"/>
      <c r="AL499" s="3">
        <f>IF(tblOrdenes[[#This Row],[link_checklist]]="","",HYPERLINK(p_ruta_base_checklists&amp;tblOrdenes[[#This Row],[link_checklist]],"abrir"))</f>
        <v/>
      </c>
      <c r="AM499" s="6" t="n"/>
      <c r="AN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Row],[tipo_ot]]="","",_xlfn.XLOOKUP(tblOrdenes[[#This Row],[tipo_ot]],tblTiposOT[codigo],tblTiposOT[clasificacion],"sin_clasificar"))</f>
        <v/>
      </c>
      <c r="T500" s="3">
        <f>IF(tblOrdenes[[#This Row],[centro_costo]]="","",_xlfn.XLOOKUP(tblOrdenes[[#This Row],[centro_costo]],tblCECO[codigo],tblCECO[linea],"(sin catálogo)"))</f>
        <v/>
      </c>
      <c r="U500" s="3">
        <f>IF(tblOrdenes[[#This Row],[centro_costo]]="","",_xlfn.XLOOKUP(tblOrdenes[[#This Row],[centro_costo]],tblCECO[codigo],tblCECO[area],"(sin catálogo)"))</f>
        <v/>
      </c>
      <c r="V500" s="3">
        <f>IF(tblOrdenes[[#This Row],[centro_costo]]="","",_xlfn.XLOOKUP(tblOrdenes[[#This Row],[centro_costo]],tblCECO[codigo],tblCECO[coordinador],"(sin catálogo)"))</f>
        <v/>
      </c>
      <c r="W500" s="3">
        <f>IF(tblOrdenes[[#This Row],[puesto_trabajo]]="","",_xlfn.XLOOKUP(tblOrdenes[[#This Row],[puesto_trabajo]],tblPuestos[codigo],tblPuestos[especialidad],"(sin catálogo)"))</f>
        <v/>
      </c>
      <c r="X500" s="3">
        <f>IF(tblOrdenes[[#This Row],[cod_actividad]]="","",_xlfn.XLOOKUP(tblOrdenes[[#This Row],[cod_actividad]],tblActividades[codigo],tblActividades[descripcion],"(sin catálogo)"))</f>
        <v/>
      </c>
      <c r="Y500" s="12">
        <f>IF(tblOrdenes[[#This Row],[fecha_inicio]]="","",TODAY()-tblOrdenes[[#This Row],[fecha_inicio]])</f>
        <v/>
      </c>
      <c r="Z500" s="3">
        <f>IF(tblOrdenes[[#This Row],[backlog_dias]]="","",IF(tblOrdenes[[#This Row],[backlog_dias]]&lt;0,"FUTURO",IF(tblOrdenes[[#This Row],[backlog_dias]]&gt;p_dias_backlog_max,"BACKLOG","MES CORRIENTE")))</f>
        <v/>
      </c>
      <c r="AA500" s="3">
        <f>IF(tblOrdenes[[#This Row],[backlog_dias]]="",FALSE,AND(tblOrdenes[[#This Row],[backlog_dias]]&gt;p_dias_backlog_min,tblOrdenes[[#This Row],[backlog_dias]]&lt;=p_dias_backlog_max))</f>
        <v/>
      </c>
      <c r="AB500" s="6" t="n"/>
      <c r="AC5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0" s="10">
        <f>IF(tblOrdenes[[#This Row],[orden]]="","",_xlfn.XLOOKUP(tblOrdenes[[#This Row],[id_operacion]],tblEjecucion[id_operacion],tblEjecucion[precio],0))</f>
        <v/>
      </c>
      <c r="AG500" s="10">
        <f>IF(tblOrdenes[[#This Row],[orden]]="","",MAX(0,_xlfn.XLOOKUP(tblOrdenes[[#This Row],[id_operacion]],tblEjecucion[id_operacion],tblEjecucion[costo_plan_total],0)-tblOrdenes[[#This Row],[costo_servicio]]))</f>
        <v/>
      </c>
      <c r="AH500" s="10">
        <f>IF(tblOrdenes[[#This Row],[orden]]="","",tblOrdenes[[#This Row],[costo_servicio]]+tblOrdenes[[#This Row],[costo_materiales]])</f>
        <v/>
      </c>
      <c r="AI500" s="6" t="n"/>
      <c r="AJ500" s="6" t="n"/>
      <c r="AK500" s="6" t="n"/>
      <c r="AL500" s="3">
        <f>IF(tblOrdenes[[#This Row],[link_checklist]]="","",HYPERLINK(p_ruta_base_checklists&amp;tblOrdenes[[#This Row],[link_checklist]],"abrir"))</f>
        <v/>
      </c>
      <c r="AM500" s="6" t="n"/>
      <c r="AN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Row],[tipo_ot]]="","",_xlfn.XLOOKUP(tblOrdenes[[#This Row],[tipo_ot]],tblTiposOT[codigo],tblTiposOT[clasificacion],"sin_clasificar"))</f>
        <v/>
      </c>
      <c r="T501" s="3">
        <f>IF(tblOrdenes[[#This Row],[centro_costo]]="","",_xlfn.XLOOKUP(tblOrdenes[[#This Row],[centro_costo]],tblCECO[codigo],tblCECO[linea],"(sin catálogo)"))</f>
        <v/>
      </c>
      <c r="U501" s="3">
        <f>IF(tblOrdenes[[#This Row],[centro_costo]]="","",_xlfn.XLOOKUP(tblOrdenes[[#This Row],[centro_costo]],tblCECO[codigo],tblCECO[area],"(sin catálogo)"))</f>
        <v/>
      </c>
      <c r="V501" s="3">
        <f>IF(tblOrdenes[[#This Row],[centro_costo]]="","",_xlfn.XLOOKUP(tblOrdenes[[#This Row],[centro_costo]],tblCECO[codigo],tblCECO[coordinador],"(sin catálogo)"))</f>
        <v/>
      </c>
      <c r="W501" s="3">
        <f>IF(tblOrdenes[[#This Row],[puesto_trabajo]]="","",_xlfn.XLOOKUP(tblOrdenes[[#This Row],[puesto_trabajo]],tblPuestos[codigo],tblPuestos[especialidad],"(sin catálogo)"))</f>
        <v/>
      </c>
      <c r="X501" s="3">
        <f>IF(tblOrdenes[[#This Row],[cod_actividad]]="","",_xlfn.XLOOKUP(tblOrdenes[[#This Row],[cod_actividad]],tblActividades[codigo],tblActividades[descripcion],"(sin catálogo)"))</f>
        <v/>
      </c>
      <c r="Y501" s="12">
        <f>IF(tblOrdenes[[#This Row],[fecha_inicio]]="","",TODAY()-tblOrdenes[[#This Row],[fecha_inicio]])</f>
        <v/>
      </c>
      <c r="Z501" s="3">
        <f>IF(tblOrdenes[[#This Row],[backlog_dias]]="","",IF(tblOrdenes[[#This Row],[backlog_dias]]&lt;0,"FUTURO",IF(tblOrdenes[[#This Row],[backlog_dias]]&gt;p_dias_backlog_max,"BACKLOG","MES CORRIENTE")))</f>
        <v/>
      </c>
      <c r="AA501" s="3">
        <f>IF(tblOrdenes[[#This Row],[backlog_dias]]="",FALSE,AND(tblOrdenes[[#This Row],[backlog_dias]]&gt;p_dias_backlog_min,tblOrdenes[[#This Row],[backlog_dias]]&lt;=p_dias_backlog_max))</f>
        <v/>
      </c>
      <c r="AB501" s="6" t="n"/>
      <c r="AC5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1" s="10">
        <f>IF(tblOrdenes[[#This Row],[orden]]="","",_xlfn.XLOOKUP(tblOrdenes[[#This Row],[id_operacion]],tblEjecucion[id_operacion],tblEjecucion[precio],0))</f>
        <v/>
      </c>
      <c r="AG501" s="10">
        <f>IF(tblOrdenes[[#This Row],[orden]]="","",MAX(0,_xlfn.XLOOKUP(tblOrdenes[[#This Row],[id_operacion]],tblEjecucion[id_operacion],tblEjecucion[costo_plan_total],0)-tblOrdenes[[#This Row],[costo_servicio]]))</f>
        <v/>
      </c>
      <c r="AH501" s="10">
        <f>IF(tblOrdenes[[#This Row],[orden]]="","",tblOrdenes[[#This Row],[costo_servicio]]+tblOrdenes[[#This Row],[costo_materiales]])</f>
        <v/>
      </c>
      <c r="AI501" s="6" t="n"/>
      <c r="AJ501" s="6" t="n"/>
      <c r="AK501" s="6" t="n"/>
      <c r="AL501" s="3">
        <f>IF(tblOrdenes[[#This Row],[link_checklist]]="","",HYPERLINK(p_ruta_base_checklists&amp;tblOrdenes[[#This Row],[link_checklist]],"abrir"))</f>
        <v/>
      </c>
      <c r="AM501" s="6" t="n"/>
      <c r="AN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Row],[tipo_ot]]="","",_xlfn.XLOOKUP(tblOrdenes[[#This Row],[tipo_ot]],tblTiposOT[codigo],tblTiposOT[clasificacion],"sin_clasificar"))</f>
        <v/>
      </c>
      <c r="T502" s="3">
        <f>IF(tblOrdenes[[#This Row],[centro_costo]]="","",_xlfn.XLOOKUP(tblOrdenes[[#This Row],[centro_costo]],tblCECO[codigo],tblCECO[linea],"(sin catálogo)"))</f>
        <v/>
      </c>
      <c r="U502" s="3">
        <f>IF(tblOrdenes[[#This Row],[centro_costo]]="","",_xlfn.XLOOKUP(tblOrdenes[[#This Row],[centro_costo]],tblCECO[codigo],tblCECO[area],"(sin catálogo)"))</f>
        <v/>
      </c>
      <c r="V502" s="3">
        <f>IF(tblOrdenes[[#This Row],[centro_costo]]="","",_xlfn.XLOOKUP(tblOrdenes[[#This Row],[centro_costo]],tblCECO[codigo],tblCECO[coordinador],"(sin catálogo)"))</f>
        <v/>
      </c>
      <c r="W502" s="3">
        <f>IF(tblOrdenes[[#This Row],[puesto_trabajo]]="","",_xlfn.XLOOKUP(tblOrdenes[[#This Row],[puesto_trabajo]],tblPuestos[codigo],tblPuestos[especialidad],"(sin catálogo)"))</f>
        <v/>
      </c>
      <c r="X502" s="3">
        <f>IF(tblOrdenes[[#This Row],[cod_actividad]]="","",_xlfn.XLOOKUP(tblOrdenes[[#This Row],[cod_actividad]],tblActividades[codigo],tblActividades[descripcion],"(sin catálogo)"))</f>
        <v/>
      </c>
      <c r="Y502" s="12">
        <f>IF(tblOrdenes[[#This Row],[fecha_inicio]]="","",TODAY()-tblOrdenes[[#This Row],[fecha_inicio]])</f>
        <v/>
      </c>
      <c r="Z502" s="3">
        <f>IF(tblOrdenes[[#This Row],[backlog_dias]]="","",IF(tblOrdenes[[#This Row],[backlog_dias]]&lt;0,"FUTURO",IF(tblOrdenes[[#This Row],[backlog_dias]]&gt;p_dias_backlog_max,"BACKLOG","MES CORRIENTE")))</f>
        <v/>
      </c>
      <c r="AA502" s="3">
        <f>IF(tblOrdenes[[#This Row],[backlog_dias]]="",FALSE,AND(tblOrdenes[[#This Row],[backlog_dias]]&gt;p_dias_backlog_min,tblOrdenes[[#This Row],[backlog_dias]]&lt;=p_dias_backlog_max))</f>
        <v/>
      </c>
      <c r="AB502" s="6" t="n"/>
      <c r="AC5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2" s="10">
        <f>IF(tblOrdenes[[#This Row],[orden]]="","",_xlfn.XLOOKUP(tblOrdenes[[#This Row],[id_operacion]],tblEjecucion[id_operacion],tblEjecucion[precio],0))</f>
        <v/>
      </c>
      <c r="AG502" s="10">
        <f>IF(tblOrdenes[[#This Row],[orden]]="","",MAX(0,_xlfn.XLOOKUP(tblOrdenes[[#This Row],[id_operacion]],tblEjecucion[id_operacion],tblEjecucion[costo_plan_total],0)-tblOrdenes[[#This Row],[costo_servicio]]))</f>
        <v/>
      </c>
      <c r="AH502" s="10">
        <f>IF(tblOrdenes[[#This Row],[orden]]="","",tblOrdenes[[#This Row],[costo_servicio]]+tblOrdenes[[#This Row],[costo_materiales]])</f>
        <v/>
      </c>
      <c r="AI502" s="6" t="n"/>
      <c r="AJ502" s="6" t="n"/>
      <c r="AK502" s="6" t="n"/>
      <c r="AL502" s="3">
        <f>IF(tblOrdenes[[#This Row],[link_checklist]]="","",HYPERLINK(p_ruta_base_checklists&amp;tblOrdenes[[#This Row],[link_checklist]],"abrir"))</f>
        <v/>
      </c>
      <c r="AM502" s="6" t="n"/>
      <c r="AN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Row],[tipo_ot]]="","",_xlfn.XLOOKUP(tblOrdenes[[#This Row],[tipo_ot]],tblTiposOT[codigo],tblTiposOT[clasificacion],"sin_clasificar"))</f>
        <v/>
      </c>
      <c r="T503" s="3">
        <f>IF(tblOrdenes[[#This Row],[centro_costo]]="","",_xlfn.XLOOKUP(tblOrdenes[[#This Row],[centro_costo]],tblCECO[codigo],tblCECO[linea],"(sin catálogo)"))</f>
        <v/>
      </c>
      <c r="U503" s="3">
        <f>IF(tblOrdenes[[#This Row],[centro_costo]]="","",_xlfn.XLOOKUP(tblOrdenes[[#This Row],[centro_costo]],tblCECO[codigo],tblCECO[area],"(sin catálogo)"))</f>
        <v/>
      </c>
      <c r="V503" s="3">
        <f>IF(tblOrdenes[[#This Row],[centro_costo]]="","",_xlfn.XLOOKUP(tblOrdenes[[#This Row],[centro_costo]],tblCECO[codigo],tblCECO[coordinador],"(sin catálogo)"))</f>
        <v/>
      </c>
      <c r="W503" s="3">
        <f>IF(tblOrdenes[[#This Row],[puesto_trabajo]]="","",_xlfn.XLOOKUP(tblOrdenes[[#This Row],[puesto_trabajo]],tblPuestos[codigo],tblPuestos[especialidad],"(sin catálogo)"))</f>
        <v/>
      </c>
      <c r="X503" s="3">
        <f>IF(tblOrdenes[[#This Row],[cod_actividad]]="","",_xlfn.XLOOKUP(tblOrdenes[[#This Row],[cod_actividad]],tblActividades[codigo],tblActividades[descripcion],"(sin catálogo)"))</f>
        <v/>
      </c>
      <c r="Y503" s="12">
        <f>IF(tblOrdenes[[#This Row],[fecha_inicio]]="","",TODAY()-tblOrdenes[[#This Row],[fecha_inicio]])</f>
        <v/>
      </c>
      <c r="Z503" s="3">
        <f>IF(tblOrdenes[[#This Row],[backlog_dias]]="","",IF(tblOrdenes[[#This Row],[backlog_dias]]&lt;0,"FUTURO",IF(tblOrdenes[[#This Row],[backlog_dias]]&gt;p_dias_backlog_max,"BACKLOG","MES CORRIENTE")))</f>
        <v/>
      </c>
      <c r="AA503" s="3">
        <f>IF(tblOrdenes[[#This Row],[backlog_dias]]="",FALSE,AND(tblOrdenes[[#This Row],[backlog_dias]]&gt;p_dias_backlog_min,tblOrdenes[[#This Row],[backlog_dias]]&lt;=p_dias_backlog_max))</f>
        <v/>
      </c>
      <c r="AB503" s="6" t="n"/>
      <c r="AC5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3" s="10">
        <f>IF(tblOrdenes[[#This Row],[orden]]="","",_xlfn.XLOOKUP(tblOrdenes[[#This Row],[id_operacion]],tblEjecucion[id_operacion],tblEjecucion[precio],0))</f>
        <v/>
      </c>
      <c r="AG503" s="10">
        <f>IF(tblOrdenes[[#This Row],[orden]]="","",MAX(0,_xlfn.XLOOKUP(tblOrdenes[[#This Row],[id_operacion]],tblEjecucion[id_operacion],tblEjecucion[costo_plan_total],0)-tblOrdenes[[#This Row],[costo_servicio]]))</f>
        <v/>
      </c>
      <c r="AH503" s="10">
        <f>IF(tblOrdenes[[#This Row],[orden]]="","",tblOrdenes[[#This Row],[costo_servicio]]+tblOrdenes[[#This Row],[costo_materiales]])</f>
        <v/>
      </c>
      <c r="AI503" s="6" t="n"/>
      <c r="AJ503" s="6" t="n"/>
      <c r="AK503" s="6" t="n"/>
      <c r="AL503" s="3">
        <f>IF(tblOrdenes[[#This Row],[link_checklist]]="","",HYPERLINK(p_ruta_base_checklists&amp;tblOrdenes[[#This Row],[link_checklist]],"abrir"))</f>
        <v/>
      </c>
      <c r="AM503" s="6" t="n"/>
      <c r="AN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Row],[tipo_ot]]="","",_xlfn.XLOOKUP(tblOrdenes[[#This Row],[tipo_ot]],tblTiposOT[codigo],tblTiposOT[clasificacion],"sin_clasificar"))</f>
        <v/>
      </c>
      <c r="T504" s="3">
        <f>IF(tblOrdenes[[#This Row],[centro_costo]]="","",_xlfn.XLOOKUP(tblOrdenes[[#This Row],[centro_costo]],tblCECO[codigo],tblCECO[linea],"(sin catálogo)"))</f>
        <v/>
      </c>
      <c r="U504" s="3">
        <f>IF(tblOrdenes[[#This Row],[centro_costo]]="","",_xlfn.XLOOKUP(tblOrdenes[[#This Row],[centro_costo]],tblCECO[codigo],tblCECO[area],"(sin catálogo)"))</f>
        <v/>
      </c>
      <c r="V504" s="3">
        <f>IF(tblOrdenes[[#This Row],[centro_costo]]="","",_xlfn.XLOOKUP(tblOrdenes[[#This Row],[centro_costo]],tblCECO[codigo],tblCECO[coordinador],"(sin catálogo)"))</f>
        <v/>
      </c>
      <c r="W504" s="3">
        <f>IF(tblOrdenes[[#This Row],[puesto_trabajo]]="","",_xlfn.XLOOKUP(tblOrdenes[[#This Row],[puesto_trabajo]],tblPuestos[codigo],tblPuestos[especialidad],"(sin catálogo)"))</f>
        <v/>
      </c>
      <c r="X504" s="3">
        <f>IF(tblOrdenes[[#This Row],[cod_actividad]]="","",_xlfn.XLOOKUP(tblOrdenes[[#This Row],[cod_actividad]],tblActividades[codigo],tblActividades[descripcion],"(sin catálogo)"))</f>
        <v/>
      </c>
      <c r="Y504" s="12">
        <f>IF(tblOrdenes[[#This Row],[fecha_inicio]]="","",TODAY()-tblOrdenes[[#This Row],[fecha_inicio]])</f>
        <v/>
      </c>
      <c r="Z504" s="3">
        <f>IF(tblOrdenes[[#This Row],[backlog_dias]]="","",IF(tblOrdenes[[#This Row],[backlog_dias]]&lt;0,"FUTURO",IF(tblOrdenes[[#This Row],[backlog_dias]]&gt;p_dias_backlog_max,"BACKLOG","MES CORRIENTE")))</f>
        <v/>
      </c>
      <c r="AA504" s="3">
        <f>IF(tblOrdenes[[#This Row],[backlog_dias]]="",FALSE,AND(tblOrdenes[[#This Row],[backlog_dias]]&gt;p_dias_backlog_min,tblOrdenes[[#This Row],[backlog_dias]]&lt;=p_dias_backlog_max))</f>
        <v/>
      </c>
      <c r="AB504" s="6" t="n"/>
      <c r="AC5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4" s="10">
        <f>IF(tblOrdenes[[#This Row],[orden]]="","",_xlfn.XLOOKUP(tblOrdenes[[#This Row],[id_operacion]],tblEjecucion[id_operacion],tblEjecucion[precio],0))</f>
        <v/>
      </c>
      <c r="AG504" s="10">
        <f>IF(tblOrdenes[[#This Row],[orden]]="","",MAX(0,_xlfn.XLOOKUP(tblOrdenes[[#This Row],[id_operacion]],tblEjecucion[id_operacion],tblEjecucion[costo_plan_total],0)-tblOrdenes[[#This Row],[costo_servicio]]))</f>
        <v/>
      </c>
      <c r="AH504" s="10">
        <f>IF(tblOrdenes[[#This Row],[orden]]="","",tblOrdenes[[#This Row],[costo_servicio]]+tblOrdenes[[#This Row],[costo_materiales]])</f>
        <v/>
      </c>
      <c r="AI504" s="6" t="n"/>
      <c r="AJ504" s="6" t="n"/>
      <c r="AK504" s="6" t="n"/>
      <c r="AL504" s="3">
        <f>IF(tblOrdenes[[#This Row],[link_checklist]]="","",HYPERLINK(p_ruta_base_checklists&amp;tblOrdenes[[#This Row],[link_checklist]],"abrir"))</f>
        <v/>
      </c>
      <c r="AM504" s="6" t="n"/>
      <c r="AN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Row],[tipo_ot]]="","",_xlfn.XLOOKUP(tblOrdenes[[#This Row],[tipo_ot]],tblTiposOT[codigo],tblTiposOT[clasificacion],"sin_clasificar"))</f>
        <v/>
      </c>
      <c r="T505" s="3">
        <f>IF(tblOrdenes[[#This Row],[centro_costo]]="","",_xlfn.XLOOKUP(tblOrdenes[[#This Row],[centro_costo]],tblCECO[codigo],tblCECO[linea],"(sin catálogo)"))</f>
        <v/>
      </c>
      <c r="U505" s="3">
        <f>IF(tblOrdenes[[#This Row],[centro_costo]]="","",_xlfn.XLOOKUP(tblOrdenes[[#This Row],[centro_costo]],tblCECO[codigo],tblCECO[area],"(sin catálogo)"))</f>
        <v/>
      </c>
      <c r="V505" s="3">
        <f>IF(tblOrdenes[[#This Row],[centro_costo]]="","",_xlfn.XLOOKUP(tblOrdenes[[#This Row],[centro_costo]],tblCECO[codigo],tblCECO[coordinador],"(sin catálogo)"))</f>
        <v/>
      </c>
      <c r="W505" s="3">
        <f>IF(tblOrdenes[[#This Row],[puesto_trabajo]]="","",_xlfn.XLOOKUP(tblOrdenes[[#This Row],[puesto_trabajo]],tblPuestos[codigo],tblPuestos[especialidad],"(sin catálogo)"))</f>
        <v/>
      </c>
      <c r="X505" s="3">
        <f>IF(tblOrdenes[[#This Row],[cod_actividad]]="","",_xlfn.XLOOKUP(tblOrdenes[[#This Row],[cod_actividad]],tblActividades[codigo],tblActividades[descripcion],"(sin catálogo)"))</f>
        <v/>
      </c>
      <c r="Y505" s="12">
        <f>IF(tblOrdenes[[#This Row],[fecha_inicio]]="","",TODAY()-tblOrdenes[[#This Row],[fecha_inicio]])</f>
        <v/>
      </c>
      <c r="Z505" s="3">
        <f>IF(tblOrdenes[[#This Row],[backlog_dias]]="","",IF(tblOrdenes[[#This Row],[backlog_dias]]&lt;0,"FUTURO",IF(tblOrdenes[[#This Row],[backlog_dias]]&gt;p_dias_backlog_max,"BACKLOG","MES CORRIENTE")))</f>
        <v/>
      </c>
      <c r="AA505" s="3">
        <f>IF(tblOrdenes[[#This Row],[backlog_dias]]="",FALSE,AND(tblOrdenes[[#This Row],[backlog_dias]]&gt;p_dias_backlog_min,tblOrdenes[[#This Row],[backlog_dias]]&lt;=p_dias_backlog_max))</f>
        <v/>
      </c>
      <c r="AB505" s="6" t="n"/>
      <c r="AC5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5" s="10">
        <f>IF(tblOrdenes[[#This Row],[orden]]="","",_xlfn.XLOOKUP(tblOrdenes[[#This Row],[id_operacion]],tblEjecucion[id_operacion],tblEjecucion[precio],0))</f>
        <v/>
      </c>
      <c r="AG505" s="10">
        <f>IF(tblOrdenes[[#This Row],[orden]]="","",MAX(0,_xlfn.XLOOKUP(tblOrdenes[[#This Row],[id_operacion]],tblEjecucion[id_operacion],tblEjecucion[costo_plan_total],0)-tblOrdenes[[#This Row],[costo_servicio]]))</f>
        <v/>
      </c>
      <c r="AH505" s="10">
        <f>IF(tblOrdenes[[#This Row],[orden]]="","",tblOrdenes[[#This Row],[costo_servicio]]+tblOrdenes[[#This Row],[costo_materiales]])</f>
        <v/>
      </c>
      <c r="AI505" s="6" t="n"/>
      <c r="AJ505" s="6" t="n"/>
      <c r="AK505" s="6" t="n"/>
      <c r="AL505" s="3">
        <f>IF(tblOrdenes[[#This Row],[link_checklist]]="","",HYPERLINK(p_ruta_base_checklists&amp;tblOrdenes[[#This Row],[link_checklist]],"abrir"))</f>
        <v/>
      </c>
      <c r="AM505" s="6" t="n"/>
      <c r="AN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Row],[tipo_ot]]="","",_xlfn.XLOOKUP(tblOrdenes[[#This Row],[tipo_ot]],tblTiposOT[codigo],tblTiposOT[clasificacion],"sin_clasificar"))</f>
        <v/>
      </c>
      <c r="T506" s="3">
        <f>IF(tblOrdenes[[#This Row],[centro_costo]]="","",_xlfn.XLOOKUP(tblOrdenes[[#This Row],[centro_costo]],tblCECO[codigo],tblCECO[linea],"(sin catálogo)"))</f>
        <v/>
      </c>
      <c r="U506" s="3">
        <f>IF(tblOrdenes[[#This Row],[centro_costo]]="","",_xlfn.XLOOKUP(tblOrdenes[[#This Row],[centro_costo]],tblCECO[codigo],tblCECO[area],"(sin catálogo)"))</f>
        <v/>
      </c>
      <c r="V506" s="3">
        <f>IF(tblOrdenes[[#This Row],[centro_costo]]="","",_xlfn.XLOOKUP(tblOrdenes[[#This Row],[centro_costo]],tblCECO[codigo],tblCECO[coordinador],"(sin catálogo)"))</f>
        <v/>
      </c>
      <c r="W506" s="3">
        <f>IF(tblOrdenes[[#This Row],[puesto_trabajo]]="","",_xlfn.XLOOKUP(tblOrdenes[[#This Row],[puesto_trabajo]],tblPuestos[codigo],tblPuestos[especialidad],"(sin catálogo)"))</f>
        <v/>
      </c>
      <c r="X506" s="3">
        <f>IF(tblOrdenes[[#This Row],[cod_actividad]]="","",_xlfn.XLOOKUP(tblOrdenes[[#This Row],[cod_actividad]],tblActividades[codigo],tblActividades[descripcion],"(sin catálogo)"))</f>
        <v/>
      </c>
      <c r="Y506" s="12">
        <f>IF(tblOrdenes[[#This Row],[fecha_inicio]]="","",TODAY()-tblOrdenes[[#This Row],[fecha_inicio]])</f>
        <v/>
      </c>
      <c r="Z506" s="3">
        <f>IF(tblOrdenes[[#This Row],[backlog_dias]]="","",IF(tblOrdenes[[#This Row],[backlog_dias]]&lt;0,"FUTURO",IF(tblOrdenes[[#This Row],[backlog_dias]]&gt;p_dias_backlog_max,"BACKLOG","MES CORRIENTE")))</f>
        <v/>
      </c>
      <c r="AA506" s="3">
        <f>IF(tblOrdenes[[#This Row],[backlog_dias]]="",FALSE,AND(tblOrdenes[[#This Row],[backlog_dias]]&gt;p_dias_backlog_min,tblOrdenes[[#This Row],[backlog_dias]]&lt;=p_dias_backlog_max))</f>
        <v/>
      </c>
      <c r="AB506" s="6" t="n"/>
      <c r="AC5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6" s="10">
        <f>IF(tblOrdenes[[#This Row],[orden]]="","",_xlfn.XLOOKUP(tblOrdenes[[#This Row],[id_operacion]],tblEjecucion[id_operacion],tblEjecucion[precio],0))</f>
        <v/>
      </c>
      <c r="AG506" s="10">
        <f>IF(tblOrdenes[[#This Row],[orden]]="","",MAX(0,_xlfn.XLOOKUP(tblOrdenes[[#This Row],[id_operacion]],tblEjecucion[id_operacion],tblEjecucion[costo_plan_total],0)-tblOrdenes[[#This Row],[costo_servicio]]))</f>
        <v/>
      </c>
      <c r="AH506" s="10">
        <f>IF(tblOrdenes[[#This Row],[orden]]="","",tblOrdenes[[#This Row],[costo_servicio]]+tblOrdenes[[#This Row],[costo_materiales]])</f>
        <v/>
      </c>
      <c r="AI506" s="6" t="n"/>
      <c r="AJ506" s="6" t="n"/>
      <c r="AK506" s="6" t="n"/>
      <c r="AL506" s="3">
        <f>IF(tblOrdenes[[#This Row],[link_checklist]]="","",HYPERLINK(p_ruta_base_checklists&amp;tblOrdenes[[#This Row],[link_checklist]],"abrir"))</f>
        <v/>
      </c>
      <c r="AM506" s="6" t="n"/>
      <c r="AN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Row],[tipo_ot]]="","",_xlfn.XLOOKUP(tblOrdenes[[#This Row],[tipo_ot]],tblTiposOT[codigo],tblTiposOT[clasificacion],"sin_clasificar"))</f>
        <v/>
      </c>
      <c r="T507" s="3">
        <f>IF(tblOrdenes[[#This Row],[centro_costo]]="","",_xlfn.XLOOKUP(tblOrdenes[[#This Row],[centro_costo]],tblCECO[codigo],tblCECO[linea],"(sin catálogo)"))</f>
        <v/>
      </c>
      <c r="U507" s="3">
        <f>IF(tblOrdenes[[#This Row],[centro_costo]]="","",_xlfn.XLOOKUP(tblOrdenes[[#This Row],[centro_costo]],tblCECO[codigo],tblCECO[area],"(sin catálogo)"))</f>
        <v/>
      </c>
      <c r="V507" s="3">
        <f>IF(tblOrdenes[[#This Row],[centro_costo]]="","",_xlfn.XLOOKUP(tblOrdenes[[#This Row],[centro_costo]],tblCECO[codigo],tblCECO[coordinador],"(sin catálogo)"))</f>
        <v/>
      </c>
      <c r="W507" s="3">
        <f>IF(tblOrdenes[[#This Row],[puesto_trabajo]]="","",_xlfn.XLOOKUP(tblOrdenes[[#This Row],[puesto_trabajo]],tblPuestos[codigo],tblPuestos[especialidad],"(sin catálogo)"))</f>
        <v/>
      </c>
      <c r="X507" s="3">
        <f>IF(tblOrdenes[[#This Row],[cod_actividad]]="","",_xlfn.XLOOKUP(tblOrdenes[[#This Row],[cod_actividad]],tblActividades[codigo],tblActividades[descripcion],"(sin catálogo)"))</f>
        <v/>
      </c>
      <c r="Y507" s="12">
        <f>IF(tblOrdenes[[#This Row],[fecha_inicio]]="","",TODAY()-tblOrdenes[[#This Row],[fecha_inicio]])</f>
        <v/>
      </c>
      <c r="Z507" s="3">
        <f>IF(tblOrdenes[[#This Row],[backlog_dias]]="","",IF(tblOrdenes[[#This Row],[backlog_dias]]&lt;0,"FUTURO",IF(tblOrdenes[[#This Row],[backlog_dias]]&gt;p_dias_backlog_max,"BACKLOG","MES CORRIENTE")))</f>
        <v/>
      </c>
      <c r="AA507" s="3">
        <f>IF(tblOrdenes[[#This Row],[backlog_dias]]="",FALSE,AND(tblOrdenes[[#This Row],[backlog_dias]]&gt;p_dias_backlog_min,tblOrdenes[[#This Row],[backlog_dias]]&lt;=p_dias_backlog_max))</f>
        <v/>
      </c>
      <c r="AB507" s="6" t="n"/>
      <c r="AC5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7" s="10">
        <f>IF(tblOrdenes[[#This Row],[orden]]="","",_xlfn.XLOOKUP(tblOrdenes[[#This Row],[id_operacion]],tblEjecucion[id_operacion],tblEjecucion[precio],0))</f>
        <v/>
      </c>
      <c r="AG507" s="10">
        <f>IF(tblOrdenes[[#This Row],[orden]]="","",MAX(0,_xlfn.XLOOKUP(tblOrdenes[[#This Row],[id_operacion]],tblEjecucion[id_operacion],tblEjecucion[costo_plan_total],0)-tblOrdenes[[#This Row],[costo_servicio]]))</f>
        <v/>
      </c>
      <c r="AH507" s="10">
        <f>IF(tblOrdenes[[#This Row],[orden]]="","",tblOrdenes[[#This Row],[costo_servicio]]+tblOrdenes[[#This Row],[costo_materiales]])</f>
        <v/>
      </c>
      <c r="AI507" s="6" t="n"/>
      <c r="AJ507" s="6" t="n"/>
      <c r="AK507" s="6" t="n"/>
      <c r="AL507" s="3">
        <f>IF(tblOrdenes[[#This Row],[link_checklist]]="","",HYPERLINK(p_ruta_base_checklists&amp;tblOrdenes[[#This Row],[link_checklist]],"abrir"))</f>
        <v/>
      </c>
      <c r="AM507" s="6" t="n"/>
      <c r="AN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Row],[tipo_ot]]="","",_xlfn.XLOOKUP(tblOrdenes[[#This Row],[tipo_ot]],tblTiposOT[codigo],tblTiposOT[clasificacion],"sin_clasificar"))</f>
        <v/>
      </c>
      <c r="T508" s="3">
        <f>IF(tblOrdenes[[#This Row],[centro_costo]]="","",_xlfn.XLOOKUP(tblOrdenes[[#This Row],[centro_costo]],tblCECO[codigo],tblCECO[linea],"(sin catálogo)"))</f>
        <v/>
      </c>
      <c r="U508" s="3">
        <f>IF(tblOrdenes[[#This Row],[centro_costo]]="","",_xlfn.XLOOKUP(tblOrdenes[[#This Row],[centro_costo]],tblCECO[codigo],tblCECO[area],"(sin catálogo)"))</f>
        <v/>
      </c>
      <c r="V508" s="3">
        <f>IF(tblOrdenes[[#This Row],[centro_costo]]="","",_xlfn.XLOOKUP(tblOrdenes[[#This Row],[centro_costo]],tblCECO[codigo],tblCECO[coordinador],"(sin catálogo)"))</f>
        <v/>
      </c>
      <c r="W508" s="3">
        <f>IF(tblOrdenes[[#This Row],[puesto_trabajo]]="","",_xlfn.XLOOKUP(tblOrdenes[[#This Row],[puesto_trabajo]],tblPuestos[codigo],tblPuestos[especialidad],"(sin catálogo)"))</f>
        <v/>
      </c>
      <c r="X508" s="3">
        <f>IF(tblOrdenes[[#This Row],[cod_actividad]]="","",_xlfn.XLOOKUP(tblOrdenes[[#This Row],[cod_actividad]],tblActividades[codigo],tblActividades[descripcion],"(sin catálogo)"))</f>
        <v/>
      </c>
      <c r="Y508" s="12">
        <f>IF(tblOrdenes[[#This Row],[fecha_inicio]]="","",TODAY()-tblOrdenes[[#This Row],[fecha_inicio]])</f>
        <v/>
      </c>
      <c r="Z508" s="3">
        <f>IF(tblOrdenes[[#This Row],[backlog_dias]]="","",IF(tblOrdenes[[#This Row],[backlog_dias]]&lt;0,"FUTURO",IF(tblOrdenes[[#This Row],[backlog_dias]]&gt;p_dias_backlog_max,"BACKLOG","MES CORRIENTE")))</f>
        <v/>
      </c>
      <c r="AA508" s="3">
        <f>IF(tblOrdenes[[#This Row],[backlog_dias]]="",FALSE,AND(tblOrdenes[[#This Row],[backlog_dias]]&gt;p_dias_backlog_min,tblOrdenes[[#This Row],[backlog_dias]]&lt;=p_dias_backlog_max))</f>
        <v/>
      </c>
      <c r="AB508" s="6" t="n"/>
      <c r="AC5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8" s="10">
        <f>IF(tblOrdenes[[#This Row],[orden]]="","",_xlfn.XLOOKUP(tblOrdenes[[#This Row],[id_operacion]],tblEjecucion[id_operacion],tblEjecucion[precio],0))</f>
        <v/>
      </c>
      <c r="AG508" s="10">
        <f>IF(tblOrdenes[[#This Row],[orden]]="","",MAX(0,_xlfn.XLOOKUP(tblOrdenes[[#This Row],[id_operacion]],tblEjecucion[id_operacion],tblEjecucion[costo_plan_total],0)-tblOrdenes[[#This Row],[costo_servicio]]))</f>
        <v/>
      </c>
      <c r="AH508" s="10">
        <f>IF(tblOrdenes[[#This Row],[orden]]="","",tblOrdenes[[#This Row],[costo_servicio]]+tblOrdenes[[#This Row],[costo_materiales]])</f>
        <v/>
      </c>
      <c r="AI508" s="6" t="n"/>
      <c r="AJ508" s="6" t="n"/>
      <c r="AK508" s="6" t="n"/>
      <c r="AL508" s="3">
        <f>IF(tblOrdenes[[#This Row],[link_checklist]]="","",HYPERLINK(p_ruta_base_checklists&amp;tblOrdenes[[#This Row],[link_checklist]],"abrir"))</f>
        <v/>
      </c>
      <c r="AM508" s="6" t="n"/>
      <c r="AN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Row],[tipo_ot]]="","",_xlfn.XLOOKUP(tblOrdenes[[#This Row],[tipo_ot]],tblTiposOT[codigo],tblTiposOT[clasificacion],"sin_clasificar"))</f>
        <v/>
      </c>
      <c r="T509" s="3">
        <f>IF(tblOrdenes[[#This Row],[centro_costo]]="","",_xlfn.XLOOKUP(tblOrdenes[[#This Row],[centro_costo]],tblCECO[codigo],tblCECO[linea],"(sin catálogo)"))</f>
        <v/>
      </c>
      <c r="U509" s="3">
        <f>IF(tblOrdenes[[#This Row],[centro_costo]]="","",_xlfn.XLOOKUP(tblOrdenes[[#This Row],[centro_costo]],tblCECO[codigo],tblCECO[area],"(sin catálogo)"))</f>
        <v/>
      </c>
      <c r="V509" s="3">
        <f>IF(tblOrdenes[[#This Row],[centro_costo]]="","",_xlfn.XLOOKUP(tblOrdenes[[#This Row],[centro_costo]],tblCECO[codigo],tblCECO[coordinador],"(sin catálogo)"))</f>
        <v/>
      </c>
      <c r="W509" s="3">
        <f>IF(tblOrdenes[[#This Row],[puesto_trabajo]]="","",_xlfn.XLOOKUP(tblOrdenes[[#This Row],[puesto_trabajo]],tblPuestos[codigo],tblPuestos[especialidad],"(sin catálogo)"))</f>
        <v/>
      </c>
      <c r="X509" s="3">
        <f>IF(tblOrdenes[[#This Row],[cod_actividad]]="","",_xlfn.XLOOKUP(tblOrdenes[[#This Row],[cod_actividad]],tblActividades[codigo],tblActividades[descripcion],"(sin catálogo)"))</f>
        <v/>
      </c>
      <c r="Y509" s="12">
        <f>IF(tblOrdenes[[#This Row],[fecha_inicio]]="","",TODAY()-tblOrdenes[[#This Row],[fecha_inicio]])</f>
        <v/>
      </c>
      <c r="Z509" s="3">
        <f>IF(tblOrdenes[[#This Row],[backlog_dias]]="","",IF(tblOrdenes[[#This Row],[backlog_dias]]&lt;0,"FUTURO",IF(tblOrdenes[[#This Row],[backlog_dias]]&gt;p_dias_backlog_max,"BACKLOG","MES CORRIENTE")))</f>
        <v/>
      </c>
      <c r="AA509" s="3">
        <f>IF(tblOrdenes[[#This Row],[backlog_dias]]="",FALSE,AND(tblOrdenes[[#This Row],[backlog_dias]]&gt;p_dias_backlog_min,tblOrdenes[[#This Row],[backlog_dias]]&lt;=p_dias_backlog_max))</f>
        <v/>
      </c>
      <c r="AB509" s="6" t="n"/>
      <c r="AC5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9" s="10">
        <f>IF(tblOrdenes[[#This Row],[orden]]="","",_xlfn.XLOOKUP(tblOrdenes[[#This Row],[id_operacion]],tblEjecucion[id_operacion],tblEjecucion[precio],0))</f>
        <v/>
      </c>
      <c r="AG509" s="10">
        <f>IF(tblOrdenes[[#This Row],[orden]]="","",MAX(0,_xlfn.XLOOKUP(tblOrdenes[[#This Row],[id_operacion]],tblEjecucion[id_operacion],tblEjecucion[costo_plan_total],0)-tblOrdenes[[#This Row],[costo_servicio]]))</f>
        <v/>
      </c>
      <c r="AH509" s="10">
        <f>IF(tblOrdenes[[#This Row],[orden]]="","",tblOrdenes[[#This Row],[costo_servicio]]+tblOrdenes[[#This Row],[costo_materiales]])</f>
        <v/>
      </c>
      <c r="AI509" s="6" t="n"/>
      <c r="AJ509" s="6" t="n"/>
      <c r="AK509" s="6" t="n"/>
      <c r="AL509" s="3">
        <f>IF(tblOrdenes[[#This Row],[link_checklist]]="","",HYPERLINK(p_ruta_base_checklists&amp;tblOrdenes[[#This Row],[link_checklist]],"abrir"))</f>
        <v/>
      </c>
      <c r="AM509" s="6" t="n"/>
      <c r="AN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Row],[tipo_ot]]="","",_xlfn.XLOOKUP(tblOrdenes[[#This Row],[tipo_ot]],tblTiposOT[codigo],tblTiposOT[clasificacion],"sin_clasificar"))</f>
        <v/>
      </c>
      <c r="T510" s="3">
        <f>IF(tblOrdenes[[#This Row],[centro_costo]]="","",_xlfn.XLOOKUP(tblOrdenes[[#This Row],[centro_costo]],tblCECO[codigo],tblCECO[linea],"(sin catálogo)"))</f>
        <v/>
      </c>
      <c r="U510" s="3">
        <f>IF(tblOrdenes[[#This Row],[centro_costo]]="","",_xlfn.XLOOKUP(tblOrdenes[[#This Row],[centro_costo]],tblCECO[codigo],tblCECO[area],"(sin catálogo)"))</f>
        <v/>
      </c>
      <c r="V510" s="3">
        <f>IF(tblOrdenes[[#This Row],[centro_costo]]="","",_xlfn.XLOOKUP(tblOrdenes[[#This Row],[centro_costo]],tblCECO[codigo],tblCECO[coordinador],"(sin catálogo)"))</f>
        <v/>
      </c>
      <c r="W510" s="3">
        <f>IF(tblOrdenes[[#This Row],[puesto_trabajo]]="","",_xlfn.XLOOKUP(tblOrdenes[[#This Row],[puesto_trabajo]],tblPuestos[codigo],tblPuestos[especialidad],"(sin catálogo)"))</f>
        <v/>
      </c>
      <c r="X510" s="3">
        <f>IF(tblOrdenes[[#This Row],[cod_actividad]]="","",_xlfn.XLOOKUP(tblOrdenes[[#This Row],[cod_actividad]],tblActividades[codigo],tblActividades[descripcion],"(sin catálogo)"))</f>
        <v/>
      </c>
      <c r="Y510" s="12">
        <f>IF(tblOrdenes[[#This Row],[fecha_inicio]]="","",TODAY()-tblOrdenes[[#This Row],[fecha_inicio]])</f>
        <v/>
      </c>
      <c r="Z510" s="3">
        <f>IF(tblOrdenes[[#This Row],[backlog_dias]]="","",IF(tblOrdenes[[#This Row],[backlog_dias]]&lt;0,"FUTURO",IF(tblOrdenes[[#This Row],[backlog_dias]]&gt;p_dias_backlog_max,"BACKLOG","MES CORRIENTE")))</f>
        <v/>
      </c>
      <c r="AA510" s="3">
        <f>IF(tblOrdenes[[#This Row],[backlog_dias]]="",FALSE,AND(tblOrdenes[[#This Row],[backlog_dias]]&gt;p_dias_backlog_min,tblOrdenes[[#This Row],[backlog_dias]]&lt;=p_dias_backlog_max))</f>
        <v/>
      </c>
      <c r="AB510" s="6" t="n"/>
      <c r="AC5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0" s="10">
        <f>IF(tblOrdenes[[#This Row],[orden]]="","",_xlfn.XLOOKUP(tblOrdenes[[#This Row],[id_operacion]],tblEjecucion[id_operacion],tblEjecucion[precio],0))</f>
        <v/>
      </c>
      <c r="AG510" s="10">
        <f>IF(tblOrdenes[[#This Row],[orden]]="","",MAX(0,_xlfn.XLOOKUP(tblOrdenes[[#This Row],[id_operacion]],tblEjecucion[id_operacion],tblEjecucion[costo_plan_total],0)-tblOrdenes[[#This Row],[costo_servicio]]))</f>
        <v/>
      </c>
      <c r="AH510" s="10">
        <f>IF(tblOrdenes[[#This Row],[orden]]="","",tblOrdenes[[#This Row],[costo_servicio]]+tblOrdenes[[#This Row],[costo_materiales]])</f>
        <v/>
      </c>
      <c r="AI510" s="6" t="n"/>
      <c r="AJ510" s="6" t="n"/>
      <c r="AK510" s="6" t="n"/>
      <c r="AL510" s="3">
        <f>IF(tblOrdenes[[#This Row],[link_checklist]]="","",HYPERLINK(p_ruta_base_checklists&amp;tblOrdenes[[#This Row],[link_checklist]],"abrir"))</f>
        <v/>
      </c>
      <c r="AM510" s="6" t="n"/>
      <c r="AN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Row],[tipo_ot]]="","",_xlfn.XLOOKUP(tblOrdenes[[#This Row],[tipo_ot]],tblTiposOT[codigo],tblTiposOT[clasificacion],"sin_clasificar"))</f>
        <v/>
      </c>
      <c r="T511" s="3">
        <f>IF(tblOrdenes[[#This Row],[centro_costo]]="","",_xlfn.XLOOKUP(tblOrdenes[[#This Row],[centro_costo]],tblCECO[codigo],tblCECO[linea],"(sin catálogo)"))</f>
        <v/>
      </c>
      <c r="U511" s="3">
        <f>IF(tblOrdenes[[#This Row],[centro_costo]]="","",_xlfn.XLOOKUP(tblOrdenes[[#This Row],[centro_costo]],tblCECO[codigo],tblCECO[area],"(sin catálogo)"))</f>
        <v/>
      </c>
      <c r="V511" s="3">
        <f>IF(tblOrdenes[[#This Row],[centro_costo]]="","",_xlfn.XLOOKUP(tblOrdenes[[#This Row],[centro_costo]],tblCECO[codigo],tblCECO[coordinador],"(sin catálogo)"))</f>
        <v/>
      </c>
      <c r="W511" s="3">
        <f>IF(tblOrdenes[[#This Row],[puesto_trabajo]]="","",_xlfn.XLOOKUP(tblOrdenes[[#This Row],[puesto_trabajo]],tblPuestos[codigo],tblPuestos[especialidad],"(sin catálogo)"))</f>
        <v/>
      </c>
      <c r="X511" s="3">
        <f>IF(tblOrdenes[[#This Row],[cod_actividad]]="","",_xlfn.XLOOKUP(tblOrdenes[[#This Row],[cod_actividad]],tblActividades[codigo],tblActividades[descripcion],"(sin catálogo)"))</f>
        <v/>
      </c>
      <c r="Y511" s="12">
        <f>IF(tblOrdenes[[#This Row],[fecha_inicio]]="","",TODAY()-tblOrdenes[[#This Row],[fecha_inicio]])</f>
        <v/>
      </c>
      <c r="Z511" s="3">
        <f>IF(tblOrdenes[[#This Row],[backlog_dias]]="","",IF(tblOrdenes[[#This Row],[backlog_dias]]&lt;0,"FUTURO",IF(tblOrdenes[[#This Row],[backlog_dias]]&gt;p_dias_backlog_max,"BACKLOG","MES CORRIENTE")))</f>
        <v/>
      </c>
      <c r="AA511" s="3">
        <f>IF(tblOrdenes[[#This Row],[backlog_dias]]="",FALSE,AND(tblOrdenes[[#This Row],[backlog_dias]]&gt;p_dias_backlog_min,tblOrdenes[[#This Row],[backlog_dias]]&lt;=p_dias_backlog_max))</f>
        <v/>
      </c>
      <c r="AB511" s="6" t="n"/>
      <c r="AC5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1" s="10">
        <f>IF(tblOrdenes[[#This Row],[orden]]="","",_xlfn.XLOOKUP(tblOrdenes[[#This Row],[id_operacion]],tblEjecucion[id_operacion],tblEjecucion[precio],0))</f>
        <v/>
      </c>
      <c r="AG511" s="10">
        <f>IF(tblOrdenes[[#This Row],[orden]]="","",MAX(0,_xlfn.XLOOKUP(tblOrdenes[[#This Row],[id_operacion]],tblEjecucion[id_operacion],tblEjecucion[costo_plan_total],0)-tblOrdenes[[#This Row],[costo_servicio]]))</f>
        <v/>
      </c>
      <c r="AH511" s="10">
        <f>IF(tblOrdenes[[#This Row],[orden]]="","",tblOrdenes[[#This Row],[costo_servicio]]+tblOrdenes[[#This Row],[costo_materiales]])</f>
        <v/>
      </c>
      <c r="AI511" s="6" t="n"/>
      <c r="AJ511" s="6" t="n"/>
      <c r="AK511" s="6" t="n"/>
      <c r="AL511" s="3">
        <f>IF(tblOrdenes[[#This Row],[link_checklist]]="","",HYPERLINK(p_ruta_base_checklists&amp;tblOrdenes[[#This Row],[link_checklist]],"abrir"))</f>
        <v/>
      </c>
      <c r="AM511" s="6" t="n"/>
      <c r="AN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Row],[tipo_ot]]="","",_xlfn.XLOOKUP(tblOrdenes[[#This Row],[tipo_ot]],tblTiposOT[codigo],tblTiposOT[clasificacion],"sin_clasificar"))</f>
        <v/>
      </c>
      <c r="T512" s="3">
        <f>IF(tblOrdenes[[#This Row],[centro_costo]]="","",_xlfn.XLOOKUP(tblOrdenes[[#This Row],[centro_costo]],tblCECO[codigo],tblCECO[linea],"(sin catálogo)"))</f>
        <v/>
      </c>
      <c r="U512" s="3">
        <f>IF(tblOrdenes[[#This Row],[centro_costo]]="","",_xlfn.XLOOKUP(tblOrdenes[[#This Row],[centro_costo]],tblCECO[codigo],tblCECO[area],"(sin catálogo)"))</f>
        <v/>
      </c>
      <c r="V512" s="3">
        <f>IF(tblOrdenes[[#This Row],[centro_costo]]="","",_xlfn.XLOOKUP(tblOrdenes[[#This Row],[centro_costo]],tblCECO[codigo],tblCECO[coordinador],"(sin catálogo)"))</f>
        <v/>
      </c>
      <c r="W512" s="3">
        <f>IF(tblOrdenes[[#This Row],[puesto_trabajo]]="","",_xlfn.XLOOKUP(tblOrdenes[[#This Row],[puesto_trabajo]],tblPuestos[codigo],tblPuestos[especialidad],"(sin catálogo)"))</f>
        <v/>
      </c>
      <c r="X512" s="3">
        <f>IF(tblOrdenes[[#This Row],[cod_actividad]]="","",_xlfn.XLOOKUP(tblOrdenes[[#This Row],[cod_actividad]],tblActividades[codigo],tblActividades[descripcion],"(sin catálogo)"))</f>
        <v/>
      </c>
      <c r="Y512" s="12">
        <f>IF(tblOrdenes[[#This Row],[fecha_inicio]]="","",TODAY()-tblOrdenes[[#This Row],[fecha_inicio]])</f>
        <v/>
      </c>
      <c r="Z512" s="3">
        <f>IF(tblOrdenes[[#This Row],[backlog_dias]]="","",IF(tblOrdenes[[#This Row],[backlog_dias]]&lt;0,"FUTURO",IF(tblOrdenes[[#This Row],[backlog_dias]]&gt;p_dias_backlog_max,"BACKLOG","MES CORRIENTE")))</f>
        <v/>
      </c>
      <c r="AA512" s="3">
        <f>IF(tblOrdenes[[#This Row],[backlog_dias]]="",FALSE,AND(tblOrdenes[[#This Row],[backlog_dias]]&gt;p_dias_backlog_min,tblOrdenes[[#This Row],[backlog_dias]]&lt;=p_dias_backlog_max))</f>
        <v/>
      </c>
      <c r="AB512" s="6" t="n"/>
      <c r="AC5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2" s="10">
        <f>IF(tblOrdenes[[#This Row],[orden]]="","",_xlfn.XLOOKUP(tblOrdenes[[#This Row],[id_operacion]],tblEjecucion[id_operacion],tblEjecucion[precio],0))</f>
        <v/>
      </c>
      <c r="AG512" s="10">
        <f>IF(tblOrdenes[[#This Row],[orden]]="","",MAX(0,_xlfn.XLOOKUP(tblOrdenes[[#This Row],[id_operacion]],tblEjecucion[id_operacion],tblEjecucion[costo_plan_total],0)-tblOrdenes[[#This Row],[costo_servicio]]))</f>
        <v/>
      </c>
      <c r="AH512" s="10">
        <f>IF(tblOrdenes[[#This Row],[orden]]="","",tblOrdenes[[#This Row],[costo_servicio]]+tblOrdenes[[#This Row],[costo_materiales]])</f>
        <v/>
      </c>
      <c r="AI512" s="6" t="n"/>
      <c r="AJ512" s="6" t="n"/>
      <c r="AK512" s="6" t="n"/>
      <c r="AL512" s="3">
        <f>IF(tblOrdenes[[#This Row],[link_checklist]]="","",HYPERLINK(p_ruta_base_checklists&amp;tblOrdenes[[#This Row],[link_checklist]],"abrir"))</f>
        <v/>
      </c>
      <c r="AM512" s="6" t="n"/>
      <c r="AN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Row],[tipo_ot]]="","",_xlfn.XLOOKUP(tblOrdenes[[#This Row],[tipo_ot]],tblTiposOT[codigo],tblTiposOT[clasificacion],"sin_clasificar"))</f>
        <v/>
      </c>
      <c r="T513" s="3">
        <f>IF(tblOrdenes[[#This Row],[centro_costo]]="","",_xlfn.XLOOKUP(tblOrdenes[[#This Row],[centro_costo]],tblCECO[codigo],tblCECO[linea],"(sin catálogo)"))</f>
        <v/>
      </c>
      <c r="U513" s="3">
        <f>IF(tblOrdenes[[#This Row],[centro_costo]]="","",_xlfn.XLOOKUP(tblOrdenes[[#This Row],[centro_costo]],tblCECO[codigo],tblCECO[area],"(sin catálogo)"))</f>
        <v/>
      </c>
      <c r="V513" s="3">
        <f>IF(tblOrdenes[[#This Row],[centro_costo]]="","",_xlfn.XLOOKUP(tblOrdenes[[#This Row],[centro_costo]],tblCECO[codigo],tblCECO[coordinador],"(sin catálogo)"))</f>
        <v/>
      </c>
      <c r="W513" s="3">
        <f>IF(tblOrdenes[[#This Row],[puesto_trabajo]]="","",_xlfn.XLOOKUP(tblOrdenes[[#This Row],[puesto_trabajo]],tblPuestos[codigo],tblPuestos[especialidad],"(sin catálogo)"))</f>
        <v/>
      </c>
      <c r="X513" s="3">
        <f>IF(tblOrdenes[[#This Row],[cod_actividad]]="","",_xlfn.XLOOKUP(tblOrdenes[[#This Row],[cod_actividad]],tblActividades[codigo],tblActividades[descripcion],"(sin catálogo)"))</f>
        <v/>
      </c>
      <c r="Y513" s="12">
        <f>IF(tblOrdenes[[#This Row],[fecha_inicio]]="","",TODAY()-tblOrdenes[[#This Row],[fecha_inicio]])</f>
        <v/>
      </c>
      <c r="Z513" s="3">
        <f>IF(tblOrdenes[[#This Row],[backlog_dias]]="","",IF(tblOrdenes[[#This Row],[backlog_dias]]&lt;0,"FUTURO",IF(tblOrdenes[[#This Row],[backlog_dias]]&gt;p_dias_backlog_max,"BACKLOG","MES CORRIENTE")))</f>
        <v/>
      </c>
      <c r="AA513" s="3">
        <f>IF(tblOrdenes[[#This Row],[backlog_dias]]="",FALSE,AND(tblOrdenes[[#This Row],[backlog_dias]]&gt;p_dias_backlog_min,tblOrdenes[[#This Row],[backlog_dias]]&lt;=p_dias_backlog_max))</f>
        <v/>
      </c>
      <c r="AB513" s="6" t="n"/>
      <c r="AC5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3" s="10">
        <f>IF(tblOrdenes[[#This Row],[orden]]="","",_xlfn.XLOOKUP(tblOrdenes[[#This Row],[id_operacion]],tblEjecucion[id_operacion],tblEjecucion[precio],0))</f>
        <v/>
      </c>
      <c r="AG513" s="10">
        <f>IF(tblOrdenes[[#This Row],[orden]]="","",MAX(0,_xlfn.XLOOKUP(tblOrdenes[[#This Row],[id_operacion]],tblEjecucion[id_operacion],tblEjecucion[costo_plan_total],0)-tblOrdenes[[#This Row],[costo_servicio]]))</f>
        <v/>
      </c>
      <c r="AH513" s="10">
        <f>IF(tblOrdenes[[#This Row],[orden]]="","",tblOrdenes[[#This Row],[costo_servicio]]+tblOrdenes[[#This Row],[costo_materiales]])</f>
        <v/>
      </c>
      <c r="AI513" s="6" t="n"/>
      <c r="AJ513" s="6" t="n"/>
      <c r="AK513" s="6" t="n"/>
      <c r="AL513" s="3">
        <f>IF(tblOrdenes[[#This Row],[link_checklist]]="","",HYPERLINK(p_ruta_base_checklists&amp;tblOrdenes[[#This Row],[link_checklist]],"abrir"))</f>
        <v/>
      </c>
      <c r="AM513" s="6" t="n"/>
      <c r="AN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Row],[tipo_ot]]="","",_xlfn.XLOOKUP(tblOrdenes[[#This Row],[tipo_ot]],tblTiposOT[codigo],tblTiposOT[clasificacion],"sin_clasificar"))</f>
        <v/>
      </c>
      <c r="T514" s="3">
        <f>IF(tblOrdenes[[#This Row],[centro_costo]]="","",_xlfn.XLOOKUP(tblOrdenes[[#This Row],[centro_costo]],tblCECO[codigo],tblCECO[linea],"(sin catálogo)"))</f>
        <v/>
      </c>
      <c r="U514" s="3">
        <f>IF(tblOrdenes[[#This Row],[centro_costo]]="","",_xlfn.XLOOKUP(tblOrdenes[[#This Row],[centro_costo]],tblCECO[codigo],tblCECO[area],"(sin catálogo)"))</f>
        <v/>
      </c>
      <c r="V514" s="3">
        <f>IF(tblOrdenes[[#This Row],[centro_costo]]="","",_xlfn.XLOOKUP(tblOrdenes[[#This Row],[centro_costo]],tblCECO[codigo],tblCECO[coordinador],"(sin catálogo)"))</f>
        <v/>
      </c>
      <c r="W514" s="3">
        <f>IF(tblOrdenes[[#This Row],[puesto_trabajo]]="","",_xlfn.XLOOKUP(tblOrdenes[[#This Row],[puesto_trabajo]],tblPuestos[codigo],tblPuestos[especialidad],"(sin catálogo)"))</f>
        <v/>
      </c>
      <c r="X514" s="3">
        <f>IF(tblOrdenes[[#This Row],[cod_actividad]]="","",_xlfn.XLOOKUP(tblOrdenes[[#This Row],[cod_actividad]],tblActividades[codigo],tblActividades[descripcion],"(sin catálogo)"))</f>
        <v/>
      </c>
      <c r="Y514" s="12">
        <f>IF(tblOrdenes[[#This Row],[fecha_inicio]]="","",TODAY()-tblOrdenes[[#This Row],[fecha_inicio]])</f>
        <v/>
      </c>
      <c r="Z514" s="3">
        <f>IF(tblOrdenes[[#This Row],[backlog_dias]]="","",IF(tblOrdenes[[#This Row],[backlog_dias]]&lt;0,"FUTURO",IF(tblOrdenes[[#This Row],[backlog_dias]]&gt;p_dias_backlog_max,"BACKLOG","MES CORRIENTE")))</f>
        <v/>
      </c>
      <c r="AA514" s="3">
        <f>IF(tblOrdenes[[#This Row],[backlog_dias]]="",FALSE,AND(tblOrdenes[[#This Row],[backlog_dias]]&gt;p_dias_backlog_min,tblOrdenes[[#This Row],[backlog_dias]]&lt;=p_dias_backlog_max))</f>
        <v/>
      </c>
      <c r="AB514" s="6" t="n"/>
      <c r="AC5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4" s="10">
        <f>IF(tblOrdenes[[#This Row],[orden]]="","",_xlfn.XLOOKUP(tblOrdenes[[#This Row],[id_operacion]],tblEjecucion[id_operacion],tblEjecucion[precio],0))</f>
        <v/>
      </c>
      <c r="AG514" s="10">
        <f>IF(tblOrdenes[[#This Row],[orden]]="","",MAX(0,_xlfn.XLOOKUP(tblOrdenes[[#This Row],[id_operacion]],tblEjecucion[id_operacion],tblEjecucion[costo_plan_total],0)-tblOrdenes[[#This Row],[costo_servicio]]))</f>
        <v/>
      </c>
      <c r="AH514" s="10">
        <f>IF(tblOrdenes[[#This Row],[orden]]="","",tblOrdenes[[#This Row],[costo_servicio]]+tblOrdenes[[#This Row],[costo_materiales]])</f>
        <v/>
      </c>
      <c r="AI514" s="6" t="n"/>
      <c r="AJ514" s="6" t="n"/>
      <c r="AK514" s="6" t="n"/>
      <c r="AL514" s="3">
        <f>IF(tblOrdenes[[#This Row],[link_checklist]]="","",HYPERLINK(p_ruta_base_checklists&amp;tblOrdenes[[#This Row],[link_checklist]],"abrir"))</f>
        <v/>
      </c>
      <c r="AM514" s="6" t="n"/>
      <c r="AN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Row],[tipo_ot]]="","",_xlfn.XLOOKUP(tblOrdenes[[#This Row],[tipo_ot]],tblTiposOT[codigo],tblTiposOT[clasificacion],"sin_clasificar"))</f>
        <v/>
      </c>
      <c r="T515" s="3">
        <f>IF(tblOrdenes[[#This Row],[centro_costo]]="","",_xlfn.XLOOKUP(tblOrdenes[[#This Row],[centro_costo]],tblCECO[codigo],tblCECO[linea],"(sin catálogo)"))</f>
        <v/>
      </c>
      <c r="U515" s="3">
        <f>IF(tblOrdenes[[#This Row],[centro_costo]]="","",_xlfn.XLOOKUP(tblOrdenes[[#This Row],[centro_costo]],tblCECO[codigo],tblCECO[area],"(sin catálogo)"))</f>
        <v/>
      </c>
      <c r="V515" s="3">
        <f>IF(tblOrdenes[[#This Row],[centro_costo]]="","",_xlfn.XLOOKUP(tblOrdenes[[#This Row],[centro_costo]],tblCECO[codigo],tblCECO[coordinador],"(sin catálogo)"))</f>
        <v/>
      </c>
      <c r="W515" s="3">
        <f>IF(tblOrdenes[[#This Row],[puesto_trabajo]]="","",_xlfn.XLOOKUP(tblOrdenes[[#This Row],[puesto_trabajo]],tblPuestos[codigo],tblPuestos[especialidad],"(sin catálogo)"))</f>
        <v/>
      </c>
      <c r="X515" s="3">
        <f>IF(tblOrdenes[[#This Row],[cod_actividad]]="","",_xlfn.XLOOKUP(tblOrdenes[[#This Row],[cod_actividad]],tblActividades[codigo],tblActividades[descripcion],"(sin catálogo)"))</f>
        <v/>
      </c>
      <c r="Y515" s="12">
        <f>IF(tblOrdenes[[#This Row],[fecha_inicio]]="","",TODAY()-tblOrdenes[[#This Row],[fecha_inicio]])</f>
        <v/>
      </c>
      <c r="Z515" s="3">
        <f>IF(tblOrdenes[[#This Row],[backlog_dias]]="","",IF(tblOrdenes[[#This Row],[backlog_dias]]&lt;0,"FUTURO",IF(tblOrdenes[[#This Row],[backlog_dias]]&gt;p_dias_backlog_max,"BACKLOG","MES CORRIENTE")))</f>
        <v/>
      </c>
      <c r="AA515" s="3">
        <f>IF(tblOrdenes[[#This Row],[backlog_dias]]="",FALSE,AND(tblOrdenes[[#This Row],[backlog_dias]]&gt;p_dias_backlog_min,tblOrdenes[[#This Row],[backlog_dias]]&lt;=p_dias_backlog_max))</f>
        <v/>
      </c>
      <c r="AB515" s="6" t="n"/>
      <c r="AC5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5" s="10">
        <f>IF(tblOrdenes[[#This Row],[orden]]="","",_xlfn.XLOOKUP(tblOrdenes[[#This Row],[id_operacion]],tblEjecucion[id_operacion],tblEjecucion[precio],0))</f>
        <v/>
      </c>
      <c r="AG515" s="10">
        <f>IF(tblOrdenes[[#This Row],[orden]]="","",MAX(0,_xlfn.XLOOKUP(tblOrdenes[[#This Row],[id_operacion]],tblEjecucion[id_operacion],tblEjecucion[costo_plan_total],0)-tblOrdenes[[#This Row],[costo_servicio]]))</f>
        <v/>
      </c>
      <c r="AH515" s="10">
        <f>IF(tblOrdenes[[#This Row],[orden]]="","",tblOrdenes[[#This Row],[costo_servicio]]+tblOrdenes[[#This Row],[costo_materiales]])</f>
        <v/>
      </c>
      <c r="AI515" s="6" t="n"/>
      <c r="AJ515" s="6" t="n"/>
      <c r="AK515" s="6" t="n"/>
      <c r="AL515" s="3">
        <f>IF(tblOrdenes[[#This Row],[link_checklist]]="","",HYPERLINK(p_ruta_base_checklists&amp;tblOrdenes[[#This Row],[link_checklist]],"abrir"))</f>
        <v/>
      </c>
      <c r="AM515" s="6" t="n"/>
      <c r="AN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Row],[tipo_ot]]="","",_xlfn.XLOOKUP(tblOrdenes[[#This Row],[tipo_ot]],tblTiposOT[codigo],tblTiposOT[clasificacion],"sin_clasificar"))</f>
        <v/>
      </c>
      <c r="T516" s="3">
        <f>IF(tblOrdenes[[#This Row],[centro_costo]]="","",_xlfn.XLOOKUP(tblOrdenes[[#This Row],[centro_costo]],tblCECO[codigo],tblCECO[linea],"(sin catálogo)"))</f>
        <v/>
      </c>
      <c r="U516" s="3">
        <f>IF(tblOrdenes[[#This Row],[centro_costo]]="","",_xlfn.XLOOKUP(tblOrdenes[[#This Row],[centro_costo]],tblCECO[codigo],tblCECO[area],"(sin catálogo)"))</f>
        <v/>
      </c>
      <c r="V516" s="3">
        <f>IF(tblOrdenes[[#This Row],[centro_costo]]="","",_xlfn.XLOOKUP(tblOrdenes[[#This Row],[centro_costo]],tblCECO[codigo],tblCECO[coordinador],"(sin catálogo)"))</f>
        <v/>
      </c>
      <c r="W516" s="3">
        <f>IF(tblOrdenes[[#This Row],[puesto_trabajo]]="","",_xlfn.XLOOKUP(tblOrdenes[[#This Row],[puesto_trabajo]],tblPuestos[codigo],tblPuestos[especialidad],"(sin catálogo)"))</f>
        <v/>
      </c>
      <c r="X516" s="3">
        <f>IF(tblOrdenes[[#This Row],[cod_actividad]]="","",_xlfn.XLOOKUP(tblOrdenes[[#This Row],[cod_actividad]],tblActividades[codigo],tblActividades[descripcion],"(sin catálogo)"))</f>
        <v/>
      </c>
      <c r="Y516" s="12">
        <f>IF(tblOrdenes[[#This Row],[fecha_inicio]]="","",TODAY()-tblOrdenes[[#This Row],[fecha_inicio]])</f>
        <v/>
      </c>
      <c r="Z516" s="3">
        <f>IF(tblOrdenes[[#This Row],[backlog_dias]]="","",IF(tblOrdenes[[#This Row],[backlog_dias]]&lt;0,"FUTURO",IF(tblOrdenes[[#This Row],[backlog_dias]]&gt;p_dias_backlog_max,"BACKLOG","MES CORRIENTE")))</f>
        <v/>
      </c>
      <c r="AA516" s="3">
        <f>IF(tblOrdenes[[#This Row],[backlog_dias]]="",FALSE,AND(tblOrdenes[[#This Row],[backlog_dias]]&gt;p_dias_backlog_min,tblOrdenes[[#This Row],[backlog_dias]]&lt;=p_dias_backlog_max))</f>
        <v/>
      </c>
      <c r="AB516" s="6" t="n"/>
      <c r="AC5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6" s="10">
        <f>IF(tblOrdenes[[#This Row],[orden]]="","",_xlfn.XLOOKUP(tblOrdenes[[#This Row],[id_operacion]],tblEjecucion[id_operacion],tblEjecucion[precio],0))</f>
        <v/>
      </c>
      <c r="AG516" s="10">
        <f>IF(tblOrdenes[[#This Row],[orden]]="","",MAX(0,_xlfn.XLOOKUP(tblOrdenes[[#This Row],[id_operacion]],tblEjecucion[id_operacion],tblEjecucion[costo_plan_total],0)-tblOrdenes[[#This Row],[costo_servicio]]))</f>
        <v/>
      </c>
      <c r="AH516" s="10">
        <f>IF(tblOrdenes[[#This Row],[orden]]="","",tblOrdenes[[#This Row],[costo_servicio]]+tblOrdenes[[#This Row],[costo_materiales]])</f>
        <v/>
      </c>
      <c r="AI516" s="6" t="n"/>
      <c r="AJ516" s="6" t="n"/>
      <c r="AK516" s="6" t="n"/>
      <c r="AL516" s="3">
        <f>IF(tblOrdenes[[#This Row],[link_checklist]]="","",HYPERLINK(p_ruta_base_checklists&amp;tblOrdenes[[#This Row],[link_checklist]],"abrir"))</f>
        <v/>
      </c>
      <c r="AM516" s="6" t="n"/>
      <c r="AN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Row],[tipo_ot]]="","",_xlfn.XLOOKUP(tblOrdenes[[#This Row],[tipo_ot]],tblTiposOT[codigo],tblTiposOT[clasificacion],"sin_clasificar"))</f>
        <v/>
      </c>
      <c r="T517" s="3">
        <f>IF(tblOrdenes[[#This Row],[centro_costo]]="","",_xlfn.XLOOKUP(tblOrdenes[[#This Row],[centro_costo]],tblCECO[codigo],tblCECO[linea],"(sin catálogo)"))</f>
        <v/>
      </c>
      <c r="U517" s="3">
        <f>IF(tblOrdenes[[#This Row],[centro_costo]]="","",_xlfn.XLOOKUP(tblOrdenes[[#This Row],[centro_costo]],tblCECO[codigo],tblCECO[area],"(sin catálogo)"))</f>
        <v/>
      </c>
      <c r="V517" s="3">
        <f>IF(tblOrdenes[[#This Row],[centro_costo]]="","",_xlfn.XLOOKUP(tblOrdenes[[#This Row],[centro_costo]],tblCECO[codigo],tblCECO[coordinador],"(sin catálogo)"))</f>
        <v/>
      </c>
      <c r="W517" s="3">
        <f>IF(tblOrdenes[[#This Row],[puesto_trabajo]]="","",_xlfn.XLOOKUP(tblOrdenes[[#This Row],[puesto_trabajo]],tblPuestos[codigo],tblPuestos[especialidad],"(sin catálogo)"))</f>
        <v/>
      </c>
      <c r="X517" s="3">
        <f>IF(tblOrdenes[[#This Row],[cod_actividad]]="","",_xlfn.XLOOKUP(tblOrdenes[[#This Row],[cod_actividad]],tblActividades[codigo],tblActividades[descripcion],"(sin catálogo)"))</f>
        <v/>
      </c>
      <c r="Y517" s="12">
        <f>IF(tblOrdenes[[#This Row],[fecha_inicio]]="","",TODAY()-tblOrdenes[[#This Row],[fecha_inicio]])</f>
        <v/>
      </c>
      <c r="Z517" s="3">
        <f>IF(tblOrdenes[[#This Row],[backlog_dias]]="","",IF(tblOrdenes[[#This Row],[backlog_dias]]&lt;0,"FUTURO",IF(tblOrdenes[[#This Row],[backlog_dias]]&gt;p_dias_backlog_max,"BACKLOG","MES CORRIENTE")))</f>
        <v/>
      </c>
      <c r="AA517" s="3">
        <f>IF(tblOrdenes[[#This Row],[backlog_dias]]="",FALSE,AND(tblOrdenes[[#This Row],[backlog_dias]]&gt;p_dias_backlog_min,tblOrdenes[[#This Row],[backlog_dias]]&lt;=p_dias_backlog_max))</f>
        <v/>
      </c>
      <c r="AB517" s="6" t="n"/>
      <c r="AC5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7" s="10">
        <f>IF(tblOrdenes[[#This Row],[orden]]="","",_xlfn.XLOOKUP(tblOrdenes[[#This Row],[id_operacion]],tblEjecucion[id_operacion],tblEjecucion[precio],0))</f>
        <v/>
      </c>
      <c r="AG517" s="10">
        <f>IF(tblOrdenes[[#This Row],[orden]]="","",MAX(0,_xlfn.XLOOKUP(tblOrdenes[[#This Row],[id_operacion]],tblEjecucion[id_operacion],tblEjecucion[costo_plan_total],0)-tblOrdenes[[#This Row],[costo_servicio]]))</f>
        <v/>
      </c>
      <c r="AH517" s="10">
        <f>IF(tblOrdenes[[#This Row],[orden]]="","",tblOrdenes[[#This Row],[costo_servicio]]+tblOrdenes[[#This Row],[costo_materiales]])</f>
        <v/>
      </c>
      <c r="AI517" s="6" t="n"/>
      <c r="AJ517" s="6" t="n"/>
      <c r="AK517" s="6" t="n"/>
      <c r="AL517" s="3">
        <f>IF(tblOrdenes[[#This Row],[link_checklist]]="","",HYPERLINK(p_ruta_base_checklists&amp;tblOrdenes[[#This Row],[link_checklist]],"abrir"))</f>
        <v/>
      </c>
      <c r="AM517" s="6" t="n"/>
      <c r="AN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Row],[tipo_ot]]="","",_xlfn.XLOOKUP(tblOrdenes[[#This Row],[tipo_ot]],tblTiposOT[codigo],tblTiposOT[clasificacion],"sin_clasificar"))</f>
        <v/>
      </c>
      <c r="T518" s="3">
        <f>IF(tblOrdenes[[#This Row],[centro_costo]]="","",_xlfn.XLOOKUP(tblOrdenes[[#This Row],[centro_costo]],tblCECO[codigo],tblCECO[linea],"(sin catálogo)"))</f>
        <v/>
      </c>
      <c r="U518" s="3">
        <f>IF(tblOrdenes[[#This Row],[centro_costo]]="","",_xlfn.XLOOKUP(tblOrdenes[[#This Row],[centro_costo]],tblCECO[codigo],tblCECO[area],"(sin catálogo)"))</f>
        <v/>
      </c>
      <c r="V518" s="3">
        <f>IF(tblOrdenes[[#This Row],[centro_costo]]="","",_xlfn.XLOOKUP(tblOrdenes[[#This Row],[centro_costo]],tblCECO[codigo],tblCECO[coordinador],"(sin catálogo)"))</f>
        <v/>
      </c>
      <c r="W518" s="3">
        <f>IF(tblOrdenes[[#This Row],[puesto_trabajo]]="","",_xlfn.XLOOKUP(tblOrdenes[[#This Row],[puesto_trabajo]],tblPuestos[codigo],tblPuestos[especialidad],"(sin catálogo)"))</f>
        <v/>
      </c>
      <c r="X518" s="3">
        <f>IF(tblOrdenes[[#This Row],[cod_actividad]]="","",_xlfn.XLOOKUP(tblOrdenes[[#This Row],[cod_actividad]],tblActividades[codigo],tblActividades[descripcion],"(sin catálogo)"))</f>
        <v/>
      </c>
      <c r="Y518" s="12">
        <f>IF(tblOrdenes[[#This Row],[fecha_inicio]]="","",TODAY()-tblOrdenes[[#This Row],[fecha_inicio]])</f>
        <v/>
      </c>
      <c r="Z518" s="3">
        <f>IF(tblOrdenes[[#This Row],[backlog_dias]]="","",IF(tblOrdenes[[#This Row],[backlog_dias]]&lt;0,"FUTURO",IF(tblOrdenes[[#This Row],[backlog_dias]]&gt;p_dias_backlog_max,"BACKLOG","MES CORRIENTE")))</f>
        <v/>
      </c>
      <c r="AA518" s="3">
        <f>IF(tblOrdenes[[#This Row],[backlog_dias]]="",FALSE,AND(tblOrdenes[[#This Row],[backlog_dias]]&gt;p_dias_backlog_min,tblOrdenes[[#This Row],[backlog_dias]]&lt;=p_dias_backlog_max))</f>
        <v/>
      </c>
      <c r="AB518" s="6" t="n"/>
      <c r="AC5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8" s="10">
        <f>IF(tblOrdenes[[#This Row],[orden]]="","",_xlfn.XLOOKUP(tblOrdenes[[#This Row],[id_operacion]],tblEjecucion[id_operacion],tblEjecucion[precio],0))</f>
        <v/>
      </c>
      <c r="AG518" s="10">
        <f>IF(tblOrdenes[[#This Row],[orden]]="","",MAX(0,_xlfn.XLOOKUP(tblOrdenes[[#This Row],[id_operacion]],tblEjecucion[id_operacion],tblEjecucion[costo_plan_total],0)-tblOrdenes[[#This Row],[costo_servicio]]))</f>
        <v/>
      </c>
      <c r="AH518" s="10">
        <f>IF(tblOrdenes[[#This Row],[orden]]="","",tblOrdenes[[#This Row],[costo_servicio]]+tblOrdenes[[#This Row],[costo_materiales]])</f>
        <v/>
      </c>
      <c r="AI518" s="6" t="n"/>
      <c r="AJ518" s="6" t="n"/>
      <c r="AK518" s="6" t="n"/>
      <c r="AL518" s="3">
        <f>IF(tblOrdenes[[#This Row],[link_checklist]]="","",HYPERLINK(p_ruta_base_checklists&amp;tblOrdenes[[#This Row],[link_checklist]],"abrir"))</f>
        <v/>
      </c>
      <c r="AM518" s="6" t="n"/>
      <c r="AN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Row],[tipo_ot]]="","",_xlfn.XLOOKUP(tblOrdenes[[#This Row],[tipo_ot]],tblTiposOT[codigo],tblTiposOT[clasificacion],"sin_clasificar"))</f>
        <v/>
      </c>
      <c r="T519" s="3">
        <f>IF(tblOrdenes[[#This Row],[centro_costo]]="","",_xlfn.XLOOKUP(tblOrdenes[[#This Row],[centro_costo]],tblCECO[codigo],tblCECO[linea],"(sin catálogo)"))</f>
        <v/>
      </c>
      <c r="U519" s="3">
        <f>IF(tblOrdenes[[#This Row],[centro_costo]]="","",_xlfn.XLOOKUP(tblOrdenes[[#This Row],[centro_costo]],tblCECO[codigo],tblCECO[area],"(sin catálogo)"))</f>
        <v/>
      </c>
      <c r="V519" s="3">
        <f>IF(tblOrdenes[[#This Row],[centro_costo]]="","",_xlfn.XLOOKUP(tblOrdenes[[#This Row],[centro_costo]],tblCECO[codigo],tblCECO[coordinador],"(sin catálogo)"))</f>
        <v/>
      </c>
      <c r="W519" s="3">
        <f>IF(tblOrdenes[[#This Row],[puesto_trabajo]]="","",_xlfn.XLOOKUP(tblOrdenes[[#This Row],[puesto_trabajo]],tblPuestos[codigo],tblPuestos[especialidad],"(sin catálogo)"))</f>
        <v/>
      </c>
      <c r="X519" s="3">
        <f>IF(tblOrdenes[[#This Row],[cod_actividad]]="","",_xlfn.XLOOKUP(tblOrdenes[[#This Row],[cod_actividad]],tblActividades[codigo],tblActividades[descripcion],"(sin catálogo)"))</f>
        <v/>
      </c>
      <c r="Y519" s="12">
        <f>IF(tblOrdenes[[#This Row],[fecha_inicio]]="","",TODAY()-tblOrdenes[[#This Row],[fecha_inicio]])</f>
        <v/>
      </c>
      <c r="Z519" s="3">
        <f>IF(tblOrdenes[[#This Row],[backlog_dias]]="","",IF(tblOrdenes[[#This Row],[backlog_dias]]&lt;0,"FUTURO",IF(tblOrdenes[[#This Row],[backlog_dias]]&gt;p_dias_backlog_max,"BACKLOG","MES CORRIENTE")))</f>
        <v/>
      </c>
      <c r="AA519" s="3">
        <f>IF(tblOrdenes[[#This Row],[backlog_dias]]="",FALSE,AND(tblOrdenes[[#This Row],[backlog_dias]]&gt;p_dias_backlog_min,tblOrdenes[[#This Row],[backlog_dias]]&lt;=p_dias_backlog_max))</f>
        <v/>
      </c>
      <c r="AB519" s="6" t="n"/>
      <c r="AC5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9" s="10">
        <f>IF(tblOrdenes[[#This Row],[orden]]="","",_xlfn.XLOOKUP(tblOrdenes[[#This Row],[id_operacion]],tblEjecucion[id_operacion],tblEjecucion[precio],0))</f>
        <v/>
      </c>
      <c r="AG519" s="10">
        <f>IF(tblOrdenes[[#This Row],[orden]]="","",MAX(0,_xlfn.XLOOKUP(tblOrdenes[[#This Row],[id_operacion]],tblEjecucion[id_operacion],tblEjecucion[costo_plan_total],0)-tblOrdenes[[#This Row],[costo_servicio]]))</f>
        <v/>
      </c>
      <c r="AH519" s="10">
        <f>IF(tblOrdenes[[#This Row],[orden]]="","",tblOrdenes[[#This Row],[costo_servicio]]+tblOrdenes[[#This Row],[costo_materiales]])</f>
        <v/>
      </c>
      <c r="AI519" s="6" t="n"/>
      <c r="AJ519" s="6" t="n"/>
      <c r="AK519" s="6" t="n"/>
      <c r="AL519" s="3">
        <f>IF(tblOrdenes[[#This Row],[link_checklist]]="","",HYPERLINK(p_ruta_base_checklists&amp;tblOrdenes[[#This Row],[link_checklist]],"abrir"))</f>
        <v/>
      </c>
      <c r="AM519" s="6" t="n"/>
      <c r="AN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Row],[tipo_ot]]="","",_xlfn.XLOOKUP(tblOrdenes[[#This Row],[tipo_ot]],tblTiposOT[codigo],tblTiposOT[clasificacion],"sin_clasificar"))</f>
        <v/>
      </c>
      <c r="T520" s="3">
        <f>IF(tblOrdenes[[#This Row],[centro_costo]]="","",_xlfn.XLOOKUP(tblOrdenes[[#This Row],[centro_costo]],tblCECO[codigo],tblCECO[linea],"(sin catálogo)"))</f>
        <v/>
      </c>
      <c r="U520" s="3">
        <f>IF(tblOrdenes[[#This Row],[centro_costo]]="","",_xlfn.XLOOKUP(tblOrdenes[[#This Row],[centro_costo]],tblCECO[codigo],tblCECO[area],"(sin catálogo)"))</f>
        <v/>
      </c>
      <c r="V520" s="3">
        <f>IF(tblOrdenes[[#This Row],[centro_costo]]="","",_xlfn.XLOOKUP(tblOrdenes[[#This Row],[centro_costo]],tblCECO[codigo],tblCECO[coordinador],"(sin catálogo)"))</f>
        <v/>
      </c>
      <c r="W520" s="3">
        <f>IF(tblOrdenes[[#This Row],[puesto_trabajo]]="","",_xlfn.XLOOKUP(tblOrdenes[[#This Row],[puesto_trabajo]],tblPuestos[codigo],tblPuestos[especialidad],"(sin catálogo)"))</f>
        <v/>
      </c>
      <c r="X520" s="3">
        <f>IF(tblOrdenes[[#This Row],[cod_actividad]]="","",_xlfn.XLOOKUP(tblOrdenes[[#This Row],[cod_actividad]],tblActividades[codigo],tblActividades[descripcion],"(sin catálogo)"))</f>
        <v/>
      </c>
      <c r="Y520" s="12">
        <f>IF(tblOrdenes[[#This Row],[fecha_inicio]]="","",TODAY()-tblOrdenes[[#This Row],[fecha_inicio]])</f>
        <v/>
      </c>
      <c r="Z520" s="3">
        <f>IF(tblOrdenes[[#This Row],[backlog_dias]]="","",IF(tblOrdenes[[#This Row],[backlog_dias]]&lt;0,"FUTURO",IF(tblOrdenes[[#This Row],[backlog_dias]]&gt;p_dias_backlog_max,"BACKLOG","MES CORRIENTE")))</f>
        <v/>
      </c>
      <c r="AA520" s="3">
        <f>IF(tblOrdenes[[#This Row],[backlog_dias]]="",FALSE,AND(tblOrdenes[[#This Row],[backlog_dias]]&gt;p_dias_backlog_min,tblOrdenes[[#This Row],[backlog_dias]]&lt;=p_dias_backlog_max))</f>
        <v/>
      </c>
      <c r="AB520" s="6" t="n"/>
      <c r="AC5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0" s="10">
        <f>IF(tblOrdenes[[#This Row],[orden]]="","",_xlfn.XLOOKUP(tblOrdenes[[#This Row],[id_operacion]],tblEjecucion[id_operacion],tblEjecucion[precio],0))</f>
        <v/>
      </c>
      <c r="AG520" s="10">
        <f>IF(tblOrdenes[[#This Row],[orden]]="","",MAX(0,_xlfn.XLOOKUP(tblOrdenes[[#This Row],[id_operacion]],tblEjecucion[id_operacion],tblEjecucion[costo_plan_total],0)-tblOrdenes[[#This Row],[costo_servicio]]))</f>
        <v/>
      </c>
      <c r="AH520" s="10">
        <f>IF(tblOrdenes[[#This Row],[orden]]="","",tblOrdenes[[#This Row],[costo_servicio]]+tblOrdenes[[#This Row],[costo_materiales]])</f>
        <v/>
      </c>
      <c r="AI520" s="6" t="n"/>
      <c r="AJ520" s="6" t="n"/>
      <c r="AK520" s="6" t="n"/>
      <c r="AL520" s="3">
        <f>IF(tblOrdenes[[#This Row],[link_checklist]]="","",HYPERLINK(p_ruta_base_checklists&amp;tblOrdenes[[#This Row],[link_checklist]],"abrir"))</f>
        <v/>
      </c>
      <c r="AM520" s="6" t="n"/>
      <c r="AN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Row],[tipo_ot]]="","",_xlfn.XLOOKUP(tblOrdenes[[#This Row],[tipo_ot]],tblTiposOT[codigo],tblTiposOT[clasificacion],"sin_clasificar"))</f>
        <v/>
      </c>
      <c r="T521" s="3">
        <f>IF(tblOrdenes[[#This Row],[centro_costo]]="","",_xlfn.XLOOKUP(tblOrdenes[[#This Row],[centro_costo]],tblCECO[codigo],tblCECO[linea],"(sin catálogo)"))</f>
        <v/>
      </c>
      <c r="U521" s="3">
        <f>IF(tblOrdenes[[#This Row],[centro_costo]]="","",_xlfn.XLOOKUP(tblOrdenes[[#This Row],[centro_costo]],tblCECO[codigo],tblCECO[area],"(sin catálogo)"))</f>
        <v/>
      </c>
      <c r="V521" s="3">
        <f>IF(tblOrdenes[[#This Row],[centro_costo]]="","",_xlfn.XLOOKUP(tblOrdenes[[#This Row],[centro_costo]],tblCECO[codigo],tblCECO[coordinador],"(sin catálogo)"))</f>
        <v/>
      </c>
      <c r="W521" s="3">
        <f>IF(tblOrdenes[[#This Row],[puesto_trabajo]]="","",_xlfn.XLOOKUP(tblOrdenes[[#This Row],[puesto_trabajo]],tblPuestos[codigo],tblPuestos[especialidad],"(sin catálogo)"))</f>
        <v/>
      </c>
      <c r="X521" s="3">
        <f>IF(tblOrdenes[[#This Row],[cod_actividad]]="","",_xlfn.XLOOKUP(tblOrdenes[[#This Row],[cod_actividad]],tblActividades[codigo],tblActividades[descripcion],"(sin catálogo)"))</f>
        <v/>
      </c>
      <c r="Y521" s="12">
        <f>IF(tblOrdenes[[#This Row],[fecha_inicio]]="","",TODAY()-tblOrdenes[[#This Row],[fecha_inicio]])</f>
        <v/>
      </c>
      <c r="Z521" s="3">
        <f>IF(tblOrdenes[[#This Row],[backlog_dias]]="","",IF(tblOrdenes[[#This Row],[backlog_dias]]&lt;0,"FUTURO",IF(tblOrdenes[[#This Row],[backlog_dias]]&gt;p_dias_backlog_max,"BACKLOG","MES CORRIENTE")))</f>
        <v/>
      </c>
      <c r="AA521" s="3">
        <f>IF(tblOrdenes[[#This Row],[backlog_dias]]="",FALSE,AND(tblOrdenes[[#This Row],[backlog_dias]]&gt;p_dias_backlog_min,tblOrdenes[[#This Row],[backlog_dias]]&lt;=p_dias_backlog_max))</f>
        <v/>
      </c>
      <c r="AB521" s="6" t="n"/>
      <c r="AC5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1" s="10">
        <f>IF(tblOrdenes[[#This Row],[orden]]="","",_xlfn.XLOOKUP(tblOrdenes[[#This Row],[id_operacion]],tblEjecucion[id_operacion],tblEjecucion[precio],0))</f>
        <v/>
      </c>
      <c r="AG521" s="10">
        <f>IF(tblOrdenes[[#This Row],[orden]]="","",MAX(0,_xlfn.XLOOKUP(tblOrdenes[[#This Row],[id_operacion]],tblEjecucion[id_operacion],tblEjecucion[costo_plan_total],0)-tblOrdenes[[#This Row],[costo_servicio]]))</f>
        <v/>
      </c>
      <c r="AH521" s="10">
        <f>IF(tblOrdenes[[#This Row],[orden]]="","",tblOrdenes[[#This Row],[costo_servicio]]+tblOrdenes[[#This Row],[costo_materiales]])</f>
        <v/>
      </c>
      <c r="AI521" s="6" t="n"/>
      <c r="AJ521" s="6" t="n"/>
      <c r="AK521" s="6" t="n"/>
      <c r="AL521" s="3">
        <f>IF(tblOrdenes[[#This Row],[link_checklist]]="","",HYPERLINK(p_ruta_base_checklists&amp;tblOrdenes[[#This Row],[link_checklist]],"abrir"))</f>
        <v/>
      </c>
      <c r="AM521" s="6" t="n"/>
      <c r="AN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Row],[tipo_ot]]="","",_xlfn.XLOOKUP(tblOrdenes[[#This Row],[tipo_ot]],tblTiposOT[codigo],tblTiposOT[clasificacion],"sin_clasificar"))</f>
        <v/>
      </c>
      <c r="T522" s="3">
        <f>IF(tblOrdenes[[#This Row],[centro_costo]]="","",_xlfn.XLOOKUP(tblOrdenes[[#This Row],[centro_costo]],tblCECO[codigo],tblCECO[linea],"(sin catálogo)"))</f>
        <v/>
      </c>
      <c r="U522" s="3">
        <f>IF(tblOrdenes[[#This Row],[centro_costo]]="","",_xlfn.XLOOKUP(tblOrdenes[[#This Row],[centro_costo]],tblCECO[codigo],tblCECO[area],"(sin catálogo)"))</f>
        <v/>
      </c>
      <c r="V522" s="3">
        <f>IF(tblOrdenes[[#This Row],[centro_costo]]="","",_xlfn.XLOOKUP(tblOrdenes[[#This Row],[centro_costo]],tblCECO[codigo],tblCECO[coordinador],"(sin catálogo)"))</f>
        <v/>
      </c>
      <c r="W522" s="3">
        <f>IF(tblOrdenes[[#This Row],[puesto_trabajo]]="","",_xlfn.XLOOKUP(tblOrdenes[[#This Row],[puesto_trabajo]],tblPuestos[codigo],tblPuestos[especialidad],"(sin catálogo)"))</f>
        <v/>
      </c>
      <c r="X522" s="3">
        <f>IF(tblOrdenes[[#This Row],[cod_actividad]]="","",_xlfn.XLOOKUP(tblOrdenes[[#This Row],[cod_actividad]],tblActividades[codigo],tblActividades[descripcion],"(sin catálogo)"))</f>
        <v/>
      </c>
      <c r="Y522" s="12">
        <f>IF(tblOrdenes[[#This Row],[fecha_inicio]]="","",TODAY()-tblOrdenes[[#This Row],[fecha_inicio]])</f>
        <v/>
      </c>
      <c r="Z522" s="3">
        <f>IF(tblOrdenes[[#This Row],[backlog_dias]]="","",IF(tblOrdenes[[#This Row],[backlog_dias]]&lt;0,"FUTURO",IF(tblOrdenes[[#This Row],[backlog_dias]]&gt;p_dias_backlog_max,"BACKLOG","MES CORRIENTE")))</f>
        <v/>
      </c>
      <c r="AA522" s="3">
        <f>IF(tblOrdenes[[#This Row],[backlog_dias]]="",FALSE,AND(tblOrdenes[[#This Row],[backlog_dias]]&gt;p_dias_backlog_min,tblOrdenes[[#This Row],[backlog_dias]]&lt;=p_dias_backlog_max))</f>
        <v/>
      </c>
      <c r="AB522" s="6" t="n"/>
      <c r="AC5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2" s="10">
        <f>IF(tblOrdenes[[#This Row],[orden]]="","",_xlfn.XLOOKUP(tblOrdenes[[#This Row],[id_operacion]],tblEjecucion[id_operacion],tblEjecucion[precio],0))</f>
        <v/>
      </c>
      <c r="AG522" s="10">
        <f>IF(tblOrdenes[[#This Row],[orden]]="","",MAX(0,_xlfn.XLOOKUP(tblOrdenes[[#This Row],[id_operacion]],tblEjecucion[id_operacion],tblEjecucion[costo_plan_total],0)-tblOrdenes[[#This Row],[costo_servicio]]))</f>
        <v/>
      </c>
      <c r="AH522" s="10">
        <f>IF(tblOrdenes[[#This Row],[orden]]="","",tblOrdenes[[#This Row],[costo_servicio]]+tblOrdenes[[#This Row],[costo_materiales]])</f>
        <v/>
      </c>
      <c r="AI522" s="6" t="n"/>
      <c r="AJ522" s="6" t="n"/>
      <c r="AK522" s="6" t="n"/>
      <c r="AL522" s="3">
        <f>IF(tblOrdenes[[#This Row],[link_checklist]]="","",HYPERLINK(p_ruta_base_checklists&amp;tblOrdenes[[#This Row],[link_checklist]],"abrir"))</f>
        <v/>
      </c>
      <c r="AM522" s="6" t="n"/>
      <c r="AN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Row],[tipo_ot]]="","",_xlfn.XLOOKUP(tblOrdenes[[#This Row],[tipo_ot]],tblTiposOT[codigo],tblTiposOT[clasificacion],"sin_clasificar"))</f>
        <v/>
      </c>
      <c r="T523" s="3">
        <f>IF(tblOrdenes[[#This Row],[centro_costo]]="","",_xlfn.XLOOKUP(tblOrdenes[[#This Row],[centro_costo]],tblCECO[codigo],tblCECO[linea],"(sin catálogo)"))</f>
        <v/>
      </c>
      <c r="U523" s="3">
        <f>IF(tblOrdenes[[#This Row],[centro_costo]]="","",_xlfn.XLOOKUP(tblOrdenes[[#This Row],[centro_costo]],tblCECO[codigo],tblCECO[area],"(sin catálogo)"))</f>
        <v/>
      </c>
      <c r="V523" s="3">
        <f>IF(tblOrdenes[[#This Row],[centro_costo]]="","",_xlfn.XLOOKUP(tblOrdenes[[#This Row],[centro_costo]],tblCECO[codigo],tblCECO[coordinador],"(sin catálogo)"))</f>
        <v/>
      </c>
      <c r="W523" s="3">
        <f>IF(tblOrdenes[[#This Row],[puesto_trabajo]]="","",_xlfn.XLOOKUP(tblOrdenes[[#This Row],[puesto_trabajo]],tblPuestos[codigo],tblPuestos[especialidad],"(sin catálogo)"))</f>
        <v/>
      </c>
      <c r="X523" s="3">
        <f>IF(tblOrdenes[[#This Row],[cod_actividad]]="","",_xlfn.XLOOKUP(tblOrdenes[[#This Row],[cod_actividad]],tblActividades[codigo],tblActividades[descripcion],"(sin catálogo)"))</f>
        <v/>
      </c>
      <c r="Y523" s="12">
        <f>IF(tblOrdenes[[#This Row],[fecha_inicio]]="","",TODAY()-tblOrdenes[[#This Row],[fecha_inicio]])</f>
        <v/>
      </c>
      <c r="Z523" s="3">
        <f>IF(tblOrdenes[[#This Row],[backlog_dias]]="","",IF(tblOrdenes[[#This Row],[backlog_dias]]&lt;0,"FUTURO",IF(tblOrdenes[[#This Row],[backlog_dias]]&gt;p_dias_backlog_max,"BACKLOG","MES CORRIENTE")))</f>
        <v/>
      </c>
      <c r="AA523" s="3">
        <f>IF(tblOrdenes[[#This Row],[backlog_dias]]="",FALSE,AND(tblOrdenes[[#This Row],[backlog_dias]]&gt;p_dias_backlog_min,tblOrdenes[[#This Row],[backlog_dias]]&lt;=p_dias_backlog_max))</f>
        <v/>
      </c>
      <c r="AB523" s="6" t="n"/>
      <c r="AC5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3" s="10">
        <f>IF(tblOrdenes[[#This Row],[orden]]="","",_xlfn.XLOOKUP(tblOrdenes[[#This Row],[id_operacion]],tblEjecucion[id_operacion],tblEjecucion[precio],0))</f>
        <v/>
      </c>
      <c r="AG523" s="10">
        <f>IF(tblOrdenes[[#This Row],[orden]]="","",MAX(0,_xlfn.XLOOKUP(tblOrdenes[[#This Row],[id_operacion]],tblEjecucion[id_operacion],tblEjecucion[costo_plan_total],0)-tblOrdenes[[#This Row],[costo_servicio]]))</f>
        <v/>
      </c>
      <c r="AH523" s="10">
        <f>IF(tblOrdenes[[#This Row],[orden]]="","",tblOrdenes[[#This Row],[costo_servicio]]+tblOrdenes[[#This Row],[costo_materiales]])</f>
        <v/>
      </c>
      <c r="AI523" s="6" t="n"/>
      <c r="AJ523" s="6" t="n"/>
      <c r="AK523" s="6" t="n"/>
      <c r="AL523" s="3">
        <f>IF(tblOrdenes[[#This Row],[link_checklist]]="","",HYPERLINK(p_ruta_base_checklists&amp;tblOrdenes[[#This Row],[link_checklist]],"abrir"))</f>
        <v/>
      </c>
      <c r="AM523" s="6" t="n"/>
      <c r="AN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Row],[tipo_ot]]="","",_xlfn.XLOOKUP(tblOrdenes[[#This Row],[tipo_ot]],tblTiposOT[codigo],tblTiposOT[clasificacion],"sin_clasificar"))</f>
        <v/>
      </c>
      <c r="T524" s="3">
        <f>IF(tblOrdenes[[#This Row],[centro_costo]]="","",_xlfn.XLOOKUP(tblOrdenes[[#This Row],[centro_costo]],tblCECO[codigo],tblCECO[linea],"(sin catálogo)"))</f>
        <v/>
      </c>
      <c r="U524" s="3">
        <f>IF(tblOrdenes[[#This Row],[centro_costo]]="","",_xlfn.XLOOKUP(tblOrdenes[[#This Row],[centro_costo]],tblCECO[codigo],tblCECO[area],"(sin catálogo)"))</f>
        <v/>
      </c>
      <c r="V524" s="3">
        <f>IF(tblOrdenes[[#This Row],[centro_costo]]="","",_xlfn.XLOOKUP(tblOrdenes[[#This Row],[centro_costo]],tblCECO[codigo],tblCECO[coordinador],"(sin catálogo)"))</f>
        <v/>
      </c>
      <c r="W524" s="3">
        <f>IF(tblOrdenes[[#This Row],[puesto_trabajo]]="","",_xlfn.XLOOKUP(tblOrdenes[[#This Row],[puesto_trabajo]],tblPuestos[codigo],tblPuestos[especialidad],"(sin catálogo)"))</f>
        <v/>
      </c>
      <c r="X524" s="3">
        <f>IF(tblOrdenes[[#This Row],[cod_actividad]]="","",_xlfn.XLOOKUP(tblOrdenes[[#This Row],[cod_actividad]],tblActividades[codigo],tblActividades[descripcion],"(sin catálogo)"))</f>
        <v/>
      </c>
      <c r="Y524" s="12">
        <f>IF(tblOrdenes[[#This Row],[fecha_inicio]]="","",TODAY()-tblOrdenes[[#This Row],[fecha_inicio]])</f>
        <v/>
      </c>
      <c r="Z524" s="3">
        <f>IF(tblOrdenes[[#This Row],[backlog_dias]]="","",IF(tblOrdenes[[#This Row],[backlog_dias]]&lt;0,"FUTURO",IF(tblOrdenes[[#This Row],[backlog_dias]]&gt;p_dias_backlog_max,"BACKLOG","MES CORRIENTE")))</f>
        <v/>
      </c>
      <c r="AA524" s="3">
        <f>IF(tblOrdenes[[#This Row],[backlog_dias]]="",FALSE,AND(tblOrdenes[[#This Row],[backlog_dias]]&gt;p_dias_backlog_min,tblOrdenes[[#This Row],[backlog_dias]]&lt;=p_dias_backlog_max))</f>
        <v/>
      </c>
      <c r="AB524" s="6" t="n"/>
      <c r="AC5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4" s="10">
        <f>IF(tblOrdenes[[#This Row],[orden]]="","",_xlfn.XLOOKUP(tblOrdenes[[#This Row],[id_operacion]],tblEjecucion[id_operacion],tblEjecucion[precio],0))</f>
        <v/>
      </c>
      <c r="AG524" s="10">
        <f>IF(tblOrdenes[[#This Row],[orden]]="","",MAX(0,_xlfn.XLOOKUP(tblOrdenes[[#This Row],[id_operacion]],tblEjecucion[id_operacion],tblEjecucion[costo_plan_total],0)-tblOrdenes[[#This Row],[costo_servicio]]))</f>
        <v/>
      </c>
      <c r="AH524" s="10">
        <f>IF(tblOrdenes[[#This Row],[orden]]="","",tblOrdenes[[#This Row],[costo_servicio]]+tblOrdenes[[#This Row],[costo_materiales]])</f>
        <v/>
      </c>
      <c r="AI524" s="6" t="n"/>
      <c r="AJ524" s="6" t="n"/>
      <c r="AK524" s="6" t="n"/>
      <c r="AL524" s="3">
        <f>IF(tblOrdenes[[#This Row],[link_checklist]]="","",HYPERLINK(p_ruta_base_checklists&amp;tblOrdenes[[#This Row],[link_checklist]],"abrir"))</f>
        <v/>
      </c>
      <c r="AM524" s="6" t="n"/>
      <c r="AN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Row],[tipo_ot]]="","",_xlfn.XLOOKUP(tblOrdenes[[#This Row],[tipo_ot]],tblTiposOT[codigo],tblTiposOT[clasificacion],"sin_clasificar"))</f>
        <v/>
      </c>
      <c r="T525" s="3">
        <f>IF(tblOrdenes[[#This Row],[centro_costo]]="","",_xlfn.XLOOKUP(tblOrdenes[[#This Row],[centro_costo]],tblCECO[codigo],tblCECO[linea],"(sin catálogo)"))</f>
        <v/>
      </c>
      <c r="U525" s="3">
        <f>IF(tblOrdenes[[#This Row],[centro_costo]]="","",_xlfn.XLOOKUP(tblOrdenes[[#This Row],[centro_costo]],tblCECO[codigo],tblCECO[area],"(sin catálogo)"))</f>
        <v/>
      </c>
      <c r="V525" s="3">
        <f>IF(tblOrdenes[[#This Row],[centro_costo]]="","",_xlfn.XLOOKUP(tblOrdenes[[#This Row],[centro_costo]],tblCECO[codigo],tblCECO[coordinador],"(sin catálogo)"))</f>
        <v/>
      </c>
      <c r="W525" s="3">
        <f>IF(tblOrdenes[[#This Row],[puesto_trabajo]]="","",_xlfn.XLOOKUP(tblOrdenes[[#This Row],[puesto_trabajo]],tblPuestos[codigo],tblPuestos[especialidad],"(sin catálogo)"))</f>
        <v/>
      </c>
      <c r="X525" s="3">
        <f>IF(tblOrdenes[[#This Row],[cod_actividad]]="","",_xlfn.XLOOKUP(tblOrdenes[[#This Row],[cod_actividad]],tblActividades[codigo],tblActividades[descripcion],"(sin catálogo)"))</f>
        <v/>
      </c>
      <c r="Y525" s="12">
        <f>IF(tblOrdenes[[#This Row],[fecha_inicio]]="","",TODAY()-tblOrdenes[[#This Row],[fecha_inicio]])</f>
        <v/>
      </c>
      <c r="Z525" s="3">
        <f>IF(tblOrdenes[[#This Row],[backlog_dias]]="","",IF(tblOrdenes[[#This Row],[backlog_dias]]&lt;0,"FUTURO",IF(tblOrdenes[[#This Row],[backlog_dias]]&gt;p_dias_backlog_max,"BACKLOG","MES CORRIENTE")))</f>
        <v/>
      </c>
      <c r="AA525" s="3">
        <f>IF(tblOrdenes[[#This Row],[backlog_dias]]="",FALSE,AND(tblOrdenes[[#This Row],[backlog_dias]]&gt;p_dias_backlog_min,tblOrdenes[[#This Row],[backlog_dias]]&lt;=p_dias_backlog_max))</f>
        <v/>
      </c>
      <c r="AB525" s="6" t="n"/>
      <c r="AC5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5" s="10">
        <f>IF(tblOrdenes[[#This Row],[orden]]="","",_xlfn.XLOOKUP(tblOrdenes[[#This Row],[id_operacion]],tblEjecucion[id_operacion],tblEjecucion[precio],0))</f>
        <v/>
      </c>
      <c r="AG525" s="10">
        <f>IF(tblOrdenes[[#This Row],[orden]]="","",MAX(0,_xlfn.XLOOKUP(tblOrdenes[[#This Row],[id_operacion]],tblEjecucion[id_operacion],tblEjecucion[costo_plan_total],0)-tblOrdenes[[#This Row],[costo_servicio]]))</f>
        <v/>
      </c>
      <c r="AH525" s="10">
        <f>IF(tblOrdenes[[#This Row],[orden]]="","",tblOrdenes[[#This Row],[costo_servicio]]+tblOrdenes[[#This Row],[costo_materiales]])</f>
        <v/>
      </c>
      <c r="AI525" s="6" t="n"/>
      <c r="AJ525" s="6" t="n"/>
      <c r="AK525" s="6" t="n"/>
      <c r="AL525" s="3">
        <f>IF(tblOrdenes[[#This Row],[link_checklist]]="","",HYPERLINK(p_ruta_base_checklists&amp;tblOrdenes[[#This Row],[link_checklist]],"abrir"))</f>
        <v/>
      </c>
      <c r="AM525" s="6" t="n"/>
      <c r="AN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Row],[tipo_ot]]="","",_xlfn.XLOOKUP(tblOrdenes[[#This Row],[tipo_ot]],tblTiposOT[codigo],tblTiposOT[clasificacion],"sin_clasificar"))</f>
        <v/>
      </c>
      <c r="T526" s="3">
        <f>IF(tblOrdenes[[#This Row],[centro_costo]]="","",_xlfn.XLOOKUP(tblOrdenes[[#This Row],[centro_costo]],tblCECO[codigo],tblCECO[linea],"(sin catálogo)"))</f>
        <v/>
      </c>
      <c r="U526" s="3">
        <f>IF(tblOrdenes[[#This Row],[centro_costo]]="","",_xlfn.XLOOKUP(tblOrdenes[[#This Row],[centro_costo]],tblCECO[codigo],tblCECO[area],"(sin catálogo)"))</f>
        <v/>
      </c>
      <c r="V526" s="3">
        <f>IF(tblOrdenes[[#This Row],[centro_costo]]="","",_xlfn.XLOOKUP(tblOrdenes[[#This Row],[centro_costo]],tblCECO[codigo],tblCECO[coordinador],"(sin catálogo)"))</f>
        <v/>
      </c>
      <c r="W526" s="3">
        <f>IF(tblOrdenes[[#This Row],[puesto_trabajo]]="","",_xlfn.XLOOKUP(tblOrdenes[[#This Row],[puesto_trabajo]],tblPuestos[codigo],tblPuestos[especialidad],"(sin catálogo)"))</f>
        <v/>
      </c>
      <c r="X526" s="3">
        <f>IF(tblOrdenes[[#This Row],[cod_actividad]]="","",_xlfn.XLOOKUP(tblOrdenes[[#This Row],[cod_actividad]],tblActividades[codigo],tblActividades[descripcion],"(sin catálogo)"))</f>
        <v/>
      </c>
      <c r="Y526" s="12">
        <f>IF(tblOrdenes[[#This Row],[fecha_inicio]]="","",TODAY()-tblOrdenes[[#This Row],[fecha_inicio]])</f>
        <v/>
      </c>
      <c r="Z526" s="3">
        <f>IF(tblOrdenes[[#This Row],[backlog_dias]]="","",IF(tblOrdenes[[#This Row],[backlog_dias]]&lt;0,"FUTURO",IF(tblOrdenes[[#This Row],[backlog_dias]]&gt;p_dias_backlog_max,"BACKLOG","MES CORRIENTE")))</f>
        <v/>
      </c>
      <c r="AA526" s="3">
        <f>IF(tblOrdenes[[#This Row],[backlog_dias]]="",FALSE,AND(tblOrdenes[[#This Row],[backlog_dias]]&gt;p_dias_backlog_min,tblOrdenes[[#This Row],[backlog_dias]]&lt;=p_dias_backlog_max))</f>
        <v/>
      </c>
      <c r="AB526" s="6" t="n"/>
      <c r="AC5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6" s="10">
        <f>IF(tblOrdenes[[#This Row],[orden]]="","",_xlfn.XLOOKUP(tblOrdenes[[#This Row],[id_operacion]],tblEjecucion[id_operacion],tblEjecucion[precio],0))</f>
        <v/>
      </c>
      <c r="AG526" s="10">
        <f>IF(tblOrdenes[[#This Row],[orden]]="","",MAX(0,_xlfn.XLOOKUP(tblOrdenes[[#This Row],[id_operacion]],tblEjecucion[id_operacion],tblEjecucion[costo_plan_total],0)-tblOrdenes[[#This Row],[costo_servicio]]))</f>
        <v/>
      </c>
      <c r="AH526" s="10">
        <f>IF(tblOrdenes[[#This Row],[orden]]="","",tblOrdenes[[#This Row],[costo_servicio]]+tblOrdenes[[#This Row],[costo_materiales]])</f>
        <v/>
      </c>
      <c r="AI526" s="6" t="n"/>
      <c r="AJ526" s="6" t="n"/>
      <c r="AK526" s="6" t="n"/>
      <c r="AL526" s="3">
        <f>IF(tblOrdenes[[#This Row],[link_checklist]]="","",HYPERLINK(p_ruta_base_checklists&amp;tblOrdenes[[#This Row],[link_checklist]],"abrir"))</f>
        <v/>
      </c>
      <c r="AM526" s="6" t="n"/>
      <c r="AN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Row],[tipo_ot]]="","",_xlfn.XLOOKUP(tblOrdenes[[#This Row],[tipo_ot]],tblTiposOT[codigo],tblTiposOT[clasificacion],"sin_clasificar"))</f>
        <v/>
      </c>
      <c r="T527" s="3">
        <f>IF(tblOrdenes[[#This Row],[centro_costo]]="","",_xlfn.XLOOKUP(tblOrdenes[[#This Row],[centro_costo]],tblCECO[codigo],tblCECO[linea],"(sin catálogo)"))</f>
        <v/>
      </c>
      <c r="U527" s="3">
        <f>IF(tblOrdenes[[#This Row],[centro_costo]]="","",_xlfn.XLOOKUP(tblOrdenes[[#This Row],[centro_costo]],tblCECO[codigo],tblCECO[area],"(sin catálogo)"))</f>
        <v/>
      </c>
      <c r="V527" s="3">
        <f>IF(tblOrdenes[[#This Row],[centro_costo]]="","",_xlfn.XLOOKUP(tblOrdenes[[#This Row],[centro_costo]],tblCECO[codigo],tblCECO[coordinador],"(sin catálogo)"))</f>
        <v/>
      </c>
      <c r="W527" s="3">
        <f>IF(tblOrdenes[[#This Row],[puesto_trabajo]]="","",_xlfn.XLOOKUP(tblOrdenes[[#This Row],[puesto_trabajo]],tblPuestos[codigo],tblPuestos[especialidad],"(sin catálogo)"))</f>
        <v/>
      </c>
      <c r="X527" s="3">
        <f>IF(tblOrdenes[[#This Row],[cod_actividad]]="","",_xlfn.XLOOKUP(tblOrdenes[[#This Row],[cod_actividad]],tblActividades[codigo],tblActividades[descripcion],"(sin catálogo)"))</f>
        <v/>
      </c>
      <c r="Y527" s="12">
        <f>IF(tblOrdenes[[#This Row],[fecha_inicio]]="","",TODAY()-tblOrdenes[[#This Row],[fecha_inicio]])</f>
        <v/>
      </c>
      <c r="Z527" s="3">
        <f>IF(tblOrdenes[[#This Row],[backlog_dias]]="","",IF(tblOrdenes[[#This Row],[backlog_dias]]&lt;0,"FUTURO",IF(tblOrdenes[[#This Row],[backlog_dias]]&gt;p_dias_backlog_max,"BACKLOG","MES CORRIENTE")))</f>
        <v/>
      </c>
      <c r="AA527" s="3">
        <f>IF(tblOrdenes[[#This Row],[backlog_dias]]="",FALSE,AND(tblOrdenes[[#This Row],[backlog_dias]]&gt;p_dias_backlog_min,tblOrdenes[[#This Row],[backlog_dias]]&lt;=p_dias_backlog_max))</f>
        <v/>
      </c>
      <c r="AB527" s="6" t="n"/>
      <c r="AC5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7" s="10">
        <f>IF(tblOrdenes[[#This Row],[orden]]="","",_xlfn.XLOOKUP(tblOrdenes[[#This Row],[id_operacion]],tblEjecucion[id_operacion],tblEjecucion[precio],0))</f>
        <v/>
      </c>
      <c r="AG527" s="10">
        <f>IF(tblOrdenes[[#This Row],[orden]]="","",MAX(0,_xlfn.XLOOKUP(tblOrdenes[[#This Row],[id_operacion]],tblEjecucion[id_operacion],tblEjecucion[costo_plan_total],0)-tblOrdenes[[#This Row],[costo_servicio]]))</f>
        <v/>
      </c>
      <c r="AH527" s="10">
        <f>IF(tblOrdenes[[#This Row],[orden]]="","",tblOrdenes[[#This Row],[costo_servicio]]+tblOrdenes[[#This Row],[costo_materiales]])</f>
        <v/>
      </c>
      <c r="AI527" s="6" t="n"/>
      <c r="AJ527" s="6" t="n"/>
      <c r="AK527" s="6" t="n"/>
      <c r="AL527" s="3">
        <f>IF(tblOrdenes[[#This Row],[link_checklist]]="","",HYPERLINK(p_ruta_base_checklists&amp;tblOrdenes[[#This Row],[link_checklist]],"abrir"))</f>
        <v/>
      </c>
      <c r="AM527" s="6" t="n"/>
      <c r="AN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Row],[tipo_ot]]="","",_xlfn.XLOOKUP(tblOrdenes[[#This Row],[tipo_ot]],tblTiposOT[codigo],tblTiposOT[clasificacion],"sin_clasificar"))</f>
        <v/>
      </c>
      <c r="T528" s="3">
        <f>IF(tblOrdenes[[#This Row],[centro_costo]]="","",_xlfn.XLOOKUP(tblOrdenes[[#This Row],[centro_costo]],tblCECO[codigo],tblCECO[linea],"(sin catálogo)"))</f>
        <v/>
      </c>
      <c r="U528" s="3">
        <f>IF(tblOrdenes[[#This Row],[centro_costo]]="","",_xlfn.XLOOKUP(tblOrdenes[[#This Row],[centro_costo]],tblCECO[codigo],tblCECO[area],"(sin catálogo)"))</f>
        <v/>
      </c>
      <c r="V528" s="3">
        <f>IF(tblOrdenes[[#This Row],[centro_costo]]="","",_xlfn.XLOOKUP(tblOrdenes[[#This Row],[centro_costo]],tblCECO[codigo],tblCECO[coordinador],"(sin catálogo)"))</f>
        <v/>
      </c>
      <c r="W528" s="3">
        <f>IF(tblOrdenes[[#This Row],[puesto_trabajo]]="","",_xlfn.XLOOKUP(tblOrdenes[[#This Row],[puesto_trabajo]],tblPuestos[codigo],tblPuestos[especialidad],"(sin catálogo)"))</f>
        <v/>
      </c>
      <c r="X528" s="3">
        <f>IF(tblOrdenes[[#This Row],[cod_actividad]]="","",_xlfn.XLOOKUP(tblOrdenes[[#This Row],[cod_actividad]],tblActividades[codigo],tblActividades[descripcion],"(sin catálogo)"))</f>
        <v/>
      </c>
      <c r="Y528" s="12">
        <f>IF(tblOrdenes[[#This Row],[fecha_inicio]]="","",TODAY()-tblOrdenes[[#This Row],[fecha_inicio]])</f>
        <v/>
      </c>
      <c r="Z528" s="3">
        <f>IF(tblOrdenes[[#This Row],[backlog_dias]]="","",IF(tblOrdenes[[#This Row],[backlog_dias]]&lt;0,"FUTURO",IF(tblOrdenes[[#This Row],[backlog_dias]]&gt;p_dias_backlog_max,"BACKLOG","MES CORRIENTE")))</f>
        <v/>
      </c>
      <c r="AA528" s="3">
        <f>IF(tblOrdenes[[#This Row],[backlog_dias]]="",FALSE,AND(tblOrdenes[[#This Row],[backlog_dias]]&gt;p_dias_backlog_min,tblOrdenes[[#This Row],[backlog_dias]]&lt;=p_dias_backlog_max))</f>
        <v/>
      </c>
      <c r="AB528" s="6" t="n"/>
      <c r="AC5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8" s="10">
        <f>IF(tblOrdenes[[#This Row],[orden]]="","",_xlfn.XLOOKUP(tblOrdenes[[#This Row],[id_operacion]],tblEjecucion[id_operacion],tblEjecucion[precio],0))</f>
        <v/>
      </c>
      <c r="AG528" s="10">
        <f>IF(tblOrdenes[[#This Row],[orden]]="","",MAX(0,_xlfn.XLOOKUP(tblOrdenes[[#This Row],[id_operacion]],tblEjecucion[id_operacion],tblEjecucion[costo_plan_total],0)-tblOrdenes[[#This Row],[costo_servicio]]))</f>
        <v/>
      </c>
      <c r="AH528" s="10">
        <f>IF(tblOrdenes[[#This Row],[orden]]="","",tblOrdenes[[#This Row],[costo_servicio]]+tblOrdenes[[#This Row],[costo_materiales]])</f>
        <v/>
      </c>
      <c r="AI528" s="6" t="n"/>
      <c r="AJ528" s="6" t="n"/>
      <c r="AK528" s="6" t="n"/>
      <c r="AL528" s="3">
        <f>IF(tblOrdenes[[#This Row],[link_checklist]]="","",HYPERLINK(p_ruta_base_checklists&amp;tblOrdenes[[#This Row],[link_checklist]],"abrir"))</f>
        <v/>
      </c>
      <c r="AM528" s="6" t="n"/>
      <c r="AN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Row],[tipo_ot]]="","",_xlfn.XLOOKUP(tblOrdenes[[#This Row],[tipo_ot]],tblTiposOT[codigo],tblTiposOT[clasificacion],"sin_clasificar"))</f>
        <v/>
      </c>
      <c r="T529" s="3">
        <f>IF(tblOrdenes[[#This Row],[centro_costo]]="","",_xlfn.XLOOKUP(tblOrdenes[[#This Row],[centro_costo]],tblCECO[codigo],tblCECO[linea],"(sin catálogo)"))</f>
        <v/>
      </c>
      <c r="U529" s="3">
        <f>IF(tblOrdenes[[#This Row],[centro_costo]]="","",_xlfn.XLOOKUP(tblOrdenes[[#This Row],[centro_costo]],tblCECO[codigo],tblCECO[area],"(sin catálogo)"))</f>
        <v/>
      </c>
      <c r="V529" s="3">
        <f>IF(tblOrdenes[[#This Row],[centro_costo]]="","",_xlfn.XLOOKUP(tblOrdenes[[#This Row],[centro_costo]],tblCECO[codigo],tblCECO[coordinador],"(sin catálogo)"))</f>
        <v/>
      </c>
      <c r="W529" s="3">
        <f>IF(tblOrdenes[[#This Row],[puesto_trabajo]]="","",_xlfn.XLOOKUP(tblOrdenes[[#This Row],[puesto_trabajo]],tblPuestos[codigo],tblPuestos[especialidad],"(sin catálogo)"))</f>
        <v/>
      </c>
      <c r="X529" s="3">
        <f>IF(tblOrdenes[[#This Row],[cod_actividad]]="","",_xlfn.XLOOKUP(tblOrdenes[[#This Row],[cod_actividad]],tblActividades[codigo],tblActividades[descripcion],"(sin catálogo)"))</f>
        <v/>
      </c>
      <c r="Y529" s="12">
        <f>IF(tblOrdenes[[#This Row],[fecha_inicio]]="","",TODAY()-tblOrdenes[[#This Row],[fecha_inicio]])</f>
        <v/>
      </c>
      <c r="Z529" s="3">
        <f>IF(tblOrdenes[[#This Row],[backlog_dias]]="","",IF(tblOrdenes[[#This Row],[backlog_dias]]&lt;0,"FUTURO",IF(tblOrdenes[[#This Row],[backlog_dias]]&gt;p_dias_backlog_max,"BACKLOG","MES CORRIENTE")))</f>
        <v/>
      </c>
      <c r="AA529" s="3">
        <f>IF(tblOrdenes[[#This Row],[backlog_dias]]="",FALSE,AND(tblOrdenes[[#This Row],[backlog_dias]]&gt;p_dias_backlog_min,tblOrdenes[[#This Row],[backlog_dias]]&lt;=p_dias_backlog_max))</f>
        <v/>
      </c>
      <c r="AB529" s="6" t="n"/>
      <c r="AC5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9" s="10">
        <f>IF(tblOrdenes[[#This Row],[orden]]="","",_xlfn.XLOOKUP(tblOrdenes[[#This Row],[id_operacion]],tblEjecucion[id_operacion],tblEjecucion[precio],0))</f>
        <v/>
      </c>
      <c r="AG529" s="10">
        <f>IF(tblOrdenes[[#This Row],[orden]]="","",MAX(0,_xlfn.XLOOKUP(tblOrdenes[[#This Row],[id_operacion]],tblEjecucion[id_operacion],tblEjecucion[costo_plan_total],0)-tblOrdenes[[#This Row],[costo_servicio]]))</f>
        <v/>
      </c>
      <c r="AH529" s="10">
        <f>IF(tblOrdenes[[#This Row],[orden]]="","",tblOrdenes[[#This Row],[costo_servicio]]+tblOrdenes[[#This Row],[costo_materiales]])</f>
        <v/>
      </c>
      <c r="AI529" s="6" t="n"/>
      <c r="AJ529" s="6" t="n"/>
      <c r="AK529" s="6" t="n"/>
      <c r="AL529" s="3">
        <f>IF(tblOrdenes[[#This Row],[link_checklist]]="","",HYPERLINK(p_ruta_base_checklists&amp;tblOrdenes[[#This Row],[link_checklist]],"abrir"))</f>
        <v/>
      </c>
      <c r="AM529" s="6" t="n"/>
      <c r="AN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Row],[tipo_ot]]="","",_xlfn.XLOOKUP(tblOrdenes[[#This Row],[tipo_ot]],tblTiposOT[codigo],tblTiposOT[clasificacion],"sin_clasificar"))</f>
        <v/>
      </c>
      <c r="T530" s="3">
        <f>IF(tblOrdenes[[#This Row],[centro_costo]]="","",_xlfn.XLOOKUP(tblOrdenes[[#This Row],[centro_costo]],tblCECO[codigo],tblCECO[linea],"(sin catálogo)"))</f>
        <v/>
      </c>
      <c r="U530" s="3">
        <f>IF(tblOrdenes[[#This Row],[centro_costo]]="","",_xlfn.XLOOKUP(tblOrdenes[[#This Row],[centro_costo]],tblCECO[codigo],tblCECO[area],"(sin catálogo)"))</f>
        <v/>
      </c>
      <c r="V530" s="3">
        <f>IF(tblOrdenes[[#This Row],[centro_costo]]="","",_xlfn.XLOOKUP(tblOrdenes[[#This Row],[centro_costo]],tblCECO[codigo],tblCECO[coordinador],"(sin catálogo)"))</f>
        <v/>
      </c>
      <c r="W530" s="3">
        <f>IF(tblOrdenes[[#This Row],[puesto_trabajo]]="","",_xlfn.XLOOKUP(tblOrdenes[[#This Row],[puesto_trabajo]],tblPuestos[codigo],tblPuestos[especialidad],"(sin catálogo)"))</f>
        <v/>
      </c>
      <c r="X530" s="3">
        <f>IF(tblOrdenes[[#This Row],[cod_actividad]]="","",_xlfn.XLOOKUP(tblOrdenes[[#This Row],[cod_actividad]],tblActividades[codigo],tblActividades[descripcion],"(sin catálogo)"))</f>
        <v/>
      </c>
      <c r="Y530" s="12">
        <f>IF(tblOrdenes[[#This Row],[fecha_inicio]]="","",TODAY()-tblOrdenes[[#This Row],[fecha_inicio]])</f>
        <v/>
      </c>
      <c r="Z530" s="3">
        <f>IF(tblOrdenes[[#This Row],[backlog_dias]]="","",IF(tblOrdenes[[#This Row],[backlog_dias]]&lt;0,"FUTURO",IF(tblOrdenes[[#This Row],[backlog_dias]]&gt;p_dias_backlog_max,"BACKLOG","MES CORRIENTE")))</f>
        <v/>
      </c>
      <c r="AA530" s="3">
        <f>IF(tblOrdenes[[#This Row],[backlog_dias]]="",FALSE,AND(tblOrdenes[[#This Row],[backlog_dias]]&gt;p_dias_backlog_min,tblOrdenes[[#This Row],[backlog_dias]]&lt;=p_dias_backlog_max))</f>
        <v/>
      </c>
      <c r="AB530" s="6" t="n"/>
      <c r="AC5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0" s="10">
        <f>IF(tblOrdenes[[#This Row],[orden]]="","",_xlfn.XLOOKUP(tblOrdenes[[#This Row],[id_operacion]],tblEjecucion[id_operacion],tblEjecucion[precio],0))</f>
        <v/>
      </c>
      <c r="AG530" s="10">
        <f>IF(tblOrdenes[[#This Row],[orden]]="","",MAX(0,_xlfn.XLOOKUP(tblOrdenes[[#This Row],[id_operacion]],tblEjecucion[id_operacion],tblEjecucion[costo_plan_total],0)-tblOrdenes[[#This Row],[costo_servicio]]))</f>
        <v/>
      </c>
      <c r="AH530" s="10">
        <f>IF(tblOrdenes[[#This Row],[orden]]="","",tblOrdenes[[#This Row],[costo_servicio]]+tblOrdenes[[#This Row],[costo_materiales]])</f>
        <v/>
      </c>
      <c r="AI530" s="6" t="n"/>
      <c r="AJ530" s="6" t="n"/>
      <c r="AK530" s="6" t="n"/>
      <c r="AL530" s="3">
        <f>IF(tblOrdenes[[#This Row],[link_checklist]]="","",HYPERLINK(p_ruta_base_checklists&amp;tblOrdenes[[#This Row],[link_checklist]],"abrir"))</f>
        <v/>
      </c>
      <c r="AM530" s="6" t="n"/>
      <c r="AN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Row],[tipo_ot]]="","",_xlfn.XLOOKUP(tblOrdenes[[#This Row],[tipo_ot]],tblTiposOT[codigo],tblTiposOT[clasificacion],"sin_clasificar"))</f>
        <v/>
      </c>
      <c r="T531" s="3">
        <f>IF(tblOrdenes[[#This Row],[centro_costo]]="","",_xlfn.XLOOKUP(tblOrdenes[[#This Row],[centro_costo]],tblCECO[codigo],tblCECO[linea],"(sin catálogo)"))</f>
        <v/>
      </c>
      <c r="U531" s="3">
        <f>IF(tblOrdenes[[#This Row],[centro_costo]]="","",_xlfn.XLOOKUP(tblOrdenes[[#This Row],[centro_costo]],tblCECO[codigo],tblCECO[area],"(sin catálogo)"))</f>
        <v/>
      </c>
      <c r="V531" s="3">
        <f>IF(tblOrdenes[[#This Row],[centro_costo]]="","",_xlfn.XLOOKUP(tblOrdenes[[#This Row],[centro_costo]],tblCECO[codigo],tblCECO[coordinador],"(sin catálogo)"))</f>
        <v/>
      </c>
      <c r="W531" s="3">
        <f>IF(tblOrdenes[[#This Row],[puesto_trabajo]]="","",_xlfn.XLOOKUP(tblOrdenes[[#This Row],[puesto_trabajo]],tblPuestos[codigo],tblPuestos[especialidad],"(sin catálogo)"))</f>
        <v/>
      </c>
      <c r="X531" s="3">
        <f>IF(tblOrdenes[[#This Row],[cod_actividad]]="","",_xlfn.XLOOKUP(tblOrdenes[[#This Row],[cod_actividad]],tblActividades[codigo],tblActividades[descripcion],"(sin catálogo)"))</f>
        <v/>
      </c>
      <c r="Y531" s="12">
        <f>IF(tblOrdenes[[#This Row],[fecha_inicio]]="","",TODAY()-tblOrdenes[[#This Row],[fecha_inicio]])</f>
        <v/>
      </c>
      <c r="Z531" s="3">
        <f>IF(tblOrdenes[[#This Row],[backlog_dias]]="","",IF(tblOrdenes[[#This Row],[backlog_dias]]&lt;0,"FUTURO",IF(tblOrdenes[[#This Row],[backlog_dias]]&gt;p_dias_backlog_max,"BACKLOG","MES CORRIENTE")))</f>
        <v/>
      </c>
      <c r="AA531" s="3">
        <f>IF(tblOrdenes[[#This Row],[backlog_dias]]="",FALSE,AND(tblOrdenes[[#This Row],[backlog_dias]]&gt;p_dias_backlog_min,tblOrdenes[[#This Row],[backlog_dias]]&lt;=p_dias_backlog_max))</f>
        <v/>
      </c>
      <c r="AB531" s="6" t="n"/>
      <c r="AC5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1" s="10">
        <f>IF(tblOrdenes[[#This Row],[orden]]="","",_xlfn.XLOOKUP(tblOrdenes[[#This Row],[id_operacion]],tblEjecucion[id_operacion],tblEjecucion[precio],0))</f>
        <v/>
      </c>
      <c r="AG531" s="10">
        <f>IF(tblOrdenes[[#This Row],[orden]]="","",MAX(0,_xlfn.XLOOKUP(tblOrdenes[[#This Row],[id_operacion]],tblEjecucion[id_operacion],tblEjecucion[costo_plan_total],0)-tblOrdenes[[#This Row],[costo_servicio]]))</f>
        <v/>
      </c>
      <c r="AH531" s="10">
        <f>IF(tblOrdenes[[#This Row],[orden]]="","",tblOrdenes[[#This Row],[costo_servicio]]+tblOrdenes[[#This Row],[costo_materiales]])</f>
        <v/>
      </c>
      <c r="AI531" s="6" t="n"/>
      <c r="AJ531" s="6" t="n"/>
      <c r="AK531" s="6" t="n"/>
      <c r="AL531" s="3">
        <f>IF(tblOrdenes[[#This Row],[link_checklist]]="","",HYPERLINK(p_ruta_base_checklists&amp;tblOrdenes[[#This Row],[link_checklist]],"abrir"))</f>
        <v/>
      </c>
      <c r="AM531" s="6" t="n"/>
      <c r="AN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Row],[tipo_ot]]="","",_xlfn.XLOOKUP(tblOrdenes[[#This Row],[tipo_ot]],tblTiposOT[codigo],tblTiposOT[clasificacion],"sin_clasificar"))</f>
        <v/>
      </c>
      <c r="T532" s="3">
        <f>IF(tblOrdenes[[#This Row],[centro_costo]]="","",_xlfn.XLOOKUP(tblOrdenes[[#This Row],[centro_costo]],tblCECO[codigo],tblCECO[linea],"(sin catálogo)"))</f>
        <v/>
      </c>
      <c r="U532" s="3">
        <f>IF(tblOrdenes[[#This Row],[centro_costo]]="","",_xlfn.XLOOKUP(tblOrdenes[[#This Row],[centro_costo]],tblCECO[codigo],tblCECO[area],"(sin catálogo)"))</f>
        <v/>
      </c>
      <c r="V532" s="3">
        <f>IF(tblOrdenes[[#This Row],[centro_costo]]="","",_xlfn.XLOOKUP(tblOrdenes[[#This Row],[centro_costo]],tblCECO[codigo],tblCECO[coordinador],"(sin catálogo)"))</f>
        <v/>
      </c>
      <c r="W532" s="3">
        <f>IF(tblOrdenes[[#This Row],[puesto_trabajo]]="","",_xlfn.XLOOKUP(tblOrdenes[[#This Row],[puesto_trabajo]],tblPuestos[codigo],tblPuestos[especialidad],"(sin catálogo)"))</f>
        <v/>
      </c>
      <c r="X532" s="3">
        <f>IF(tblOrdenes[[#This Row],[cod_actividad]]="","",_xlfn.XLOOKUP(tblOrdenes[[#This Row],[cod_actividad]],tblActividades[codigo],tblActividades[descripcion],"(sin catálogo)"))</f>
        <v/>
      </c>
      <c r="Y532" s="12">
        <f>IF(tblOrdenes[[#This Row],[fecha_inicio]]="","",TODAY()-tblOrdenes[[#This Row],[fecha_inicio]])</f>
        <v/>
      </c>
      <c r="Z532" s="3">
        <f>IF(tblOrdenes[[#This Row],[backlog_dias]]="","",IF(tblOrdenes[[#This Row],[backlog_dias]]&lt;0,"FUTURO",IF(tblOrdenes[[#This Row],[backlog_dias]]&gt;p_dias_backlog_max,"BACKLOG","MES CORRIENTE")))</f>
        <v/>
      </c>
      <c r="AA532" s="3">
        <f>IF(tblOrdenes[[#This Row],[backlog_dias]]="",FALSE,AND(tblOrdenes[[#This Row],[backlog_dias]]&gt;p_dias_backlog_min,tblOrdenes[[#This Row],[backlog_dias]]&lt;=p_dias_backlog_max))</f>
        <v/>
      </c>
      <c r="AB532" s="6" t="n"/>
      <c r="AC5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2" s="10">
        <f>IF(tblOrdenes[[#This Row],[orden]]="","",_xlfn.XLOOKUP(tblOrdenes[[#This Row],[id_operacion]],tblEjecucion[id_operacion],tblEjecucion[precio],0))</f>
        <v/>
      </c>
      <c r="AG532" s="10">
        <f>IF(tblOrdenes[[#This Row],[orden]]="","",MAX(0,_xlfn.XLOOKUP(tblOrdenes[[#This Row],[id_operacion]],tblEjecucion[id_operacion],tblEjecucion[costo_plan_total],0)-tblOrdenes[[#This Row],[costo_servicio]]))</f>
        <v/>
      </c>
      <c r="AH532" s="10">
        <f>IF(tblOrdenes[[#This Row],[orden]]="","",tblOrdenes[[#This Row],[costo_servicio]]+tblOrdenes[[#This Row],[costo_materiales]])</f>
        <v/>
      </c>
      <c r="AI532" s="6" t="n"/>
      <c r="AJ532" s="6" t="n"/>
      <c r="AK532" s="6" t="n"/>
      <c r="AL532" s="3">
        <f>IF(tblOrdenes[[#This Row],[link_checklist]]="","",HYPERLINK(p_ruta_base_checklists&amp;tblOrdenes[[#This Row],[link_checklist]],"abrir"))</f>
        <v/>
      </c>
      <c r="AM532" s="6" t="n"/>
      <c r="AN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Row],[tipo_ot]]="","",_xlfn.XLOOKUP(tblOrdenes[[#This Row],[tipo_ot]],tblTiposOT[codigo],tblTiposOT[clasificacion],"sin_clasificar"))</f>
        <v/>
      </c>
      <c r="T533" s="3">
        <f>IF(tblOrdenes[[#This Row],[centro_costo]]="","",_xlfn.XLOOKUP(tblOrdenes[[#This Row],[centro_costo]],tblCECO[codigo],tblCECO[linea],"(sin catálogo)"))</f>
        <v/>
      </c>
      <c r="U533" s="3">
        <f>IF(tblOrdenes[[#This Row],[centro_costo]]="","",_xlfn.XLOOKUP(tblOrdenes[[#This Row],[centro_costo]],tblCECO[codigo],tblCECO[area],"(sin catálogo)"))</f>
        <v/>
      </c>
      <c r="V533" s="3">
        <f>IF(tblOrdenes[[#This Row],[centro_costo]]="","",_xlfn.XLOOKUP(tblOrdenes[[#This Row],[centro_costo]],tblCECO[codigo],tblCECO[coordinador],"(sin catálogo)"))</f>
        <v/>
      </c>
      <c r="W533" s="3">
        <f>IF(tblOrdenes[[#This Row],[puesto_trabajo]]="","",_xlfn.XLOOKUP(tblOrdenes[[#This Row],[puesto_trabajo]],tblPuestos[codigo],tblPuestos[especialidad],"(sin catálogo)"))</f>
        <v/>
      </c>
      <c r="X533" s="3">
        <f>IF(tblOrdenes[[#This Row],[cod_actividad]]="","",_xlfn.XLOOKUP(tblOrdenes[[#This Row],[cod_actividad]],tblActividades[codigo],tblActividades[descripcion],"(sin catálogo)"))</f>
        <v/>
      </c>
      <c r="Y533" s="12">
        <f>IF(tblOrdenes[[#This Row],[fecha_inicio]]="","",TODAY()-tblOrdenes[[#This Row],[fecha_inicio]])</f>
        <v/>
      </c>
      <c r="Z533" s="3">
        <f>IF(tblOrdenes[[#This Row],[backlog_dias]]="","",IF(tblOrdenes[[#This Row],[backlog_dias]]&lt;0,"FUTURO",IF(tblOrdenes[[#This Row],[backlog_dias]]&gt;p_dias_backlog_max,"BACKLOG","MES CORRIENTE")))</f>
        <v/>
      </c>
      <c r="AA533" s="3">
        <f>IF(tblOrdenes[[#This Row],[backlog_dias]]="",FALSE,AND(tblOrdenes[[#This Row],[backlog_dias]]&gt;p_dias_backlog_min,tblOrdenes[[#This Row],[backlog_dias]]&lt;=p_dias_backlog_max))</f>
        <v/>
      </c>
      <c r="AB533" s="6" t="n"/>
      <c r="AC5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3" s="10">
        <f>IF(tblOrdenes[[#This Row],[orden]]="","",_xlfn.XLOOKUP(tblOrdenes[[#This Row],[id_operacion]],tblEjecucion[id_operacion],tblEjecucion[precio],0))</f>
        <v/>
      </c>
      <c r="AG533" s="10">
        <f>IF(tblOrdenes[[#This Row],[orden]]="","",MAX(0,_xlfn.XLOOKUP(tblOrdenes[[#This Row],[id_operacion]],tblEjecucion[id_operacion],tblEjecucion[costo_plan_total],0)-tblOrdenes[[#This Row],[costo_servicio]]))</f>
        <v/>
      </c>
      <c r="AH533" s="10">
        <f>IF(tblOrdenes[[#This Row],[orden]]="","",tblOrdenes[[#This Row],[costo_servicio]]+tblOrdenes[[#This Row],[costo_materiales]])</f>
        <v/>
      </c>
      <c r="AI533" s="6" t="n"/>
      <c r="AJ533" s="6" t="n"/>
      <c r="AK533" s="6" t="n"/>
      <c r="AL533" s="3">
        <f>IF(tblOrdenes[[#This Row],[link_checklist]]="","",HYPERLINK(p_ruta_base_checklists&amp;tblOrdenes[[#This Row],[link_checklist]],"abrir"))</f>
        <v/>
      </c>
      <c r="AM533" s="6" t="n"/>
      <c r="AN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Row],[tipo_ot]]="","",_xlfn.XLOOKUP(tblOrdenes[[#This Row],[tipo_ot]],tblTiposOT[codigo],tblTiposOT[clasificacion],"sin_clasificar"))</f>
        <v/>
      </c>
      <c r="T534" s="3">
        <f>IF(tblOrdenes[[#This Row],[centro_costo]]="","",_xlfn.XLOOKUP(tblOrdenes[[#This Row],[centro_costo]],tblCECO[codigo],tblCECO[linea],"(sin catálogo)"))</f>
        <v/>
      </c>
      <c r="U534" s="3">
        <f>IF(tblOrdenes[[#This Row],[centro_costo]]="","",_xlfn.XLOOKUP(tblOrdenes[[#This Row],[centro_costo]],tblCECO[codigo],tblCECO[area],"(sin catálogo)"))</f>
        <v/>
      </c>
      <c r="V534" s="3">
        <f>IF(tblOrdenes[[#This Row],[centro_costo]]="","",_xlfn.XLOOKUP(tblOrdenes[[#This Row],[centro_costo]],tblCECO[codigo],tblCECO[coordinador],"(sin catálogo)"))</f>
        <v/>
      </c>
      <c r="W534" s="3">
        <f>IF(tblOrdenes[[#This Row],[puesto_trabajo]]="","",_xlfn.XLOOKUP(tblOrdenes[[#This Row],[puesto_trabajo]],tblPuestos[codigo],tblPuestos[especialidad],"(sin catálogo)"))</f>
        <v/>
      </c>
      <c r="X534" s="3">
        <f>IF(tblOrdenes[[#This Row],[cod_actividad]]="","",_xlfn.XLOOKUP(tblOrdenes[[#This Row],[cod_actividad]],tblActividades[codigo],tblActividades[descripcion],"(sin catálogo)"))</f>
        <v/>
      </c>
      <c r="Y534" s="12">
        <f>IF(tblOrdenes[[#This Row],[fecha_inicio]]="","",TODAY()-tblOrdenes[[#This Row],[fecha_inicio]])</f>
        <v/>
      </c>
      <c r="Z534" s="3">
        <f>IF(tblOrdenes[[#This Row],[backlog_dias]]="","",IF(tblOrdenes[[#This Row],[backlog_dias]]&lt;0,"FUTURO",IF(tblOrdenes[[#This Row],[backlog_dias]]&gt;p_dias_backlog_max,"BACKLOG","MES CORRIENTE")))</f>
        <v/>
      </c>
      <c r="AA534" s="3">
        <f>IF(tblOrdenes[[#This Row],[backlog_dias]]="",FALSE,AND(tblOrdenes[[#This Row],[backlog_dias]]&gt;p_dias_backlog_min,tblOrdenes[[#This Row],[backlog_dias]]&lt;=p_dias_backlog_max))</f>
        <v/>
      </c>
      <c r="AB534" s="6" t="n"/>
      <c r="AC5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4" s="10">
        <f>IF(tblOrdenes[[#This Row],[orden]]="","",_xlfn.XLOOKUP(tblOrdenes[[#This Row],[id_operacion]],tblEjecucion[id_operacion],tblEjecucion[precio],0))</f>
        <v/>
      </c>
      <c r="AG534" s="10">
        <f>IF(tblOrdenes[[#This Row],[orden]]="","",MAX(0,_xlfn.XLOOKUP(tblOrdenes[[#This Row],[id_operacion]],tblEjecucion[id_operacion],tblEjecucion[costo_plan_total],0)-tblOrdenes[[#This Row],[costo_servicio]]))</f>
        <v/>
      </c>
      <c r="AH534" s="10">
        <f>IF(tblOrdenes[[#This Row],[orden]]="","",tblOrdenes[[#This Row],[costo_servicio]]+tblOrdenes[[#This Row],[costo_materiales]])</f>
        <v/>
      </c>
      <c r="AI534" s="6" t="n"/>
      <c r="AJ534" s="6" t="n"/>
      <c r="AK534" s="6" t="n"/>
      <c r="AL534" s="3">
        <f>IF(tblOrdenes[[#This Row],[link_checklist]]="","",HYPERLINK(p_ruta_base_checklists&amp;tblOrdenes[[#This Row],[link_checklist]],"abrir"))</f>
        <v/>
      </c>
      <c r="AM534" s="6" t="n"/>
      <c r="AN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Row],[tipo_ot]]="","",_xlfn.XLOOKUP(tblOrdenes[[#This Row],[tipo_ot]],tblTiposOT[codigo],tblTiposOT[clasificacion],"sin_clasificar"))</f>
        <v/>
      </c>
      <c r="T535" s="3">
        <f>IF(tblOrdenes[[#This Row],[centro_costo]]="","",_xlfn.XLOOKUP(tblOrdenes[[#This Row],[centro_costo]],tblCECO[codigo],tblCECO[linea],"(sin catálogo)"))</f>
        <v/>
      </c>
      <c r="U535" s="3">
        <f>IF(tblOrdenes[[#This Row],[centro_costo]]="","",_xlfn.XLOOKUP(tblOrdenes[[#This Row],[centro_costo]],tblCECO[codigo],tblCECO[area],"(sin catálogo)"))</f>
        <v/>
      </c>
      <c r="V535" s="3">
        <f>IF(tblOrdenes[[#This Row],[centro_costo]]="","",_xlfn.XLOOKUP(tblOrdenes[[#This Row],[centro_costo]],tblCECO[codigo],tblCECO[coordinador],"(sin catálogo)"))</f>
        <v/>
      </c>
      <c r="W535" s="3">
        <f>IF(tblOrdenes[[#This Row],[puesto_trabajo]]="","",_xlfn.XLOOKUP(tblOrdenes[[#This Row],[puesto_trabajo]],tblPuestos[codigo],tblPuestos[especialidad],"(sin catálogo)"))</f>
        <v/>
      </c>
      <c r="X535" s="3">
        <f>IF(tblOrdenes[[#This Row],[cod_actividad]]="","",_xlfn.XLOOKUP(tblOrdenes[[#This Row],[cod_actividad]],tblActividades[codigo],tblActividades[descripcion],"(sin catálogo)"))</f>
        <v/>
      </c>
      <c r="Y535" s="12">
        <f>IF(tblOrdenes[[#This Row],[fecha_inicio]]="","",TODAY()-tblOrdenes[[#This Row],[fecha_inicio]])</f>
        <v/>
      </c>
      <c r="Z535" s="3">
        <f>IF(tblOrdenes[[#This Row],[backlog_dias]]="","",IF(tblOrdenes[[#This Row],[backlog_dias]]&lt;0,"FUTURO",IF(tblOrdenes[[#This Row],[backlog_dias]]&gt;p_dias_backlog_max,"BACKLOG","MES CORRIENTE")))</f>
        <v/>
      </c>
      <c r="AA535" s="3">
        <f>IF(tblOrdenes[[#This Row],[backlog_dias]]="",FALSE,AND(tblOrdenes[[#This Row],[backlog_dias]]&gt;p_dias_backlog_min,tblOrdenes[[#This Row],[backlog_dias]]&lt;=p_dias_backlog_max))</f>
        <v/>
      </c>
      <c r="AB535" s="6" t="n"/>
      <c r="AC5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5" s="10">
        <f>IF(tblOrdenes[[#This Row],[orden]]="","",_xlfn.XLOOKUP(tblOrdenes[[#This Row],[id_operacion]],tblEjecucion[id_operacion],tblEjecucion[precio],0))</f>
        <v/>
      </c>
      <c r="AG535" s="10">
        <f>IF(tblOrdenes[[#This Row],[orden]]="","",MAX(0,_xlfn.XLOOKUP(tblOrdenes[[#This Row],[id_operacion]],tblEjecucion[id_operacion],tblEjecucion[costo_plan_total],0)-tblOrdenes[[#This Row],[costo_servicio]]))</f>
        <v/>
      </c>
      <c r="AH535" s="10">
        <f>IF(tblOrdenes[[#This Row],[orden]]="","",tblOrdenes[[#This Row],[costo_servicio]]+tblOrdenes[[#This Row],[costo_materiales]])</f>
        <v/>
      </c>
      <c r="AI535" s="6" t="n"/>
      <c r="AJ535" s="6" t="n"/>
      <c r="AK535" s="6" t="n"/>
      <c r="AL535" s="3">
        <f>IF(tblOrdenes[[#This Row],[link_checklist]]="","",HYPERLINK(p_ruta_base_checklists&amp;tblOrdenes[[#This Row],[link_checklist]],"abrir"))</f>
        <v/>
      </c>
      <c r="AM535" s="6" t="n"/>
      <c r="AN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Row],[tipo_ot]]="","",_xlfn.XLOOKUP(tblOrdenes[[#This Row],[tipo_ot]],tblTiposOT[codigo],tblTiposOT[clasificacion],"sin_clasificar"))</f>
        <v/>
      </c>
      <c r="T536" s="3">
        <f>IF(tblOrdenes[[#This Row],[centro_costo]]="","",_xlfn.XLOOKUP(tblOrdenes[[#This Row],[centro_costo]],tblCECO[codigo],tblCECO[linea],"(sin catálogo)"))</f>
        <v/>
      </c>
      <c r="U536" s="3">
        <f>IF(tblOrdenes[[#This Row],[centro_costo]]="","",_xlfn.XLOOKUP(tblOrdenes[[#This Row],[centro_costo]],tblCECO[codigo],tblCECO[area],"(sin catálogo)"))</f>
        <v/>
      </c>
      <c r="V536" s="3">
        <f>IF(tblOrdenes[[#This Row],[centro_costo]]="","",_xlfn.XLOOKUP(tblOrdenes[[#This Row],[centro_costo]],tblCECO[codigo],tblCECO[coordinador],"(sin catálogo)"))</f>
        <v/>
      </c>
      <c r="W536" s="3">
        <f>IF(tblOrdenes[[#This Row],[puesto_trabajo]]="","",_xlfn.XLOOKUP(tblOrdenes[[#This Row],[puesto_trabajo]],tblPuestos[codigo],tblPuestos[especialidad],"(sin catálogo)"))</f>
        <v/>
      </c>
      <c r="X536" s="3">
        <f>IF(tblOrdenes[[#This Row],[cod_actividad]]="","",_xlfn.XLOOKUP(tblOrdenes[[#This Row],[cod_actividad]],tblActividades[codigo],tblActividades[descripcion],"(sin catálogo)"))</f>
        <v/>
      </c>
      <c r="Y536" s="12">
        <f>IF(tblOrdenes[[#This Row],[fecha_inicio]]="","",TODAY()-tblOrdenes[[#This Row],[fecha_inicio]])</f>
        <v/>
      </c>
      <c r="Z536" s="3">
        <f>IF(tblOrdenes[[#This Row],[backlog_dias]]="","",IF(tblOrdenes[[#This Row],[backlog_dias]]&lt;0,"FUTURO",IF(tblOrdenes[[#This Row],[backlog_dias]]&gt;p_dias_backlog_max,"BACKLOG","MES CORRIENTE")))</f>
        <v/>
      </c>
      <c r="AA536" s="3">
        <f>IF(tblOrdenes[[#This Row],[backlog_dias]]="",FALSE,AND(tblOrdenes[[#This Row],[backlog_dias]]&gt;p_dias_backlog_min,tblOrdenes[[#This Row],[backlog_dias]]&lt;=p_dias_backlog_max))</f>
        <v/>
      </c>
      <c r="AB536" s="6" t="n"/>
      <c r="AC5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6" s="10">
        <f>IF(tblOrdenes[[#This Row],[orden]]="","",_xlfn.XLOOKUP(tblOrdenes[[#This Row],[id_operacion]],tblEjecucion[id_operacion],tblEjecucion[precio],0))</f>
        <v/>
      </c>
      <c r="AG536" s="10">
        <f>IF(tblOrdenes[[#This Row],[orden]]="","",MAX(0,_xlfn.XLOOKUP(tblOrdenes[[#This Row],[id_operacion]],tblEjecucion[id_operacion],tblEjecucion[costo_plan_total],0)-tblOrdenes[[#This Row],[costo_servicio]]))</f>
        <v/>
      </c>
      <c r="AH536" s="10">
        <f>IF(tblOrdenes[[#This Row],[orden]]="","",tblOrdenes[[#This Row],[costo_servicio]]+tblOrdenes[[#This Row],[costo_materiales]])</f>
        <v/>
      </c>
      <c r="AI536" s="6" t="n"/>
      <c r="AJ536" s="6" t="n"/>
      <c r="AK536" s="6" t="n"/>
      <c r="AL536" s="3">
        <f>IF(tblOrdenes[[#This Row],[link_checklist]]="","",HYPERLINK(p_ruta_base_checklists&amp;tblOrdenes[[#This Row],[link_checklist]],"abrir"))</f>
        <v/>
      </c>
      <c r="AM536" s="6" t="n"/>
      <c r="AN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Row],[tipo_ot]]="","",_xlfn.XLOOKUP(tblOrdenes[[#This Row],[tipo_ot]],tblTiposOT[codigo],tblTiposOT[clasificacion],"sin_clasificar"))</f>
        <v/>
      </c>
      <c r="T537" s="3">
        <f>IF(tblOrdenes[[#This Row],[centro_costo]]="","",_xlfn.XLOOKUP(tblOrdenes[[#This Row],[centro_costo]],tblCECO[codigo],tblCECO[linea],"(sin catálogo)"))</f>
        <v/>
      </c>
      <c r="U537" s="3">
        <f>IF(tblOrdenes[[#This Row],[centro_costo]]="","",_xlfn.XLOOKUP(tblOrdenes[[#This Row],[centro_costo]],tblCECO[codigo],tblCECO[area],"(sin catálogo)"))</f>
        <v/>
      </c>
      <c r="V537" s="3">
        <f>IF(tblOrdenes[[#This Row],[centro_costo]]="","",_xlfn.XLOOKUP(tblOrdenes[[#This Row],[centro_costo]],tblCECO[codigo],tblCECO[coordinador],"(sin catálogo)"))</f>
        <v/>
      </c>
      <c r="W537" s="3">
        <f>IF(tblOrdenes[[#This Row],[puesto_trabajo]]="","",_xlfn.XLOOKUP(tblOrdenes[[#This Row],[puesto_trabajo]],tblPuestos[codigo],tblPuestos[especialidad],"(sin catálogo)"))</f>
        <v/>
      </c>
      <c r="X537" s="3">
        <f>IF(tblOrdenes[[#This Row],[cod_actividad]]="","",_xlfn.XLOOKUP(tblOrdenes[[#This Row],[cod_actividad]],tblActividades[codigo],tblActividades[descripcion],"(sin catálogo)"))</f>
        <v/>
      </c>
      <c r="Y537" s="12">
        <f>IF(tblOrdenes[[#This Row],[fecha_inicio]]="","",TODAY()-tblOrdenes[[#This Row],[fecha_inicio]])</f>
        <v/>
      </c>
      <c r="Z537" s="3">
        <f>IF(tblOrdenes[[#This Row],[backlog_dias]]="","",IF(tblOrdenes[[#This Row],[backlog_dias]]&lt;0,"FUTURO",IF(tblOrdenes[[#This Row],[backlog_dias]]&gt;p_dias_backlog_max,"BACKLOG","MES CORRIENTE")))</f>
        <v/>
      </c>
      <c r="AA537" s="3">
        <f>IF(tblOrdenes[[#This Row],[backlog_dias]]="",FALSE,AND(tblOrdenes[[#This Row],[backlog_dias]]&gt;p_dias_backlog_min,tblOrdenes[[#This Row],[backlog_dias]]&lt;=p_dias_backlog_max))</f>
        <v/>
      </c>
      <c r="AB537" s="6" t="n"/>
      <c r="AC5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7" s="10">
        <f>IF(tblOrdenes[[#This Row],[orden]]="","",_xlfn.XLOOKUP(tblOrdenes[[#This Row],[id_operacion]],tblEjecucion[id_operacion],tblEjecucion[precio],0))</f>
        <v/>
      </c>
      <c r="AG537" s="10">
        <f>IF(tblOrdenes[[#This Row],[orden]]="","",MAX(0,_xlfn.XLOOKUP(tblOrdenes[[#This Row],[id_operacion]],tblEjecucion[id_operacion],tblEjecucion[costo_plan_total],0)-tblOrdenes[[#This Row],[costo_servicio]]))</f>
        <v/>
      </c>
      <c r="AH537" s="10">
        <f>IF(tblOrdenes[[#This Row],[orden]]="","",tblOrdenes[[#This Row],[costo_servicio]]+tblOrdenes[[#This Row],[costo_materiales]])</f>
        <v/>
      </c>
      <c r="AI537" s="6" t="n"/>
      <c r="AJ537" s="6" t="n"/>
      <c r="AK537" s="6" t="n"/>
      <c r="AL537" s="3">
        <f>IF(tblOrdenes[[#This Row],[link_checklist]]="","",HYPERLINK(p_ruta_base_checklists&amp;tblOrdenes[[#This Row],[link_checklist]],"abrir"))</f>
        <v/>
      </c>
      <c r="AM537" s="6" t="n"/>
      <c r="AN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Row],[tipo_ot]]="","",_xlfn.XLOOKUP(tblOrdenes[[#This Row],[tipo_ot]],tblTiposOT[codigo],tblTiposOT[clasificacion],"sin_clasificar"))</f>
        <v/>
      </c>
      <c r="T538" s="3">
        <f>IF(tblOrdenes[[#This Row],[centro_costo]]="","",_xlfn.XLOOKUP(tblOrdenes[[#This Row],[centro_costo]],tblCECO[codigo],tblCECO[linea],"(sin catálogo)"))</f>
        <v/>
      </c>
      <c r="U538" s="3">
        <f>IF(tblOrdenes[[#This Row],[centro_costo]]="","",_xlfn.XLOOKUP(tblOrdenes[[#This Row],[centro_costo]],tblCECO[codigo],tblCECO[area],"(sin catálogo)"))</f>
        <v/>
      </c>
      <c r="V538" s="3">
        <f>IF(tblOrdenes[[#This Row],[centro_costo]]="","",_xlfn.XLOOKUP(tblOrdenes[[#This Row],[centro_costo]],tblCECO[codigo],tblCECO[coordinador],"(sin catálogo)"))</f>
        <v/>
      </c>
      <c r="W538" s="3">
        <f>IF(tblOrdenes[[#This Row],[puesto_trabajo]]="","",_xlfn.XLOOKUP(tblOrdenes[[#This Row],[puesto_trabajo]],tblPuestos[codigo],tblPuestos[especialidad],"(sin catálogo)"))</f>
        <v/>
      </c>
      <c r="X538" s="3">
        <f>IF(tblOrdenes[[#This Row],[cod_actividad]]="","",_xlfn.XLOOKUP(tblOrdenes[[#This Row],[cod_actividad]],tblActividades[codigo],tblActividades[descripcion],"(sin catálogo)"))</f>
        <v/>
      </c>
      <c r="Y538" s="12">
        <f>IF(tblOrdenes[[#This Row],[fecha_inicio]]="","",TODAY()-tblOrdenes[[#This Row],[fecha_inicio]])</f>
        <v/>
      </c>
      <c r="Z538" s="3">
        <f>IF(tblOrdenes[[#This Row],[backlog_dias]]="","",IF(tblOrdenes[[#This Row],[backlog_dias]]&lt;0,"FUTURO",IF(tblOrdenes[[#This Row],[backlog_dias]]&gt;p_dias_backlog_max,"BACKLOG","MES CORRIENTE")))</f>
        <v/>
      </c>
      <c r="AA538" s="3">
        <f>IF(tblOrdenes[[#This Row],[backlog_dias]]="",FALSE,AND(tblOrdenes[[#This Row],[backlog_dias]]&gt;p_dias_backlog_min,tblOrdenes[[#This Row],[backlog_dias]]&lt;=p_dias_backlog_max))</f>
        <v/>
      </c>
      <c r="AB538" s="6" t="n"/>
      <c r="AC5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8" s="10">
        <f>IF(tblOrdenes[[#This Row],[orden]]="","",_xlfn.XLOOKUP(tblOrdenes[[#This Row],[id_operacion]],tblEjecucion[id_operacion],tblEjecucion[precio],0))</f>
        <v/>
      </c>
      <c r="AG538" s="10">
        <f>IF(tblOrdenes[[#This Row],[orden]]="","",MAX(0,_xlfn.XLOOKUP(tblOrdenes[[#This Row],[id_operacion]],tblEjecucion[id_operacion],tblEjecucion[costo_plan_total],0)-tblOrdenes[[#This Row],[costo_servicio]]))</f>
        <v/>
      </c>
      <c r="AH538" s="10">
        <f>IF(tblOrdenes[[#This Row],[orden]]="","",tblOrdenes[[#This Row],[costo_servicio]]+tblOrdenes[[#This Row],[costo_materiales]])</f>
        <v/>
      </c>
      <c r="AI538" s="6" t="n"/>
      <c r="AJ538" s="6" t="n"/>
      <c r="AK538" s="6" t="n"/>
      <c r="AL538" s="3">
        <f>IF(tblOrdenes[[#This Row],[link_checklist]]="","",HYPERLINK(p_ruta_base_checklists&amp;tblOrdenes[[#This Row],[link_checklist]],"abrir"))</f>
        <v/>
      </c>
      <c r="AM538" s="6" t="n"/>
      <c r="AN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Row],[tipo_ot]]="","",_xlfn.XLOOKUP(tblOrdenes[[#This Row],[tipo_ot]],tblTiposOT[codigo],tblTiposOT[clasificacion],"sin_clasificar"))</f>
        <v/>
      </c>
      <c r="T539" s="3">
        <f>IF(tblOrdenes[[#This Row],[centro_costo]]="","",_xlfn.XLOOKUP(tblOrdenes[[#This Row],[centro_costo]],tblCECO[codigo],tblCECO[linea],"(sin catálogo)"))</f>
        <v/>
      </c>
      <c r="U539" s="3">
        <f>IF(tblOrdenes[[#This Row],[centro_costo]]="","",_xlfn.XLOOKUP(tblOrdenes[[#This Row],[centro_costo]],tblCECO[codigo],tblCECO[area],"(sin catálogo)"))</f>
        <v/>
      </c>
      <c r="V539" s="3">
        <f>IF(tblOrdenes[[#This Row],[centro_costo]]="","",_xlfn.XLOOKUP(tblOrdenes[[#This Row],[centro_costo]],tblCECO[codigo],tblCECO[coordinador],"(sin catálogo)"))</f>
        <v/>
      </c>
      <c r="W539" s="3">
        <f>IF(tblOrdenes[[#This Row],[puesto_trabajo]]="","",_xlfn.XLOOKUP(tblOrdenes[[#This Row],[puesto_trabajo]],tblPuestos[codigo],tblPuestos[especialidad],"(sin catálogo)"))</f>
        <v/>
      </c>
      <c r="X539" s="3">
        <f>IF(tblOrdenes[[#This Row],[cod_actividad]]="","",_xlfn.XLOOKUP(tblOrdenes[[#This Row],[cod_actividad]],tblActividades[codigo],tblActividades[descripcion],"(sin catálogo)"))</f>
        <v/>
      </c>
      <c r="Y539" s="12">
        <f>IF(tblOrdenes[[#This Row],[fecha_inicio]]="","",TODAY()-tblOrdenes[[#This Row],[fecha_inicio]])</f>
        <v/>
      </c>
      <c r="Z539" s="3">
        <f>IF(tblOrdenes[[#This Row],[backlog_dias]]="","",IF(tblOrdenes[[#This Row],[backlog_dias]]&lt;0,"FUTURO",IF(tblOrdenes[[#This Row],[backlog_dias]]&gt;p_dias_backlog_max,"BACKLOG","MES CORRIENTE")))</f>
        <v/>
      </c>
      <c r="AA539" s="3">
        <f>IF(tblOrdenes[[#This Row],[backlog_dias]]="",FALSE,AND(tblOrdenes[[#This Row],[backlog_dias]]&gt;p_dias_backlog_min,tblOrdenes[[#This Row],[backlog_dias]]&lt;=p_dias_backlog_max))</f>
        <v/>
      </c>
      <c r="AB539" s="6" t="n"/>
      <c r="AC5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9" s="10">
        <f>IF(tblOrdenes[[#This Row],[orden]]="","",_xlfn.XLOOKUP(tblOrdenes[[#This Row],[id_operacion]],tblEjecucion[id_operacion],tblEjecucion[precio],0))</f>
        <v/>
      </c>
      <c r="AG539" s="10">
        <f>IF(tblOrdenes[[#This Row],[orden]]="","",MAX(0,_xlfn.XLOOKUP(tblOrdenes[[#This Row],[id_operacion]],tblEjecucion[id_operacion],tblEjecucion[costo_plan_total],0)-tblOrdenes[[#This Row],[costo_servicio]]))</f>
        <v/>
      </c>
      <c r="AH539" s="10">
        <f>IF(tblOrdenes[[#This Row],[orden]]="","",tblOrdenes[[#This Row],[costo_servicio]]+tblOrdenes[[#This Row],[costo_materiales]])</f>
        <v/>
      </c>
      <c r="AI539" s="6" t="n"/>
      <c r="AJ539" s="6" t="n"/>
      <c r="AK539" s="6" t="n"/>
      <c r="AL539" s="3">
        <f>IF(tblOrdenes[[#This Row],[link_checklist]]="","",HYPERLINK(p_ruta_base_checklists&amp;tblOrdenes[[#This Row],[link_checklist]],"abrir"))</f>
        <v/>
      </c>
      <c r="AM539" s="6" t="n"/>
      <c r="AN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Row],[tipo_ot]]="","",_xlfn.XLOOKUP(tblOrdenes[[#This Row],[tipo_ot]],tblTiposOT[codigo],tblTiposOT[clasificacion],"sin_clasificar"))</f>
        <v/>
      </c>
      <c r="T540" s="3">
        <f>IF(tblOrdenes[[#This Row],[centro_costo]]="","",_xlfn.XLOOKUP(tblOrdenes[[#This Row],[centro_costo]],tblCECO[codigo],tblCECO[linea],"(sin catálogo)"))</f>
        <v/>
      </c>
      <c r="U540" s="3">
        <f>IF(tblOrdenes[[#This Row],[centro_costo]]="","",_xlfn.XLOOKUP(tblOrdenes[[#This Row],[centro_costo]],tblCECO[codigo],tblCECO[area],"(sin catálogo)"))</f>
        <v/>
      </c>
      <c r="V540" s="3">
        <f>IF(tblOrdenes[[#This Row],[centro_costo]]="","",_xlfn.XLOOKUP(tblOrdenes[[#This Row],[centro_costo]],tblCECO[codigo],tblCECO[coordinador],"(sin catálogo)"))</f>
        <v/>
      </c>
      <c r="W540" s="3">
        <f>IF(tblOrdenes[[#This Row],[puesto_trabajo]]="","",_xlfn.XLOOKUP(tblOrdenes[[#This Row],[puesto_trabajo]],tblPuestos[codigo],tblPuestos[especialidad],"(sin catálogo)"))</f>
        <v/>
      </c>
      <c r="X540" s="3">
        <f>IF(tblOrdenes[[#This Row],[cod_actividad]]="","",_xlfn.XLOOKUP(tblOrdenes[[#This Row],[cod_actividad]],tblActividades[codigo],tblActividades[descripcion],"(sin catálogo)"))</f>
        <v/>
      </c>
      <c r="Y540" s="12">
        <f>IF(tblOrdenes[[#This Row],[fecha_inicio]]="","",TODAY()-tblOrdenes[[#This Row],[fecha_inicio]])</f>
        <v/>
      </c>
      <c r="Z540" s="3">
        <f>IF(tblOrdenes[[#This Row],[backlog_dias]]="","",IF(tblOrdenes[[#This Row],[backlog_dias]]&lt;0,"FUTURO",IF(tblOrdenes[[#This Row],[backlog_dias]]&gt;p_dias_backlog_max,"BACKLOG","MES CORRIENTE")))</f>
        <v/>
      </c>
      <c r="AA540" s="3">
        <f>IF(tblOrdenes[[#This Row],[backlog_dias]]="",FALSE,AND(tblOrdenes[[#This Row],[backlog_dias]]&gt;p_dias_backlog_min,tblOrdenes[[#This Row],[backlog_dias]]&lt;=p_dias_backlog_max))</f>
        <v/>
      </c>
      <c r="AB540" s="6" t="n"/>
      <c r="AC5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0" s="10">
        <f>IF(tblOrdenes[[#This Row],[orden]]="","",_xlfn.XLOOKUP(tblOrdenes[[#This Row],[id_operacion]],tblEjecucion[id_operacion],tblEjecucion[precio],0))</f>
        <v/>
      </c>
      <c r="AG540" s="10">
        <f>IF(tblOrdenes[[#This Row],[orden]]="","",MAX(0,_xlfn.XLOOKUP(tblOrdenes[[#This Row],[id_operacion]],tblEjecucion[id_operacion],tblEjecucion[costo_plan_total],0)-tblOrdenes[[#This Row],[costo_servicio]]))</f>
        <v/>
      </c>
      <c r="AH540" s="10">
        <f>IF(tblOrdenes[[#This Row],[orden]]="","",tblOrdenes[[#This Row],[costo_servicio]]+tblOrdenes[[#This Row],[costo_materiales]])</f>
        <v/>
      </c>
      <c r="AI540" s="6" t="n"/>
      <c r="AJ540" s="6" t="n"/>
      <c r="AK540" s="6" t="n"/>
      <c r="AL540" s="3">
        <f>IF(tblOrdenes[[#This Row],[link_checklist]]="","",HYPERLINK(p_ruta_base_checklists&amp;tblOrdenes[[#This Row],[link_checklist]],"abrir"))</f>
        <v/>
      </c>
      <c r="AM540" s="6" t="n"/>
      <c r="AN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Row],[tipo_ot]]="","",_xlfn.XLOOKUP(tblOrdenes[[#This Row],[tipo_ot]],tblTiposOT[codigo],tblTiposOT[clasificacion],"sin_clasificar"))</f>
        <v/>
      </c>
      <c r="T541" s="3">
        <f>IF(tblOrdenes[[#This Row],[centro_costo]]="","",_xlfn.XLOOKUP(tblOrdenes[[#This Row],[centro_costo]],tblCECO[codigo],tblCECO[linea],"(sin catálogo)"))</f>
        <v/>
      </c>
      <c r="U541" s="3">
        <f>IF(tblOrdenes[[#This Row],[centro_costo]]="","",_xlfn.XLOOKUP(tblOrdenes[[#This Row],[centro_costo]],tblCECO[codigo],tblCECO[area],"(sin catálogo)"))</f>
        <v/>
      </c>
      <c r="V541" s="3">
        <f>IF(tblOrdenes[[#This Row],[centro_costo]]="","",_xlfn.XLOOKUP(tblOrdenes[[#This Row],[centro_costo]],tblCECO[codigo],tblCECO[coordinador],"(sin catálogo)"))</f>
        <v/>
      </c>
      <c r="W541" s="3">
        <f>IF(tblOrdenes[[#This Row],[puesto_trabajo]]="","",_xlfn.XLOOKUP(tblOrdenes[[#This Row],[puesto_trabajo]],tblPuestos[codigo],tblPuestos[especialidad],"(sin catálogo)"))</f>
        <v/>
      </c>
      <c r="X541" s="3">
        <f>IF(tblOrdenes[[#This Row],[cod_actividad]]="","",_xlfn.XLOOKUP(tblOrdenes[[#This Row],[cod_actividad]],tblActividades[codigo],tblActividades[descripcion],"(sin catálogo)"))</f>
        <v/>
      </c>
      <c r="Y541" s="12">
        <f>IF(tblOrdenes[[#This Row],[fecha_inicio]]="","",TODAY()-tblOrdenes[[#This Row],[fecha_inicio]])</f>
        <v/>
      </c>
      <c r="Z541" s="3">
        <f>IF(tblOrdenes[[#This Row],[backlog_dias]]="","",IF(tblOrdenes[[#This Row],[backlog_dias]]&lt;0,"FUTURO",IF(tblOrdenes[[#This Row],[backlog_dias]]&gt;p_dias_backlog_max,"BACKLOG","MES CORRIENTE")))</f>
        <v/>
      </c>
      <c r="AA541" s="3">
        <f>IF(tblOrdenes[[#This Row],[backlog_dias]]="",FALSE,AND(tblOrdenes[[#This Row],[backlog_dias]]&gt;p_dias_backlog_min,tblOrdenes[[#This Row],[backlog_dias]]&lt;=p_dias_backlog_max))</f>
        <v/>
      </c>
      <c r="AB541" s="6" t="n"/>
      <c r="AC5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1" s="10">
        <f>IF(tblOrdenes[[#This Row],[orden]]="","",_xlfn.XLOOKUP(tblOrdenes[[#This Row],[id_operacion]],tblEjecucion[id_operacion],tblEjecucion[precio],0))</f>
        <v/>
      </c>
      <c r="AG541" s="10">
        <f>IF(tblOrdenes[[#This Row],[orden]]="","",MAX(0,_xlfn.XLOOKUP(tblOrdenes[[#This Row],[id_operacion]],tblEjecucion[id_operacion],tblEjecucion[costo_plan_total],0)-tblOrdenes[[#This Row],[costo_servicio]]))</f>
        <v/>
      </c>
      <c r="AH541" s="10">
        <f>IF(tblOrdenes[[#This Row],[orden]]="","",tblOrdenes[[#This Row],[costo_servicio]]+tblOrdenes[[#This Row],[costo_materiales]])</f>
        <v/>
      </c>
      <c r="AI541" s="6" t="n"/>
      <c r="AJ541" s="6" t="n"/>
      <c r="AK541" s="6" t="n"/>
      <c r="AL541" s="3">
        <f>IF(tblOrdenes[[#This Row],[link_checklist]]="","",HYPERLINK(p_ruta_base_checklists&amp;tblOrdenes[[#This Row],[link_checklist]],"abrir"))</f>
        <v/>
      </c>
      <c r="AM541" s="6" t="n"/>
      <c r="AN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Row],[tipo_ot]]="","",_xlfn.XLOOKUP(tblOrdenes[[#This Row],[tipo_ot]],tblTiposOT[codigo],tblTiposOT[clasificacion],"sin_clasificar"))</f>
        <v/>
      </c>
      <c r="T542" s="3">
        <f>IF(tblOrdenes[[#This Row],[centro_costo]]="","",_xlfn.XLOOKUP(tblOrdenes[[#This Row],[centro_costo]],tblCECO[codigo],tblCECO[linea],"(sin catálogo)"))</f>
        <v/>
      </c>
      <c r="U542" s="3">
        <f>IF(tblOrdenes[[#This Row],[centro_costo]]="","",_xlfn.XLOOKUP(tblOrdenes[[#This Row],[centro_costo]],tblCECO[codigo],tblCECO[area],"(sin catálogo)"))</f>
        <v/>
      </c>
      <c r="V542" s="3">
        <f>IF(tblOrdenes[[#This Row],[centro_costo]]="","",_xlfn.XLOOKUP(tblOrdenes[[#This Row],[centro_costo]],tblCECO[codigo],tblCECO[coordinador],"(sin catálogo)"))</f>
        <v/>
      </c>
      <c r="W542" s="3">
        <f>IF(tblOrdenes[[#This Row],[puesto_trabajo]]="","",_xlfn.XLOOKUP(tblOrdenes[[#This Row],[puesto_trabajo]],tblPuestos[codigo],tblPuestos[especialidad],"(sin catálogo)"))</f>
        <v/>
      </c>
      <c r="X542" s="3">
        <f>IF(tblOrdenes[[#This Row],[cod_actividad]]="","",_xlfn.XLOOKUP(tblOrdenes[[#This Row],[cod_actividad]],tblActividades[codigo],tblActividades[descripcion],"(sin catálogo)"))</f>
        <v/>
      </c>
      <c r="Y542" s="12">
        <f>IF(tblOrdenes[[#This Row],[fecha_inicio]]="","",TODAY()-tblOrdenes[[#This Row],[fecha_inicio]])</f>
        <v/>
      </c>
      <c r="Z542" s="3">
        <f>IF(tblOrdenes[[#This Row],[backlog_dias]]="","",IF(tblOrdenes[[#This Row],[backlog_dias]]&lt;0,"FUTURO",IF(tblOrdenes[[#This Row],[backlog_dias]]&gt;p_dias_backlog_max,"BACKLOG","MES CORRIENTE")))</f>
        <v/>
      </c>
      <c r="AA542" s="3">
        <f>IF(tblOrdenes[[#This Row],[backlog_dias]]="",FALSE,AND(tblOrdenes[[#This Row],[backlog_dias]]&gt;p_dias_backlog_min,tblOrdenes[[#This Row],[backlog_dias]]&lt;=p_dias_backlog_max))</f>
        <v/>
      </c>
      <c r="AB542" s="6" t="n"/>
      <c r="AC5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2" s="10">
        <f>IF(tblOrdenes[[#This Row],[orden]]="","",_xlfn.XLOOKUP(tblOrdenes[[#This Row],[id_operacion]],tblEjecucion[id_operacion],tblEjecucion[precio],0))</f>
        <v/>
      </c>
      <c r="AG542" s="10">
        <f>IF(tblOrdenes[[#This Row],[orden]]="","",MAX(0,_xlfn.XLOOKUP(tblOrdenes[[#This Row],[id_operacion]],tblEjecucion[id_operacion],tblEjecucion[costo_plan_total],0)-tblOrdenes[[#This Row],[costo_servicio]]))</f>
        <v/>
      </c>
      <c r="AH542" s="10">
        <f>IF(tblOrdenes[[#This Row],[orden]]="","",tblOrdenes[[#This Row],[costo_servicio]]+tblOrdenes[[#This Row],[costo_materiales]])</f>
        <v/>
      </c>
      <c r="AI542" s="6" t="n"/>
      <c r="AJ542" s="6" t="n"/>
      <c r="AK542" s="6" t="n"/>
      <c r="AL542" s="3">
        <f>IF(tblOrdenes[[#This Row],[link_checklist]]="","",HYPERLINK(p_ruta_base_checklists&amp;tblOrdenes[[#This Row],[link_checklist]],"abrir"))</f>
        <v/>
      </c>
      <c r="AM542" s="6" t="n"/>
      <c r="AN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Row],[tipo_ot]]="","",_xlfn.XLOOKUP(tblOrdenes[[#This Row],[tipo_ot]],tblTiposOT[codigo],tblTiposOT[clasificacion],"sin_clasificar"))</f>
        <v/>
      </c>
      <c r="T543" s="3">
        <f>IF(tblOrdenes[[#This Row],[centro_costo]]="","",_xlfn.XLOOKUP(tblOrdenes[[#This Row],[centro_costo]],tblCECO[codigo],tblCECO[linea],"(sin catálogo)"))</f>
        <v/>
      </c>
      <c r="U543" s="3">
        <f>IF(tblOrdenes[[#This Row],[centro_costo]]="","",_xlfn.XLOOKUP(tblOrdenes[[#This Row],[centro_costo]],tblCECO[codigo],tblCECO[area],"(sin catálogo)"))</f>
        <v/>
      </c>
      <c r="V543" s="3">
        <f>IF(tblOrdenes[[#This Row],[centro_costo]]="","",_xlfn.XLOOKUP(tblOrdenes[[#This Row],[centro_costo]],tblCECO[codigo],tblCECO[coordinador],"(sin catálogo)"))</f>
        <v/>
      </c>
      <c r="W543" s="3">
        <f>IF(tblOrdenes[[#This Row],[puesto_trabajo]]="","",_xlfn.XLOOKUP(tblOrdenes[[#This Row],[puesto_trabajo]],tblPuestos[codigo],tblPuestos[especialidad],"(sin catálogo)"))</f>
        <v/>
      </c>
      <c r="X543" s="3">
        <f>IF(tblOrdenes[[#This Row],[cod_actividad]]="","",_xlfn.XLOOKUP(tblOrdenes[[#This Row],[cod_actividad]],tblActividades[codigo],tblActividades[descripcion],"(sin catálogo)"))</f>
        <v/>
      </c>
      <c r="Y543" s="12">
        <f>IF(tblOrdenes[[#This Row],[fecha_inicio]]="","",TODAY()-tblOrdenes[[#This Row],[fecha_inicio]])</f>
        <v/>
      </c>
      <c r="Z543" s="3">
        <f>IF(tblOrdenes[[#This Row],[backlog_dias]]="","",IF(tblOrdenes[[#This Row],[backlog_dias]]&lt;0,"FUTURO",IF(tblOrdenes[[#This Row],[backlog_dias]]&gt;p_dias_backlog_max,"BACKLOG","MES CORRIENTE")))</f>
        <v/>
      </c>
      <c r="AA543" s="3">
        <f>IF(tblOrdenes[[#This Row],[backlog_dias]]="",FALSE,AND(tblOrdenes[[#This Row],[backlog_dias]]&gt;p_dias_backlog_min,tblOrdenes[[#This Row],[backlog_dias]]&lt;=p_dias_backlog_max))</f>
        <v/>
      </c>
      <c r="AB543" s="6" t="n"/>
      <c r="AC5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3" s="10">
        <f>IF(tblOrdenes[[#This Row],[orden]]="","",_xlfn.XLOOKUP(tblOrdenes[[#This Row],[id_operacion]],tblEjecucion[id_operacion],tblEjecucion[precio],0))</f>
        <v/>
      </c>
      <c r="AG543" s="10">
        <f>IF(tblOrdenes[[#This Row],[orden]]="","",MAX(0,_xlfn.XLOOKUP(tblOrdenes[[#This Row],[id_operacion]],tblEjecucion[id_operacion],tblEjecucion[costo_plan_total],0)-tblOrdenes[[#This Row],[costo_servicio]]))</f>
        <v/>
      </c>
      <c r="AH543" s="10">
        <f>IF(tblOrdenes[[#This Row],[orden]]="","",tblOrdenes[[#This Row],[costo_servicio]]+tblOrdenes[[#This Row],[costo_materiales]])</f>
        <v/>
      </c>
      <c r="AI543" s="6" t="n"/>
      <c r="AJ543" s="6" t="n"/>
      <c r="AK543" s="6" t="n"/>
      <c r="AL543" s="3">
        <f>IF(tblOrdenes[[#This Row],[link_checklist]]="","",HYPERLINK(p_ruta_base_checklists&amp;tblOrdenes[[#This Row],[link_checklist]],"abrir"))</f>
        <v/>
      </c>
      <c r="AM543" s="6" t="n"/>
      <c r="AN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Row],[tipo_ot]]="","",_xlfn.XLOOKUP(tblOrdenes[[#This Row],[tipo_ot]],tblTiposOT[codigo],tblTiposOT[clasificacion],"sin_clasificar"))</f>
        <v/>
      </c>
      <c r="T544" s="3">
        <f>IF(tblOrdenes[[#This Row],[centro_costo]]="","",_xlfn.XLOOKUP(tblOrdenes[[#This Row],[centro_costo]],tblCECO[codigo],tblCECO[linea],"(sin catálogo)"))</f>
        <v/>
      </c>
      <c r="U544" s="3">
        <f>IF(tblOrdenes[[#This Row],[centro_costo]]="","",_xlfn.XLOOKUP(tblOrdenes[[#This Row],[centro_costo]],tblCECO[codigo],tblCECO[area],"(sin catálogo)"))</f>
        <v/>
      </c>
      <c r="V544" s="3">
        <f>IF(tblOrdenes[[#This Row],[centro_costo]]="","",_xlfn.XLOOKUP(tblOrdenes[[#This Row],[centro_costo]],tblCECO[codigo],tblCECO[coordinador],"(sin catálogo)"))</f>
        <v/>
      </c>
      <c r="W544" s="3">
        <f>IF(tblOrdenes[[#This Row],[puesto_trabajo]]="","",_xlfn.XLOOKUP(tblOrdenes[[#This Row],[puesto_trabajo]],tblPuestos[codigo],tblPuestos[especialidad],"(sin catálogo)"))</f>
        <v/>
      </c>
      <c r="X544" s="3">
        <f>IF(tblOrdenes[[#This Row],[cod_actividad]]="","",_xlfn.XLOOKUP(tblOrdenes[[#This Row],[cod_actividad]],tblActividades[codigo],tblActividades[descripcion],"(sin catálogo)"))</f>
        <v/>
      </c>
      <c r="Y544" s="12">
        <f>IF(tblOrdenes[[#This Row],[fecha_inicio]]="","",TODAY()-tblOrdenes[[#This Row],[fecha_inicio]])</f>
        <v/>
      </c>
      <c r="Z544" s="3">
        <f>IF(tblOrdenes[[#This Row],[backlog_dias]]="","",IF(tblOrdenes[[#This Row],[backlog_dias]]&lt;0,"FUTURO",IF(tblOrdenes[[#This Row],[backlog_dias]]&gt;p_dias_backlog_max,"BACKLOG","MES CORRIENTE")))</f>
        <v/>
      </c>
      <c r="AA544" s="3">
        <f>IF(tblOrdenes[[#This Row],[backlog_dias]]="",FALSE,AND(tblOrdenes[[#This Row],[backlog_dias]]&gt;p_dias_backlog_min,tblOrdenes[[#This Row],[backlog_dias]]&lt;=p_dias_backlog_max))</f>
        <v/>
      </c>
      <c r="AB544" s="6" t="n"/>
      <c r="AC5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4" s="10">
        <f>IF(tblOrdenes[[#This Row],[orden]]="","",_xlfn.XLOOKUP(tblOrdenes[[#This Row],[id_operacion]],tblEjecucion[id_operacion],tblEjecucion[precio],0))</f>
        <v/>
      </c>
      <c r="AG544" s="10">
        <f>IF(tblOrdenes[[#This Row],[orden]]="","",MAX(0,_xlfn.XLOOKUP(tblOrdenes[[#This Row],[id_operacion]],tblEjecucion[id_operacion],tblEjecucion[costo_plan_total],0)-tblOrdenes[[#This Row],[costo_servicio]]))</f>
        <v/>
      </c>
      <c r="AH544" s="10">
        <f>IF(tblOrdenes[[#This Row],[orden]]="","",tblOrdenes[[#This Row],[costo_servicio]]+tblOrdenes[[#This Row],[costo_materiales]])</f>
        <v/>
      </c>
      <c r="AI544" s="6" t="n"/>
      <c r="AJ544" s="6" t="n"/>
      <c r="AK544" s="6" t="n"/>
      <c r="AL544" s="3">
        <f>IF(tblOrdenes[[#This Row],[link_checklist]]="","",HYPERLINK(p_ruta_base_checklists&amp;tblOrdenes[[#This Row],[link_checklist]],"abrir"))</f>
        <v/>
      </c>
      <c r="AM544" s="6" t="n"/>
      <c r="AN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Row],[tipo_ot]]="","",_xlfn.XLOOKUP(tblOrdenes[[#This Row],[tipo_ot]],tblTiposOT[codigo],tblTiposOT[clasificacion],"sin_clasificar"))</f>
        <v/>
      </c>
      <c r="T545" s="3">
        <f>IF(tblOrdenes[[#This Row],[centro_costo]]="","",_xlfn.XLOOKUP(tblOrdenes[[#This Row],[centro_costo]],tblCECO[codigo],tblCECO[linea],"(sin catálogo)"))</f>
        <v/>
      </c>
      <c r="U545" s="3">
        <f>IF(tblOrdenes[[#This Row],[centro_costo]]="","",_xlfn.XLOOKUP(tblOrdenes[[#This Row],[centro_costo]],tblCECO[codigo],tblCECO[area],"(sin catálogo)"))</f>
        <v/>
      </c>
      <c r="V545" s="3">
        <f>IF(tblOrdenes[[#This Row],[centro_costo]]="","",_xlfn.XLOOKUP(tblOrdenes[[#This Row],[centro_costo]],tblCECO[codigo],tblCECO[coordinador],"(sin catálogo)"))</f>
        <v/>
      </c>
      <c r="W545" s="3">
        <f>IF(tblOrdenes[[#This Row],[puesto_trabajo]]="","",_xlfn.XLOOKUP(tblOrdenes[[#This Row],[puesto_trabajo]],tblPuestos[codigo],tblPuestos[especialidad],"(sin catálogo)"))</f>
        <v/>
      </c>
      <c r="X545" s="3">
        <f>IF(tblOrdenes[[#This Row],[cod_actividad]]="","",_xlfn.XLOOKUP(tblOrdenes[[#This Row],[cod_actividad]],tblActividades[codigo],tblActividades[descripcion],"(sin catálogo)"))</f>
        <v/>
      </c>
      <c r="Y545" s="12">
        <f>IF(tblOrdenes[[#This Row],[fecha_inicio]]="","",TODAY()-tblOrdenes[[#This Row],[fecha_inicio]])</f>
        <v/>
      </c>
      <c r="Z545" s="3">
        <f>IF(tblOrdenes[[#This Row],[backlog_dias]]="","",IF(tblOrdenes[[#This Row],[backlog_dias]]&lt;0,"FUTURO",IF(tblOrdenes[[#This Row],[backlog_dias]]&gt;p_dias_backlog_max,"BACKLOG","MES CORRIENTE")))</f>
        <v/>
      </c>
      <c r="AA545" s="3">
        <f>IF(tblOrdenes[[#This Row],[backlog_dias]]="",FALSE,AND(tblOrdenes[[#This Row],[backlog_dias]]&gt;p_dias_backlog_min,tblOrdenes[[#This Row],[backlog_dias]]&lt;=p_dias_backlog_max))</f>
        <v/>
      </c>
      <c r="AB545" s="6" t="n"/>
      <c r="AC5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5" s="10">
        <f>IF(tblOrdenes[[#This Row],[orden]]="","",_xlfn.XLOOKUP(tblOrdenes[[#This Row],[id_operacion]],tblEjecucion[id_operacion],tblEjecucion[precio],0))</f>
        <v/>
      </c>
      <c r="AG545" s="10">
        <f>IF(tblOrdenes[[#This Row],[orden]]="","",MAX(0,_xlfn.XLOOKUP(tblOrdenes[[#This Row],[id_operacion]],tblEjecucion[id_operacion],tblEjecucion[costo_plan_total],0)-tblOrdenes[[#This Row],[costo_servicio]]))</f>
        <v/>
      </c>
      <c r="AH545" s="10">
        <f>IF(tblOrdenes[[#This Row],[orden]]="","",tblOrdenes[[#This Row],[costo_servicio]]+tblOrdenes[[#This Row],[costo_materiales]])</f>
        <v/>
      </c>
      <c r="AI545" s="6" t="n"/>
      <c r="AJ545" s="6" t="n"/>
      <c r="AK545" s="6" t="n"/>
      <c r="AL545" s="3">
        <f>IF(tblOrdenes[[#This Row],[link_checklist]]="","",HYPERLINK(p_ruta_base_checklists&amp;tblOrdenes[[#This Row],[link_checklist]],"abrir"))</f>
        <v/>
      </c>
      <c r="AM545" s="6" t="n"/>
      <c r="AN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Row],[tipo_ot]]="","",_xlfn.XLOOKUP(tblOrdenes[[#This Row],[tipo_ot]],tblTiposOT[codigo],tblTiposOT[clasificacion],"sin_clasificar"))</f>
        <v/>
      </c>
      <c r="T546" s="3">
        <f>IF(tblOrdenes[[#This Row],[centro_costo]]="","",_xlfn.XLOOKUP(tblOrdenes[[#This Row],[centro_costo]],tblCECO[codigo],tblCECO[linea],"(sin catálogo)"))</f>
        <v/>
      </c>
      <c r="U546" s="3">
        <f>IF(tblOrdenes[[#This Row],[centro_costo]]="","",_xlfn.XLOOKUP(tblOrdenes[[#This Row],[centro_costo]],tblCECO[codigo],tblCECO[area],"(sin catálogo)"))</f>
        <v/>
      </c>
      <c r="V546" s="3">
        <f>IF(tblOrdenes[[#This Row],[centro_costo]]="","",_xlfn.XLOOKUP(tblOrdenes[[#This Row],[centro_costo]],tblCECO[codigo],tblCECO[coordinador],"(sin catálogo)"))</f>
        <v/>
      </c>
      <c r="W546" s="3">
        <f>IF(tblOrdenes[[#This Row],[puesto_trabajo]]="","",_xlfn.XLOOKUP(tblOrdenes[[#This Row],[puesto_trabajo]],tblPuestos[codigo],tblPuestos[especialidad],"(sin catálogo)"))</f>
        <v/>
      </c>
      <c r="X546" s="3">
        <f>IF(tblOrdenes[[#This Row],[cod_actividad]]="","",_xlfn.XLOOKUP(tblOrdenes[[#This Row],[cod_actividad]],tblActividades[codigo],tblActividades[descripcion],"(sin catálogo)"))</f>
        <v/>
      </c>
      <c r="Y546" s="12">
        <f>IF(tblOrdenes[[#This Row],[fecha_inicio]]="","",TODAY()-tblOrdenes[[#This Row],[fecha_inicio]])</f>
        <v/>
      </c>
      <c r="Z546" s="3">
        <f>IF(tblOrdenes[[#This Row],[backlog_dias]]="","",IF(tblOrdenes[[#This Row],[backlog_dias]]&lt;0,"FUTURO",IF(tblOrdenes[[#This Row],[backlog_dias]]&gt;p_dias_backlog_max,"BACKLOG","MES CORRIENTE")))</f>
        <v/>
      </c>
      <c r="AA546" s="3">
        <f>IF(tblOrdenes[[#This Row],[backlog_dias]]="",FALSE,AND(tblOrdenes[[#This Row],[backlog_dias]]&gt;p_dias_backlog_min,tblOrdenes[[#This Row],[backlog_dias]]&lt;=p_dias_backlog_max))</f>
        <v/>
      </c>
      <c r="AB546" s="6" t="n"/>
      <c r="AC5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6" s="10">
        <f>IF(tblOrdenes[[#This Row],[orden]]="","",_xlfn.XLOOKUP(tblOrdenes[[#This Row],[id_operacion]],tblEjecucion[id_operacion],tblEjecucion[precio],0))</f>
        <v/>
      </c>
      <c r="AG546" s="10">
        <f>IF(tblOrdenes[[#This Row],[orden]]="","",MAX(0,_xlfn.XLOOKUP(tblOrdenes[[#This Row],[id_operacion]],tblEjecucion[id_operacion],tblEjecucion[costo_plan_total],0)-tblOrdenes[[#This Row],[costo_servicio]]))</f>
        <v/>
      </c>
      <c r="AH546" s="10">
        <f>IF(tblOrdenes[[#This Row],[orden]]="","",tblOrdenes[[#This Row],[costo_servicio]]+tblOrdenes[[#This Row],[costo_materiales]])</f>
        <v/>
      </c>
      <c r="AI546" s="6" t="n"/>
      <c r="AJ546" s="6" t="n"/>
      <c r="AK546" s="6" t="n"/>
      <c r="AL546" s="3">
        <f>IF(tblOrdenes[[#This Row],[link_checklist]]="","",HYPERLINK(p_ruta_base_checklists&amp;tblOrdenes[[#This Row],[link_checklist]],"abrir"))</f>
        <v/>
      </c>
      <c r="AM546" s="6" t="n"/>
      <c r="AN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Row],[tipo_ot]]="","",_xlfn.XLOOKUP(tblOrdenes[[#This Row],[tipo_ot]],tblTiposOT[codigo],tblTiposOT[clasificacion],"sin_clasificar"))</f>
        <v/>
      </c>
      <c r="T547" s="3">
        <f>IF(tblOrdenes[[#This Row],[centro_costo]]="","",_xlfn.XLOOKUP(tblOrdenes[[#This Row],[centro_costo]],tblCECO[codigo],tblCECO[linea],"(sin catálogo)"))</f>
        <v/>
      </c>
      <c r="U547" s="3">
        <f>IF(tblOrdenes[[#This Row],[centro_costo]]="","",_xlfn.XLOOKUP(tblOrdenes[[#This Row],[centro_costo]],tblCECO[codigo],tblCECO[area],"(sin catálogo)"))</f>
        <v/>
      </c>
      <c r="V547" s="3">
        <f>IF(tblOrdenes[[#This Row],[centro_costo]]="","",_xlfn.XLOOKUP(tblOrdenes[[#This Row],[centro_costo]],tblCECO[codigo],tblCECO[coordinador],"(sin catálogo)"))</f>
        <v/>
      </c>
      <c r="W547" s="3">
        <f>IF(tblOrdenes[[#This Row],[puesto_trabajo]]="","",_xlfn.XLOOKUP(tblOrdenes[[#This Row],[puesto_trabajo]],tblPuestos[codigo],tblPuestos[especialidad],"(sin catálogo)"))</f>
        <v/>
      </c>
      <c r="X547" s="3">
        <f>IF(tblOrdenes[[#This Row],[cod_actividad]]="","",_xlfn.XLOOKUP(tblOrdenes[[#This Row],[cod_actividad]],tblActividades[codigo],tblActividades[descripcion],"(sin catálogo)"))</f>
        <v/>
      </c>
      <c r="Y547" s="12">
        <f>IF(tblOrdenes[[#This Row],[fecha_inicio]]="","",TODAY()-tblOrdenes[[#This Row],[fecha_inicio]])</f>
        <v/>
      </c>
      <c r="Z547" s="3">
        <f>IF(tblOrdenes[[#This Row],[backlog_dias]]="","",IF(tblOrdenes[[#This Row],[backlog_dias]]&lt;0,"FUTURO",IF(tblOrdenes[[#This Row],[backlog_dias]]&gt;p_dias_backlog_max,"BACKLOG","MES CORRIENTE")))</f>
        <v/>
      </c>
      <c r="AA547" s="3">
        <f>IF(tblOrdenes[[#This Row],[backlog_dias]]="",FALSE,AND(tblOrdenes[[#This Row],[backlog_dias]]&gt;p_dias_backlog_min,tblOrdenes[[#This Row],[backlog_dias]]&lt;=p_dias_backlog_max))</f>
        <v/>
      </c>
      <c r="AB547" s="6" t="n"/>
      <c r="AC5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7" s="10">
        <f>IF(tblOrdenes[[#This Row],[orden]]="","",_xlfn.XLOOKUP(tblOrdenes[[#This Row],[id_operacion]],tblEjecucion[id_operacion],tblEjecucion[precio],0))</f>
        <v/>
      </c>
      <c r="AG547" s="10">
        <f>IF(tblOrdenes[[#This Row],[orden]]="","",MAX(0,_xlfn.XLOOKUP(tblOrdenes[[#This Row],[id_operacion]],tblEjecucion[id_operacion],tblEjecucion[costo_plan_total],0)-tblOrdenes[[#This Row],[costo_servicio]]))</f>
        <v/>
      </c>
      <c r="AH547" s="10">
        <f>IF(tblOrdenes[[#This Row],[orden]]="","",tblOrdenes[[#This Row],[costo_servicio]]+tblOrdenes[[#This Row],[costo_materiales]])</f>
        <v/>
      </c>
      <c r="AI547" s="6" t="n"/>
      <c r="AJ547" s="6" t="n"/>
      <c r="AK547" s="6" t="n"/>
      <c r="AL547" s="3">
        <f>IF(tblOrdenes[[#This Row],[link_checklist]]="","",HYPERLINK(p_ruta_base_checklists&amp;tblOrdenes[[#This Row],[link_checklist]],"abrir"))</f>
        <v/>
      </c>
      <c r="AM547" s="6" t="n"/>
      <c r="AN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Row],[tipo_ot]]="","",_xlfn.XLOOKUP(tblOrdenes[[#This Row],[tipo_ot]],tblTiposOT[codigo],tblTiposOT[clasificacion],"sin_clasificar"))</f>
        <v/>
      </c>
      <c r="T548" s="3">
        <f>IF(tblOrdenes[[#This Row],[centro_costo]]="","",_xlfn.XLOOKUP(tblOrdenes[[#This Row],[centro_costo]],tblCECO[codigo],tblCECO[linea],"(sin catálogo)"))</f>
        <v/>
      </c>
      <c r="U548" s="3">
        <f>IF(tblOrdenes[[#This Row],[centro_costo]]="","",_xlfn.XLOOKUP(tblOrdenes[[#This Row],[centro_costo]],tblCECO[codigo],tblCECO[area],"(sin catálogo)"))</f>
        <v/>
      </c>
      <c r="V548" s="3">
        <f>IF(tblOrdenes[[#This Row],[centro_costo]]="","",_xlfn.XLOOKUP(tblOrdenes[[#This Row],[centro_costo]],tblCECO[codigo],tblCECO[coordinador],"(sin catálogo)"))</f>
        <v/>
      </c>
      <c r="W548" s="3">
        <f>IF(tblOrdenes[[#This Row],[puesto_trabajo]]="","",_xlfn.XLOOKUP(tblOrdenes[[#This Row],[puesto_trabajo]],tblPuestos[codigo],tblPuestos[especialidad],"(sin catálogo)"))</f>
        <v/>
      </c>
      <c r="X548" s="3">
        <f>IF(tblOrdenes[[#This Row],[cod_actividad]]="","",_xlfn.XLOOKUP(tblOrdenes[[#This Row],[cod_actividad]],tblActividades[codigo],tblActividades[descripcion],"(sin catálogo)"))</f>
        <v/>
      </c>
      <c r="Y548" s="12">
        <f>IF(tblOrdenes[[#This Row],[fecha_inicio]]="","",TODAY()-tblOrdenes[[#This Row],[fecha_inicio]])</f>
        <v/>
      </c>
      <c r="Z548" s="3">
        <f>IF(tblOrdenes[[#This Row],[backlog_dias]]="","",IF(tblOrdenes[[#This Row],[backlog_dias]]&lt;0,"FUTURO",IF(tblOrdenes[[#This Row],[backlog_dias]]&gt;p_dias_backlog_max,"BACKLOG","MES CORRIENTE")))</f>
        <v/>
      </c>
      <c r="AA548" s="3">
        <f>IF(tblOrdenes[[#This Row],[backlog_dias]]="",FALSE,AND(tblOrdenes[[#This Row],[backlog_dias]]&gt;p_dias_backlog_min,tblOrdenes[[#This Row],[backlog_dias]]&lt;=p_dias_backlog_max))</f>
        <v/>
      </c>
      <c r="AB548" s="6" t="n"/>
      <c r="AC5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8" s="10">
        <f>IF(tblOrdenes[[#This Row],[orden]]="","",_xlfn.XLOOKUP(tblOrdenes[[#This Row],[id_operacion]],tblEjecucion[id_operacion],tblEjecucion[precio],0))</f>
        <v/>
      </c>
      <c r="AG548" s="10">
        <f>IF(tblOrdenes[[#This Row],[orden]]="","",MAX(0,_xlfn.XLOOKUP(tblOrdenes[[#This Row],[id_operacion]],tblEjecucion[id_operacion],tblEjecucion[costo_plan_total],0)-tblOrdenes[[#This Row],[costo_servicio]]))</f>
        <v/>
      </c>
      <c r="AH548" s="10">
        <f>IF(tblOrdenes[[#This Row],[orden]]="","",tblOrdenes[[#This Row],[costo_servicio]]+tblOrdenes[[#This Row],[costo_materiales]])</f>
        <v/>
      </c>
      <c r="AI548" s="6" t="n"/>
      <c r="AJ548" s="6" t="n"/>
      <c r="AK548" s="6" t="n"/>
      <c r="AL548" s="3">
        <f>IF(tblOrdenes[[#This Row],[link_checklist]]="","",HYPERLINK(p_ruta_base_checklists&amp;tblOrdenes[[#This Row],[link_checklist]],"abrir"))</f>
        <v/>
      </c>
      <c r="AM548" s="6" t="n"/>
      <c r="AN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Row],[tipo_ot]]="","",_xlfn.XLOOKUP(tblOrdenes[[#This Row],[tipo_ot]],tblTiposOT[codigo],tblTiposOT[clasificacion],"sin_clasificar"))</f>
        <v/>
      </c>
      <c r="T549" s="3">
        <f>IF(tblOrdenes[[#This Row],[centro_costo]]="","",_xlfn.XLOOKUP(tblOrdenes[[#This Row],[centro_costo]],tblCECO[codigo],tblCECO[linea],"(sin catálogo)"))</f>
        <v/>
      </c>
      <c r="U549" s="3">
        <f>IF(tblOrdenes[[#This Row],[centro_costo]]="","",_xlfn.XLOOKUP(tblOrdenes[[#This Row],[centro_costo]],tblCECO[codigo],tblCECO[area],"(sin catálogo)"))</f>
        <v/>
      </c>
      <c r="V549" s="3">
        <f>IF(tblOrdenes[[#This Row],[centro_costo]]="","",_xlfn.XLOOKUP(tblOrdenes[[#This Row],[centro_costo]],tblCECO[codigo],tblCECO[coordinador],"(sin catálogo)"))</f>
        <v/>
      </c>
      <c r="W549" s="3">
        <f>IF(tblOrdenes[[#This Row],[puesto_trabajo]]="","",_xlfn.XLOOKUP(tblOrdenes[[#This Row],[puesto_trabajo]],tblPuestos[codigo],tblPuestos[especialidad],"(sin catálogo)"))</f>
        <v/>
      </c>
      <c r="X549" s="3">
        <f>IF(tblOrdenes[[#This Row],[cod_actividad]]="","",_xlfn.XLOOKUP(tblOrdenes[[#This Row],[cod_actividad]],tblActividades[codigo],tblActividades[descripcion],"(sin catálogo)"))</f>
        <v/>
      </c>
      <c r="Y549" s="12">
        <f>IF(tblOrdenes[[#This Row],[fecha_inicio]]="","",TODAY()-tblOrdenes[[#This Row],[fecha_inicio]])</f>
        <v/>
      </c>
      <c r="Z549" s="3">
        <f>IF(tblOrdenes[[#This Row],[backlog_dias]]="","",IF(tblOrdenes[[#This Row],[backlog_dias]]&lt;0,"FUTURO",IF(tblOrdenes[[#This Row],[backlog_dias]]&gt;p_dias_backlog_max,"BACKLOG","MES CORRIENTE")))</f>
        <v/>
      </c>
      <c r="AA549" s="3">
        <f>IF(tblOrdenes[[#This Row],[backlog_dias]]="",FALSE,AND(tblOrdenes[[#This Row],[backlog_dias]]&gt;p_dias_backlog_min,tblOrdenes[[#This Row],[backlog_dias]]&lt;=p_dias_backlog_max))</f>
        <v/>
      </c>
      <c r="AB549" s="6" t="n"/>
      <c r="AC5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9" s="10">
        <f>IF(tblOrdenes[[#This Row],[orden]]="","",_xlfn.XLOOKUP(tblOrdenes[[#This Row],[id_operacion]],tblEjecucion[id_operacion],tblEjecucion[precio],0))</f>
        <v/>
      </c>
      <c r="AG549" s="10">
        <f>IF(tblOrdenes[[#This Row],[orden]]="","",MAX(0,_xlfn.XLOOKUP(tblOrdenes[[#This Row],[id_operacion]],tblEjecucion[id_operacion],tblEjecucion[costo_plan_total],0)-tblOrdenes[[#This Row],[costo_servicio]]))</f>
        <v/>
      </c>
      <c r="AH549" s="10">
        <f>IF(tblOrdenes[[#This Row],[orden]]="","",tblOrdenes[[#This Row],[costo_servicio]]+tblOrdenes[[#This Row],[costo_materiales]])</f>
        <v/>
      </c>
      <c r="AI549" s="6" t="n"/>
      <c r="AJ549" s="6" t="n"/>
      <c r="AK549" s="6" t="n"/>
      <c r="AL549" s="3">
        <f>IF(tblOrdenes[[#This Row],[link_checklist]]="","",HYPERLINK(p_ruta_base_checklists&amp;tblOrdenes[[#This Row],[link_checklist]],"abrir"))</f>
        <v/>
      </c>
      <c r="AM549" s="6" t="n"/>
      <c r="AN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Row],[tipo_ot]]="","",_xlfn.XLOOKUP(tblOrdenes[[#This Row],[tipo_ot]],tblTiposOT[codigo],tblTiposOT[clasificacion],"sin_clasificar"))</f>
        <v/>
      </c>
      <c r="T550" s="3">
        <f>IF(tblOrdenes[[#This Row],[centro_costo]]="","",_xlfn.XLOOKUP(tblOrdenes[[#This Row],[centro_costo]],tblCECO[codigo],tblCECO[linea],"(sin catálogo)"))</f>
        <v/>
      </c>
      <c r="U550" s="3">
        <f>IF(tblOrdenes[[#This Row],[centro_costo]]="","",_xlfn.XLOOKUP(tblOrdenes[[#This Row],[centro_costo]],tblCECO[codigo],tblCECO[area],"(sin catálogo)"))</f>
        <v/>
      </c>
      <c r="V550" s="3">
        <f>IF(tblOrdenes[[#This Row],[centro_costo]]="","",_xlfn.XLOOKUP(tblOrdenes[[#This Row],[centro_costo]],tblCECO[codigo],tblCECO[coordinador],"(sin catálogo)"))</f>
        <v/>
      </c>
      <c r="W550" s="3">
        <f>IF(tblOrdenes[[#This Row],[puesto_trabajo]]="","",_xlfn.XLOOKUP(tblOrdenes[[#This Row],[puesto_trabajo]],tblPuestos[codigo],tblPuestos[especialidad],"(sin catálogo)"))</f>
        <v/>
      </c>
      <c r="X550" s="3">
        <f>IF(tblOrdenes[[#This Row],[cod_actividad]]="","",_xlfn.XLOOKUP(tblOrdenes[[#This Row],[cod_actividad]],tblActividades[codigo],tblActividades[descripcion],"(sin catálogo)"))</f>
        <v/>
      </c>
      <c r="Y550" s="12">
        <f>IF(tblOrdenes[[#This Row],[fecha_inicio]]="","",TODAY()-tblOrdenes[[#This Row],[fecha_inicio]])</f>
        <v/>
      </c>
      <c r="Z550" s="3">
        <f>IF(tblOrdenes[[#This Row],[backlog_dias]]="","",IF(tblOrdenes[[#This Row],[backlog_dias]]&lt;0,"FUTURO",IF(tblOrdenes[[#This Row],[backlog_dias]]&gt;p_dias_backlog_max,"BACKLOG","MES CORRIENTE")))</f>
        <v/>
      </c>
      <c r="AA550" s="3">
        <f>IF(tblOrdenes[[#This Row],[backlog_dias]]="",FALSE,AND(tblOrdenes[[#This Row],[backlog_dias]]&gt;p_dias_backlog_min,tblOrdenes[[#This Row],[backlog_dias]]&lt;=p_dias_backlog_max))</f>
        <v/>
      </c>
      <c r="AB550" s="6" t="n"/>
      <c r="AC5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0" s="10">
        <f>IF(tblOrdenes[[#This Row],[orden]]="","",_xlfn.XLOOKUP(tblOrdenes[[#This Row],[id_operacion]],tblEjecucion[id_operacion],tblEjecucion[precio],0))</f>
        <v/>
      </c>
      <c r="AG550" s="10">
        <f>IF(tblOrdenes[[#This Row],[orden]]="","",MAX(0,_xlfn.XLOOKUP(tblOrdenes[[#This Row],[id_operacion]],tblEjecucion[id_operacion],tblEjecucion[costo_plan_total],0)-tblOrdenes[[#This Row],[costo_servicio]]))</f>
        <v/>
      </c>
      <c r="AH550" s="10">
        <f>IF(tblOrdenes[[#This Row],[orden]]="","",tblOrdenes[[#This Row],[costo_servicio]]+tblOrdenes[[#This Row],[costo_materiales]])</f>
        <v/>
      </c>
      <c r="AI550" s="6" t="n"/>
      <c r="AJ550" s="6" t="n"/>
      <c r="AK550" s="6" t="n"/>
      <c r="AL550" s="3">
        <f>IF(tblOrdenes[[#This Row],[link_checklist]]="","",HYPERLINK(p_ruta_base_checklists&amp;tblOrdenes[[#This Row],[link_checklist]],"abrir"))</f>
        <v/>
      </c>
      <c r="AM550" s="6" t="n"/>
      <c r="AN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Row],[tipo_ot]]="","",_xlfn.XLOOKUP(tblOrdenes[[#This Row],[tipo_ot]],tblTiposOT[codigo],tblTiposOT[clasificacion],"sin_clasificar"))</f>
        <v/>
      </c>
      <c r="T551" s="3">
        <f>IF(tblOrdenes[[#This Row],[centro_costo]]="","",_xlfn.XLOOKUP(tblOrdenes[[#This Row],[centro_costo]],tblCECO[codigo],tblCECO[linea],"(sin catálogo)"))</f>
        <v/>
      </c>
      <c r="U551" s="3">
        <f>IF(tblOrdenes[[#This Row],[centro_costo]]="","",_xlfn.XLOOKUP(tblOrdenes[[#This Row],[centro_costo]],tblCECO[codigo],tblCECO[area],"(sin catálogo)"))</f>
        <v/>
      </c>
      <c r="V551" s="3">
        <f>IF(tblOrdenes[[#This Row],[centro_costo]]="","",_xlfn.XLOOKUP(tblOrdenes[[#This Row],[centro_costo]],tblCECO[codigo],tblCECO[coordinador],"(sin catálogo)"))</f>
        <v/>
      </c>
      <c r="W551" s="3">
        <f>IF(tblOrdenes[[#This Row],[puesto_trabajo]]="","",_xlfn.XLOOKUP(tblOrdenes[[#This Row],[puesto_trabajo]],tblPuestos[codigo],tblPuestos[especialidad],"(sin catálogo)"))</f>
        <v/>
      </c>
      <c r="X551" s="3">
        <f>IF(tblOrdenes[[#This Row],[cod_actividad]]="","",_xlfn.XLOOKUP(tblOrdenes[[#This Row],[cod_actividad]],tblActividades[codigo],tblActividades[descripcion],"(sin catálogo)"))</f>
        <v/>
      </c>
      <c r="Y551" s="12">
        <f>IF(tblOrdenes[[#This Row],[fecha_inicio]]="","",TODAY()-tblOrdenes[[#This Row],[fecha_inicio]])</f>
        <v/>
      </c>
      <c r="Z551" s="3">
        <f>IF(tblOrdenes[[#This Row],[backlog_dias]]="","",IF(tblOrdenes[[#This Row],[backlog_dias]]&lt;0,"FUTURO",IF(tblOrdenes[[#This Row],[backlog_dias]]&gt;p_dias_backlog_max,"BACKLOG","MES CORRIENTE")))</f>
        <v/>
      </c>
      <c r="AA551" s="3">
        <f>IF(tblOrdenes[[#This Row],[backlog_dias]]="",FALSE,AND(tblOrdenes[[#This Row],[backlog_dias]]&gt;p_dias_backlog_min,tblOrdenes[[#This Row],[backlog_dias]]&lt;=p_dias_backlog_max))</f>
        <v/>
      </c>
      <c r="AB551" s="6" t="n"/>
      <c r="AC5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1" s="10">
        <f>IF(tblOrdenes[[#This Row],[orden]]="","",_xlfn.XLOOKUP(tblOrdenes[[#This Row],[id_operacion]],tblEjecucion[id_operacion],tblEjecucion[precio],0))</f>
        <v/>
      </c>
      <c r="AG551" s="10">
        <f>IF(tblOrdenes[[#This Row],[orden]]="","",MAX(0,_xlfn.XLOOKUP(tblOrdenes[[#This Row],[id_operacion]],tblEjecucion[id_operacion],tblEjecucion[costo_plan_total],0)-tblOrdenes[[#This Row],[costo_servicio]]))</f>
        <v/>
      </c>
      <c r="AH551" s="10">
        <f>IF(tblOrdenes[[#This Row],[orden]]="","",tblOrdenes[[#This Row],[costo_servicio]]+tblOrdenes[[#This Row],[costo_materiales]])</f>
        <v/>
      </c>
      <c r="AI551" s="6" t="n"/>
      <c r="AJ551" s="6" t="n"/>
      <c r="AK551" s="6" t="n"/>
      <c r="AL551" s="3">
        <f>IF(tblOrdenes[[#This Row],[link_checklist]]="","",HYPERLINK(p_ruta_base_checklists&amp;tblOrdenes[[#This Row],[link_checklist]],"abrir"))</f>
        <v/>
      </c>
      <c r="AM551" s="6" t="n"/>
      <c r="AN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Row],[tipo_ot]]="","",_xlfn.XLOOKUP(tblOrdenes[[#This Row],[tipo_ot]],tblTiposOT[codigo],tblTiposOT[clasificacion],"sin_clasificar"))</f>
        <v/>
      </c>
      <c r="T552" s="3">
        <f>IF(tblOrdenes[[#This Row],[centro_costo]]="","",_xlfn.XLOOKUP(tblOrdenes[[#This Row],[centro_costo]],tblCECO[codigo],tblCECO[linea],"(sin catálogo)"))</f>
        <v/>
      </c>
      <c r="U552" s="3">
        <f>IF(tblOrdenes[[#This Row],[centro_costo]]="","",_xlfn.XLOOKUP(tblOrdenes[[#This Row],[centro_costo]],tblCECO[codigo],tblCECO[area],"(sin catálogo)"))</f>
        <v/>
      </c>
      <c r="V552" s="3">
        <f>IF(tblOrdenes[[#This Row],[centro_costo]]="","",_xlfn.XLOOKUP(tblOrdenes[[#This Row],[centro_costo]],tblCECO[codigo],tblCECO[coordinador],"(sin catálogo)"))</f>
        <v/>
      </c>
      <c r="W552" s="3">
        <f>IF(tblOrdenes[[#This Row],[puesto_trabajo]]="","",_xlfn.XLOOKUP(tblOrdenes[[#This Row],[puesto_trabajo]],tblPuestos[codigo],tblPuestos[especialidad],"(sin catálogo)"))</f>
        <v/>
      </c>
      <c r="X552" s="3">
        <f>IF(tblOrdenes[[#This Row],[cod_actividad]]="","",_xlfn.XLOOKUP(tblOrdenes[[#This Row],[cod_actividad]],tblActividades[codigo],tblActividades[descripcion],"(sin catálogo)"))</f>
        <v/>
      </c>
      <c r="Y552" s="12">
        <f>IF(tblOrdenes[[#This Row],[fecha_inicio]]="","",TODAY()-tblOrdenes[[#This Row],[fecha_inicio]])</f>
        <v/>
      </c>
      <c r="Z552" s="3">
        <f>IF(tblOrdenes[[#This Row],[backlog_dias]]="","",IF(tblOrdenes[[#This Row],[backlog_dias]]&lt;0,"FUTURO",IF(tblOrdenes[[#This Row],[backlog_dias]]&gt;p_dias_backlog_max,"BACKLOG","MES CORRIENTE")))</f>
        <v/>
      </c>
      <c r="AA552" s="3">
        <f>IF(tblOrdenes[[#This Row],[backlog_dias]]="",FALSE,AND(tblOrdenes[[#This Row],[backlog_dias]]&gt;p_dias_backlog_min,tblOrdenes[[#This Row],[backlog_dias]]&lt;=p_dias_backlog_max))</f>
        <v/>
      </c>
      <c r="AB552" s="6" t="n"/>
      <c r="AC5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2" s="10">
        <f>IF(tblOrdenes[[#This Row],[orden]]="","",_xlfn.XLOOKUP(tblOrdenes[[#This Row],[id_operacion]],tblEjecucion[id_operacion],tblEjecucion[precio],0))</f>
        <v/>
      </c>
      <c r="AG552" s="10">
        <f>IF(tblOrdenes[[#This Row],[orden]]="","",MAX(0,_xlfn.XLOOKUP(tblOrdenes[[#This Row],[id_operacion]],tblEjecucion[id_operacion],tblEjecucion[costo_plan_total],0)-tblOrdenes[[#This Row],[costo_servicio]]))</f>
        <v/>
      </c>
      <c r="AH552" s="10">
        <f>IF(tblOrdenes[[#This Row],[orden]]="","",tblOrdenes[[#This Row],[costo_servicio]]+tblOrdenes[[#This Row],[costo_materiales]])</f>
        <v/>
      </c>
      <c r="AI552" s="6" t="n"/>
      <c r="AJ552" s="6" t="n"/>
      <c r="AK552" s="6" t="n"/>
      <c r="AL552" s="3">
        <f>IF(tblOrdenes[[#This Row],[link_checklist]]="","",HYPERLINK(p_ruta_base_checklists&amp;tblOrdenes[[#This Row],[link_checklist]],"abrir"))</f>
        <v/>
      </c>
      <c r="AM552" s="6" t="n"/>
      <c r="AN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Row],[tipo_ot]]="","",_xlfn.XLOOKUP(tblOrdenes[[#This Row],[tipo_ot]],tblTiposOT[codigo],tblTiposOT[clasificacion],"sin_clasificar"))</f>
        <v/>
      </c>
      <c r="T553" s="3">
        <f>IF(tblOrdenes[[#This Row],[centro_costo]]="","",_xlfn.XLOOKUP(tblOrdenes[[#This Row],[centro_costo]],tblCECO[codigo],tblCECO[linea],"(sin catálogo)"))</f>
        <v/>
      </c>
      <c r="U553" s="3">
        <f>IF(tblOrdenes[[#This Row],[centro_costo]]="","",_xlfn.XLOOKUP(tblOrdenes[[#This Row],[centro_costo]],tblCECO[codigo],tblCECO[area],"(sin catálogo)"))</f>
        <v/>
      </c>
      <c r="V553" s="3">
        <f>IF(tblOrdenes[[#This Row],[centro_costo]]="","",_xlfn.XLOOKUP(tblOrdenes[[#This Row],[centro_costo]],tblCECO[codigo],tblCECO[coordinador],"(sin catálogo)"))</f>
        <v/>
      </c>
      <c r="W553" s="3">
        <f>IF(tblOrdenes[[#This Row],[puesto_trabajo]]="","",_xlfn.XLOOKUP(tblOrdenes[[#This Row],[puesto_trabajo]],tblPuestos[codigo],tblPuestos[especialidad],"(sin catálogo)"))</f>
        <v/>
      </c>
      <c r="X553" s="3">
        <f>IF(tblOrdenes[[#This Row],[cod_actividad]]="","",_xlfn.XLOOKUP(tblOrdenes[[#This Row],[cod_actividad]],tblActividades[codigo],tblActividades[descripcion],"(sin catálogo)"))</f>
        <v/>
      </c>
      <c r="Y553" s="12">
        <f>IF(tblOrdenes[[#This Row],[fecha_inicio]]="","",TODAY()-tblOrdenes[[#This Row],[fecha_inicio]])</f>
        <v/>
      </c>
      <c r="Z553" s="3">
        <f>IF(tblOrdenes[[#This Row],[backlog_dias]]="","",IF(tblOrdenes[[#This Row],[backlog_dias]]&lt;0,"FUTURO",IF(tblOrdenes[[#This Row],[backlog_dias]]&gt;p_dias_backlog_max,"BACKLOG","MES CORRIENTE")))</f>
        <v/>
      </c>
      <c r="AA553" s="3">
        <f>IF(tblOrdenes[[#This Row],[backlog_dias]]="",FALSE,AND(tblOrdenes[[#This Row],[backlog_dias]]&gt;p_dias_backlog_min,tblOrdenes[[#This Row],[backlog_dias]]&lt;=p_dias_backlog_max))</f>
        <v/>
      </c>
      <c r="AB553" s="6" t="n"/>
      <c r="AC5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3" s="10">
        <f>IF(tblOrdenes[[#This Row],[orden]]="","",_xlfn.XLOOKUP(tblOrdenes[[#This Row],[id_operacion]],tblEjecucion[id_operacion],tblEjecucion[precio],0))</f>
        <v/>
      </c>
      <c r="AG553" s="10">
        <f>IF(tblOrdenes[[#This Row],[orden]]="","",MAX(0,_xlfn.XLOOKUP(tblOrdenes[[#This Row],[id_operacion]],tblEjecucion[id_operacion],tblEjecucion[costo_plan_total],0)-tblOrdenes[[#This Row],[costo_servicio]]))</f>
        <v/>
      </c>
      <c r="AH553" s="10">
        <f>IF(tblOrdenes[[#This Row],[orden]]="","",tblOrdenes[[#This Row],[costo_servicio]]+tblOrdenes[[#This Row],[costo_materiales]])</f>
        <v/>
      </c>
      <c r="AI553" s="6" t="n"/>
      <c r="AJ553" s="6" t="n"/>
      <c r="AK553" s="6" t="n"/>
      <c r="AL553" s="3">
        <f>IF(tblOrdenes[[#This Row],[link_checklist]]="","",HYPERLINK(p_ruta_base_checklists&amp;tblOrdenes[[#This Row],[link_checklist]],"abrir"))</f>
        <v/>
      </c>
      <c r="AM553" s="6" t="n"/>
      <c r="AN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Row],[tipo_ot]]="","",_xlfn.XLOOKUP(tblOrdenes[[#This Row],[tipo_ot]],tblTiposOT[codigo],tblTiposOT[clasificacion],"sin_clasificar"))</f>
        <v/>
      </c>
      <c r="T554" s="3">
        <f>IF(tblOrdenes[[#This Row],[centro_costo]]="","",_xlfn.XLOOKUP(tblOrdenes[[#This Row],[centro_costo]],tblCECO[codigo],tblCECO[linea],"(sin catálogo)"))</f>
        <v/>
      </c>
      <c r="U554" s="3">
        <f>IF(tblOrdenes[[#This Row],[centro_costo]]="","",_xlfn.XLOOKUP(tblOrdenes[[#This Row],[centro_costo]],tblCECO[codigo],tblCECO[area],"(sin catálogo)"))</f>
        <v/>
      </c>
      <c r="V554" s="3">
        <f>IF(tblOrdenes[[#This Row],[centro_costo]]="","",_xlfn.XLOOKUP(tblOrdenes[[#This Row],[centro_costo]],tblCECO[codigo],tblCECO[coordinador],"(sin catálogo)"))</f>
        <v/>
      </c>
      <c r="W554" s="3">
        <f>IF(tblOrdenes[[#This Row],[puesto_trabajo]]="","",_xlfn.XLOOKUP(tblOrdenes[[#This Row],[puesto_trabajo]],tblPuestos[codigo],tblPuestos[especialidad],"(sin catálogo)"))</f>
        <v/>
      </c>
      <c r="X554" s="3">
        <f>IF(tblOrdenes[[#This Row],[cod_actividad]]="","",_xlfn.XLOOKUP(tblOrdenes[[#This Row],[cod_actividad]],tblActividades[codigo],tblActividades[descripcion],"(sin catálogo)"))</f>
        <v/>
      </c>
      <c r="Y554" s="12">
        <f>IF(tblOrdenes[[#This Row],[fecha_inicio]]="","",TODAY()-tblOrdenes[[#This Row],[fecha_inicio]])</f>
        <v/>
      </c>
      <c r="Z554" s="3">
        <f>IF(tblOrdenes[[#This Row],[backlog_dias]]="","",IF(tblOrdenes[[#This Row],[backlog_dias]]&lt;0,"FUTURO",IF(tblOrdenes[[#This Row],[backlog_dias]]&gt;p_dias_backlog_max,"BACKLOG","MES CORRIENTE")))</f>
        <v/>
      </c>
      <c r="AA554" s="3">
        <f>IF(tblOrdenes[[#This Row],[backlog_dias]]="",FALSE,AND(tblOrdenes[[#This Row],[backlog_dias]]&gt;p_dias_backlog_min,tblOrdenes[[#This Row],[backlog_dias]]&lt;=p_dias_backlog_max))</f>
        <v/>
      </c>
      <c r="AB554" s="6" t="n"/>
      <c r="AC5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4" s="10">
        <f>IF(tblOrdenes[[#This Row],[orden]]="","",_xlfn.XLOOKUP(tblOrdenes[[#This Row],[id_operacion]],tblEjecucion[id_operacion],tblEjecucion[precio],0))</f>
        <v/>
      </c>
      <c r="AG554" s="10">
        <f>IF(tblOrdenes[[#This Row],[orden]]="","",MAX(0,_xlfn.XLOOKUP(tblOrdenes[[#This Row],[id_operacion]],tblEjecucion[id_operacion],tblEjecucion[costo_plan_total],0)-tblOrdenes[[#This Row],[costo_servicio]]))</f>
        <v/>
      </c>
      <c r="AH554" s="10">
        <f>IF(tblOrdenes[[#This Row],[orden]]="","",tblOrdenes[[#This Row],[costo_servicio]]+tblOrdenes[[#This Row],[costo_materiales]])</f>
        <v/>
      </c>
      <c r="AI554" s="6" t="n"/>
      <c r="AJ554" s="6" t="n"/>
      <c r="AK554" s="6" t="n"/>
      <c r="AL554" s="3">
        <f>IF(tblOrdenes[[#This Row],[link_checklist]]="","",HYPERLINK(p_ruta_base_checklists&amp;tblOrdenes[[#This Row],[link_checklist]],"abrir"))</f>
        <v/>
      </c>
      <c r="AM554" s="6" t="n"/>
      <c r="AN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Row],[tipo_ot]]="","",_xlfn.XLOOKUP(tblOrdenes[[#This Row],[tipo_ot]],tblTiposOT[codigo],tblTiposOT[clasificacion],"sin_clasificar"))</f>
        <v/>
      </c>
      <c r="T555" s="3">
        <f>IF(tblOrdenes[[#This Row],[centro_costo]]="","",_xlfn.XLOOKUP(tblOrdenes[[#This Row],[centro_costo]],tblCECO[codigo],tblCECO[linea],"(sin catálogo)"))</f>
        <v/>
      </c>
      <c r="U555" s="3">
        <f>IF(tblOrdenes[[#This Row],[centro_costo]]="","",_xlfn.XLOOKUP(tblOrdenes[[#This Row],[centro_costo]],tblCECO[codigo],tblCECO[area],"(sin catálogo)"))</f>
        <v/>
      </c>
      <c r="V555" s="3">
        <f>IF(tblOrdenes[[#This Row],[centro_costo]]="","",_xlfn.XLOOKUP(tblOrdenes[[#This Row],[centro_costo]],tblCECO[codigo],tblCECO[coordinador],"(sin catálogo)"))</f>
        <v/>
      </c>
      <c r="W555" s="3">
        <f>IF(tblOrdenes[[#This Row],[puesto_trabajo]]="","",_xlfn.XLOOKUP(tblOrdenes[[#This Row],[puesto_trabajo]],tblPuestos[codigo],tblPuestos[especialidad],"(sin catálogo)"))</f>
        <v/>
      </c>
      <c r="X555" s="3">
        <f>IF(tblOrdenes[[#This Row],[cod_actividad]]="","",_xlfn.XLOOKUP(tblOrdenes[[#This Row],[cod_actividad]],tblActividades[codigo],tblActividades[descripcion],"(sin catálogo)"))</f>
        <v/>
      </c>
      <c r="Y555" s="12">
        <f>IF(tblOrdenes[[#This Row],[fecha_inicio]]="","",TODAY()-tblOrdenes[[#This Row],[fecha_inicio]])</f>
        <v/>
      </c>
      <c r="Z555" s="3">
        <f>IF(tblOrdenes[[#This Row],[backlog_dias]]="","",IF(tblOrdenes[[#This Row],[backlog_dias]]&lt;0,"FUTURO",IF(tblOrdenes[[#This Row],[backlog_dias]]&gt;p_dias_backlog_max,"BACKLOG","MES CORRIENTE")))</f>
        <v/>
      </c>
      <c r="AA555" s="3">
        <f>IF(tblOrdenes[[#This Row],[backlog_dias]]="",FALSE,AND(tblOrdenes[[#This Row],[backlog_dias]]&gt;p_dias_backlog_min,tblOrdenes[[#This Row],[backlog_dias]]&lt;=p_dias_backlog_max))</f>
        <v/>
      </c>
      <c r="AB555" s="6" t="n"/>
      <c r="AC5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5" s="10">
        <f>IF(tblOrdenes[[#This Row],[orden]]="","",_xlfn.XLOOKUP(tblOrdenes[[#This Row],[id_operacion]],tblEjecucion[id_operacion],tblEjecucion[precio],0))</f>
        <v/>
      </c>
      <c r="AG555" s="10">
        <f>IF(tblOrdenes[[#This Row],[orden]]="","",MAX(0,_xlfn.XLOOKUP(tblOrdenes[[#This Row],[id_operacion]],tblEjecucion[id_operacion],tblEjecucion[costo_plan_total],0)-tblOrdenes[[#This Row],[costo_servicio]]))</f>
        <v/>
      </c>
      <c r="AH555" s="10">
        <f>IF(tblOrdenes[[#This Row],[orden]]="","",tblOrdenes[[#This Row],[costo_servicio]]+tblOrdenes[[#This Row],[costo_materiales]])</f>
        <v/>
      </c>
      <c r="AI555" s="6" t="n"/>
      <c r="AJ555" s="6" t="n"/>
      <c r="AK555" s="6" t="n"/>
      <c r="AL555" s="3">
        <f>IF(tblOrdenes[[#This Row],[link_checklist]]="","",HYPERLINK(p_ruta_base_checklists&amp;tblOrdenes[[#This Row],[link_checklist]],"abrir"))</f>
        <v/>
      </c>
      <c r="AM555" s="6" t="n"/>
      <c r="AN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Row],[tipo_ot]]="","",_xlfn.XLOOKUP(tblOrdenes[[#This Row],[tipo_ot]],tblTiposOT[codigo],tblTiposOT[clasificacion],"sin_clasificar"))</f>
        <v/>
      </c>
      <c r="T556" s="3">
        <f>IF(tblOrdenes[[#This Row],[centro_costo]]="","",_xlfn.XLOOKUP(tblOrdenes[[#This Row],[centro_costo]],tblCECO[codigo],tblCECO[linea],"(sin catálogo)"))</f>
        <v/>
      </c>
      <c r="U556" s="3">
        <f>IF(tblOrdenes[[#This Row],[centro_costo]]="","",_xlfn.XLOOKUP(tblOrdenes[[#This Row],[centro_costo]],tblCECO[codigo],tblCECO[area],"(sin catálogo)"))</f>
        <v/>
      </c>
      <c r="V556" s="3">
        <f>IF(tblOrdenes[[#This Row],[centro_costo]]="","",_xlfn.XLOOKUP(tblOrdenes[[#This Row],[centro_costo]],tblCECO[codigo],tblCECO[coordinador],"(sin catálogo)"))</f>
        <v/>
      </c>
      <c r="W556" s="3">
        <f>IF(tblOrdenes[[#This Row],[puesto_trabajo]]="","",_xlfn.XLOOKUP(tblOrdenes[[#This Row],[puesto_trabajo]],tblPuestos[codigo],tblPuestos[especialidad],"(sin catálogo)"))</f>
        <v/>
      </c>
      <c r="X556" s="3">
        <f>IF(tblOrdenes[[#This Row],[cod_actividad]]="","",_xlfn.XLOOKUP(tblOrdenes[[#This Row],[cod_actividad]],tblActividades[codigo],tblActividades[descripcion],"(sin catálogo)"))</f>
        <v/>
      </c>
      <c r="Y556" s="12">
        <f>IF(tblOrdenes[[#This Row],[fecha_inicio]]="","",TODAY()-tblOrdenes[[#This Row],[fecha_inicio]])</f>
        <v/>
      </c>
      <c r="Z556" s="3">
        <f>IF(tblOrdenes[[#This Row],[backlog_dias]]="","",IF(tblOrdenes[[#This Row],[backlog_dias]]&lt;0,"FUTURO",IF(tblOrdenes[[#This Row],[backlog_dias]]&gt;p_dias_backlog_max,"BACKLOG","MES CORRIENTE")))</f>
        <v/>
      </c>
      <c r="AA556" s="3">
        <f>IF(tblOrdenes[[#This Row],[backlog_dias]]="",FALSE,AND(tblOrdenes[[#This Row],[backlog_dias]]&gt;p_dias_backlog_min,tblOrdenes[[#This Row],[backlog_dias]]&lt;=p_dias_backlog_max))</f>
        <v/>
      </c>
      <c r="AB556" s="6" t="n"/>
      <c r="AC5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6" s="10">
        <f>IF(tblOrdenes[[#This Row],[orden]]="","",_xlfn.XLOOKUP(tblOrdenes[[#This Row],[id_operacion]],tblEjecucion[id_operacion],tblEjecucion[precio],0))</f>
        <v/>
      </c>
      <c r="AG556" s="10">
        <f>IF(tblOrdenes[[#This Row],[orden]]="","",MAX(0,_xlfn.XLOOKUP(tblOrdenes[[#This Row],[id_operacion]],tblEjecucion[id_operacion],tblEjecucion[costo_plan_total],0)-tblOrdenes[[#This Row],[costo_servicio]]))</f>
        <v/>
      </c>
      <c r="AH556" s="10">
        <f>IF(tblOrdenes[[#This Row],[orden]]="","",tblOrdenes[[#This Row],[costo_servicio]]+tblOrdenes[[#This Row],[costo_materiales]])</f>
        <v/>
      </c>
      <c r="AI556" s="6" t="n"/>
      <c r="AJ556" s="6" t="n"/>
      <c r="AK556" s="6" t="n"/>
      <c r="AL556" s="3">
        <f>IF(tblOrdenes[[#This Row],[link_checklist]]="","",HYPERLINK(p_ruta_base_checklists&amp;tblOrdenes[[#This Row],[link_checklist]],"abrir"))</f>
        <v/>
      </c>
      <c r="AM556" s="6" t="n"/>
      <c r="AN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Row],[tipo_ot]]="","",_xlfn.XLOOKUP(tblOrdenes[[#This Row],[tipo_ot]],tblTiposOT[codigo],tblTiposOT[clasificacion],"sin_clasificar"))</f>
        <v/>
      </c>
      <c r="T557" s="3">
        <f>IF(tblOrdenes[[#This Row],[centro_costo]]="","",_xlfn.XLOOKUP(tblOrdenes[[#This Row],[centro_costo]],tblCECO[codigo],tblCECO[linea],"(sin catálogo)"))</f>
        <v/>
      </c>
      <c r="U557" s="3">
        <f>IF(tblOrdenes[[#This Row],[centro_costo]]="","",_xlfn.XLOOKUP(tblOrdenes[[#This Row],[centro_costo]],tblCECO[codigo],tblCECO[area],"(sin catálogo)"))</f>
        <v/>
      </c>
      <c r="V557" s="3">
        <f>IF(tblOrdenes[[#This Row],[centro_costo]]="","",_xlfn.XLOOKUP(tblOrdenes[[#This Row],[centro_costo]],tblCECO[codigo],tblCECO[coordinador],"(sin catálogo)"))</f>
        <v/>
      </c>
      <c r="W557" s="3">
        <f>IF(tblOrdenes[[#This Row],[puesto_trabajo]]="","",_xlfn.XLOOKUP(tblOrdenes[[#This Row],[puesto_trabajo]],tblPuestos[codigo],tblPuestos[especialidad],"(sin catálogo)"))</f>
        <v/>
      </c>
      <c r="X557" s="3">
        <f>IF(tblOrdenes[[#This Row],[cod_actividad]]="","",_xlfn.XLOOKUP(tblOrdenes[[#This Row],[cod_actividad]],tblActividades[codigo],tblActividades[descripcion],"(sin catálogo)"))</f>
        <v/>
      </c>
      <c r="Y557" s="12">
        <f>IF(tblOrdenes[[#This Row],[fecha_inicio]]="","",TODAY()-tblOrdenes[[#This Row],[fecha_inicio]])</f>
        <v/>
      </c>
      <c r="Z557" s="3">
        <f>IF(tblOrdenes[[#This Row],[backlog_dias]]="","",IF(tblOrdenes[[#This Row],[backlog_dias]]&lt;0,"FUTURO",IF(tblOrdenes[[#This Row],[backlog_dias]]&gt;p_dias_backlog_max,"BACKLOG","MES CORRIENTE")))</f>
        <v/>
      </c>
      <c r="AA557" s="3">
        <f>IF(tblOrdenes[[#This Row],[backlog_dias]]="",FALSE,AND(tblOrdenes[[#This Row],[backlog_dias]]&gt;p_dias_backlog_min,tblOrdenes[[#This Row],[backlog_dias]]&lt;=p_dias_backlog_max))</f>
        <v/>
      </c>
      <c r="AB557" s="6" t="n"/>
      <c r="AC5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7" s="10">
        <f>IF(tblOrdenes[[#This Row],[orden]]="","",_xlfn.XLOOKUP(tblOrdenes[[#This Row],[id_operacion]],tblEjecucion[id_operacion],tblEjecucion[precio],0))</f>
        <v/>
      </c>
      <c r="AG557" s="10">
        <f>IF(tblOrdenes[[#This Row],[orden]]="","",MAX(0,_xlfn.XLOOKUP(tblOrdenes[[#This Row],[id_operacion]],tblEjecucion[id_operacion],tblEjecucion[costo_plan_total],0)-tblOrdenes[[#This Row],[costo_servicio]]))</f>
        <v/>
      </c>
      <c r="AH557" s="10">
        <f>IF(tblOrdenes[[#This Row],[orden]]="","",tblOrdenes[[#This Row],[costo_servicio]]+tblOrdenes[[#This Row],[costo_materiales]])</f>
        <v/>
      </c>
      <c r="AI557" s="6" t="n"/>
      <c r="AJ557" s="6" t="n"/>
      <c r="AK557" s="6" t="n"/>
      <c r="AL557" s="3">
        <f>IF(tblOrdenes[[#This Row],[link_checklist]]="","",HYPERLINK(p_ruta_base_checklists&amp;tblOrdenes[[#This Row],[link_checklist]],"abrir"))</f>
        <v/>
      </c>
      <c r="AM557" s="6" t="n"/>
      <c r="AN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Row],[tipo_ot]]="","",_xlfn.XLOOKUP(tblOrdenes[[#This Row],[tipo_ot]],tblTiposOT[codigo],tblTiposOT[clasificacion],"sin_clasificar"))</f>
        <v/>
      </c>
      <c r="T558" s="3">
        <f>IF(tblOrdenes[[#This Row],[centro_costo]]="","",_xlfn.XLOOKUP(tblOrdenes[[#This Row],[centro_costo]],tblCECO[codigo],tblCECO[linea],"(sin catálogo)"))</f>
        <v/>
      </c>
      <c r="U558" s="3">
        <f>IF(tblOrdenes[[#This Row],[centro_costo]]="","",_xlfn.XLOOKUP(tblOrdenes[[#This Row],[centro_costo]],tblCECO[codigo],tblCECO[area],"(sin catálogo)"))</f>
        <v/>
      </c>
      <c r="V558" s="3">
        <f>IF(tblOrdenes[[#This Row],[centro_costo]]="","",_xlfn.XLOOKUP(tblOrdenes[[#This Row],[centro_costo]],tblCECO[codigo],tblCECO[coordinador],"(sin catálogo)"))</f>
        <v/>
      </c>
      <c r="W558" s="3">
        <f>IF(tblOrdenes[[#This Row],[puesto_trabajo]]="","",_xlfn.XLOOKUP(tblOrdenes[[#This Row],[puesto_trabajo]],tblPuestos[codigo],tblPuestos[especialidad],"(sin catálogo)"))</f>
        <v/>
      </c>
      <c r="X558" s="3">
        <f>IF(tblOrdenes[[#This Row],[cod_actividad]]="","",_xlfn.XLOOKUP(tblOrdenes[[#This Row],[cod_actividad]],tblActividades[codigo],tblActividades[descripcion],"(sin catálogo)"))</f>
        <v/>
      </c>
      <c r="Y558" s="12">
        <f>IF(tblOrdenes[[#This Row],[fecha_inicio]]="","",TODAY()-tblOrdenes[[#This Row],[fecha_inicio]])</f>
        <v/>
      </c>
      <c r="Z558" s="3">
        <f>IF(tblOrdenes[[#This Row],[backlog_dias]]="","",IF(tblOrdenes[[#This Row],[backlog_dias]]&lt;0,"FUTURO",IF(tblOrdenes[[#This Row],[backlog_dias]]&gt;p_dias_backlog_max,"BACKLOG","MES CORRIENTE")))</f>
        <v/>
      </c>
      <c r="AA558" s="3">
        <f>IF(tblOrdenes[[#This Row],[backlog_dias]]="",FALSE,AND(tblOrdenes[[#This Row],[backlog_dias]]&gt;p_dias_backlog_min,tblOrdenes[[#This Row],[backlog_dias]]&lt;=p_dias_backlog_max))</f>
        <v/>
      </c>
      <c r="AB558" s="6" t="n"/>
      <c r="AC5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8" s="10">
        <f>IF(tblOrdenes[[#This Row],[orden]]="","",_xlfn.XLOOKUP(tblOrdenes[[#This Row],[id_operacion]],tblEjecucion[id_operacion],tblEjecucion[precio],0))</f>
        <v/>
      </c>
      <c r="AG558" s="10">
        <f>IF(tblOrdenes[[#This Row],[orden]]="","",MAX(0,_xlfn.XLOOKUP(tblOrdenes[[#This Row],[id_operacion]],tblEjecucion[id_operacion],tblEjecucion[costo_plan_total],0)-tblOrdenes[[#This Row],[costo_servicio]]))</f>
        <v/>
      </c>
      <c r="AH558" s="10">
        <f>IF(tblOrdenes[[#This Row],[orden]]="","",tblOrdenes[[#This Row],[costo_servicio]]+tblOrdenes[[#This Row],[costo_materiales]])</f>
        <v/>
      </c>
      <c r="AI558" s="6" t="n"/>
      <c r="AJ558" s="6" t="n"/>
      <c r="AK558" s="6" t="n"/>
      <c r="AL558" s="3">
        <f>IF(tblOrdenes[[#This Row],[link_checklist]]="","",HYPERLINK(p_ruta_base_checklists&amp;tblOrdenes[[#This Row],[link_checklist]],"abrir"))</f>
        <v/>
      </c>
      <c r="AM558" s="6" t="n"/>
      <c r="AN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Row],[tipo_ot]]="","",_xlfn.XLOOKUP(tblOrdenes[[#This Row],[tipo_ot]],tblTiposOT[codigo],tblTiposOT[clasificacion],"sin_clasificar"))</f>
        <v/>
      </c>
      <c r="T559" s="3">
        <f>IF(tblOrdenes[[#This Row],[centro_costo]]="","",_xlfn.XLOOKUP(tblOrdenes[[#This Row],[centro_costo]],tblCECO[codigo],tblCECO[linea],"(sin catálogo)"))</f>
        <v/>
      </c>
      <c r="U559" s="3">
        <f>IF(tblOrdenes[[#This Row],[centro_costo]]="","",_xlfn.XLOOKUP(tblOrdenes[[#This Row],[centro_costo]],tblCECO[codigo],tblCECO[area],"(sin catálogo)"))</f>
        <v/>
      </c>
      <c r="V559" s="3">
        <f>IF(tblOrdenes[[#This Row],[centro_costo]]="","",_xlfn.XLOOKUP(tblOrdenes[[#This Row],[centro_costo]],tblCECO[codigo],tblCECO[coordinador],"(sin catálogo)"))</f>
        <v/>
      </c>
      <c r="W559" s="3">
        <f>IF(tblOrdenes[[#This Row],[puesto_trabajo]]="","",_xlfn.XLOOKUP(tblOrdenes[[#This Row],[puesto_trabajo]],tblPuestos[codigo],tblPuestos[especialidad],"(sin catálogo)"))</f>
        <v/>
      </c>
      <c r="X559" s="3">
        <f>IF(tblOrdenes[[#This Row],[cod_actividad]]="","",_xlfn.XLOOKUP(tblOrdenes[[#This Row],[cod_actividad]],tblActividades[codigo],tblActividades[descripcion],"(sin catálogo)"))</f>
        <v/>
      </c>
      <c r="Y559" s="12">
        <f>IF(tblOrdenes[[#This Row],[fecha_inicio]]="","",TODAY()-tblOrdenes[[#This Row],[fecha_inicio]])</f>
        <v/>
      </c>
      <c r="Z559" s="3">
        <f>IF(tblOrdenes[[#This Row],[backlog_dias]]="","",IF(tblOrdenes[[#This Row],[backlog_dias]]&lt;0,"FUTURO",IF(tblOrdenes[[#This Row],[backlog_dias]]&gt;p_dias_backlog_max,"BACKLOG","MES CORRIENTE")))</f>
        <v/>
      </c>
      <c r="AA559" s="3">
        <f>IF(tblOrdenes[[#This Row],[backlog_dias]]="",FALSE,AND(tblOrdenes[[#This Row],[backlog_dias]]&gt;p_dias_backlog_min,tblOrdenes[[#This Row],[backlog_dias]]&lt;=p_dias_backlog_max))</f>
        <v/>
      </c>
      <c r="AB559" s="6" t="n"/>
      <c r="AC5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9" s="10">
        <f>IF(tblOrdenes[[#This Row],[orden]]="","",_xlfn.XLOOKUP(tblOrdenes[[#This Row],[id_operacion]],tblEjecucion[id_operacion],tblEjecucion[precio],0))</f>
        <v/>
      </c>
      <c r="AG559" s="10">
        <f>IF(tblOrdenes[[#This Row],[orden]]="","",MAX(0,_xlfn.XLOOKUP(tblOrdenes[[#This Row],[id_operacion]],tblEjecucion[id_operacion],tblEjecucion[costo_plan_total],0)-tblOrdenes[[#This Row],[costo_servicio]]))</f>
        <v/>
      </c>
      <c r="AH559" s="10">
        <f>IF(tblOrdenes[[#This Row],[orden]]="","",tblOrdenes[[#This Row],[costo_servicio]]+tblOrdenes[[#This Row],[costo_materiales]])</f>
        <v/>
      </c>
      <c r="AI559" s="6" t="n"/>
      <c r="AJ559" s="6" t="n"/>
      <c r="AK559" s="6" t="n"/>
      <c r="AL559" s="3">
        <f>IF(tblOrdenes[[#This Row],[link_checklist]]="","",HYPERLINK(p_ruta_base_checklists&amp;tblOrdenes[[#This Row],[link_checklist]],"abrir"))</f>
        <v/>
      </c>
      <c r="AM559" s="6" t="n"/>
      <c r="AN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Row],[tipo_ot]]="","",_xlfn.XLOOKUP(tblOrdenes[[#This Row],[tipo_ot]],tblTiposOT[codigo],tblTiposOT[clasificacion],"sin_clasificar"))</f>
        <v/>
      </c>
      <c r="T560" s="3">
        <f>IF(tblOrdenes[[#This Row],[centro_costo]]="","",_xlfn.XLOOKUP(tblOrdenes[[#This Row],[centro_costo]],tblCECO[codigo],tblCECO[linea],"(sin catálogo)"))</f>
        <v/>
      </c>
      <c r="U560" s="3">
        <f>IF(tblOrdenes[[#This Row],[centro_costo]]="","",_xlfn.XLOOKUP(tblOrdenes[[#This Row],[centro_costo]],tblCECO[codigo],tblCECO[area],"(sin catálogo)"))</f>
        <v/>
      </c>
      <c r="V560" s="3">
        <f>IF(tblOrdenes[[#This Row],[centro_costo]]="","",_xlfn.XLOOKUP(tblOrdenes[[#This Row],[centro_costo]],tblCECO[codigo],tblCECO[coordinador],"(sin catálogo)"))</f>
        <v/>
      </c>
      <c r="W560" s="3">
        <f>IF(tblOrdenes[[#This Row],[puesto_trabajo]]="","",_xlfn.XLOOKUP(tblOrdenes[[#This Row],[puesto_trabajo]],tblPuestos[codigo],tblPuestos[especialidad],"(sin catálogo)"))</f>
        <v/>
      </c>
      <c r="X560" s="3">
        <f>IF(tblOrdenes[[#This Row],[cod_actividad]]="","",_xlfn.XLOOKUP(tblOrdenes[[#This Row],[cod_actividad]],tblActividades[codigo],tblActividades[descripcion],"(sin catálogo)"))</f>
        <v/>
      </c>
      <c r="Y560" s="12">
        <f>IF(tblOrdenes[[#This Row],[fecha_inicio]]="","",TODAY()-tblOrdenes[[#This Row],[fecha_inicio]])</f>
        <v/>
      </c>
      <c r="Z560" s="3">
        <f>IF(tblOrdenes[[#This Row],[backlog_dias]]="","",IF(tblOrdenes[[#This Row],[backlog_dias]]&lt;0,"FUTURO",IF(tblOrdenes[[#This Row],[backlog_dias]]&gt;p_dias_backlog_max,"BACKLOG","MES CORRIENTE")))</f>
        <v/>
      </c>
      <c r="AA560" s="3">
        <f>IF(tblOrdenes[[#This Row],[backlog_dias]]="",FALSE,AND(tblOrdenes[[#This Row],[backlog_dias]]&gt;p_dias_backlog_min,tblOrdenes[[#This Row],[backlog_dias]]&lt;=p_dias_backlog_max))</f>
        <v/>
      </c>
      <c r="AB560" s="6" t="n"/>
      <c r="AC5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0" s="10">
        <f>IF(tblOrdenes[[#This Row],[orden]]="","",_xlfn.XLOOKUP(tblOrdenes[[#This Row],[id_operacion]],tblEjecucion[id_operacion],tblEjecucion[precio],0))</f>
        <v/>
      </c>
      <c r="AG560" s="10">
        <f>IF(tblOrdenes[[#This Row],[orden]]="","",MAX(0,_xlfn.XLOOKUP(tblOrdenes[[#This Row],[id_operacion]],tblEjecucion[id_operacion],tblEjecucion[costo_plan_total],0)-tblOrdenes[[#This Row],[costo_servicio]]))</f>
        <v/>
      </c>
      <c r="AH560" s="10">
        <f>IF(tblOrdenes[[#This Row],[orden]]="","",tblOrdenes[[#This Row],[costo_servicio]]+tblOrdenes[[#This Row],[costo_materiales]])</f>
        <v/>
      </c>
      <c r="AI560" s="6" t="n"/>
      <c r="AJ560" s="6" t="n"/>
      <c r="AK560" s="6" t="n"/>
      <c r="AL560" s="3">
        <f>IF(tblOrdenes[[#This Row],[link_checklist]]="","",HYPERLINK(p_ruta_base_checklists&amp;tblOrdenes[[#This Row],[link_checklist]],"abrir"))</f>
        <v/>
      </c>
      <c r="AM560" s="6" t="n"/>
      <c r="AN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Row],[tipo_ot]]="","",_xlfn.XLOOKUP(tblOrdenes[[#This Row],[tipo_ot]],tblTiposOT[codigo],tblTiposOT[clasificacion],"sin_clasificar"))</f>
        <v/>
      </c>
      <c r="T561" s="3">
        <f>IF(tblOrdenes[[#This Row],[centro_costo]]="","",_xlfn.XLOOKUP(tblOrdenes[[#This Row],[centro_costo]],tblCECO[codigo],tblCECO[linea],"(sin catálogo)"))</f>
        <v/>
      </c>
      <c r="U561" s="3">
        <f>IF(tblOrdenes[[#This Row],[centro_costo]]="","",_xlfn.XLOOKUP(tblOrdenes[[#This Row],[centro_costo]],tblCECO[codigo],tblCECO[area],"(sin catálogo)"))</f>
        <v/>
      </c>
      <c r="V561" s="3">
        <f>IF(tblOrdenes[[#This Row],[centro_costo]]="","",_xlfn.XLOOKUP(tblOrdenes[[#This Row],[centro_costo]],tblCECO[codigo],tblCECO[coordinador],"(sin catálogo)"))</f>
        <v/>
      </c>
      <c r="W561" s="3">
        <f>IF(tblOrdenes[[#This Row],[puesto_trabajo]]="","",_xlfn.XLOOKUP(tblOrdenes[[#This Row],[puesto_trabajo]],tblPuestos[codigo],tblPuestos[especialidad],"(sin catálogo)"))</f>
        <v/>
      </c>
      <c r="X561" s="3">
        <f>IF(tblOrdenes[[#This Row],[cod_actividad]]="","",_xlfn.XLOOKUP(tblOrdenes[[#This Row],[cod_actividad]],tblActividades[codigo],tblActividades[descripcion],"(sin catálogo)"))</f>
        <v/>
      </c>
      <c r="Y561" s="12">
        <f>IF(tblOrdenes[[#This Row],[fecha_inicio]]="","",TODAY()-tblOrdenes[[#This Row],[fecha_inicio]])</f>
        <v/>
      </c>
      <c r="Z561" s="3">
        <f>IF(tblOrdenes[[#This Row],[backlog_dias]]="","",IF(tblOrdenes[[#This Row],[backlog_dias]]&lt;0,"FUTURO",IF(tblOrdenes[[#This Row],[backlog_dias]]&gt;p_dias_backlog_max,"BACKLOG","MES CORRIENTE")))</f>
        <v/>
      </c>
      <c r="AA561" s="3">
        <f>IF(tblOrdenes[[#This Row],[backlog_dias]]="",FALSE,AND(tblOrdenes[[#This Row],[backlog_dias]]&gt;p_dias_backlog_min,tblOrdenes[[#This Row],[backlog_dias]]&lt;=p_dias_backlog_max))</f>
        <v/>
      </c>
      <c r="AB561" s="6" t="n"/>
      <c r="AC5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1" s="10">
        <f>IF(tblOrdenes[[#This Row],[orden]]="","",_xlfn.XLOOKUP(tblOrdenes[[#This Row],[id_operacion]],tblEjecucion[id_operacion],tblEjecucion[precio],0))</f>
        <v/>
      </c>
      <c r="AG561" s="10">
        <f>IF(tblOrdenes[[#This Row],[orden]]="","",MAX(0,_xlfn.XLOOKUP(tblOrdenes[[#This Row],[id_operacion]],tblEjecucion[id_operacion],tblEjecucion[costo_plan_total],0)-tblOrdenes[[#This Row],[costo_servicio]]))</f>
        <v/>
      </c>
      <c r="AH561" s="10">
        <f>IF(tblOrdenes[[#This Row],[orden]]="","",tblOrdenes[[#This Row],[costo_servicio]]+tblOrdenes[[#This Row],[costo_materiales]])</f>
        <v/>
      </c>
      <c r="AI561" s="6" t="n"/>
      <c r="AJ561" s="6" t="n"/>
      <c r="AK561" s="6" t="n"/>
      <c r="AL561" s="3">
        <f>IF(tblOrdenes[[#This Row],[link_checklist]]="","",HYPERLINK(p_ruta_base_checklists&amp;tblOrdenes[[#This Row],[link_checklist]],"abrir"))</f>
        <v/>
      </c>
      <c r="AM561" s="6" t="n"/>
      <c r="AN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Row],[tipo_ot]]="","",_xlfn.XLOOKUP(tblOrdenes[[#This Row],[tipo_ot]],tblTiposOT[codigo],tblTiposOT[clasificacion],"sin_clasificar"))</f>
        <v/>
      </c>
      <c r="T562" s="3">
        <f>IF(tblOrdenes[[#This Row],[centro_costo]]="","",_xlfn.XLOOKUP(tblOrdenes[[#This Row],[centro_costo]],tblCECO[codigo],tblCECO[linea],"(sin catálogo)"))</f>
        <v/>
      </c>
      <c r="U562" s="3">
        <f>IF(tblOrdenes[[#This Row],[centro_costo]]="","",_xlfn.XLOOKUP(tblOrdenes[[#This Row],[centro_costo]],tblCECO[codigo],tblCECO[area],"(sin catálogo)"))</f>
        <v/>
      </c>
      <c r="V562" s="3">
        <f>IF(tblOrdenes[[#This Row],[centro_costo]]="","",_xlfn.XLOOKUP(tblOrdenes[[#This Row],[centro_costo]],tblCECO[codigo],tblCECO[coordinador],"(sin catálogo)"))</f>
        <v/>
      </c>
      <c r="W562" s="3">
        <f>IF(tblOrdenes[[#This Row],[puesto_trabajo]]="","",_xlfn.XLOOKUP(tblOrdenes[[#This Row],[puesto_trabajo]],tblPuestos[codigo],tblPuestos[especialidad],"(sin catálogo)"))</f>
        <v/>
      </c>
      <c r="X562" s="3">
        <f>IF(tblOrdenes[[#This Row],[cod_actividad]]="","",_xlfn.XLOOKUP(tblOrdenes[[#This Row],[cod_actividad]],tblActividades[codigo],tblActividades[descripcion],"(sin catálogo)"))</f>
        <v/>
      </c>
      <c r="Y562" s="12">
        <f>IF(tblOrdenes[[#This Row],[fecha_inicio]]="","",TODAY()-tblOrdenes[[#This Row],[fecha_inicio]])</f>
        <v/>
      </c>
      <c r="Z562" s="3">
        <f>IF(tblOrdenes[[#This Row],[backlog_dias]]="","",IF(tblOrdenes[[#This Row],[backlog_dias]]&lt;0,"FUTURO",IF(tblOrdenes[[#This Row],[backlog_dias]]&gt;p_dias_backlog_max,"BACKLOG","MES CORRIENTE")))</f>
        <v/>
      </c>
      <c r="AA562" s="3">
        <f>IF(tblOrdenes[[#This Row],[backlog_dias]]="",FALSE,AND(tblOrdenes[[#This Row],[backlog_dias]]&gt;p_dias_backlog_min,tblOrdenes[[#This Row],[backlog_dias]]&lt;=p_dias_backlog_max))</f>
        <v/>
      </c>
      <c r="AB562" s="6" t="n"/>
      <c r="AC5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2" s="10">
        <f>IF(tblOrdenes[[#This Row],[orden]]="","",_xlfn.XLOOKUP(tblOrdenes[[#This Row],[id_operacion]],tblEjecucion[id_operacion],tblEjecucion[precio],0))</f>
        <v/>
      </c>
      <c r="AG562" s="10">
        <f>IF(tblOrdenes[[#This Row],[orden]]="","",MAX(0,_xlfn.XLOOKUP(tblOrdenes[[#This Row],[id_operacion]],tblEjecucion[id_operacion],tblEjecucion[costo_plan_total],0)-tblOrdenes[[#This Row],[costo_servicio]]))</f>
        <v/>
      </c>
      <c r="AH562" s="10">
        <f>IF(tblOrdenes[[#This Row],[orden]]="","",tblOrdenes[[#This Row],[costo_servicio]]+tblOrdenes[[#This Row],[costo_materiales]])</f>
        <v/>
      </c>
      <c r="AI562" s="6" t="n"/>
      <c r="AJ562" s="6" t="n"/>
      <c r="AK562" s="6" t="n"/>
      <c r="AL562" s="3">
        <f>IF(tblOrdenes[[#This Row],[link_checklist]]="","",HYPERLINK(p_ruta_base_checklists&amp;tblOrdenes[[#This Row],[link_checklist]],"abrir"))</f>
        <v/>
      </c>
      <c r="AM562" s="6" t="n"/>
      <c r="AN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Row],[tipo_ot]]="","",_xlfn.XLOOKUP(tblOrdenes[[#This Row],[tipo_ot]],tblTiposOT[codigo],tblTiposOT[clasificacion],"sin_clasificar"))</f>
        <v/>
      </c>
      <c r="T563" s="3">
        <f>IF(tblOrdenes[[#This Row],[centro_costo]]="","",_xlfn.XLOOKUP(tblOrdenes[[#This Row],[centro_costo]],tblCECO[codigo],tblCECO[linea],"(sin catálogo)"))</f>
        <v/>
      </c>
      <c r="U563" s="3">
        <f>IF(tblOrdenes[[#This Row],[centro_costo]]="","",_xlfn.XLOOKUP(tblOrdenes[[#This Row],[centro_costo]],tblCECO[codigo],tblCECO[area],"(sin catálogo)"))</f>
        <v/>
      </c>
      <c r="V563" s="3">
        <f>IF(tblOrdenes[[#This Row],[centro_costo]]="","",_xlfn.XLOOKUP(tblOrdenes[[#This Row],[centro_costo]],tblCECO[codigo],tblCECO[coordinador],"(sin catálogo)"))</f>
        <v/>
      </c>
      <c r="W563" s="3">
        <f>IF(tblOrdenes[[#This Row],[puesto_trabajo]]="","",_xlfn.XLOOKUP(tblOrdenes[[#This Row],[puesto_trabajo]],tblPuestos[codigo],tblPuestos[especialidad],"(sin catálogo)"))</f>
        <v/>
      </c>
      <c r="X563" s="3">
        <f>IF(tblOrdenes[[#This Row],[cod_actividad]]="","",_xlfn.XLOOKUP(tblOrdenes[[#This Row],[cod_actividad]],tblActividades[codigo],tblActividades[descripcion],"(sin catálogo)"))</f>
        <v/>
      </c>
      <c r="Y563" s="12">
        <f>IF(tblOrdenes[[#This Row],[fecha_inicio]]="","",TODAY()-tblOrdenes[[#This Row],[fecha_inicio]])</f>
        <v/>
      </c>
      <c r="Z563" s="3">
        <f>IF(tblOrdenes[[#This Row],[backlog_dias]]="","",IF(tblOrdenes[[#This Row],[backlog_dias]]&lt;0,"FUTURO",IF(tblOrdenes[[#This Row],[backlog_dias]]&gt;p_dias_backlog_max,"BACKLOG","MES CORRIENTE")))</f>
        <v/>
      </c>
      <c r="AA563" s="3">
        <f>IF(tblOrdenes[[#This Row],[backlog_dias]]="",FALSE,AND(tblOrdenes[[#This Row],[backlog_dias]]&gt;p_dias_backlog_min,tblOrdenes[[#This Row],[backlog_dias]]&lt;=p_dias_backlog_max))</f>
        <v/>
      </c>
      <c r="AB563" s="6" t="n"/>
      <c r="AC5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3" s="10">
        <f>IF(tblOrdenes[[#This Row],[orden]]="","",_xlfn.XLOOKUP(tblOrdenes[[#This Row],[id_operacion]],tblEjecucion[id_operacion],tblEjecucion[precio],0))</f>
        <v/>
      </c>
      <c r="AG563" s="10">
        <f>IF(tblOrdenes[[#This Row],[orden]]="","",MAX(0,_xlfn.XLOOKUP(tblOrdenes[[#This Row],[id_operacion]],tblEjecucion[id_operacion],tblEjecucion[costo_plan_total],0)-tblOrdenes[[#This Row],[costo_servicio]]))</f>
        <v/>
      </c>
      <c r="AH563" s="10">
        <f>IF(tblOrdenes[[#This Row],[orden]]="","",tblOrdenes[[#This Row],[costo_servicio]]+tblOrdenes[[#This Row],[costo_materiales]])</f>
        <v/>
      </c>
      <c r="AI563" s="6" t="n"/>
      <c r="AJ563" s="6" t="n"/>
      <c r="AK563" s="6" t="n"/>
      <c r="AL563" s="3">
        <f>IF(tblOrdenes[[#This Row],[link_checklist]]="","",HYPERLINK(p_ruta_base_checklists&amp;tblOrdenes[[#This Row],[link_checklist]],"abrir"))</f>
        <v/>
      </c>
      <c r="AM563" s="6" t="n"/>
      <c r="AN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Row],[tipo_ot]]="","",_xlfn.XLOOKUP(tblOrdenes[[#This Row],[tipo_ot]],tblTiposOT[codigo],tblTiposOT[clasificacion],"sin_clasificar"))</f>
        <v/>
      </c>
      <c r="T564" s="3">
        <f>IF(tblOrdenes[[#This Row],[centro_costo]]="","",_xlfn.XLOOKUP(tblOrdenes[[#This Row],[centro_costo]],tblCECO[codigo],tblCECO[linea],"(sin catálogo)"))</f>
        <v/>
      </c>
      <c r="U564" s="3">
        <f>IF(tblOrdenes[[#This Row],[centro_costo]]="","",_xlfn.XLOOKUP(tblOrdenes[[#This Row],[centro_costo]],tblCECO[codigo],tblCECO[area],"(sin catálogo)"))</f>
        <v/>
      </c>
      <c r="V564" s="3">
        <f>IF(tblOrdenes[[#This Row],[centro_costo]]="","",_xlfn.XLOOKUP(tblOrdenes[[#This Row],[centro_costo]],tblCECO[codigo],tblCECO[coordinador],"(sin catálogo)"))</f>
        <v/>
      </c>
      <c r="W564" s="3">
        <f>IF(tblOrdenes[[#This Row],[puesto_trabajo]]="","",_xlfn.XLOOKUP(tblOrdenes[[#This Row],[puesto_trabajo]],tblPuestos[codigo],tblPuestos[especialidad],"(sin catálogo)"))</f>
        <v/>
      </c>
      <c r="X564" s="3">
        <f>IF(tblOrdenes[[#This Row],[cod_actividad]]="","",_xlfn.XLOOKUP(tblOrdenes[[#This Row],[cod_actividad]],tblActividades[codigo],tblActividades[descripcion],"(sin catálogo)"))</f>
        <v/>
      </c>
      <c r="Y564" s="12">
        <f>IF(tblOrdenes[[#This Row],[fecha_inicio]]="","",TODAY()-tblOrdenes[[#This Row],[fecha_inicio]])</f>
        <v/>
      </c>
      <c r="Z564" s="3">
        <f>IF(tblOrdenes[[#This Row],[backlog_dias]]="","",IF(tblOrdenes[[#This Row],[backlog_dias]]&lt;0,"FUTURO",IF(tblOrdenes[[#This Row],[backlog_dias]]&gt;p_dias_backlog_max,"BACKLOG","MES CORRIENTE")))</f>
        <v/>
      </c>
      <c r="AA564" s="3">
        <f>IF(tblOrdenes[[#This Row],[backlog_dias]]="",FALSE,AND(tblOrdenes[[#This Row],[backlog_dias]]&gt;p_dias_backlog_min,tblOrdenes[[#This Row],[backlog_dias]]&lt;=p_dias_backlog_max))</f>
        <v/>
      </c>
      <c r="AB564" s="6" t="n"/>
      <c r="AC5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4" s="10">
        <f>IF(tblOrdenes[[#This Row],[orden]]="","",_xlfn.XLOOKUP(tblOrdenes[[#This Row],[id_operacion]],tblEjecucion[id_operacion],tblEjecucion[precio],0))</f>
        <v/>
      </c>
      <c r="AG564" s="10">
        <f>IF(tblOrdenes[[#This Row],[orden]]="","",MAX(0,_xlfn.XLOOKUP(tblOrdenes[[#This Row],[id_operacion]],tblEjecucion[id_operacion],tblEjecucion[costo_plan_total],0)-tblOrdenes[[#This Row],[costo_servicio]]))</f>
        <v/>
      </c>
      <c r="AH564" s="10">
        <f>IF(tblOrdenes[[#This Row],[orden]]="","",tblOrdenes[[#This Row],[costo_servicio]]+tblOrdenes[[#This Row],[costo_materiales]])</f>
        <v/>
      </c>
      <c r="AI564" s="6" t="n"/>
      <c r="AJ564" s="6" t="n"/>
      <c r="AK564" s="6" t="n"/>
      <c r="AL564" s="3">
        <f>IF(tblOrdenes[[#This Row],[link_checklist]]="","",HYPERLINK(p_ruta_base_checklists&amp;tblOrdenes[[#This Row],[link_checklist]],"abrir"))</f>
        <v/>
      </c>
      <c r="AM564" s="6" t="n"/>
      <c r="AN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Row],[tipo_ot]]="","",_xlfn.XLOOKUP(tblOrdenes[[#This Row],[tipo_ot]],tblTiposOT[codigo],tblTiposOT[clasificacion],"sin_clasificar"))</f>
        <v/>
      </c>
      <c r="T565" s="3">
        <f>IF(tblOrdenes[[#This Row],[centro_costo]]="","",_xlfn.XLOOKUP(tblOrdenes[[#This Row],[centro_costo]],tblCECO[codigo],tblCECO[linea],"(sin catálogo)"))</f>
        <v/>
      </c>
      <c r="U565" s="3">
        <f>IF(tblOrdenes[[#This Row],[centro_costo]]="","",_xlfn.XLOOKUP(tblOrdenes[[#This Row],[centro_costo]],tblCECO[codigo],tblCECO[area],"(sin catálogo)"))</f>
        <v/>
      </c>
      <c r="V565" s="3">
        <f>IF(tblOrdenes[[#This Row],[centro_costo]]="","",_xlfn.XLOOKUP(tblOrdenes[[#This Row],[centro_costo]],tblCECO[codigo],tblCECO[coordinador],"(sin catálogo)"))</f>
        <v/>
      </c>
      <c r="W565" s="3">
        <f>IF(tblOrdenes[[#This Row],[puesto_trabajo]]="","",_xlfn.XLOOKUP(tblOrdenes[[#This Row],[puesto_trabajo]],tblPuestos[codigo],tblPuestos[especialidad],"(sin catálogo)"))</f>
        <v/>
      </c>
      <c r="X565" s="3">
        <f>IF(tblOrdenes[[#This Row],[cod_actividad]]="","",_xlfn.XLOOKUP(tblOrdenes[[#This Row],[cod_actividad]],tblActividades[codigo],tblActividades[descripcion],"(sin catálogo)"))</f>
        <v/>
      </c>
      <c r="Y565" s="12">
        <f>IF(tblOrdenes[[#This Row],[fecha_inicio]]="","",TODAY()-tblOrdenes[[#This Row],[fecha_inicio]])</f>
        <v/>
      </c>
      <c r="Z565" s="3">
        <f>IF(tblOrdenes[[#This Row],[backlog_dias]]="","",IF(tblOrdenes[[#This Row],[backlog_dias]]&lt;0,"FUTURO",IF(tblOrdenes[[#This Row],[backlog_dias]]&gt;p_dias_backlog_max,"BACKLOG","MES CORRIENTE")))</f>
        <v/>
      </c>
      <c r="AA565" s="3">
        <f>IF(tblOrdenes[[#This Row],[backlog_dias]]="",FALSE,AND(tblOrdenes[[#This Row],[backlog_dias]]&gt;p_dias_backlog_min,tblOrdenes[[#This Row],[backlog_dias]]&lt;=p_dias_backlog_max))</f>
        <v/>
      </c>
      <c r="AB565" s="6" t="n"/>
      <c r="AC5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5" s="10">
        <f>IF(tblOrdenes[[#This Row],[orden]]="","",_xlfn.XLOOKUP(tblOrdenes[[#This Row],[id_operacion]],tblEjecucion[id_operacion],tblEjecucion[precio],0))</f>
        <v/>
      </c>
      <c r="AG565" s="10">
        <f>IF(tblOrdenes[[#This Row],[orden]]="","",MAX(0,_xlfn.XLOOKUP(tblOrdenes[[#This Row],[id_operacion]],tblEjecucion[id_operacion],tblEjecucion[costo_plan_total],0)-tblOrdenes[[#This Row],[costo_servicio]]))</f>
        <v/>
      </c>
      <c r="AH565" s="10">
        <f>IF(tblOrdenes[[#This Row],[orden]]="","",tblOrdenes[[#This Row],[costo_servicio]]+tblOrdenes[[#This Row],[costo_materiales]])</f>
        <v/>
      </c>
      <c r="AI565" s="6" t="n"/>
      <c r="AJ565" s="6" t="n"/>
      <c r="AK565" s="6" t="n"/>
      <c r="AL565" s="3">
        <f>IF(tblOrdenes[[#This Row],[link_checklist]]="","",HYPERLINK(p_ruta_base_checklists&amp;tblOrdenes[[#This Row],[link_checklist]],"abrir"))</f>
        <v/>
      </c>
      <c r="AM565" s="6" t="n"/>
      <c r="AN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Row],[tipo_ot]]="","",_xlfn.XLOOKUP(tblOrdenes[[#This Row],[tipo_ot]],tblTiposOT[codigo],tblTiposOT[clasificacion],"sin_clasificar"))</f>
        <v/>
      </c>
      <c r="T566" s="3">
        <f>IF(tblOrdenes[[#This Row],[centro_costo]]="","",_xlfn.XLOOKUP(tblOrdenes[[#This Row],[centro_costo]],tblCECO[codigo],tblCECO[linea],"(sin catálogo)"))</f>
        <v/>
      </c>
      <c r="U566" s="3">
        <f>IF(tblOrdenes[[#This Row],[centro_costo]]="","",_xlfn.XLOOKUP(tblOrdenes[[#This Row],[centro_costo]],tblCECO[codigo],tblCECO[area],"(sin catálogo)"))</f>
        <v/>
      </c>
      <c r="V566" s="3">
        <f>IF(tblOrdenes[[#This Row],[centro_costo]]="","",_xlfn.XLOOKUP(tblOrdenes[[#This Row],[centro_costo]],tblCECO[codigo],tblCECO[coordinador],"(sin catálogo)"))</f>
        <v/>
      </c>
      <c r="W566" s="3">
        <f>IF(tblOrdenes[[#This Row],[puesto_trabajo]]="","",_xlfn.XLOOKUP(tblOrdenes[[#This Row],[puesto_trabajo]],tblPuestos[codigo],tblPuestos[especialidad],"(sin catálogo)"))</f>
        <v/>
      </c>
      <c r="X566" s="3">
        <f>IF(tblOrdenes[[#This Row],[cod_actividad]]="","",_xlfn.XLOOKUP(tblOrdenes[[#This Row],[cod_actividad]],tblActividades[codigo],tblActividades[descripcion],"(sin catálogo)"))</f>
        <v/>
      </c>
      <c r="Y566" s="12">
        <f>IF(tblOrdenes[[#This Row],[fecha_inicio]]="","",TODAY()-tblOrdenes[[#This Row],[fecha_inicio]])</f>
        <v/>
      </c>
      <c r="Z566" s="3">
        <f>IF(tblOrdenes[[#This Row],[backlog_dias]]="","",IF(tblOrdenes[[#This Row],[backlog_dias]]&lt;0,"FUTURO",IF(tblOrdenes[[#This Row],[backlog_dias]]&gt;p_dias_backlog_max,"BACKLOG","MES CORRIENTE")))</f>
        <v/>
      </c>
      <c r="AA566" s="3">
        <f>IF(tblOrdenes[[#This Row],[backlog_dias]]="",FALSE,AND(tblOrdenes[[#This Row],[backlog_dias]]&gt;p_dias_backlog_min,tblOrdenes[[#This Row],[backlog_dias]]&lt;=p_dias_backlog_max))</f>
        <v/>
      </c>
      <c r="AB566" s="6" t="n"/>
      <c r="AC5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6" s="10">
        <f>IF(tblOrdenes[[#This Row],[orden]]="","",_xlfn.XLOOKUP(tblOrdenes[[#This Row],[id_operacion]],tblEjecucion[id_operacion],tblEjecucion[precio],0))</f>
        <v/>
      </c>
      <c r="AG566" s="10">
        <f>IF(tblOrdenes[[#This Row],[orden]]="","",MAX(0,_xlfn.XLOOKUP(tblOrdenes[[#This Row],[id_operacion]],tblEjecucion[id_operacion],tblEjecucion[costo_plan_total],0)-tblOrdenes[[#This Row],[costo_servicio]]))</f>
        <v/>
      </c>
      <c r="AH566" s="10">
        <f>IF(tblOrdenes[[#This Row],[orden]]="","",tblOrdenes[[#This Row],[costo_servicio]]+tblOrdenes[[#This Row],[costo_materiales]])</f>
        <v/>
      </c>
      <c r="AI566" s="6" t="n"/>
      <c r="AJ566" s="6" t="n"/>
      <c r="AK566" s="6" t="n"/>
      <c r="AL566" s="3">
        <f>IF(tblOrdenes[[#This Row],[link_checklist]]="","",HYPERLINK(p_ruta_base_checklists&amp;tblOrdenes[[#This Row],[link_checklist]],"abrir"))</f>
        <v/>
      </c>
      <c r="AM566" s="6" t="n"/>
      <c r="AN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Row],[tipo_ot]]="","",_xlfn.XLOOKUP(tblOrdenes[[#This Row],[tipo_ot]],tblTiposOT[codigo],tblTiposOT[clasificacion],"sin_clasificar"))</f>
        <v/>
      </c>
      <c r="T567" s="3">
        <f>IF(tblOrdenes[[#This Row],[centro_costo]]="","",_xlfn.XLOOKUP(tblOrdenes[[#This Row],[centro_costo]],tblCECO[codigo],tblCECO[linea],"(sin catálogo)"))</f>
        <v/>
      </c>
      <c r="U567" s="3">
        <f>IF(tblOrdenes[[#This Row],[centro_costo]]="","",_xlfn.XLOOKUP(tblOrdenes[[#This Row],[centro_costo]],tblCECO[codigo],tblCECO[area],"(sin catálogo)"))</f>
        <v/>
      </c>
      <c r="V567" s="3">
        <f>IF(tblOrdenes[[#This Row],[centro_costo]]="","",_xlfn.XLOOKUP(tblOrdenes[[#This Row],[centro_costo]],tblCECO[codigo],tblCECO[coordinador],"(sin catálogo)"))</f>
        <v/>
      </c>
      <c r="W567" s="3">
        <f>IF(tblOrdenes[[#This Row],[puesto_trabajo]]="","",_xlfn.XLOOKUP(tblOrdenes[[#This Row],[puesto_trabajo]],tblPuestos[codigo],tblPuestos[especialidad],"(sin catálogo)"))</f>
        <v/>
      </c>
      <c r="X567" s="3">
        <f>IF(tblOrdenes[[#This Row],[cod_actividad]]="","",_xlfn.XLOOKUP(tblOrdenes[[#This Row],[cod_actividad]],tblActividades[codigo],tblActividades[descripcion],"(sin catálogo)"))</f>
        <v/>
      </c>
      <c r="Y567" s="12">
        <f>IF(tblOrdenes[[#This Row],[fecha_inicio]]="","",TODAY()-tblOrdenes[[#This Row],[fecha_inicio]])</f>
        <v/>
      </c>
      <c r="Z567" s="3">
        <f>IF(tblOrdenes[[#This Row],[backlog_dias]]="","",IF(tblOrdenes[[#This Row],[backlog_dias]]&lt;0,"FUTURO",IF(tblOrdenes[[#This Row],[backlog_dias]]&gt;p_dias_backlog_max,"BACKLOG","MES CORRIENTE")))</f>
        <v/>
      </c>
      <c r="AA567" s="3">
        <f>IF(tblOrdenes[[#This Row],[backlog_dias]]="",FALSE,AND(tblOrdenes[[#This Row],[backlog_dias]]&gt;p_dias_backlog_min,tblOrdenes[[#This Row],[backlog_dias]]&lt;=p_dias_backlog_max))</f>
        <v/>
      </c>
      <c r="AB567" s="6" t="n"/>
      <c r="AC5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7" s="10">
        <f>IF(tblOrdenes[[#This Row],[orden]]="","",_xlfn.XLOOKUP(tblOrdenes[[#This Row],[id_operacion]],tblEjecucion[id_operacion],tblEjecucion[precio],0))</f>
        <v/>
      </c>
      <c r="AG567" s="10">
        <f>IF(tblOrdenes[[#This Row],[orden]]="","",MAX(0,_xlfn.XLOOKUP(tblOrdenes[[#This Row],[id_operacion]],tblEjecucion[id_operacion],tblEjecucion[costo_plan_total],0)-tblOrdenes[[#This Row],[costo_servicio]]))</f>
        <v/>
      </c>
      <c r="AH567" s="10">
        <f>IF(tblOrdenes[[#This Row],[orden]]="","",tblOrdenes[[#This Row],[costo_servicio]]+tblOrdenes[[#This Row],[costo_materiales]])</f>
        <v/>
      </c>
      <c r="AI567" s="6" t="n"/>
      <c r="AJ567" s="6" t="n"/>
      <c r="AK567" s="6" t="n"/>
      <c r="AL567" s="3">
        <f>IF(tblOrdenes[[#This Row],[link_checklist]]="","",HYPERLINK(p_ruta_base_checklists&amp;tblOrdenes[[#This Row],[link_checklist]],"abrir"))</f>
        <v/>
      </c>
      <c r="AM567" s="6" t="n"/>
      <c r="AN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Row],[tipo_ot]]="","",_xlfn.XLOOKUP(tblOrdenes[[#This Row],[tipo_ot]],tblTiposOT[codigo],tblTiposOT[clasificacion],"sin_clasificar"))</f>
        <v/>
      </c>
      <c r="T568" s="3">
        <f>IF(tblOrdenes[[#This Row],[centro_costo]]="","",_xlfn.XLOOKUP(tblOrdenes[[#This Row],[centro_costo]],tblCECO[codigo],tblCECO[linea],"(sin catálogo)"))</f>
        <v/>
      </c>
      <c r="U568" s="3">
        <f>IF(tblOrdenes[[#This Row],[centro_costo]]="","",_xlfn.XLOOKUP(tblOrdenes[[#This Row],[centro_costo]],tblCECO[codigo],tblCECO[area],"(sin catálogo)"))</f>
        <v/>
      </c>
      <c r="V568" s="3">
        <f>IF(tblOrdenes[[#This Row],[centro_costo]]="","",_xlfn.XLOOKUP(tblOrdenes[[#This Row],[centro_costo]],tblCECO[codigo],tblCECO[coordinador],"(sin catálogo)"))</f>
        <v/>
      </c>
      <c r="W568" s="3">
        <f>IF(tblOrdenes[[#This Row],[puesto_trabajo]]="","",_xlfn.XLOOKUP(tblOrdenes[[#This Row],[puesto_trabajo]],tblPuestos[codigo],tblPuestos[especialidad],"(sin catálogo)"))</f>
        <v/>
      </c>
      <c r="X568" s="3">
        <f>IF(tblOrdenes[[#This Row],[cod_actividad]]="","",_xlfn.XLOOKUP(tblOrdenes[[#This Row],[cod_actividad]],tblActividades[codigo],tblActividades[descripcion],"(sin catálogo)"))</f>
        <v/>
      </c>
      <c r="Y568" s="12">
        <f>IF(tblOrdenes[[#This Row],[fecha_inicio]]="","",TODAY()-tblOrdenes[[#This Row],[fecha_inicio]])</f>
        <v/>
      </c>
      <c r="Z568" s="3">
        <f>IF(tblOrdenes[[#This Row],[backlog_dias]]="","",IF(tblOrdenes[[#This Row],[backlog_dias]]&lt;0,"FUTURO",IF(tblOrdenes[[#This Row],[backlog_dias]]&gt;p_dias_backlog_max,"BACKLOG","MES CORRIENTE")))</f>
        <v/>
      </c>
      <c r="AA568" s="3">
        <f>IF(tblOrdenes[[#This Row],[backlog_dias]]="",FALSE,AND(tblOrdenes[[#This Row],[backlog_dias]]&gt;p_dias_backlog_min,tblOrdenes[[#This Row],[backlog_dias]]&lt;=p_dias_backlog_max))</f>
        <v/>
      </c>
      <c r="AB568" s="6" t="n"/>
      <c r="AC5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8" s="10">
        <f>IF(tblOrdenes[[#This Row],[orden]]="","",_xlfn.XLOOKUP(tblOrdenes[[#This Row],[id_operacion]],tblEjecucion[id_operacion],tblEjecucion[precio],0))</f>
        <v/>
      </c>
      <c r="AG568" s="10">
        <f>IF(tblOrdenes[[#This Row],[orden]]="","",MAX(0,_xlfn.XLOOKUP(tblOrdenes[[#This Row],[id_operacion]],tblEjecucion[id_operacion],tblEjecucion[costo_plan_total],0)-tblOrdenes[[#This Row],[costo_servicio]]))</f>
        <v/>
      </c>
      <c r="AH568" s="10">
        <f>IF(tblOrdenes[[#This Row],[orden]]="","",tblOrdenes[[#This Row],[costo_servicio]]+tblOrdenes[[#This Row],[costo_materiales]])</f>
        <v/>
      </c>
      <c r="AI568" s="6" t="n"/>
      <c r="AJ568" s="6" t="n"/>
      <c r="AK568" s="6" t="n"/>
      <c r="AL568" s="3">
        <f>IF(tblOrdenes[[#This Row],[link_checklist]]="","",HYPERLINK(p_ruta_base_checklists&amp;tblOrdenes[[#This Row],[link_checklist]],"abrir"))</f>
        <v/>
      </c>
      <c r="AM568" s="6" t="n"/>
      <c r="AN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Row],[tipo_ot]]="","",_xlfn.XLOOKUP(tblOrdenes[[#This Row],[tipo_ot]],tblTiposOT[codigo],tblTiposOT[clasificacion],"sin_clasificar"))</f>
        <v/>
      </c>
      <c r="T569" s="3">
        <f>IF(tblOrdenes[[#This Row],[centro_costo]]="","",_xlfn.XLOOKUP(tblOrdenes[[#This Row],[centro_costo]],tblCECO[codigo],tblCECO[linea],"(sin catálogo)"))</f>
        <v/>
      </c>
      <c r="U569" s="3">
        <f>IF(tblOrdenes[[#This Row],[centro_costo]]="","",_xlfn.XLOOKUP(tblOrdenes[[#This Row],[centro_costo]],tblCECO[codigo],tblCECO[area],"(sin catálogo)"))</f>
        <v/>
      </c>
      <c r="V569" s="3">
        <f>IF(tblOrdenes[[#This Row],[centro_costo]]="","",_xlfn.XLOOKUP(tblOrdenes[[#This Row],[centro_costo]],tblCECO[codigo],tblCECO[coordinador],"(sin catálogo)"))</f>
        <v/>
      </c>
      <c r="W569" s="3">
        <f>IF(tblOrdenes[[#This Row],[puesto_trabajo]]="","",_xlfn.XLOOKUP(tblOrdenes[[#This Row],[puesto_trabajo]],tblPuestos[codigo],tblPuestos[especialidad],"(sin catálogo)"))</f>
        <v/>
      </c>
      <c r="X569" s="3">
        <f>IF(tblOrdenes[[#This Row],[cod_actividad]]="","",_xlfn.XLOOKUP(tblOrdenes[[#This Row],[cod_actividad]],tblActividades[codigo],tblActividades[descripcion],"(sin catálogo)"))</f>
        <v/>
      </c>
      <c r="Y569" s="12">
        <f>IF(tblOrdenes[[#This Row],[fecha_inicio]]="","",TODAY()-tblOrdenes[[#This Row],[fecha_inicio]])</f>
        <v/>
      </c>
      <c r="Z569" s="3">
        <f>IF(tblOrdenes[[#This Row],[backlog_dias]]="","",IF(tblOrdenes[[#This Row],[backlog_dias]]&lt;0,"FUTURO",IF(tblOrdenes[[#This Row],[backlog_dias]]&gt;p_dias_backlog_max,"BACKLOG","MES CORRIENTE")))</f>
        <v/>
      </c>
      <c r="AA569" s="3">
        <f>IF(tblOrdenes[[#This Row],[backlog_dias]]="",FALSE,AND(tblOrdenes[[#This Row],[backlog_dias]]&gt;p_dias_backlog_min,tblOrdenes[[#This Row],[backlog_dias]]&lt;=p_dias_backlog_max))</f>
        <v/>
      </c>
      <c r="AB569" s="6" t="n"/>
      <c r="AC5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9" s="10">
        <f>IF(tblOrdenes[[#This Row],[orden]]="","",_xlfn.XLOOKUP(tblOrdenes[[#This Row],[id_operacion]],tblEjecucion[id_operacion],tblEjecucion[precio],0))</f>
        <v/>
      </c>
      <c r="AG569" s="10">
        <f>IF(tblOrdenes[[#This Row],[orden]]="","",MAX(0,_xlfn.XLOOKUP(tblOrdenes[[#This Row],[id_operacion]],tblEjecucion[id_operacion],tblEjecucion[costo_plan_total],0)-tblOrdenes[[#This Row],[costo_servicio]]))</f>
        <v/>
      </c>
      <c r="AH569" s="10">
        <f>IF(tblOrdenes[[#This Row],[orden]]="","",tblOrdenes[[#This Row],[costo_servicio]]+tblOrdenes[[#This Row],[costo_materiales]])</f>
        <v/>
      </c>
      <c r="AI569" s="6" t="n"/>
      <c r="AJ569" s="6" t="n"/>
      <c r="AK569" s="6" t="n"/>
      <c r="AL569" s="3">
        <f>IF(tblOrdenes[[#This Row],[link_checklist]]="","",HYPERLINK(p_ruta_base_checklists&amp;tblOrdenes[[#This Row],[link_checklist]],"abrir"))</f>
        <v/>
      </c>
      <c r="AM569" s="6" t="n"/>
      <c r="AN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Row],[tipo_ot]]="","",_xlfn.XLOOKUP(tblOrdenes[[#This Row],[tipo_ot]],tblTiposOT[codigo],tblTiposOT[clasificacion],"sin_clasificar"))</f>
        <v/>
      </c>
      <c r="T570" s="3">
        <f>IF(tblOrdenes[[#This Row],[centro_costo]]="","",_xlfn.XLOOKUP(tblOrdenes[[#This Row],[centro_costo]],tblCECO[codigo],tblCECO[linea],"(sin catálogo)"))</f>
        <v/>
      </c>
      <c r="U570" s="3">
        <f>IF(tblOrdenes[[#This Row],[centro_costo]]="","",_xlfn.XLOOKUP(tblOrdenes[[#This Row],[centro_costo]],tblCECO[codigo],tblCECO[area],"(sin catálogo)"))</f>
        <v/>
      </c>
      <c r="V570" s="3">
        <f>IF(tblOrdenes[[#This Row],[centro_costo]]="","",_xlfn.XLOOKUP(tblOrdenes[[#This Row],[centro_costo]],tblCECO[codigo],tblCECO[coordinador],"(sin catálogo)"))</f>
        <v/>
      </c>
      <c r="W570" s="3">
        <f>IF(tblOrdenes[[#This Row],[puesto_trabajo]]="","",_xlfn.XLOOKUP(tblOrdenes[[#This Row],[puesto_trabajo]],tblPuestos[codigo],tblPuestos[especialidad],"(sin catálogo)"))</f>
        <v/>
      </c>
      <c r="X570" s="3">
        <f>IF(tblOrdenes[[#This Row],[cod_actividad]]="","",_xlfn.XLOOKUP(tblOrdenes[[#This Row],[cod_actividad]],tblActividades[codigo],tblActividades[descripcion],"(sin catálogo)"))</f>
        <v/>
      </c>
      <c r="Y570" s="12">
        <f>IF(tblOrdenes[[#This Row],[fecha_inicio]]="","",TODAY()-tblOrdenes[[#This Row],[fecha_inicio]])</f>
        <v/>
      </c>
      <c r="Z570" s="3">
        <f>IF(tblOrdenes[[#This Row],[backlog_dias]]="","",IF(tblOrdenes[[#This Row],[backlog_dias]]&lt;0,"FUTURO",IF(tblOrdenes[[#This Row],[backlog_dias]]&gt;p_dias_backlog_max,"BACKLOG","MES CORRIENTE")))</f>
        <v/>
      </c>
      <c r="AA570" s="3">
        <f>IF(tblOrdenes[[#This Row],[backlog_dias]]="",FALSE,AND(tblOrdenes[[#This Row],[backlog_dias]]&gt;p_dias_backlog_min,tblOrdenes[[#This Row],[backlog_dias]]&lt;=p_dias_backlog_max))</f>
        <v/>
      </c>
      <c r="AB570" s="6" t="n"/>
      <c r="AC5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0" s="10">
        <f>IF(tblOrdenes[[#This Row],[orden]]="","",_xlfn.XLOOKUP(tblOrdenes[[#This Row],[id_operacion]],tblEjecucion[id_operacion],tblEjecucion[precio],0))</f>
        <v/>
      </c>
      <c r="AG570" s="10">
        <f>IF(tblOrdenes[[#This Row],[orden]]="","",MAX(0,_xlfn.XLOOKUP(tblOrdenes[[#This Row],[id_operacion]],tblEjecucion[id_operacion],tblEjecucion[costo_plan_total],0)-tblOrdenes[[#This Row],[costo_servicio]]))</f>
        <v/>
      </c>
      <c r="AH570" s="10">
        <f>IF(tblOrdenes[[#This Row],[orden]]="","",tblOrdenes[[#This Row],[costo_servicio]]+tblOrdenes[[#This Row],[costo_materiales]])</f>
        <v/>
      </c>
      <c r="AI570" s="6" t="n"/>
      <c r="AJ570" s="6" t="n"/>
      <c r="AK570" s="6" t="n"/>
      <c r="AL570" s="3">
        <f>IF(tblOrdenes[[#This Row],[link_checklist]]="","",HYPERLINK(p_ruta_base_checklists&amp;tblOrdenes[[#This Row],[link_checklist]],"abrir"))</f>
        <v/>
      </c>
      <c r="AM570" s="6" t="n"/>
      <c r="AN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Row],[tipo_ot]]="","",_xlfn.XLOOKUP(tblOrdenes[[#This Row],[tipo_ot]],tblTiposOT[codigo],tblTiposOT[clasificacion],"sin_clasificar"))</f>
        <v/>
      </c>
      <c r="T571" s="3">
        <f>IF(tblOrdenes[[#This Row],[centro_costo]]="","",_xlfn.XLOOKUP(tblOrdenes[[#This Row],[centro_costo]],tblCECO[codigo],tblCECO[linea],"(sin catálogo)"))</f>
        <v/>
      </c>
      <c r="U571" s="3">
        <f>IF(tblOrdenes[[#This Row],[centro_costo]]="","",_xlfn.XLOOKUP(tblOrdenes[[#This Row],[centro_costo]],tblCECO[codigo],tblCECO[area],"(sin catálogo)"))</f>
        <v/>
      </c>
      <c r="V571" s="3">
        <f>IF(tblOrdenes[[#This Row],[centro_costo]]="","",_xlfn.XLOOKUP(tblOrdenes[[#This Row],[centro_costo]],tblCECO[codigo],tblCECO[coordinador],"(sin catálogo)"))</f>
        <v/>
      </c>
      <c r="W571" s="3">
        <f>IF(tblOrdenes[[#This Row],[puesto_trabajo]]="","",_xlfn.XLOOKUP(tblOrdenes[[#This Row],[puesto_trabajo]],tblPuestos[codigo],tblPuestos[especialidad],"(sin catálogo)"))</f>
        <v/>
      </c>
      <c r="X571" s="3">
        <f>IF(tblOrdenes[[#This Row],[cod_actividad]]="","",_xlfn.XLOOKUP(tblOrdenes[[#This Row],[cod_actividad]],tblActividades[codigo],tblActividades[descripcion],"(sin catálogo)"))</f>
        <v/>
      </c>
      <c r="Y571" s="12">
        <f>IF(tblOrdenes[[#This Row],[fecha_inicio]]="","",TODAY()-tblOrdenes[[#This Row],[fecha_inicio]])</f>
        <v/>
      </c>
      <c r="Z571" s="3">
        <f>IF(tblOrdenes[[#This Row],[backlog_dias]]="","",IF(tblOrdenes[[#This Row],[backlog_dias]]&lt;0,"FUTURO",IF(tblOrdenes[[#This Row],[backlog_dias]]&gt;p_dias_backlog_max,"BACKLOG","MES CORRIENTE")))</f>
        <v/>
      </c>
      <c r="AA571" s="3">
        <f>IF(tblOrdenes[[#This Row],[backlog_dias]]="",FALSE,AND(tblOrdenes[[#This Row],[backlog_dias]]&gt;p_dias_backlog_min,tblOrdenes[[#This Row],[backlog_dias]]&lt;=p_dias_backlog_max))</f>
        <v/>
      </c>
      <c r="AB571" s="6" t="n"/>
      <c r="AC5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1" s="10">
        <f>IF(tblOrdenes[[#This Row],[orden]]="","",_xlfn.XLOOKUP(tblOrdenes[[#This Row],[id_operacion]],tblEjecucion[id_operacion],tblEjecucion[precio],0))</f>
        <v/>
      </c>
      <c r="AG571" s="10">
        <f>IF(tblOrdenes[[#This Row],[orden]]="","",MAX(0,_xlfn.XLOOKUP(tblOrdenes[[#This Row],[id_operacion]],tblEjecucion[id_operacion],tblEjecucion[costo_plan_total],0)-tblOrdenes[[#This Row],[costo_servicio]]))</f>
        <v/>
      </c>
      <c r="AH571" s="10">
        <f>IF(tblOrdenes[[#This Row],[orden]]="","",tblOrdenes[[#This Row],[costo_servicio]]+tblOrdenes[[#This Row],[costo_materiales]])</f>
        <v/>
      </c>
      <c r="AI571" s="6" t="n"/>
      <c r="AJ571" s="6" t="n"/>
      <c r="AK571" s="6" t="n"/>
      <c r="AL571" s="3">
        <f>IF(tblOrdenes[[#This Row],[link_checklist]]="","",HYPERLINK(p_ruta_base_checklists&amp;tblOrdenes[[#This Row],[link_checklist]],"abrir"))</f>
        <v/>
      </c>
      <c r="AM571" s="6" t="n"/>
      <c r="AN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Row],[tipo_ot]]="","",_xlfn.XLOOKUP(tblOrdenes[[#This Row],[tipo_ot]],tblTiposOT[codigo],tblTiposOT[clasificacion],"sin_clasificar"))</f>
        <v/>
      </c>
      <c r="T572" s="3">
        <f>IF(tblOrdenes[[#This Row],[centro_costo]]="","",_xlfn.XLOOKUP(tblOrdenes[[#This Row],[centro_costo]],tblCECO[codigo],tblCECO[linea],"(sin catálogo)"))</f>
        <v/>
      </c>
      <c r="U572" s="3">
        <f>IF(tblOrdenes[[#This Row],[centro_costo]]="","",_xlfn.XLOOKUP(tblOrdenes[[#This Row],[centro_costo]],tblCECO[codigo],tblCECO[area],"(sin catálogo)"))</f>
        <v/>
      </c>
      <c r="V572" s="3">
        <f>IF(tblOrdenes[[#This Row],[centro_costo]]="","",_xlfn.XLOOKUP(tblOrdenes[[#This Row],[centro_costo]],tblCECO[codigo],tblCECO[coordinador],"(sin catálogo)"))</f>
        <v/>
      </c>
      <c r="W572" s="3">
        <f>IF(tblOrdenes[[#This Row],[puesto_trabajo]]="","",_xlfn.XLOOKUP(tblOrdenes[[#This Row],[puesto_trabajo]],tblPuestos[codigo],tblPuestos[especialidad],"(sin catálogo)"))</f>
        <v/>
      </c>
      <c r="X572" s="3">
        <f>IF(tblOrdenes[[#This Row],[cod_actividad]]="","",_xlfn.XLOOKUP(tblOrdenes[[#This Row],[cod_actividad]],tblActividades[codigo],tblActividades[descripcion],"(sin catálogo)"))</f>
        <v/>
      </c>
      <c r="Y572" s="12">
        <f>IF(tblOrdenes[[#This Row],[fecha_inicio]]="","",TODAY()-tblOrdenes[[#This Row],[fecha_inicio]])</f>
        <v/>
      </c>
      <c r="Z572" s="3">
        <f>IF(tblOrdenes[[#This Row],[backlog_dias]]="","",IF(tblOrdenes[[#This Row],[backlog_dias]]&lt;0,"FUTURO",IF(tblOrdenes[[#This Row],[backlog_dias]]&gt;p_dias_backlog_max,"BACKLOG","MES CORRIENTE")))</f>
        <v/>
      </c>
      <c r="AA572" s="3">
        <f>IF(tblOrdenes[[#This Row],[backlog_dias]]="",FALSE,AND(tblOrdenes[[#This Row],[backlog_dias]]&gt;p_dias_backlog_min,tblOrdenes[[#This Row],[backlog_dias]]&lt;=p_dias_backlog_max))</f>
        <v/>
      </c>
      <c r="AB572" s="6" t="n"/>
      <c r="AC5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2" s="10">
        <f>IF(tblOrdenes[[#This Row],[orden]]="","",_xlfn.XLOOKUP(tblOrdenes[[#This Row],[id_operacion]],tblEjecucion[id_operacion],tblEjecucion[precio],0))</f>
        <v/>
      </c>
      <c r="AG572" s="10">
        <f>IF(tblOrdenes[[#This Row],[orden]]="","",MAX(0,_xlfn.XLOOKUP(tblOrdenes[[#This Row],[id_operacion]],tblEjecucion[id_operacion],tblEjecucion[costo_plan_total],0)-tblOrdenes[[#This Row],[costo_servicio]]))</f>
        <v/>
      </c>
      <c r="AH572" s="10">
        <f>IF(tblOrdenes[[#This Row],[orden]]="","",tblOrdenes[[#This Row],[costo_servicio]]+tblOrdenes[[#This Row],[costo_materiales]])</f>
        <v/>
      </c>
      <c r="AI572" s="6" t="n"/>
      <c r="AJ572" s="6" t="n"/>
      <c r="AK572" s="6" t="n"/>
      <c r="AL572" s="3">
        <f>IF(tblOrdenes[[#This Row],[link_checklist]]="","",HYPERLINK(p_ruta_base_checklists&amp;tblOrdenes[[#This Row],[link_checklist]],"abrir"))</f>
        <v/>
      </c>
      <c r="AM572" s="6" t="n"/>
      <c r="AN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Row],[tipo_ot]]="","",_xlfn.XLOOKUP(tblOrdenes[[#This Row],[tipo_ot]],tblTiposOT[codigo],tblTiposOT[clasificacion],"sin_clasificar"))</f>
        <v/>
      </c>
      <c r="T573" s="3">
        <f>IF(tblOrdenes[[#This Row],[centro_costo]]="","",_xlfn.XLOOKUP(tblOrdenes[[#This Row],[centro_costo]],tblCECO[codigo],tblCECO[linea],"(sin catálogo)"))</f>
        <v/>
      </c>
      <c r="U573" s="3">
        <f>IF(tblOrdenes[[#This Row],[centro_costo]]="","",_xlfn.XLOOKUP(tblOrdenes[[#This Row],[centro_costo]],tblCECO[codigo],tblCECO[area],"(sin catálogo)"))</f>
        <v/>
      </c>
      <c r="V573" s="3">
        <f>IF(tblOrdenes[[#This Row],[centro_costo]]="","",_xlfn.XLOOKUP(tblOrdenes[[#This Row],[centro_costo]],tblCECO[codigo],tblCECO[coordinador],"(sin catálogo)"))</f>
        <v/>
      </c>
      <c r="W573" s="3">
        <f>IF(tblOrdenes[[#This Row],[puesto_trabajo]]="","",_xlfn.XLOOKUP(tblOrdenes[[#This Row],[puesto_trabajo]],tblPuestos[codigo],tblPuestos[especialidad],"(sin catálogo)"))</f>
        <v/>
      </c>
      <c r="X573" s="3">
        <f>IF(tblOrdenes[[#This Row],[cod_actividad]]="","",_xlfn.XLOOKUP(tblOrdenes[[#This Row],[cod_actividad]],tblActividades[codigo],tblActividades[descripcion],"(sin catálogo)"))</f>
        <v/>
      </c>
      <c r="Y573" s="12">
        <f>IF(tblOrdenes[[#This Row],[fecha_inicio]]="","",TODAY()-tblOrdenes[[#This Row],[fecha_inicio]])</f>
        <v/>
      </c>
      <c r="Z573" s="3">
        <f>IF(tblOrdenes[[#This Row],[backlog_dias]]="","",IF(tblOrdenes[[#This Row],[backlog_dias]]&lt;0,"FUTURO",IF(tblOrdenes[[#This Row],[backlog_dias]]&gt;p_dias_backlog_max,"BACKLOG","MES CORRIENTE")))</f>
        <v/>
      </c>
      <c r="AA573" s="3">
        <f>IF(tblOrdenes[[#This Row],[backlog_dias]]="",FALSE,AND(tblOrdenes[[#This Row],[backlog_dias]]&gt;p_dias_backlog_min,tblOrdenes[[#This Row],[backlog_dias]]&lt;=p_dias_backlog_max))</f>
        <v/>
      </c>
      <c r="AB573" s="6" t="n"/>
      <c r="AC5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3" s="10">
        <f>IF(tblOrdenes[[#This Row],[orden]]="","",_xlfn.XLOOKUP(tblOrdenes[[#This Row],[id_operacion]],tblEjecucion[id_operacion],tblEjecucion[precio],0))</f>
        <v/>
      </c>
      <c r="AG573" s="10">
        <f>IF(tblOrdenes[[#This Row],[orden]]="","",MAX(0,_xlfn.XLOOKUP(tblOrdenes[[#This Row],[id_operacion]],tblEjecucion[id_operacion],tblEjecucion[costo_plan_total],0)-tblOrdenes[[#This Row],[costo_servicio]]))</f>
        <v/>
      </c>
      <c r="AH573" s="10">
        <f>IF(tblOrdenes[[#This Row],[orden]]="","",tblOrdenes[[#This Row],[costo_servicio]]+tblOrdenes[[#This Row],[costo_materiales]])</f>
        <v/>
      </c>
      <c r="AI573" s="6" t="n"/>
      <c r="AJ573" s="6" t="n"/>
      <c r="AK573" s="6" t="n"/>
      <c r="AL573" s="3">
        <f>IF(tblOrdenes[[#This Row],[link_checklist]]="","",HYPERLINK(p_ruta_base_checklists&amp;tblOrdenes[[#This Row],[link_checklist]],"abrir"))</f>
        <v/>
      </c>
      <c r="AM573" s="6" t="n"/>
      <c r="AN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Row],[tipo_ot]]="","",_xlfn.XLOOKUP(tblOrdenes[[#This Row],[tipo_ot]],tblTiposOT[codigo],tblTiposOT[clasificacion],"sin_clasificar"))</f>
        <v/>
      </c>
      <c r="T574" s="3">
        <f>IF(tblOrdenes[[#This Row],[centro_costo]]="","",_xlfn.XLOOKUP(tblOrdenes[[#This Row],[centro_costo]],tblCECO[codigo],tblCECO[linea],"(sin catálogo)"))</f>
        <v/>
      </c>
      <c r="U574" s="3">
        <f>IF(tblOrdenes[[#This Row],[centro_costo]]="","",_xlfn.XLOOKUP(tblOrdenes[[#This Row],[centro_costo]],tblCECO[codigo],tblCECO[area],"(sin catálogo)"))</f>
        <v/>
      </c>
      <c r="V574" s="3">
        <f>IF(tblOrdenes[[#This Row],[centro_costo]]="","",_xlfn.XLOOKUP(tblOrdenes[[#This Row],[centro_costo]],tblCECO[codigo],tblCECO[coordinador],"(sin catálogo)"))</f>
        <v/>
      </c>
      <c r="W574" s="3">
        <f>IF(tblOrdenes[[#This Row],[puesto_trabajo]]="","",_xlfn.XLOOKUP(tblOrdenes[[#This Row],[puesto_trabajo]],tblPuestos[codigo],tblPuestos[especialidad],"(sin catálogo)"))</f>
        <v/>
      </c>
      <c r="X574" s="3">
        <f>IF(tblOrdenes[[#This Row],[cod_actividad]]="","",_xlfn.XLOOKUP(tblOrdenes[[#This Row],[cod_actividad]],tblActividades[codigo],tblActividades[descripcion],"(sin catálogo)"))</f>
        <v/>
      </c>
      <c r="Y574" s="12">
        <f>IF(tblOrdenes[[#This Row],[fecha_inicio]]="","",TODAY()-tblOrdenes[[#This Row],[fecha_inicio]])</f>
        <v/>
      </c>
      <c r="Z574" s="3">
        <f>IF(tblOrdenes[[#This Row],[backlog_dias]]="","",IF(tblOrdenes[[#This Row],[backlog_dias]]&lt;0,"FUTURO",IF(tblOrdenes[[#This Row],[backlog_dias]]&gt;p_dias_backlog_max,"BACKLOG","MES CORRIENTE")))</f>
        <v/>
      </c>
      <c r="AA574" s="3">
        <f>IF(tblOrdenes[[#This Row],[backlog_dias]]="",FALSE,AND(tblOrdenes[[#This Row],[backlog_dias]]&gt;p_dias_backlog_min,tblOrdenes[[#This Row],[backlog_dias]]&lt;=p_dias_backlog_max))</f>
        <v/>
      </c>
      <c r="AB574" s="6" t="n"/>
      <c r="AC5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4" s="10">
        <f>IF(tblOrdenes[[#This Row],[orden]]="","",_xlfn.XLOOKUP(tblOrdenes[[#This Row],[id_operacion]],tblEjecucion[id_operacion],tblEjecucion[precio],0))</f>
        <v/>
      </c>
      <c r="AG574" s="10">
        <f>IF(tblOrdenes[[#This Row],[orden]]="","",MAX(0,_xlfn.XLOOKUP(tblOrdenes[[#This Row],[id_operacion]],tblEjecucion[id_operacion],tblEjecucion[costo_plan_total],0)-tblOrdenes[[#This Row],[costo_servicio]]))</f>
        <v/>
      </c>
      <c r="AH574" s="10">
        <f>IF(tblOrdenes[[#This Row],[orden]]="","",tblOrdenes[[#This Row],[costo_servicio]]+tblOrdenes[[#This Row],[costo_materiales]])</f>
        <v/>
      </c>
      <c r="AI574" s="6" t="n"/>
      <c r="AJ574" s="6" t="n"/>
      <c r="AK574" s="6" t="n"/>
      <c r="AL574" s="3">
        <f>IF(tblOrdenes[[#This Row],[link_checklist]]="","",HYPERLINK(p_ruta_base_checklists&amp;tblOrdenes[[#This Row],[link_checklist]],"abrir"))</f>
        <v/>
      </c>
      <c r="AM574" s="6" t="n"/>
      <c r="AN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Row],[tipo_ot]]="","",_xlfn.XLOOKUP(tblOrdenes[[#This Row],[tipo_ot]],tblTiposOT[codigo],tblTiposOT[clasificacion],"sin_clasificar"))</f>
        <v/>
      </c>
      <c r="T575" s="3">
        <f>IF(tblOrdenes[[#This Row],[centro_costo]]="","",_xlfn.XLOOKUP(tblOrdenes[[#This Row],[centro_costo]],tblCECO[codigo],tblCECO[linea],"(sin catálogo)"))</f>
        <v/>
      </c>
      <c r="U575" s="3">
        <f>IF(tblOrdenes[[#This Row],[centro_costo]]="","",_xlfn.XLOOKUP(tblOrdenes[[#This Row],[centro_costo]],tblCECO[codigo],tblCECO[area],"(sin catálogo)"))</f>
        <v/>
      </c>
      <c r="V575" s="3">
        <f>IF(tblOrdenes[[#This Row],[centro_costo]]="","",_xlfn.XLOOKUP(tblOrdenes[[#This Row],[centro_costo]],tblCECO[codigo],tblCECO[coordinador],"(sin catálogo)"))</f>
        <v/>
      </c>
      <c r="W575" s="3">
        <f>IF(tblOrdenes[[#This Row],[puesto_trabajo]]="","",_xlfn.XLOOKUP(tblOrdenes[[#This Row],[puesto_trabajo]],tblPuestos[codigo],tblPuestos[especialidad],"(sin catálogo)"))</f>
        <v/>
      </c>
      <c r="X575" s="3">
        <f>IF(tblOrdenes[[#This Row],[cod_actividad]]="","",_xlfn.XLOOKUP(tblOrdenes[[#This Row],[cod_actividad]],tblActividades[codigo],tblActividades[descripcion],"(sin catálogo)"))</f>
        <v/>
      </c>
      <c r="Y575" s="12">
        <f>IF(tblOrdenes[[#This Row],[fecha_inicio]]="","",TODAY()-tblOrdenes[[#This Row],[fecha_inicio]])</f>
        <v/>
      </c>
      <c r="Z575" s="3">
        <f>IF(tblOrdenes[[#This Row],[backlog_dias]]="","",IF(tblOrdenes[[#This Row],[backlog_dias]]&lt;0,"FUTURO",IF(tblOrdenes[[#This Row],[backlog_dias]]&gt;p_dias_backlog_max,"BACKLOG","MES CORRIENTE")))</f>
        <v/>
      </c>
      <c r="AA575" s="3">
        <f>IF(tblOrdenes[[#This Row],[backlog_dias]]="",FALSE,AND(tblOrdenes[[#This Row],[backlog_dias]]&gt;p_dias_backlog_min,tblOrdenes[[#This Row],[backlog_dias]]&lt;=p_dias_backlog_max))</f>
        <v/>
      </c>
      <c r="AB575" s="6" t="n"/>
      <c r="AC5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5" s="10">
        <f>IF(tblOrdenes[[#This Row],[orden]]="","",_xlfn.XLOOKUP(tblOrdenes[[#This Row],[id_operacion]],tblEjecucion[id_operacion],tblEjecucion[precio],0))</f>
        <v/>
      </c>
      <c r="AG575" s="10">
        <f>IF(tblOrdenes[[#This Row],[orden]]="","",MAX(0,_xlfn.XLOOKUP(tblOrdenes[[#This Row],[id_operacion]],tblEjecucion[id_operacion],tblEjecucion[costo_plan_total],0)-tblOrdenes[[#This Row],[costo_servicio]]))</f>
        <v/>
      </c>
      <c r="AH575" s="10">
        <f>IF(tblOrdenes[[#This Row],[orden]]="","",tblOrdenes[[#This Row],[costo_servicio]]+tblOrdenes[[#This Row],[costo_materiales]])</f>
        <v/>
      </c>
      <c r="AI575" s="6" t="n"/>
      <c r="AJ575" s="6" t="n"/>
      <c r="AK575" s="6" t="n"/>
      <c r="AL575" s="3">
        <f>IF(tblOrdenes[[#This Row],[link_checklist]]="","",HYPERLINK(p_ruta_base_checklists&amp;tblOrdenes[[#This Row],[link_checklist]],"abrir"))</f>
        <v/>
      </c>
      <c r="AM575" s="6" t="n"/>
      <c r="AN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Row],[tipo_ot]]="","",_xlfn.XLOOKUP(tblOrdenes[[#This Row],[tipo_ot]],tblTiposOT[codigo],tblTiposOT[clasificacion],"sin_clasificar"))</f>
        <v/>
      </c>
      <c r="T576" s="3">
        <f>IF(tblOrdenes[[#This Row],[centro_costo]]="","",_xlfn.XLOOKUP(tblOrdenes[[#This Row],[centro_costo]],tblCECO[codigo],tblCECO[linea],"(sin catálogo)"))</f>
        <v/>
      </c>
      <c r="U576" s="3">
        <f>IF(tblOrdenes[[#This Row],[centro_costo]]="","",_xlfn.XLOOKUP(tblOrdenes[[#This Row],[centro_costo]],tblCECO[codigo],tblCECO[area],"(sin catálogo)"))</f>
        <v/>
      </c>
      <c r="V576" s="3">
        <f>IF(tblOrdenes[[#This Row],[centro_costo]]="","",_xlfn.XLOOKUP(tblOrdenes[[#This Row],[centro_costo]],tblCECO[codigo],tblCECO[coordinador],"(sin catálogo)"))</f>
        <v/>
      </c>
      <c r="W576" s="3">
        <f>IF(tblOrdenes[[#This Row],[puesto_trabajo]]="","",_xlfn.XLOOKUP(tblOrdenes[[#This Row],[puesto_trabajo]],tblPuestos[codigo],tblPuestos[especialidad],"(sin catálogo)"))</f>
        <v/>
      </c>
      <c r="X576" s="3">
        <f>IF(tblOrdenes[[#This Row],[cod_actividad]]="","",_xlfn.XLOOKUP(tblOrdenes[[#This Row],[cod_actividad]],tblActividades[codigo],tblActividades[descripcion],"(sin catálogo)"))</f>
        <v/>
      </c>
      <c r="Y576" s="12">
        <f>IF(tblOrdenes[[#This Row],[fecha_inicio]]="","",TODAY()-tblOrdenes[[#This Row],[fecha_inicio]])</f>
        <v/>
      </c>
      <c r="Z576" s="3">
        <f>IF(tblOrdenes[[#This Row],[backlog_dias]]="","",IF(tblOrdenes[[#This Row],[backlog_dias]]&lt;0,"FUTURO",IF(tblOrdenes[[#This Row],[backlog_dias]]&gt;p_dias_backlog_max,"BACKLOG","MES CORRIENTE")))</f>
        <v/>
      </c>
      <c r="AA576" s="3">
        <f>IF(tblOrdenes[[#This Row],[backlog_dias]]="",FALSE,AND(tblOrdenes[[#This Row],[backlog_dias]]&gt;p_dias_backlog_min,tblOrdenes[[#This Row],[backlog_dias]]&lt;=p_dias_backlog_max))</f>
        <v/>
      </c>
      <c r="AB576" s="6" t="n"/>
      <c r="AC5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6" s="10">
        <f>IF(tblOrdenes[[#This Row],[orden]]="","",_xlfn.XLOOKUP(tblOrdenes[[#This Row],[id_operacion]],tblEjecucion[id_operacion],tblEjecucion[precio],0))</f>
        <v/>
      </c>
      <c r="AG576" s="10">
        <f>IF(tblOrdenes[[#This Row],[orden]]="","",MAX(0,_xlfn.XLOOKUP(tblOrdenes[[#This Row],[id_operacion]],tblEjecucion[id_operacion],tblEjecucion[costo_plan_total],0)-tblOrdenes[[#This Row],[costo_servicio]]))</f>
        <v/>
      </c>
      <c r="AH576" s="10">
        <f>IF(tblOrdenes[[#This Row],[orden]]="","",tblOrdenes[[#This Row],[costo_servicio]]+tblOrdenes[[#This Row],[costo_materiales]])</f>
        <v/>
      </c>
      <c r="AI576" s="6" t="n"/>
      <c r="AJ576" s="6" t="n"/>
      <c r="AK576" s="6" t="n"/>
      <c r="AL576" s="3">
        <f>IF(tblOrdenes[[#This Row],[link_checklist]]="","",HYPERLINK(p_ruta_base_checklists&amp;tblOrdenes[[#This Row],[link_checklist]],"abrir"))</f>
        <v/>
      </c>
      <c r="AM576" s="6" t="n"/>
      <c r="AN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Row],[tipo_ot]]="","",_xlfn.XLOOKUP(tblOrdenes[[#This Row],[tipo_ot]],tblTiposOT[codigo],tblTiposOT[clasificacion],"sin_clasificar"))</f>
        <v/>
      </c>
      <c r="T577" s="3">
        <f>IF(tblOrdenes[[#This Row],[centro_costo]]="","",_xlfn.XLOOKUP(tblOrdenes[[#This Row],[centro_costo]],tblCECO[codigo],tblCECO[linea],"(sin catálogo)"))</f>
        <v/>
      </c>
      <c r="U577" s="3">
        <f>IF(tblOrdenes[[#This Row],[centro_costo]]="","",_xlfn.XLOOKUP(tblOrdenes[[#This Row],[centro_costo]],tblCECO[codigo],tblCECO[area],"(sin catálogo)"))</f>
        <v/>
      </c>
      <c r="V577" s="3">
        <f>IF(tblOrdenes[[#This Row],[centro_costo]]="","",_xlfn.XLOOKUP(tblOrdenes[[#This Row],[centro_costo]],tblCECO[codigo],tblCECO[coordinador],"(sin catálogo)"))</f>
        <v/>
      </c>
      <c r="W577" s="3">
        <f>IF(tblOrdenes[[#This Row],[puesto_trabajo]]="","",_xlfn.XLOOKUP(tblOrdenes[[#This Row],[puesto_trabajo]],tblPuestos[codigo],tblPuestos[especialidad],"(sin catálogo)"))</f>
        <v/>
      </c>
      <c r="X577" s="3">
        <f>IF(tblOrdenes[[#This Row],[cod_actividad]]="","",_xlfn.XLOOKUP(tblOrdenes[[#This Row],[cod_actividad]],tblActividades[codigo],tblActividades[descripcion],"(sin catálogo)"))</f>
        <v/>
      </c>
      <c r="Y577" s="12">
        <f>IF(tblOrdenes[[#This Row],[fecha_inicio]]="","",TODAY()-tblOrdenes[[#This Row],[fecha_inicio]])</f>
        <v/>
      </c>
      <c r="Z577" s="3">
        <f>IF(tblOrdenes[[#This Row],[backlog_dias]]="","",IF(tblOrdenes[[#This Row],[backlog_dias]]&lt;0,"FUTURO",IF(tblOrdenes[[#This Row],[backlog_dias]]&gt;p_dias_backlog_max,"BACKLOG","MES CORRIENTE")))</f>
        <v/>
      </c>
      <c r="AA577" s="3">
        <f>IF(tblOrdenes[[#This Row],[backlog_dias]]="",FALSE,AND(tblOrdenes[[#This Row],[backlog_dias]]&gt;p_dias_backlog_min,tblOrdenes[[#This Row],[backlog_dias]]&lt;=p_dias_backlog_max))</f>
        <v/>
      </c>
      <c r="AB577" s="6" t="n"/>
      <c r="AC5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7" s="10">
        <f>IF(tblOrdenes[[#This Row],[orden]]="","",_xlfn.XLOOKUP(tblOrdenes[[#This Row],[id_operacion]],tblEjecucion[id_operacion],tblEjecucion[precio],0))</f>
        <v/>
      </c>
      <c r="AG577" s="10">
        <f>IF(tblOrdenes[[#This Row],[orden]]="","",MAX(0,_xlfn.XLOOKUP(tblOrdenes[[#This Row],[id_operacion]],tblEjecucion[id_operacion],tblEjecucion[costo_plan_total],0)-tblOrdenes[[#This Row],[costo_servicio]]))</f>
        <v/>
      </c>
      <c r="AH577" s="10">
        <f>IF(tblOrdenes[[#This Row],[orden]]="","",tblOrdenes[[#This Row],[costo_servicio]]+tblOrdenes[[#This Row],[costo_materiales]])</f>
        <v/>
      </c>
      <c r="AI577" s="6" t="n"/>
      <c r="AJ577" s="6" t="n"/>
      <c r="AK577" s="6" t="n"/>
      <c r="AL577" s="3">
        <f>IF(tblOrdenes[[#This Row],[link_checklist]]="","",HYPERLINK(p_ruta_base_checklists&amp;tblOrdenes[[#This Row],[link_checklist]],"abrir"))</f>
        <v/>
      </c>
      <c r="AM577" s="6" t="n"/>
      <c r="AN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Row],[tipo_ot]]="","",_xlfn.XLOOKUP(tblOrdenes[[#This Row],[tipo_ot]],tblTiposOT[codigo],tblTiposOT[clasificacion],"sin_clasificar"))</f>
        <v/>
      </c>
      <c r="T578" s="3">
        <f>IF(tblOrdenes[[#This Row],[centro_costo]]="","",_xlfn.XLOOKUP(tblOrdenes[[#This Row],[centro_costo]],tblCECO[codigo],tblCECO[linea],"(sin catálogo)"))</f>
        <v/>
      </c>
      <c r="U578" s="3">
        <f>IF(tblOrdenes[[#This Row],[centro_costo]]="","",_xlfn.XLOOKUP(tblOrdenes[[#This Row],[centro_costo]],tblCECO[codigo],tblCECO[area],"(sin catálogo)"))</f>
        <v/>
      </c>
      <c r="V578" s="3">
        <f>IF(tblOrdenes[[#This Row],[centro_costo]]="","",_xlfn.XLOOKUP(tblOrdenes[[#This Row],[centro_costo]],tblCECO[codigo],tblCECO[coordinador],"(sin catálogo)"))</f>
        <v/>
      </c>
      <c r="W578" s="3">
        <f>IF(tblOrdenes[[#This Row],[puesto_trabajo]]="","",_xlfn.XLOOKUP(tblOrdenes[[#This Row],[puesto_trabajo]],tblPuestos[codigo],tblPuestos[especialidad],"(sin catálogo)"))</f>
        <v/>
      </c>
      <c r="X578" s="3">
        <f>IF(tblOrdenes[[#This Row],[cod_actividad]]="","",_xlfn.XLOOKUP(tblOrdenes[[#This Row],[cod_actividad]],tblActividades[codigo],tblActividades[descripcion],"(sin catálogo)"))</f>
        <v/>
      </c>
      <c r="Y578" s="12">
        <f>IF(tblOrdenes[[#This Row],[fecha_inicio]]="","",TODAY()-tblOrdenes[[#This Row],[fecha_inicio]])</f>
        <v/>
      </c>
      <c r="Z578" s="3">
        <f>IF(tblOrdenes[[#This Row],[backlog_dias]]="","",IF(tblOrdenes[[#This Row],[backlog_dias]]&lt;0,"FUTURO",IF(tblOrdenes[[#This Row],[backlog_dias]]&gt;p_dias_backlog_max,"BACKLOG","MES CORRIENTE")))</f>
        <v/>
      </c>
      <c r="AA578" s="3">
        <f>IF(tblOrdenes[[#This Row],[backlog_dias]]="",FALSE,AND(tblOrdenes[[#This Row],[backlog_dias]]&gt;p_dias_backlog_min,tblOrdenes[[#This Row],[backlog_dias]]&lt;=p_dias_backlog_max))</f>
        <v/>
      </c>
      <c r="AB578" s="6" t="n"/>
      <c r="AC5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8" s="10">
        <f>IF(tblOrdenes[[#This Row],[orden]]="","",_xlfn.XLOOKUP(tblOrdenes[[#This Row],[id_operacion]],tblEjecucion[id_operacion],tblEjecucion[precio],0))</f>
        <v/>
      </c>
      <c r="AG578" s="10">
        <f>IF(tblOrdenes[[#This Row],[orden]]="","",MAX(0,_xlfn.XLOOKUP(tblOrdenes[[#This Row],[id_operacion]],tblEjecucion[id_operacion],tblEjecucion[costo_plan_total],0)-tblOrdenes[[#This Row],[costo_servicio]]))</f>
        <v/>
      </c>
      <c r="AH578" s="10">
        <f>IF(tblOrdenes[[#This Row],[orden]]="","",tblOrdenes[[#This Row],[costo_servicio]]+tblOrdenes[[#This Row],[costo_materiales]])</f>
        <v/>
      </c>
      <c r="AI578" s="6" t="n"/>
      <c r="AJ578" s="6" t="n"/>
      <c r="AK578" s="6" t="n"/>
      <c r="AL578" s="3">
        <f>IF(tblOrdenes[[#This Row],[link_checklist]]="","",HYPERLINK(p_ruta_base_checklists&amp;tblOrdenes[[#This Row],[link_checklist]],"abrir"))</f>
        <v/>
      </c>
      <c r="AM578" s="6" t="n"/>
      <c r="AN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Row],[tipo_ot]]="","",_xlfn.XLOOKUP(tblOrdenes[[#This Row],[tipo_ot]],tblTiposOT[codigo],tblTiposOT[clasificacion],"sin_clasificar"))</f>
        <v/>
      </c>
      <c r="T579" s="3">
        <f>IF(tblOrdenes[[#This Row],[centro_costo]]="","",_xlfn.XLOOKUP(tblOrdenes[[#This Row],[centro_costo]],tblCECO[codigo],tblCECO[linea],"(sin catálogo)"))</f>
        <v/>
      </c>
      <c r="U579" s="3">
        <f>IF(tblOrdenes[[#This Row],[centro_costo]]="","",_xlfn.XLOOKUP(tblOrdenes[[#This Row],[centro_costo]],tblCECO[codigo],tblCECO[area],"(sin catálogo)"))</f>
        <v/>
      </c>
      <c r="V579" s="3">
        <f>IF(tblOrdenes[[#This Row],[centro_costo]]="","",_xlfn.XLOOKUP(tblOrdenes[[#This Row],[centro_costo]],tblCECO[codigo],tblCECO[coordinador],"(sin catálogo)"))</f>
        <v/>
      </c>
      <c r="W579" s="3">
        <f>IF(tblOrdenes[[#This Row],[puesto_trabajo]]="","",_xlfn.XLOOKUP(tblOrdenes[[#This Row],[puesto_trabajo]],tblPuestos[codigo],tblPuestos[especialidad],"(sin catálogo)"))</f>
        <v/>
      </c>
      <c r="X579" s="3">
        <f>IF(tblOrdenes[[#This Row],[cod_actividad]]="","",_xlfn.XLOOKUP(tblOrdenes[[#This Row],[cod_actividad]],tblActividades[codigo],tblActividades[descripcion],"(sin catálogo)"))</f>
        <v/>
      </c>
      <c r="Y579" s="12">
        <f>IF(tblOrdenes[[#This Row],[fecha_inicio]]="","",TODAY()-tblOrdenes[[#This Row],[fecha_inicio]])</f>
        <v/>
      </c>
      <c r="Z579" s="3">
        <f>IF(tblOrdenes[[#This Row],[backlog_dias]]="","",IF(tblOrdenes[[#This Row],[backlog_dias]]&lt;0,"FUTURO",IF(tblOrdenes[[#This Row],[backlog_dias]]&gt;p_dias_backlog_max,"BACKLOG","MES CORRIENTE")))</f>
        <v/>
      </c>
      <c r="AA579" s="3">
        <f>IF(tblOrdenes[[#This Row],[backlog_dias]]="",FALSE,AND(tblOrdenes[[#This Row],[backlog_dias]]&gt;p_dias_backlog_min,tblOrdenes[[#This Row],[backlog_dias]]&lt;=p_dias_backlog_max))</f>
        <v/>
      </c>
      <c r="AB579" s="6" t="n"/>
      <c r="AC5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9" s="10">
        <f>IF(tblOrdenes[[#This Row],[orden]]="","",_xlfn.XLOOKUP(tblOrdenes[[#This Row],[id_operacion]],tblEjecucion[id_operacion],tblEjecucion[precio],0))</f>
        <v/>
      </c>
      <c r="AG579" s="10">
        <f>IF(tblOrdenes[[#This Row],[orden]]="","",MAX(0,_xlfn.XLOOKUP(tblOrdenes[[#This Row],[id_operacion]],tblEjecucion[id_operacion],tblEjecucion[costo_plan_total],0)-tblOrdenes[[#This Row],[costo_servicio]]))</f>
        <v/>
      </c>
      <c r="AH579" s="10">
        <f>IF(tblOrdenes[[#This Row],[orden]]="","",tblOrdenes[[#This Row],[costo_servicio]]+tblOrdenes[[#This Row],[costo_materiales]])</f>
        <v/>
      </c>
      <c r="AI579" s="6" t="n"/>
      <c r="AJ579" s="6" t="n"/>
      <c r="AK579" s="6" t="n"/>
      <c r="AL579" s="3">
        <f>IF(tblOrdenes[[#This Row],[link_checklist]]="","",HYPERLINK(p_ruta_base_checklists&amp;tblOrdenes[[#This Row],[link_checklist]],"abrir"))</f>
        <v/>
      </c>
      <c r="AM579" s="6" t="n"/>
      <c r="AN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Row],[tipo_ot]]="","",_xlfn.XLOOKUP(tblOrdenes[[#This Row],[tipo_ot]],tblTiposOT[codigo],tblTiposOT[clasificacion],"sin_clasificar"))</f>
        <v/>
      </c>
      <c r="T580" s="3">
        <f>IF(tblOrdenes[[#This Row],[centro_costo]]="","",_xlfn.XLOOKUP(tblOrdenes[[#This Row],[centro_costo]],tblCECO[codigo],tblCECO[linea],"(sin catálogo)"))</f>
        <v/>
      </c>
      <c r="U580" s="3">
        <f>IF(tblOrdenes[[#This Row],[centro_costo]]="","",_xlfn.XLOOKUP(tblOrdenes[[#This Row],[centro_costo]],tblCECO[codigo],tblCECO[area],"(sin catálogo)"))</f>
        <v/>
      </c>
      <c r="V580" s="3">
        <f>IF(tblOrdenes[[#This Row],[centro_costo]]="","",_xlfn.XLOOKUP(tblOrdenes[[#This Row],[centro_costo]],tblCECO[codigo],tblCECO[coordinador],"(sin catálogo)"))</f>
        <v/>
      </c>
      <c r="W580" s="3">
        <f>IF(tblOrdenes[[#This Row],[puesto_trabajo]]="","",_xlfn.XLOOKUP(tblOrdenes[[#This Row],[puesto_trabajo]],tblPuestos[codigo],tblPuestos[especialidad],"(sin catálogo)"))</f>
        <v/>
      </c>
      <c r="X580" s="3">
        <f>IF(tblOrdenes[[#This Row],[cod_actividad]]="","",_xlfn.XLOOKUP(tblOrdenes[[#This Row],[cod_actividad]],tblActividades[codigo],tblActividades[descripcion],"(sin catálogo)"))</f>
        <v/>
      </c>
      <c r="Y580" s="12">
        <f>IF(tblOrdenes[[#This Row],[fecha_inicio]]="","",TODAY()-tblOrdenes[[#This Row],[fecha_inicio]])</f>
        <v/>
      </c>
      <c r="Z580" s="3">
        <f>IF(tblOrdenes[[#This Row],[backlog_dias]]="","",IF(tblOrdenes[[#This Row],[backlog_dias]]&lt;0,"FUTURO",IF(tblOrdenes[[#This Row],[backlog_dias]]&gt;p_dias_backlog_max,"BACKLOG","MES CORRIENTE")))</f>
        <v/>
      </c>
      <c r="AA580" s="3">
        <f>IF(tblOrdenes[[#This Row],[backlog_dias]]="",FALSE,AND(tblOrdenes[[#This Row],[backlog_dias]]&gt;p_dias_backlog_min,tblOrdenes[[#This Row],[backlog_dias]]&lt;=p_dias_backlog_max))</f>
        <v/>
      </c>
      <c r="AB580" s="6" t="n"/>
      <c r="AC5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0" s="10">
        <f>IF(tblOrdenes[[#This Row],[orden]]="","",_xlfn.XLOOKUP(tblOrdenes[[#This Row],[id_operacion]],tblEjecucion[id_operacion],tblEjecucion[precio],0))</f>
        <v/>
      </c>
      <c r="AG580" s="10">
        <f>IF(tblOrdenes[[#This Row],[orden]]="","",MAX(0,_xlfn.XLOOKUP(tblOrdenes[[#This Row],[id_operacion]],tblEjecucion[id_operacion],tblEjecucion[costo_plan_total],0)-tblOrdenes[[#This Row],[costo_servicio]]))</f>
        <v/>
      </c>
      <c r="AH580" s="10">
        <f>IF(tblOrdenes[[#This Row],[orden]]="","",tblOrdenes[[#This Row],[costo_servicio]]+tblOrdenes[[#This Row],[costo_materiales]])</f>
        <v/>
      </c>
      <c r="AI580" s="6" t="n"/>
      <c r="AJ580" s="6" t="n"/>
      <c r="AK580" s="6" t="n"/>
      <c r="AL580" s="3">
        <f>IF(tblOrdenes[[#This Row],[link_checklist]]="","",HYPERLINK(p_ruta_base_checklists&amp;tblOrdenes[[#This Row],[link_checklist]],"abrir"))</f>
        <v/>
      </c>
      <c r="AM580" s="6" t="n"/>
      <c r="AN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Row],[tipo_ot]]="","",_xlfn.XLOOKUP(tblOrdenes[[#This Row],[tipo_ot]],tblTiposOT[codigo],tblTiposOT[clasificacion],"sin_clasificar"))</f>
        <v/>
      </c>
      <c r="T581" s="3">
        <f>IF(tblOrdenes[[#This Row],[centro_costo]]="","",_xlfn.XLOOKUP(tblOrdenes[[#This Row],[centro_costo]],tblCECO[codigo],tblCECO[linea],"(sin catálogo)"))</f>
        <v/>
      </c>
      <c r="U581" s="3">
        <f>IF(tblOrdenes[[#This Row],[centro_costo]]="","",_xlfn.XLOOKUP(tblOrdenes[[#This Row],[centro_costo]],tblCECO[codigo],tblCECO[area],"(sin catálogo)"))</f>
        <v/>
      </c>
      <c r="V581" s="3">
        <f>IF(tblOrdenes[[#This Row],[centro_costo]]="","",_xlfn.XLOOKUP(tblOrdenes[[#This Row],[centro_costo]],tblCECO[codigo],tblCECO[coordinador],"(sin catálogo)"))</f>
        <v/>
      </c>
      <c r="W581" s="3">
        <f>IF(tblOrdenes[[#This Row],[puesto_trabajo]]="","",_xlfn.XLOOKUP(tblOrdenes[[#This Row],[puesto_trabajo]],tblPuestos[codigo],tblPuestos[especialidad],"(sin catálogo)"))</f>
        <v/>
      </c>
      <c r="X581" s="3">
        <f>IF(tblOrdenes[[#This Row],[cod_actividad]]="","",_xlfn.XLOOKUP(tblOrdenes[[#This Row],[cod_actividad]],tblActividades[codigo],tblActividades[descripcion],"(sin catálogo)"))</f>
        <v/>
      </c>
      <c r="Y581" s="12">
        <f>IF(tblOrdenes[[#This Row],[fecha_inicio]]="","",TODAY()-tblOrdenes[[#This Row],[fecha_inicio]])</f>
        <v/>
      </c>
      <c r="Z581" s="3">
        <f>IF(tblOrdenes[[#This Row],[backlog_dias]]="","",IF(tblOrdenes[[#This Row],[backlog_dias]]&lt;0,"FUTURO",IF(tblOrdenes[[#This Row],[backlog_dias]]&gt;p_dias_backlog_max,"BACKLOG","MES CORRIENTE")))</f>
        <v/>
      </c>
      <c r="AA581" s="3">
        <f>IF(tblOrdenes[[#This Row],[backlog_dias]]="",FALSE,AND(tblOrdenes[[#This Row],[backlog_dias]]&gt;p_dias_backlog_min,tblOrdenes[[#This Row],[backlog_dias]]&lt;=p_dias_backlog_max))</f>
        <v/>
      </c>
      <c r="AB581" s="6" t="n"/>
      <c r="AC5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1" s="10">
        <f>IF(tblOrdenes[[#This Row],[orden]]="","",_xlfn.XLOOKUP(tblOrdenes[[#This Row],[id_operacion]],tblEjecucion[id_operacion],tblEjecucion[precio],0))</f>
        <v/>
      </c>
      <c r="AG581" s="10">
        <f>IF(tblOrdenes[[#This Row],[orden]]="","",MAX(0,_xlfn.XLOOKUP(tblOrdenes[[#This Row],[id_operacion]],tblEjecucion[id_operacion],tblEjecucion[costo_plan_total],0)-tblOrdenes[[#This Row],[costo_servicio]]))</f>
        <v/>
      </c>
      <c r="AH581" s="10">
        <f>IF(tblOrdenes[[#This Row],[orden]]="","",tblOrdenes[[#This Row],[costo_servicio]]+tblOrdenes[[#This Row],[costo_materiales]])</f>
        <v/>
      </c>
      <c r="AI581" s="6" t="n"/>
      <c r="AJ581" s="6" t="n"/>
      <c r="AK581" s="6" t="n"/>
      <c r="AL581" s="3">
        <f>IF(tblOrdenes[[#This Row],[link_checklist]]="","",HYPERLINK(p_ruta_base_checklists&amp;tblOrdenes[[#This Row],[link_checklist]],"abrir"))</f>
        <v/>
      </c>
      <c r="AM581" s="6" t="n"/>
      <c r="AN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Row],[tipo_ot]]="","",_xlfn.XLOOKUP(tblOrdenes[[#This Row],[tipo_ot]],tblTiposOT[codigo],tblTiposOT[clasificacion],"sin_clasificar"))</f>
        <v/>
      </c>
      <c r="T582" s="3">
        <f>IF(tblOrdenes[[#This Row],[centro_costo]]="","",_xlfn.XLOOKUP(tblOrdenes[[#This Row],[centro_costo]],tblCECO[codigo],tblCECO[linea],"(sin catálogo)"))</f>
        <v/>
      </c>
      <c r="U582" s="3">
        <f>IF(tblOrdenes[[#This Row],[centro_costo]]="","",_xlfn.XLOOKUP(tblOrdenes[[#This Row],[centro_costo]],tblCECO[codigo],tblCECO[area],"(sin catálogo)"))</f>
        <v/>
      </c>
      <c r="V582" s="3">
        <f>IF(tblOrdenes[[#This Row],[centro_costo]]="","",_xlfn.XLOOKUP(tblOrdenes[[#This Row],[centro_costo]],tblCECO[codigo],tblCECO[coordinador],"(sin catálogo)"))</f>
        <v/>
      </c>
      <c r="W582" s="3">
        <f>IF(tblOrdenes[[#This Row],[puesto_trabajo]]="","",_xlfn.XLOOKUP(tblOrdenes[[#This Row],[puesto_trabajo]],tblPuestos[codigo],tblPuestos[especialidad],"(sin catálogo)"))</f>
        <v/>
      </c>
      <c r="X582" s="3">
        <f>IF(tblOrdenes[[#This Row],[cod_actividad]]="","",_xlfn.XLOOKUP(tblOrdenes[[#This Row],[cod_actividad]],tblActividades[codigo],tblActividades[descripcion],"(sin catálogo)"))</f>
        <v/>
      </c>
      <c r="Y582" s="12">
        <f>IF(tblOrdenes[[#This Row],[fecha_inicio]]="","",TODAY()-tblOrdenes[[#This Row],[fecha_inicio]])</f>
        <v/>
      </c>
      <c r="Z582" s="3">
        <f>IF(tblOrdenes[[#This Row],[backlog_dias]]="","",IF(tblOrdenes[[#This Row],[backlog_dias]]&lt;0,"FUTURO",IF(tblOrdenes[[#This Row],[backlog_dias]]&gt;p_dias_backlog_max,"BACKLOG","MES CORRIENTE")))</f>
        <v/>
      </c>
      <c r="AA582" s="3">
        <f>IF(tblOrdenes[[#This Row],[backlog_dias]]="",FALSE,AND(tblOrdenes[[#This Row],[backlog_dias]]&gt;p_dias_backlog_min,tblOrdenes[[#This Row],[backlog_dias]]&lt;=p_dias_backlog_max))</f>
        <v/>
      </c>
      <c r="AB582" s="6" t="n"/>
      <c r="AC5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2" s="10">
        <f>IF(tblOrdenes[[#This Row],[orden]]="","",_xlfn.XLOOKUP(tblOrdenes[[#This Row],[id_operacion]],tblEjecucion[id_operacion],tblEjecucion[precio],0))</f>
        <v/>
      </c>
      <c r="AG582" s="10">
        <f>IF(tblOrdenes[[#This Row],[orden]]="","",MAX(0,_xlfn.XLOOKUP(tblOrdenes[[#This Row],[id_operacion]],tblEjecucion[id_operacion],tblEjecucion[costo_plan_total],0)-tblOrdenes[[#This Row],[costo_servicio]]))</f>
        <v/>
      </c>
      <c r="AH582" s="10">
        <f>IF(tblOrdenes[[#This Row],[orden]]="","",tblOrdenes[[#This Row],[costo_servicio]]+tblOrdenes[[#This Row],[costo_materiales]])</f>
        <v/>
      </c>
      <c r="AI582" s="6" t="n"/>
      <c r="AJ582" s="6" t="n"/>
      <c r="AK582" s="6" t="n"/>
      <c r="AL582" s="3">
        <f>IF(tblOrdenes[[#This Row],[link_checklist]]="","",HYPERLINK(p_ruta_base_checklists&amp;tblOrdenes[[#This Row],[link_checklist]],"abrir"))</f>
        <v/>
      </c>
      <c r="AM582" s="6" t="n"/>
      <c r="AN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Row],[tipo_ot]]="","",_xlfn.XLOOKUP(tblOrdenes[[#This Row],[tipo_ot]],tblTiposOT[codigo],tblTiposOT[clasificacion],"sin_clasificar"))</f>
        <v/>
      </c>
      <c r="T583" s="3">
        <f>IF(tblOrdenes[[#This Row],[centro_costo]]="","",_xlfn.XLOOKUP(tblOrdenes[[#This Row],[centro_costo]],tblCECO[codigo],tblCECO[linea],"(sin catálogo)"))</f>
        <v/>
      </c>
      <c r="U583" s="3">
        <f>IF(tblOrdenes[[#This Row],[centro_costo]]="","",_xlfn.XLOOKUP(tblOrdenes[[#This Row],[centro_costo]],tblCECO[codigo],tblCECO[area],"(sin catálogo)"))</f>
        <v/>
      </c>
      <c r="V583" s="3">
        <f>IF(tblOrdenes[[#This Row],[centro_costo]]="","",_xlfn.XLOOKUP(tblOrdenes[[#This Row],[centro_costo]],tblCECO[codigo],tblCECO[coordinador],"(sin catálogo)"))</f>
        <v/>
      </c>
      <c r="W583" s="3">
        <f>IF(tblOrdenes[[#This Row],[puesto_trabajo]]="","",_xlfn.XLOOKUP(tblOrdenes[[#This Row],[puesto_trabajo]],tblPuestos[codigo],tblPuestos[especialidad],"(sin catálogo)"))</f>
        <v/>
      </c>
      <c r="X583" s="3">
        <f>IF(tblOrdenes[[#This Row],[cod_actividad]]="","",_xlfn.XLOOKUP(tblOrdenes[[#This Row],[cod_actividad]],tblActividades[codigo],tblActividades[descripcion],"(sin catálogo)"))</f>
        <v/>
      </c>
      <c r="Y583" s="12">
        <f>IF(tblOrdenes[[#This Row],[fecha_inicio]]="","",TODAY()-tblOrdenes[[#This Row],[fecha_inicio]])</f>
        <v/>
      </c>
      <c r="Z583" s="3">
        <f>IF(tblOrdenes[[#This Row],[backlog_dias]]="","",IF(tblOrdenes[[#This Row],[backlog_dias]]&lt;0,"FUTURO",IF(tblOrdenes[[#This Row],[backlog_dias]]&gt;p_dias_backlog_max,"BACKLOG","MES CORRIENTE")))</f>
        <v/>
      </c>
      <c r="AA583" s="3">
        <f>IF(tblOrdenes[[#This Row],[backlog_dias]]="",FALSE,AND(tblOrdenes[[#This Row],[backlog_dias]]&gt;p_dias_backlog_min,tblOrdenes[[#This Row],[backlog_dias]]&lt;=p_dias_backlog_max))</f>
        <v/>
      </c>
      <c r="AB583" s="6" t="n"/>
      <c r="AC5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3" s="10">
        <f>IF(tblOrdenes[[#This Row],[orden]]="","",_xlfn.XLOOKUP(tblOrdenes[[#This Row],[id_operacion]],tblEjecucion[id_operacion],tblEjecucion[precio],0))</f>
        <v/>
      </c>
      <c r="AG583" s="10">
        <f>IF(tblOrdenes[[#This Row],[orden]]="","",MAX(0,_xlfn.XLOOKUP(tblOrdenes[[#This Row],[id_operacion]],tblEjecucion[id_operacion],tblEjecucion[costo_plan_total],0)-tblOrdenes[[#This Row],[costo_servicio]]))</f>
        <v/>
      </c>
      <c r="AH583" s="10">
        <f>IF(tblOrdenes[[#This Row],[orden]]="","",tblOrdenes[[#This Row],[costo_servicio]]+tblOrdenes[[#This Row],[costo_materiales]])</f>
        <v/>
      </c>
      <c r="AI583" s="6" t="n"/>
      <c r="AJ583" s="6" t="n"/>
      <c r="AK583" s="6" t="n"/>
      <c r="AL583" s="3">
        <f>IF(tblOrdenes[[#This Row],[link_checklist]]="","",HYPERLINK(p_ruta_base_checklists&amp;tblOrdenes[[#This Row],[link_checklist]],"abrir"))</f>
        <v/>
      </c>
      <c r="AM583" s="6" t="n"/>
      <c r="AN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Row],[tipo_ot]]="","",_xlfn.XLOOKUP(tblOrdenes[[#This Row],[tipo_ot]],tblTiposOT[codigo],tblTiposOT[clasificacion],"sin_clasificar"))</f>
        <v/>
      </c>
      <c r="T584" s="3">
        <f>IF(tblOrdenes[[#This Row],[centro_costo]]="","",_xlfn.XLOOKUP(tblOrdenes[[#This Row],[centro_costo]],tblCECO[codigo],tblCECO[linea],"(sin catálogo)"))</f>
        <v/>
      </c>
      <c r="U584" s="3">
        <f>IF(tblOrdenes[[#This Row],[centro_costo]]="","",_xlfn.XLOOKUP(tblOrdenes[[#This Row],[centro_costo]],tblCECO[codigo],tblCECO[area],"(sin catálogo)"))</f>
        <v/>
      </c>
      <c r="V584" s="3">
        <f>IF(tblOrdenes[[#This Row],[centro_costo]]="","",_xlfn.XLOOKUP(tblOrdenes[[#This Row],[centro_costo]],tblCECO[codigo],tblCECO[coordinador],"(sin catálogo)"))</f>
        <v/>
      </c>
      <c r="W584" s="3">
        <f>IF(tblOrdenes[[#This Row],[puesto_trabajo]]="","",_xlfn.XLOOKUP(tblOrdenes[[#This Row],[puesto_trabajo]],tblPuestos[codigo],tblPuestos[especialidad],"(sin catálogo)"))</f>
        <v/>
      </c>
      <c r="X584" s="3">
        <f>IF(tblOrdenes[[#This Row],[cod_actividad]]="","",_xlfn.XLOOKUP(tblOrdenes[[#This Row],[cod_actividad]],tblActividades[codigo],tblActividades[descripcion],"(sin catálogo)"))</f>
        <v/>
      </c>
      <c r="Y584" s="12">
        <f>IF(tblOrdenes[[#This Row],[fecha_inicio]]="","",TODAY()-tblOrdenes[[#This Row],[fecha_inicio]])</f>
        <v/>
      </c>
      <c r="Z584" s="3">
        <f>IF(tblOrdenes[[#This Row],[backlog_dias]]="","",IF(tblOrdenes[[#This Row],[backlog_dias]]&lt;0,"FUTURO",IF(tblOrdenes[[#This Row],[backlog_dias]]&gt;p_dias_backlog_max,"BACKLOG","MES CORRIENTE")))</f>
        <v/>
      </c>
      <c r="AA584" s="3">
        <f>IF(tblOrdenes[[#This Row],[backlog_dias]]="",FALSE,AND(tblOrdenes[[#This Row],[backlog_dias]]&gt;p_dias_backlog_min,tblOrdenes[[#This Row],[backlog_dias]]&lt;=p_dias_backlog_max))</f>
        <v/>
      </c>
      <c r="AB584" s="6" t="n"/>
      <c r="AC5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4" s="10">
        <f>IF(tblOrdenes[[#This Row],[orden]]="","",_xlfn.XLOOKUP(tblOrdenes[[#This Row],[id_operacion]],tblEjecucion[id_operacion],tblEjecucion[precio],0))</f>
        <v/>
      </c>
      <c r="AG584" s="10">
        <f>IF(tblOrdenes[[#This Row],[orden]]="","",MAX(0,_xlfn.XLOOKUP(tblOrdenes[[#This Row],[id_operacion]],tblEjecucion[id_operacion],tblEjecucion[costo_plan_total],0)-tblOrdenes[[#This Row],[costo_servicio]]))</f>
        <v/>
      </c>
      <c r="AH584" s="10">
        <f>IF(tblOrdenes[[#This Row],[orden]]="","",tblOrdenes[[#This Row],[costo_servicio]]+tblOrdenes[[#This Row],[costo_materiales]])</f>
        <v/>
      </c>
      <c r="AI584" s="6" t="n"/>
      <c r="AJ584" s="6" t="n"/>
      <c r="AK584" s="6" t="n"/>
      <c r="AL584" s="3">
        <f>IF(tblOrdenes[[#This Row],[link_checklist]]="","",HYPERLINK(p_ruta_base_checklists&amp;tblOrdenes[[#This Row],[link_checklist]],"abrir"))</f>
        <v/>
      </c>
      <c r="AM584" s="6" t="n"/>
      <c r="AN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Row],[tipo_ot]]="","",_xlfn.XLOOKUP(tblOrdenes[[#This Row],[tipo_ot]],tblTiposOT[codigo],tblTiposOT[clasificacion],"sin_clasificar"))</f>
        <v/>
      </c>
      <c r="T585" s="3">
        <f>IF(tblOrdenes[[#This Row],[centro_costo]]="","",_xlfn.XLOOKUP(tblOrdenes[[#This Row],[centro_costo]],tblCECO[codigo],tblCECO[linea],"(sin catálogo)"))</f>
        <v/>
      </c>
      <c r="U585" s="3">
        <f>IF(tblOrdenes[[#This Row],[centro_costo]]="","",_xlfn.XLOOKUP(tblOrdenes[[#This Row],[centro_costo]],tblCECO[codigo],tblCECO[area],"(sin catálogo)"))</f>
        <v/>
      </c>
      <c r="V585" s="3">
        <f>IF(tblOrdenes[[#This Row],[centro_costo]]="","",_xlfn.XLOOKUP(tblOrdenes[[#This Row],[centro_costo]],tblCECO[codigo],tblCECO[coordinador],"(sin catálogo)"))</f>
        <v/>
      </c>
      <c r="W585" s="3">
        <f>IF(tblOrdenes[[#This Row],[puesto_trabajo]]="","",_xlfn.XLOOKUP(tblOrdenes[[#This Row],[puesto_trabajo]],tblPuestos[codigo],tblPuestos[especialidad],"(sin catálogo)"))</f>
        <v/>
      </c>
      <c r="X585" s="3">
        <f>IF(tblOrdenes[[#This Row],[cod_actividad]]="","",_xlfn.XLOOKUP(tblOrdenes[[#This Row],[cod_actividad]],tblActividades[codigo],tblActividades[descripcion],"(sin catálogo)"))</f>
        <v/>
      </c>
      <c r="Y585" s="12">
        <f>IF(tblOrdenes[[#This Row],[fecha_inicio]]="","",TODAY()-tblOrdenes[[#This Row],[fecha_inicio]])</f>
        <v/>
      </c>
      <c r="Z585" s="3">
        <f>IF(tblOrdenes[[#This Row],[backlog_dias]]="","",IF(tblOrdenes[[#This Row],[backlog_dias]]&lt;0,"FUTURO",IF(tblOrdenes[[#This Row],[backlog_dias]]&gt;p_dias_backlog_max,"BACKLOG","MES CORRIENTE")))</f>
        <v/>
      </c>
      <c r="AA585" s="3">
        <f>IF(tblOrdenes[[#This Row],[backlog_dias]]="",FALSE,AND(tblOrdenes[[#This Row],[backlog_dias]]&gt;p_dias_backlog_min,tblOrdenes[[#This Row],[backlog_dias]]&lt;=p_dias_backlog_max))</f>
        <v/>
      </c>
      <c r="AB585" s="6" t="n"/>
      <c r="AC5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5" s="10">
        <f>IF(tblOrdenes[[#This Row],[orden]]="","",_xlfn.XLOOKUP(tblOrdenes[[#This Row],[id_operacion]],tblEjecucion[id_operacion],tblEjecucion[precio],0))</f>
        <v/>
      </c>
      <c r="AG585" s="10">
        <f>IF(tblOrdenes[[#This Row],[orden]]="","",MAX(0,_xlfn.XLOOKUP(tblOrdenes[[#This Row],[id_operacion]],tblEjecucion[id_operacion],tblEjecucion[costo_plan_total],0)-tblOrdenes[[#This Row],[costo_servicio]]))</f>
        <v/>
      </c>
      <c r="AH585" s="10">
        <f>IF(tblOrdenes[[#This Row],[orden]]="","",tblOrdenes[[#This Row],[costo_servicio]]+tblOrdenes[[#This Row],[costo_materiales]])</f>
        <v/>
      </c>
      <c r="AI585" s="6" t="n"/>
      <c r="AJ585" s="6" t="n"/>
      <c r="AK585" s="6" t="n"/>
      <c r="AL585" s="3">
        <f>IF(tblOrdenes[[#This Row],[link_checklist]]="","",HYPERLINK(p_ruta_base_checklists&amp;tblOrdenes[[#This Row],[link_checklist]],"abrir"))</f>
        <v/>
      </c>
      <c r="AM585" s="6" t="n"/>
      <c r="AN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Row],[tipo_ot]]="","",_xlfn.XLOOKUP(tblOrdenes[[#This Row],[tipo_ot]],tblTiposOT[codigo],tblTiposOT[clasificacion],"sin_clasificar"))</f>
        <v/>
      </c>
      <c r="T586" s="3">
        <f>IF(tblOrdenes[[#This Row],[centro_costo]]="","",_xlfn.XLOOKUP(tblOrdenes[[#This Row],[centro_costo]],tblCECO[codigo],tblCECO[linea],"(sin catálogo)"))</f>
        <v/>
      </c>
      <c r="U586" s="3">
        <f>IF(tblOrdenes[[#This Row],[centro_costo]]="","",_xlfn.XLOOKUP(tblOrdenes[[#This Row],[centro_costo]],tblCECO[codigo],tblCECO[area],"(sin catálogo)"))</f>
        <v/>
      </c>
      <c r="V586" s="3">
        <f>IF(tblOrdenes[[#This Row],[centro_costo]]="","",_xlfn.XLOOKUP(tblOrdenes[[#This Row],[centro_costo]],tblCECO[codigo],tblCECO[coordinador],"(sin catálogo)"))</f>
        <v/>
      </c>
      <c r="W586" s="3">
        <f>IF(tblOrdenes[[#This Row],[puesto_trabajo]]="","",_xlfn.XLOOKUP(tblOrdenes[[#This Row],[puesto_trabajo]],tblPuestos[codigo],tblPuestos[especialidad],"(sin catálogo)"))</f>
        <v/>
      </c>
      <c r="X586" s="3">
        <f>IF(tblOrdenes[[#This Row],[cod_actividad]]="","",_xlfn.XLOOKUP(tblOrdenes[[#This Row],[cod_actividad]],tblActividades[codigo],tblActividades[descripcion],"(sin catálogo)"))</f>
        <v/>
      </c>
      <c r="Y586" s="12">
        <f>IF(tblOrdenes[[#This Row],[fecha_inicio]]="","",TODAY()-tblOrdenes[[#This Row],[fecha_inicio]])</f>
        <v/>
      </c>
      <c r="Z586" s="3">
        <f>IF(tblOrdenes[[#This Row],[backlog_dias]]="","",IF(tblOrdenes[[#This Row],[backlog_dias]]&lt;0,"FUTURO",IF(tblOrdenes[[#This Row],[backlog_dias]]&gt;p_dias_backlog_max,"BACKLOG","MES CORRIENTE")))</f>
        <v/>
      </c>
      <c r="AA586" s="3">
        <f>IF(tblOrdenes[[#This Row],[backlog_dias]]="",FALSE,AND(tblOrdenes[[#This Row],[backlog_dias]]&gt;p_dias_backlog_min,tblOrdenes[[#This Row],[backlog_dias]]&lt;=p_dias_backlog_max))</f>
        <v/>
      </c>
      <c r="AB586" s="6" t="n"/>
      <c r="AC5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6" s="10">
        <f>IF(tblOrdenes[[#This Row],[orden]]="","",_xlfn.XLOOKUP(tblOrdenes[[#This Row],[id_operacion]],tblEjecucion[id_operacion],tblEjecucion[precio],0))</f>
        <v/>
      </c>
      <c r="AG586" s="10">
        <f>IF(tblOrdenes[[#This Row],[orden]]="","",MAX(0,_xlfn.XLOOKUP(tblOrdenes[[#This Row],[id_operacion]],tblEjecucion[id_operacion],tblEjecucion[costo_plan_total],0)-tblOrdenes[[#This Row],[costo_servicio]]))</f>
        <v/>
      </c>
      <c r="AH586" s="10">
        <f>IF(tblOrdenes[[#This Row],[orden]]="","",tblOrdenes[[#This Row],[costo_servicio]]+tblOrdenes[[#This Row],[costo_materiales]])</f>
        <v/>
      </c>
      <c r="AI586" s="6" t="n"/>
      <c r="AJ586" s="6" t="n"/>
      <c r="AK586" s="6" t="n"/>
      <c r="AL586" s="3">
        <f>IF(tblOrdenes[[#This Row],[link_checklist]]="","",HYPERLINK(p_ruta_base_checklists&amp;tblOrdenes[[#This Row],[link_checklist]],"abrir"))</f>
        <v/>
      </c>
      <c r="AM586" s="6" t="n"/>
      <c r="AN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Row],[tipo_ot]]="","",_xlfn.XLOOKUP(tblOrdenes[[#This Row],[tipo_ot]],tblTiposOT[codigo],tblTiposOT[clasificacion],"sin_clasificar"))</f>
        <v/>
      </c>
      <c r="T587" s="3">
        <f>IF(tblOrdenes[[#This Row],[centro_costo]]="","",_xlfn.XLOOKUP(tblOrdenes[[#This Row],[centro_costo]],tblCECO[codigo],tblCECO[linea],"(sin catálogo)"))</f>
        <v/>
      </c>
      <c r="U587" s="3">
        <f>IF(tblOrdenes[[#This Row],[centro_costo]]="","",_xlfn.XLOOKUP(tblOrdenes[[#This Row],[centro_costo]],tblCECO[codigo],tblCECO[area],"(sin catálogo)"))</f>
        <v/>
      </c>
      <c r="V587" s="3">
        <f>IF(tblOrdenes[[#This Row],[centro_costo]]="","",_xlfn.XLOOKUP(tblOrdenes[[#This Row],[centro_costo]],tblCECO[codigo],tblCECO[coordinador],"(sin catálogo)"))</f>
        <v/>
      </c>
      <c r="W587" s="3">
        <f>IF(tblOrdenes[[#This Row],[puesto_trabajo]]="","",_xlfn.XLOOKUP(tblOrdenes[[#This Row],[puesto_trabajo]],tblPuestos[codigo],tblPuestos[especialidad],"(sin catálogo)"))</f>
        <v/>
      </c>
      <c r="X587" s="3">
        <f>IF(tblOrdenes[[#This Row],[cod_actividad]]="","",_xlfn.XLOOKUP(tblOrdenes[[#This Row],[cod_actividad]],tblActividades[codigo],tblActividades[descripcion],"(sin catálogo)"))</f>
        <v/>
      </c>
      <c r="Y587" s="12">
        <f>IF(tblOrdenes[[#This Row],[fecha_inicio]]="","",TODAY()-tblOrdenes[[#This Row],[fecha_inicio]])</f>
        <v/>
      </c>
      <c r="Z587" s="3">
        <f>IF(tblOrdenes[[#This Row],[backlog_dias]]="","",IF(tblOrdenes[[#This Row],[backlog_dias]]&lt;0,"FUTURO",IF(tblOrdenes[[#This Row],[backlog_dias]]&gt;p_dias_backlog_max,"BACKLOG","MES CORRIENTE")))</f>
        <v/>
      </c>
      <c r="AA587" s="3">
        <f>IF(tblOrdenes[[#This Row],[backlog_dias]]="",FALSE,AND(tblOrdenes[[#This Row],[backlog_dias]]&gt;p_dias_backlog_min,tblOrdenes[[#This Row],[backlog_dias]]&lt;=p_dias_backlog_max))</f>
        <v/>
      </c>
      <c r="AB587" s="6" t="n"/>
      <c r="AC5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7" s="10">
        <f>IF(tblOrdenes[[#This Row],[orden]]="","",_xlfn.XLOOKUP(tblOrdenes[[#This Row],[id_operacion]],tblEjecucion[id_operacion],tblEjecucion[precio],0))</f>
        <v/>
      </c>
      <c r="AG587" s="10">
        <f>IF(tblOrdenes[[#This Row],[orden]]="","",MAX(0,_xlfn.XLOOKUP(tblOrdenes[[#This Row],[id_operacion]],tblEjecucion[id_operacion],tblEjecucion[costo_plan_total],0)-tblOrdenes[[#This Row],[costo_servicio]]))</f>
        <v/>
      </c>
      <c r="AH587" s="10">
        <f>IF(tblOrdenes[[#This Row],[orden]]="","",tblOrdenes[[#This Row],[costo_servicio]]+tblOrdenes[[#This Row],[costo_materiales]])</f>
        <v/>
      </c>
      <c r="AI587" s="6" t="n"/>
      <c r="AJ587" s="6" t="n"/>
      <c r="AK587" s="6" t="n"/>
      <c r="AL587" s="3">
        <f>IF(tblOrdenes[[#This Row],[link_checklist]]="","",HYPERLINK(p_ruta_base_checklists&amp;tblOrdenes[[#This Row],[link_checklist]],"abrir"))</f>
        <v/>
      </c>
      <c r="AM587" s="6" t="n"/>
      <c r="AN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Row],[tipo_ot]]="","",_xlfn.XLOOKUP(tblOrdenes[[#This Row],[tipo_ot]],tblTiposOT[codigo],tblTiposOT[clasificacion],"sin_clasificar"))</f>
        <v/>
      </c>
      <c r="T588" s="3">
        <f>IF(tblOrdenes[[#This Row],[centro_costo]]="","",_xlfn.XLOOKUP(tblOrdenes[[#This Row],[centro_costo]],tblCECO[codigo],tblCECO[linea],"(sin catálogo)"))</f>
        <v/>
      </c>
      <c r="U588" s="3">
        <f>IF(tblOrdenes[[#This Row],[centro_costo]]="","",_xlfn.XLOOKUP(tblOrdenes[[#This Row],[centro_costo]],tblCECO[codigo],tblCECO[area],"(sin catálogo)"))</f>
        <v/>
      </c>
      <c r="V588" s="3">
        <f>IF(tblOrdenes[[#This Row],[centro_costo]]="","",_xlfn.XLOOKUP(tblOrdenes[[#This Row],[centro_costo]],tblCECO[codigo],tblCECO[coordinador],"(sin catálogo)"))</f>
        <v/>
      </c>
      <c r="W588" s="3">
        <f>IF(tblOrdenes[[#This Row],[puesto_trabajo]]="","",_xlfn.XLOOKUP(tblOrdenes[[#This Row],[puesto_trabajo]],tblPuestos[codigo],tblPuestos[especialidad],"(sin catálogo)"))</f>
        <v/>
      </c>
      <c r="X588" s="3">
        <f>IF(tblOrdenes[[#This Row],[cod_actividad]]="","",_xlfn.XLOOKUP(tblOrdenes[[#This Row],[cod_actividad]],tblActividades[codigo],tblActividades[descripcion],"(sin catálogo)"))</f>
        <v/>
      </c>
      <c r="Y588" s="12">
        <f>IF(tblOrdenes[[#This Row],[fecha_inicio]]="","",TODAY()-tblOrdenes[[#This Row],[fecha_inicio]])</f>
        <v/>
      </c>
      <c r="Z588" s="3">
        <f>IF(tblOrdenes[[#This Row],[backlog_dias]]="","",IF(tblOrdenes[[#This Row],[backlog_dias]]&lt;0,"FUTURO",IF(tblOrdenes[[#This Row],[backlog_dias]]&gt;p_dias_backlog_max,"BACKLOG","MES CORRIENTE")))</f>
        <v/>
      </c>
      <c r="AA588" s="3">
        <f>IF(tblOrdenes[[#This Row],[backlog_dias]]="",FALSE,AND(tblOrdenes[[#This Row],[backlog_dias]]&gt;p_dias_backlog_min,tblOrdenes[[#This Row],[backlog_dias]]&lt;=p_dias_backlog_max))</f>
        <v/>
      </c>
      <c r="AB588" s="6" t="n"/>
      <c r="AC5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8" s="10">
        <f>IF(tblOrdenes[[#This Row],[orden]]="","",_xlfn.XLOOKUP(tblOrdenes[[#This Row],[id_operacion]],tblEjecucion[id_operacion],tblEjecucion[precio],0))</f>
        <v/>
      </c>
      <c r="AG588" s="10">
        <f>IF(tblOrdenes[[#This Row],[orden]]="","",MAX(0,_xlfn.XLOOKUP(tblOrdenes[[#This Row],[id_operacion]],tblEjecucion[id_operacion],tblEjecucion[costo_plan_total],0)-tblOrdenes[[#This Row],[costo_servicio]]))</f>
        <v/>
      </c>
      <c r="AH588" s="10">
        <f>IF(tblOrdenes[[#This Row],[orden]]="","",tblOrdenes[[#This Row],[costo_servicio]]+tblOrdenes[[#This Row],[costo_materiales]])</f>
        <v/>
      </c>
      <c r="AI588" s="6" t="n"/>
      <c r="AJ588" s="6" t="n"/>
      <c r="AK588" s="6" t="n"/>
      <c r="AL588" s="3">
        <f>IF(tblOrdenes[[#This Row],[link_checklist]]="","",HYPERLINK(p_ruta_base_checklists&amp;tblOrdenes[[#This Row],[link_checklist]],"abrir"))</f>
        <v/>
      </c>
      <c r="AM588" s="6" t="n"/>
      <c r="AN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Row],[tipo_ot]]="","",_xlfn.XLOOKUP(tblOrdenes[[#This Row],[tipo_ot]],tblTiposOT[codigo],tblTiposOT[clasificacion],"sin_clasificar"))</f>
        <v/>
      </c>
      <c r="T589" s="3">
        <f>IF(tblOrdenes[[#This Row],[centro_costo]]="","",_xlfn.XLOOKUP(tblOrdenes[[#This Row],[centro_costo]],tblCECO[codigo],tblCECO[linea],"(sin catálogo)"))</f>
        <v/>
      </c>
      <c r="U589" s="3">
        <f>IF(tblOrdenes[[#This Row],[centro_costo]]="","",_xlfn.XLOOKUP(tblOrdenes[[#This Row],[centro_costo]],tblCECO[codigo],tblCECO[area],"(sin catálogo)"))</f>
        <v/>
      </c>
      <c r="V589" s="3">
        <f>IF(tblOrdenes[[#This Row],[centro_costo]]="","",_xlfn.XLOOKUP(tblOrdenes[[#This Row],[centro_costo]],tblCECO[codigo],tblCECO[coordinador],"(sin catálogo)"))</f>
        <v/>
      </c>
      <c r="W589" s="3">
        <f>IF(tblOrdenes[[#This Row],[puesto_trabajo]]="","",_xlfn.XLOOKUP(tblOrdenes[[#This Row],[puesto_trabajo]],tblPuestos[codigo],tblPuestos[especialidad],"(sin catálogo)"))</f>
        <v/>
      </c>
      <c r="X589" s="3">
        <f>IF(tblOrdenes[[#This Row],[cod_actividad]]="","",_xlfn.XLOOKUP(tblOrdenes[[#This Row],[cod_actividad]],tblActividades[codigo],tblActividades[descripcion],"(sin catálogo)"))</f>
        <v/>
      </c>
      <c r="Y589" s="12">
        <f>IF(tblOrdenes[[#This Row],[fecha_inicio]]="","",TODAY()-tblOrdenes[[#This Row],[fecha_inicio]])</f>
        <v/>
      </c>
      <c r="Z589" s="3">
        <f>IF(tblOrdenes[[#This Row],[backlog_dias]]="","",IF(tblOrdenes[[#This Row],[backlog_dias]]&lt;0,"FUTURO",IF(tblOrdenes[[#This Row],[backlog_dias]]&gt;p_dias_backlog_max,"BACKLOG","MES CORRIENTE")))</f>
        <v/>
      </c>
      <c r="AA589" s="3">
        <f>IF(tblOrdenes[[#This Row],[backlog_dias]]="",FALSE,AND(tblOrdenes[[#This Row],[backlog_dias]]&gt;p_dias_backlog_min,tblOrdenes[[#This Row],[backlog_dias]]&lt;=p_dias_backlog_max))</f>
        <v/>
      </c>
      <c r="AB589" s="6" t="n"/>
      <c r="AC5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9" s="10">
        <f>IF(tblOrdenes[[#This Row],[orden]]="","",_xlfn.XLOOKUP(tblOrdenes[[#This Row],[id_operacion]],tblEjecucion[id_operacion],tblEjecucion[precio],0))</f>
        <v/>
      </c>
      <c r="AG589" s="10">
        <f>IF(tblOrdenes[[#This Row],[orden]]="","",MAX(0,_xlfn.XLOOKUP(tblOrdenes[[#This Row],[id_operacion]],tblEjecucion[id_operacion],tblEjecucion[costo_plan_total],0)-tblOrdenes[[#This Row],[costo_servicio]]))</f>
        <v/>
      </c>
      <c r="AH589" s="10">
        <f>IF(tblOrdenes[[#This Row],[orden]]="","",tblOrdenes[[#This Row],[costo_servicio]]+tblOrdenes[[#This Row],[costo_materiales]])</f>
        <v/>
      </c>
      <c r="AI589" s="6" t="n"/>
      <c r="AJ589" s="6" t="n"/>
      <c r="AK589" s="6" t="n"/>
      <c r="AL589" s="3">
        <f>IF(tblOrdenes[[#This Row],[link_checklist]]="","",HYPERLINK(p_ruta_base_checklists&amp;tblOrdenes[[#This Row],[link_checklist]],"abrir"))</f>
        <v/>
      </c>
      <c r="AM589" s="6" t="n"/>
      <c r="AN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Row],[tipo_ot]]="","",_xlfn.XLOOKUP(tblOrdenes[[#This Row],[tipo_ot]],tblTiposOT[codigo],tblTiposOT[clasificacion],"sin_clasificar"))</f>
        <v/>
      </c>
      <c r="T590" s="3">
        <f>IF(tblOrdenes[[#This Row],[centro_costo]]="","",_xlfn.XLOOKUP(tblOrdenes[[#This Row],[centro_costo]],tblCECO[codigo],tblCECO[linea],"(sin catálogo)"))</f>
        <v/>
      </c>
      <c r="U590" s="3">
        <f>IF(tblOrdenes[[#This Row],[centro_costo]]="","",_xlfn.XLOOKUP(tblOrdenes[[#This Row],[centro_costo]],tblCECO[codigo],tblCECO[area],"(sin catálogo)"))</f>
        <v/>
      </c>
      <c r="V590" s="3">
        <f>IF(tblOrdenes[[#This Row],[centro_costo]]="","",_xlfn.XLOOKUP(tblOrdenes[[#This Row],[centro_costo]],tblCECO[codigo],tblCECO[coordinador],"(sin catálogo)"))</f>
        <v/>
      </c>
      <c r="W590" s="3">
        <f>IF(tblOrdenes[[#This Row],[puesto_trabajo]]="","",_xlfn.XLOOKUP(tblOrdenes[[#This Row],[puesto_trabajo]],tblPuestos[codigo],tblPuestos[especialidad],"(sin catálogo)"))</f>
        <v/>
      </c>
      <c r="X590" s="3">
        <f>IF(tblOrdenes[[#This Row],[cod_actividad]]="","",_xlfn.XLOOKUP(tblOrdenes[[#This Row],[cod_actividad]],tblActividades[codigo],tblActividades[descripcion],"(sin catálogo)"))</f>
        <v/>
      </c>
      <c r="Y590" s="12">
        <f>IF(tblOrdenes[[#This Row],[fecha_inicio]]="","",TODAY()-tblOrdenes[[#This Row],[fecha_inicio]])</f>
        <v/>
      </c>
      <c r="Z590" s="3">
        <f>IF(tblOrdenes[[#This Row],[backlog_dias]]="","",IF(tblOrdenes[[#This Row],[backlog_dias]]&lt;0,"FUTURO",IF(tblOrdenes[[#This Row],[backlog_dias]]&gt;p_dias_backlog_max,"BACKLOG","MES CORRIENTE")))</f>
        <v/>
      </c>
      <c r="AA590" s="3">
        <f>IF(tblOrdenes[[#This Row],[backlog_dias]]="",FALSE,AND(tblOrdenes[[#This Row],[backlog_dias]]&gt;p_dias_backlog_min,tblOrdenes[[#This Row],[backlog_dias]]&lt;=p_dias_backlog_max))</f>
        <v/>
      </c>
      <c r="AB590" s="6" t="n"/>
      <c r="AC5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0" s="10">
        <f>IF(tblOrdenes[[#This Row],[orden]]="","",_xlfn.XLOOKUP(tblOrdenes[[#This Row],[id_operacion]],tblEjecucion[id_operacion],tblEjecucion[precio],0))</f>
        <v/>
      </c>
      <c r="AG590" s="10">
        <f>IF(tblOrdenes[[#This Row],[orden]]="","",MAX(0,_xlfn.XLOOKUP(tblOrdenes[[#This Row],[id_operacion]],tblEjecucion[id_operacion],tblEjecucion[costo_plan_total],0)-tblOrdenes[[#This Row],[costo_servicio]]))</f>
        <v/>
      </c>
      <c r="AH590" s="10">
        <f>IF(tblOrdenes[[#This Row],[orden]]="","",tblOrdenes[[#This Row],[costo_servicio]]+tblOrdenes[[#This Row],[costo_materiales]])</f>
        <v/>
      </c>
      <c r="AI590" s="6" t="n"/>
      <c r="AJ590" s="6" t="n"/>
      <c r="AK590" s="6" t="n"/>
      <c r="AL590" s="3">
        <f>IF(tblOrdenes[[#This Row],[link_checklist]]="","",HYPERLINK(p_ruta_base_checklists&amp;tblOrdenes[[#This Row],[link_checklist]],"abrir"))</f>
        <v/>
      </c>
      <c r="AM590" s="6" t="n"/>
      <c r="AN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Row],[tipo_ot]]="","",_xlfn.XLOOKUP(tblOrdenes[[#This Row],[tipo_ot]],tblTiposOT[codigo],tblTiposOT[clasificacion],"sin_clasificar"))</f>
        <v/>
      </c>
      <c r="T591" s="3">
        <f>IF(tblOrdenes[[#This Row],[centro_costo]]="","",_xlfn.XLOOKUP(tblOrdenes[[#This Row],[centro_costo]],tblCECO[codigo],tblCECO[linea],"(sin catálogo)"))</f>
        <v/>
      </c>
      <c r="U591" s="3">
        <f>IF(tblOrdenes[[#This Row],[centro_costo]]="","",_xlfn.XLOOKUP(tblOrdenes[[#This Row],[centro_costo]],tblCECO[codigo],tblCECO[area],"(sin catálogo)"))</f>
        <v/>
      </c>
      <c r="V591" s="3">
        <f>IF(tblOrdenes[[#This Row],[centro_costo]]="","",_xlfn.XLOOKUP(tblOrdenes[[#This Row],[centro_costo]],tblCECO[codigo],tblCECO[coordinador],"(sin catálogo)"))</f>
        <v/>
      </c>
      <c r="W591" s="3">
        <f>IF(tblOrdenes[[#This Row],[puesto_trabajo]]="","",_xlfn.XLOOKUP(tblOrdenes[[#This Row],[puesto_trabajo]],tblPuestos[codigo],tblPuestos[especialidad],"(sin catálogo)"))</f>
        <v/>
      </c>
      <c r="X591" s="3">
        <f>IF(tblOrdenes[[#This Row],[cod_actividad]]="","",_xlfn.XLOOKUP(tblOrdenes[[#This Row],[cod_actividad]],tblActividades[codigo],tblActividades[descripcion],"(sin catálogo)"))</f>
        <v/>
      </c>
      <c r="Y591" s="12">
        <f>IF(tblOrdenes[[#This Row],[fecha_inicio]]="","",TODAY()-tblOrdenes[[#This Row],[fecha_inicio]])</f>
        <v/>
      </c>
      <c r="Z591" s="3">
        <f>IF(tblOrdenes[[#This Row],[backlog_dias]]="","",IF(tblOrdenes[[#This Row],[backlog_dias]]&lt;0,"FUTURO",IF(tblOrdenes[[#This Row],[backlog_dias]]&gt;p_dias_backlog_max,"BACKLOG","MES CORRIENTE")))</f>
        <v/>
      </c>
      <c r="AA591" s="3">
        <f>IF(tblOrdenes[[#This Row],[backlog_dias]]="",FALSE,AND(tblOrdenes[[#This Row],[backlog_dias]]&gt;p_dias_backlog_min,tblOrdenes[[#This Row],[backlog_dias]]&lt;=p_dias_backlog_max))</f>
        <v/>
      </c>
      <c r="AB591" s="6" t="n"/>
      <c r="AC5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1" s="10">
        <f>IF(tblOrdenes[[#This Row],[orden]]="","",_xlfn.XLOOKUP(tblOrdenes[[#This Row],[id_operacion]],tblEjecucion[id_operacion],tblEjecucion[precio],0))</f>
        <v/>
      </c>
      <c r="AG591" s="10">
        <f>IF(tblOrdenes[[#This Row],[orden]]="","",MAX(0,_xlfn.XLOOKUP(tblOrdenes[[#This Row],[id_operacion]],tblEjecucion[id_operacion],tblEjecucion[costo_plan_total],0)-tblOrdenes[[#This Row],[costo_servicio]]))</f>
        <v/>
      </c>
      <c r="AH591" s="10">
        <f>IF(tblOrdenes[[#This Row],[orden]]="","",tblOrdenes[[#This Row],[costo_servicio]]+tblOrdenes[[#This Row],[costo_materiales]])</f>
        <v/>
      </c>
      <c r="AI591" s="6" t="n"/>
      <c r="AJ591" s="6" t="n"/>
      <c r="AK591" s="6" t="n"/>
      <c r="AL591" s="3">
        <f>IF(tblOrdenes[[#This Row],[link_checklist]]="","",HYPERLINK(p_ruta_base_checklists&amp;tblOrdenes[[#This Row],[link_checklist]],"abrir"))</f>
        <v/>
      </c>
      <c r="AM591" s="6" t="n"/>
      <c r="AN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Row],[tipo_ot]]="","",_xlfn.XLOOKUP(tblOrdenes[[#This Row],[tipo_ot]],tblTiposOT[codigo],tblTiposOT[clasificacion],"sin_clasificar"))</f>
        <v/>
      </c>
      <c r="T592" s="3">
        <f>IF(tblOrdenes[[#This Row],[centro_costo]]="","",_xlfn.XLOOKUP(tblOrdenes[[#This Row],[centro_costo]],tblCECO[codigo],tblCECO[linea],"(sin catálogo)"))</f>
        <v/>
      </c>
      <c r="U592" s="3">
        <f>IF(tblOrdenes[[#This Row],[centro_costo]]="","",_xlfn.XLOOKUP(tblOrdenes[[#This Row],[centro_costo]],tblCECO[codigo],tblCECO[area],"(sin catálogo)"))</f>
        <v/>
      </c>
      <c r="V592" s="3">
        <f>IF(tblOrdenes[[#This Row],[centro_costo]]="","",_xlfn.XLOOKUP(tblOrdenes[[#This Row],[centro_costo]],tblCECO[codigo],tblCECO[coordinador],"(sin catálogo)"))</f>
        <v/>
      </c>
      <c r="W592" s="3">
        <f>IF(tblOrdenes[[#This Row],[puesto_trabajo]]="","",_xlfn.XLOOKUP(tblOrdenes[[#This Row],[puesto_trabajo]],tblPuestos[codigo],tblPuestos[especialidad],"(sin catálogo)"))</f>
        <v/>
      </c>
      <c r="X592" s="3">
        <f>IF(tblOrdenes[[#This Row],[cod_actividad]]="","",_xlfn.XLOOKUP(tblOrdenes[[#This Row],[cod_actividad]],tblActividades[codigo],tblActividades[descripcion],"(sin catálogo)"))</f>
        <v/>
      </c>
      <c r="Y592" s="12">
        <f>IF(tblOrdenes[[#This Row],[fecha_inicio]]="","",TODAY()-tblOrdenes[[#This Row],[fecha_inicio]])</f>
        <v/>
      </c>
      <c r="Z592" s="3">
        <f>IF(tblOrdenes[[#This Row],[backlog_dias]]="","",IF(tblOrdenes[[#This Row],[backlog_dias]]&lt;0,"FUTURO",IF(tblOrdenes[[#This Row],[backlog_dias]]&gt;p_dias_backlog_max,"BACKLOG","MES CORRIENTE")))</f>
        <v/>
      </c>
      <c r="AA592" s="3">
        <f>IF(tblOrdenes[[#This Row],[backlog_dias]]="",FALSE,AND(tblOrdenes[[#This Row],[backlog_dias]]&gt;p_dias_backlog_min,tblOrdenes[[#This Row],[backlog_dias]]&lt;=p_dias_backlog_max))</f>
        <v/>
      </c>
      <c r="AB592" s="6" t="n"/>
      <c r="AC5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2" s="10">
        <f>IF(tblOrdenes[[#This Row],[orden]]="","",_xlfn.XLOOKUP(tblOrdenes[[#This Row],[id_operacion]],tblEjecucion[id_operacion],tblEjecucion[precio],0))</f>
        <v/>
      </c>
      <c r="AG592" s="10">
        <f>IF(tblOrdenes[[#This Row],[orden]]="","",MAX(0,_xlfn.XLOOKUP(tblOrdenes[[#This Row],[id_operacion]],tblEjecucion[id_operacion],tblEjecucion[costo_plan_total],0)-tblOrdenes[[#This Row],[costo_servicio]]))</f>
        <v/>
      </c>
      <c r="AH592" s="10">
        <f>IF(tblOrdenes[[#This Row],[orden]]="","",tblOrdenes[[#This Row],[costo_servicio]]+tblOrdenes[[#This Row],[costo_materiales]])</f>
        <v/>
      </c>
      <c r="AI592" s="6" t="n"/>
      <c r="AJ592" s="6" t="n"/>
      <c r="AK592" s="6" t="n"/>
      <c r="AL592" s="3">
        <f>IF(tblOrdenes[[#This Row],[link_checklist]]="","",HYPERLINK(p_ruta_base_checklists&amp;tblOrdenes[[#This Row],[link_checklist]],"abrir"))</f>
        <v/>
      </c>
      <c r="AM592" s="6" t="n"/>
      <c r="AN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Row],[tipo_ot]]="","",_xlfn.XLOOKUP(tblOrdenes[[#This Row],[tipo_ot]],tblTiposOT[codigo],tblTiposOT[clasificacion],"sin_clasificar"))</f>
        <v/>
      </c>
      <c r="T593" s="3">
        <f>IF(tblOrdenes[[#This Row],[centro_costo]]="","",_xlfn.XLOOKUP(tblOrdenes[[#This Row],[centro_costo]],tblCECO[codigo],tblCECO[linea],"(sin catálogo)"))</f>
        <v/>
      </c>
      <c r="U593" s="3">
        <f>IF(tblOrdenes[[#This Row],[centro_costo]]="","",_xlfn.XLOOKUP(tblOrdenes[[#This Row],[centro_costo]],tblCECO[codigo],tblCECO[area],"(sin catálogo)"))</f>
        <v/>
      </c>
      <c r="V593" s="3">
        <f>IF(tblOrdenes[[#This Row],[centro_costo]]="","",_xlfn.XLOOKUP(tblOrdenes[[#This Row],[centro_costo]],tblCECO[codigo],tblCECO[coordinador],"(sin catálogo)"))</f>
        <v/>
      </c>
      <c r="W593" s="3">
        <f>IF(tblOrdenes[[#This Row],[puesto_trabajo]]="","",_xlfn.XLOOKUP(tblOrdenes[[#This Row],[puesto_trabajo]],tblPuestos[codigo],tblPuestos[especialidad],"(sin catálogo)"))</f>
        <v/>
      </c>
      <c r="X593" s="3">
        <f>IF(tblOrdenes[[#This Row],[cod_actividad]]="","",_xlfn.XLOOKUP(tblOrdenes[[#This Row],[cod_actividad]],tblActividades[codigo],tblActividades[descripcion],"(sin catálogo)"))</f>
        <v/>
      </c>
      <c r="Y593" s="12">
        <f>IF(tblOrdenes[[#This Row],[fecha_inicio]]="","",TODAY()-tblOrdenes[[#This Row],[fecha_inicio]])</f>
        <v/>
      </c>
      <c r="Z593" s="3">
        <f>IF(tblOrdenes[[#This Row],[backlog_dias]]="","",IF(tblOrdenes[[#This Row],[backlog_dias]]&lt;0,"FUTURO",IF(tblOrdenes[[#This Row],[backlog_dias]]&gt;p_dias_backlog_max,"BACKLOG","MES CORRIENTE")))</f>
        <v/>
      </c>
      <c r="AA593" s="3">
        <f>IF(tblOrdenes[[#This Row],[backlog_dias]]="",FALSE,AND(tblOrdenes[[#This Row],[backlog_dias]]&gt;p_dias_backlog_min,tblOrdenes[[#This Row],[backlog_dias]]&lt;=p_dias_backlog_max))</f>
        <v/>
      </c>
      <c r="AB593" s="6" t="n"/>
      <c r="AC5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3" s="10">
        <f>IF(tblOrdenes[[#This Row],[orden]]="","",_xlfn.XLOOKUP(tblOrdenes[[#This Row],[id_operacion]],tblEjecucion[id_operacion],tblEjecucion[precio],0))</f>
        <v/>
      </c>
      <c r="AG593" s="10">
        <f>IF(tblOrdenes[[#This Row],[orden]]="","",MAX(0,_xlfn.XLOOKUP(tblOrdenes[[#This Row],[id_operacion]],tblEjecucion[id_operacion],tblEjecucion[costo_plan_total],0)-tblOrdenes[[#This Row],[costo_servicio]]))</f>
        <v/>
      </c>
      <c r="AH593" s="10">
        <f>IF(tblOrdenes[[#This Row],[orden]]="","",tblOrdenes[[#This Row],[costo_servicio]]+tblOrdenes[[#This Row],[costo_materiales]])</f>
        <v/>
      </c>
      <c r="AI593" s="6" t="n"/>
      <c r="AJ593" s="6" t="n"/>
      <c r="AK593" s="6" t="n"/>
      <c r="AL593" s="3">
        <f>IF(tblOrdenes[[#This Row],[link_checklist]]="","",HYPERLINK(p_ruta_base_checklists&amp;tblOrdenes[[#This Row],[link_checklist]],"abrir"))</f>
        <v/>
      </c>
      <c r="AM593" s="6" t="n"/>
      <c r="AN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Row],[tipo_ot]]="","",_xlfn.XLOOKUP(tblOrdenes[[#This Row],[tipo_ot]],tblTiposOT[codigo],tblTiposOT[clasificacion],"sin_clasificar"))</f>
        <v/>
      </c>
      <c r="T594" s="3">
        <f>IF(tblOrdenes[[#This Row],[centro_costo]]="","",_xlfn.XLOOKUP(tblOrdenes[[#This Row],[centro_costo]],tblCECO[codigo],tblCECO[linea],"(sin catálogo)"))</f>
        <v/>
      </c>
      <c r="U594" s="3">
        <f>IF(tblOrdenes[[#This Row],[centro_costo]]="","",_xlfn.XLOOKUP(tblOrdenes[[#This Row],[centro_costo]],tblCECO[codigo],tblCECO[area],"(sin catálogo)"))</f>
        <v/>
      </c>
      <c r="V594" s="3">
        <f>IF(tblOrdenes[[#This Row],[centro_costo]]="","",_xlfn.XLOOKUP(tblOrdenes[[#This Row],[centro_costo]],tblCECO[codigo],tblCECO[coordinador],"(sin catálogo)"))</f>
        <v/>
      </c>
      <c r="W594" s="3">
        <f>IF(tblOrdenes[[#This Row],[puesto_trabajo]]="","",_xlfn.XLOOKUP(tblOrdenes[[#This Row],[puesto_trabajo]],tblPuestos[codigo],tblPuestos[especialidad],"(sin catálogo)"))</f>
        <v/>
      </c>
      <c r="X594" s="3">
        <f>IF(tblOrdenes[[#This Row],[cod_actividad]]="","",_xlfn.XLOOKUP(tblOrdenes[[#This Row],[cod_actividad]],tblActividades[codigo],tblActividades[descripcion],"(sin catálogo)"))</f>
        <v/>
      </c>
      <c r="Y594" s="12">
        <f>IF(tblOrdenes[[#This Row],[fecha_inicio]]="","",TODAY()-tblOrdenes[[#This Row],[fecha_inicio]])</f>
        <v/>
      </c>
      <c r="Z594" s="3">
        <f>IF(tblOrdenes[[#This Row],[backlog_dias]]="","",IF(tblOrdenes[[#This Row],[backlog_dias]]&lt;0,"FUTURO",IF(tblOrdenes[[#This Row],[backlog_dias]]&gt;p_dias_backlog_max,"BACKLOG","MES CORRIENTE")))</f>
        <v/>
      </c>
      <c r="AA594" s="3">
        <f>IF(tblOrdenes[[#This Row],[backlog_dias]]="",FALSE,AND(tblOrdenes[[#This Row],[backlog_dias]]&gt;p_dias_backlog_min,tblOrdenes[[#This Row],[backlog_dias]]&lt;=p_dias_backlog_max))</f>
        <v/>
      </c>
      <c r="AB594" s="6" t="n"/>
      <c r="AC5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4" s="10">
        <f>IF(tblOrdenes[[#This Row],[orden]]="","",_xlfn.XLOOKUP(tblOrdenes[[#This Row],[id_operacion]],tblEjecucion[id_operacion],tblEjecucion[precio],0))</f>
        <v/>
      </c>
      <c r="AG594" s="10">
        <f>IF(tblOrdenes[[#This Row],[orden]]="","",MAX(0,_xlfn.XLOOKUP(tblOrdenes[[#This Row],[id_operacion]],tblEjecucion[id_operacion],tblEjecucion[costo_plan_total],0)-tblOrdenes[[#This Row],[costo_servicio]]))</f>
        <v/>
      </c>
      <c r="AH594" s="10">
        <f>IF(tblOrdenes[[#This Row],[orden]]="","",tblOrdenes[[#This Row],[costo_servicio]]+tblOrdenes[[#This Row],[costo_materiales]])</f>
        <v/>
      </c>
      <c r="AI594" s="6" t="n"/>
      <c r="AJ594" s="6" t="n"/>
      <c r="AK594" s="6" t="n"/>
      <c r="AL594" s="3">
        <f>IF(tblOrdenes[[#This Row],[link_checklist]]="","",HYPERLINK(p_ruta_base_checklists&amp;tblOrdenes[[#This Row],[link_checklist]],"abrir"))</f>
        <v/>
      </c>
      <c r="AM594" s="6" t="n"/>
      <c r="AN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Row],[tipo_ot]]="","",_xlfn.XLOOKUP(tblOrdenes[[#This Row],[tipo_ot]],tblTiposOT[codigo],tblTiposOT[clasificacion],"sin_clasificar"))</f>
        <v/>
      </c>
      <c r="T595" s="3">
        <f>IF(tblOrdenes[[#This Row],[centro_costo]]="","",_xlfn.XLOOKUP(tblOrdenes[[#This Row],[centro_costo]],tblCECO[codigo],tblCECO[linea],"(sin catálogo)"))</f>
        <v/>
      </c>
      <c r="U595" s="3">
        <f>IF(tblOrdenes[[#This Row],[centro_costo]]="","",_xlfn.XLOOKUP(tblOrdenes[[#This Row],[centro_costo]],tblCECO[codigo],tblCECO[area],"(sin catálogo)"))</f>
        <v/>
      </c>
      <c r="V595" s="3">
        <f>IF(tblOrdenes[[#This Row],[centro_costo]]="","",_xlfn.XLOOKUP(tblOrdenes[[#This Row],[centro_costo]],tblCECO[codigo],tblCECO[coordinador],"(sin catálogo)"))</f>
        <v/>
      </c>
      <c r="W595" s="3">
        <f>IF(tblOrdenes[[#This Row],[puesto_trabajo]]="","",_xlfn.XLOOKUP(tblOrdenes[[#This Row],[puesto_trabajo]],tblPuestos[codigo],tblPuestos[especialidad],"(sin catálogo)"))</f>
        <v/>
      </c>
      <c r="X595" s="3">
        <f>IF(tblOrdenes[[#This Row],[cod_actividad]]="","",_xlfn.XLOOKUP(tblOrdenes[[#This Row],[cod_actividad]],tblActividades[codigo],tblActividades[descripcion],"(sin catálogo)"))</f>
        <v/>
      </c>
      <c r="Y595" s="12">
        <f>IF(tblOrdenes[[#This Row],[fecha_inicio]]="","",TODAY()-tblOrdenes[[#This Row],[fecha_inicio]])</f>
        <v/>
      </c>
      <c r="Z595" s="3">
        <f>IF(tblOrdenes[[#This Row],[backlog_dias]]="","",IF(tblOrdenes[[#This Row],[backlog_dias]]&lt;0,"FUTURO",IF(tblOrdenes[[#This Row],[backlog_dias]]&gt;p_dias_backlog_max,"BACKLOG","MES CORRIENTE")))</f>
        <v/>
      </c>
      <c r="AA595" s="3">
        <f>IF(tblOrdenes[[#This Row],[backlog_dias]]="",FALSE,AND(tblOrdenes[[#This Row],[backlog_dias]]&gt;p_dias_backlog_min,tblOrdenes[[#This Row],[backlog_dias]]&lt;=p_dias_backlog_max))</f>
        <v/>
      </c>
      <c r="AB595" s="6" t="n"/>
      <c r="AC5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5" s="10">
        <f>IF(tblOrdenes[[#This Row],[orden]]="","",_xlfn.XLOOKUP(tblOrdenes[[#This Row],[id_operacion]],tblEjecucion[id_operacion],tblEjecucion[precio],0))</f>
        <v/>
      </c>
      <c r="AG595" s="10">
        <f>IF(tblOrdenes[[#This Row],[orden]]="","",MAX(0,_xlfn.XLOOKUP(tblOrdenes[[#This Row],[id_operacion]],tblEjecucion[id_operacion],tblEjecucion[costo_plan_total],0)-tblOrdenes[[#This Row],[costo_servicio]]))</f>
        <v/>
      </c>
      <c r="AH595" s="10">
        <f>IF(tblOrdenes[[#This Row],[orden]]="","",tblOrdenes[[#This Row],[costo_servicio]]+tblOrdenes[[#This Row],[costo_materiales]])</f>
        <v/>
      </c>
      <c r="AI595" s="6" t="n"/>
      <c r="AJ595" s="6" t="n"/>
      <c r="AK595" s="6" t="n"/>
      <c r="AL595" s="3">
        <f>IF(tblOrdenes[[#This Row],[link_checklist]]="","",HYPERLINK(p_ruta_base_checklists&amp;tblOrdenes[[#This Row],[link_checklist]],"abrir"))</f>
        <v/>
      </c>
      <c r="AM595" s="6" t="n"/>
      <c r="AN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Row],[tipo_ot]]="","",_xlfn.XLOOKUP(tblOrdenes[[#This Row],[tipo_ot]],tblTiposOT[codigo],tblTiposOT[clasificacion],"sin_clasificar"))</f>
        <v/>
      </c>
      <c r="T596" s="3">
        <f>IF(tblOrdenes[[#This Row],[centro_costo]]="","",_xlfn.XLOOKUP(tblOrdenes[[#This Row],[centro_costo]],tblCECO[codigo],tblCECO[linea],"(sin catálogo)"))</f>
        <v/>
      </c>
      <c r="U596" s="3">
        <f>IF(tblOrdenes[[#This Row],[centro_costo]]="","",_xlfn.XLOOKUP(tblOrdenes[[#This Row],[centro_costo]],tblCECO[codigo],tblCECO[area],"(sin catálogo)"))</f>
        <v/>
      </c>
      <c r="V596" s="3">
        <f>IF(tblOrdenes[[#This Row],[centro_costo]]="","",_xlfn.XLOOKUP(tblOrdenes[[#This Row],[centro_costo]],tblCECO[codigo],tblCECO[coordinador],"(sin catálogo)"))</f>
        <v/>
      </c>
      <c r="W596" s="3">
        <f>IF(tblOrdenes[[#This Row],[puesto_trabajo]]="","",_xlfn.XLOOKUP(tblOrdenes[[#This Row],[puesto_trabajo]],tblPuestos[codigo],tblPuestos[especialidad],"(sin catálogo)"))</f>
        <v/>
      </c>
      <c r="X596" s="3">
        <f>IF(tblOrdenes[[#This Row],[cod_actividad]]="","",_xlfn.XLOOKUP(tblOrdenes[[#This Row],[cod_actividad]],tblActividades[codigo],tblActividades[descripcion],"(sin catálogo)"))</f>
        <v/>
      </c>
      <c r="Y596" s="12">
        <f>IF(tblOrdenes[[#This Row],[fecha_inicio]]="","",TODAY()-tblOrdenes[[#This Row],[fecha_inicio]])</f>
        <v/>
      </c>
      <c r="Z596" s="3">
        <f>IF(tblOrdenes[[#This Row],[backlog_dias]]="","",IF(tblOrdenes[[#This Row],[backlog_dias]]&lt;0,"FUTURO",IF(tblOrdenes[[#This Row],[backlog_dias]]&gt;p_dias_backlog_max,"BACKLOG","MES CORRIENTE")))</f>
        <v/>
      </c>
      <c r="AA596" s="3">
        <f>IF(tblOrdenes[[#This Row],[backlog_dias]]="",FALSE,AND(tblOrdenes[[#This Row],[backlog_dias]]&gt;p_dias_backlog_min,tblOrdenes[[#This Row],[backlog_dias]]&lt;=p_dias_backlog_max))</f>
        <v/>
      </c>
      <c r="AB596" s="6" t="n"/>
      <c r="AC5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6" s="10">
        <f>IF(tblOrdenes[[#This Row],[orden]]="","",_xlfn.XLOOKUP(tblOrdenes[[#This Row],[id_operacion]],tblEjecucion[id_operacion],tblEjecucion[precio],0))</f>
        <v/>
      </c>
      <c r="AG596" s="10">
        <f>IF(tblOrdenes[[#This Row],[orden]]="","",MAX(0,_xlfn.XLOOKUP(tblOrdenes[[#This Row],[id_operacion]],tblEjecucion[id_operacion],tblEjecucion[costo_plan_total],0)-tblOrdenes[[#This Row],[costo_servicio]]))</f>
        <v/>
      </c>
      <c r="AH596" s="10">
        <f>IF(tblOrdenes[[#This Row],[orden]]="","",tblOrdenes[[#This Row],[costo_servicio]]+tblOrdenes[[#This Row],[costo_materiales]])</f>
        <v/>
      </c>
      <c r="AI596" s="6" t="n"/>
      <c r="AJ596" s="6" t="n"/>
      <c r="AK596" s="6" t="n"/>
      <c r="AL596" s="3">
        <f>IF(tblOrdenes[[#This Row],[link_checklist]]="","",HYPERLINK(p_ruta_base_checklists&amp;tblOrdenes[[#This Row],[link_checklist]],"abrir"))</f>
        <v/>
      </c>
      <c r="AM596" s="6" t="n"/>
      <c r="AN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Row],[tipo_ot]]="","",_xlfn.XLOOKUP(tblOrdenes[[#This Row],[tipo_ot]],tblTiposOT[codigo],tblTiposOT[clasificacion],"sin_clasificar"))</f>
        <v/>
      </c>
      <c r="T597" s="3">
        <f>IF(tblOrdenes[[#This Row],[centro_costo]]="","",_xlfn.XLOOKUP(tblOrdenes[[#This Row],[centro_costo]],tblCECO[codigo],tblCECO[linea],"(sin catálogo)"))</f>
        <v/>
      </c>
      <c r="U597" s="3">
        <f>IF(tblOrdenes[[#This Row],[centro_costo]]="","",_xlfn.XLOOKUP(tblOrdenes[[#This Row],[centro_costo]],tblCECO[codigo],tblCECO[area],"(sin catálogo)"))</f>
        <v/>
      </c>
      <c r="V597" s="3">
        <f>IF(tblOrdenes[[#This Row],[centro_costo]]="","",_xlfn.XLOOKUP(tblOrdenes[[#This Row],[centro_costo]],tblCECO[codigo],tblCECO[coordinador],"(sin catálogo)"))</f>
        <v/>
      </c>
      <c r="W597" s="3">
        <f>IF(tblOrdenes[[#This Row],[puesto_trabajo]]="","",_xlfn.XLOOKUP(tblOrdenes[[#This Row],[puesto_trabajo]],tblPuestos[codigo],tblPuestos[especialidad],"(sin catálogo)"))</f>
        <v/>
      </c>
      <c r="X597" s="3">
        <f>IF(tblOrdenes[[#This Row],[cod_actividad]]="","",_xlfn.XLOOKUP(tblOrdenes[[#This Row],[cod_actividad]],tblActividades[codigo],tblActividades[descripcion],"(sin catálogo)"))</f>
        <v/>
      </c>
      <c r="Y597" s="12">
        <f>IF(tblOrdenes[[#This Row],[fecha_inicio]]="","",TODAY()-tblOrdenes[[#This Row],[fecha_inicio]])</f>
        <v/>
      </c>
      <c r="Z597" s="3">
        <f>IF(tblOrdenes[[#This Row],[backlog_dias]]="","",IF(tblOrdenes[[#This Row],[backlog_dias]]&lt;0,"FUTURO",IF(tblOrdenes[[#This Row],[backlog_dias]]&gt;p_dias_backlog_max,"BACKLOG","MES CORRIENTE")))</f>
        <v/>
      </c>
      <c r="AA597" s="3">
        <f>IF(tblOrdenes[[#This Row],[backlog_dias]]="",FALSE,AND(tblOrdenes[[#This Row],[backlog_dias]]&gt;p_dias_backlog_min,tblOrdenes[[#This Row],[backlog_dias]]&lt;=p_dias_backlog_max))</f>
        <v/>
      </c>
      <c r="AB597" s="6" t="n"/>
      <c r="AC5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7" s="10">
        <f>IF(tblOrdenes[[#This Row],[orden]]="","",_xlfn.XLOOKUP(tblOrdenes[[#This Row],[id_operacion]],tblEjecucion[id_operacion],tblEjecucion[precio],0))</f>
        <v/>
      </c>
      <c r="AG597" s="10">
        <f>IF(tblOrdenes[[#This Row],[orden]]="","",MAX(0,_xlfn.XLOOKUP(tblOrdenes[[#This Row],[id_operacion]],tblEjecucion[id_operacion],tblEjecucion[costo_plan_total],0)-tblOrdenes[[#This Row],[costo_servicio]]))</f>
        <v/>
      </c>
      <c r="AH597" s="10">
        <f>IF(tblOrdenes[[#This Row],[orden]]="","",tblOrdenes[[#This Row],[costo_servicio]]+tblOrdenes[[#This Row],[costo_materiales]])</f>
        <v/>
      </c>
      <c r="AI597" s="6" t="n"/>
      <c r="AJ597" s="6" t="n"/>
      <c r="AK597" s="6" t="n"/>
      <c r="AL597" s="3">
        <f>IF(tblOrdenes[[#This Row],[link_checklist]]="","",HYPERLINK(p_ruta_base_checklists&amp;tblOrdenes[[#This Row],[link_checklist]],"abrir"))</f>
        <v/>
      </c>
      <c r="AM597" s="6" t="n"/>
      <c r="AN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Row],[tipo_ot]]="","",_xlfn.XLOOKUP(tblOrdenes[[#This Row],[tipo_ot]],tblTiposOT[codigo],tblTiposOT[clasificacion],"sin_clasificar"))</f>
        <v/>
      </c>
      <c r="T598" s="3">
        <f>IF(tblOrdenes[[#This Row],[centro_costo]]="","",_xlfn.XLOOKUP(tblOrdenes[[#This Row],[centro_costo]],tblCECO[codigo],tblCECO[linea],"(sin catálogo)"))</f>
        <v/>
      </c>
      <c r="U598" s="3">
        <f>IF(tblOrdenes[[#This Row],[centro_costo]]="","",_xlfn.XLOOKUP(tblOrdenes[[#This Row],[centro_costo]],tblCECO[codigo],tblCECO[area],"(sin catálogo)"))</f>
        <v/>
      </c>
      <c r="V598" s="3">
        <f>IF(tblOrdenes[[#This Row],[centro_costo]]="","",_xlfn.XLOOKUP(tblOrdenes[[#This Row],[centro_costo]],tblCECO[codigo],tblCECO[coordinador],"(sin catálogo)"))</f>
        <v/>
      </c>
      <c r="W598" s="3">
        <f>IF(tblOrdenes[[#This Row],[puesto_trabajo]]="","",_xlfn.XLOOKUP(tblOrdenes[[#This Row],[puesto_trabajo]],tblPuestos[codigo],tblPuestos[especialidad],"(sin catálogo)"))</f>
        <v/>
      </c>
      <c r="X598" s="3">
        <f>IF(tblOrdenes[[#This Row],[cod_actividad]]="","",_xlfn.XLOOKUP(tblOrdenes[[#This Row],[cod_actividad]],tblActividades[codigo],tblActividades[descripcion],"(sin catálogo)"))</f>
        <v/>
      </c>
      <c r="Y598" s="12">
        <f>IF(tblOrdenes[[#This Row],[fecha_inicio]]="","",TODAY()-tblOrdenes[[#This Row],[fecha_inicio]])</f>
        <v/>
      </c>
      <c r="Z598" s="3">
        <f>IF(tblOrdenes[[#This Row],[backlog_dias]]="","",IF(tblOrdenes[[#This Row],[backlog_dias]]&lt;0,"FUTURO",IF(tblOrdenes[[#This Row],[backlog_dias]]&gt;p_dias_backlog_max,"BACKLOG","MES CORRIENTE")))</f>
        <v/>
      </c>
      <c r="AA598" s="3">
        <f>IF(tblOrdenes[[#This Row],[backlog_dias]]="",FALSE,AND(tblOrdenes[[#This Row],[backlog_dias]]&gt;p_dias_backlog_min,tblOrdenes[[#This Row],[backlog_dias]]&lt;=p_dias_backlog_max))</f>
        <v/>
      </c>
      <c r="AB598" s="6" t="n"/>
      <c r="AC5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8" s="10">
        <f>IF(tblOrdenes[[#This Row],[orden]]="","",_xlfn.XLOOKUP(tblOrdenes[[#This Row],[id_operacion]],tblEjecucion[id_operacion],tblEjecucion[precio],0))</f>
        <v/>
      </c>
      <c r="AG598" s="10">
        <f>IF(tblOrdenes[[#This Row],[orden]]="","",MAX(0,_xlfn.XLOOKUP(tblOrdenes[[#This Row],[id_operacion]],tblEjecucion[id_operacion],tblEjecucion[costo_plan_total],0)-tblOrdenes[[#This Row],[costo_servicio]]))</f>
        <v/>
      </c>
      <c r="AH598" s="10">
        <f>IF(tblOrdenes[[#This Row],[orden]]="","",tblOrdenes[[#This Row],[costo_servicio]]+tblOrdenes[[#This Row],[costo_materiales]])</f>
        <v/>
      </c>
      <c r="AI598" s="6" t="n"/>
      <c r="AJ598" s="6" t="n"/>
      <c r="AK598" s="6" t="n"/>
      <c r="AL598" s="3">
        <f>IF(tblOrdenes[[#This Row],[link_checklist]]="","",HYPERLINK(p_ruta_base_checklists&amp;tblOrdenes[[#This Row],[link_checklist]],"abrir"))</f>
        <v/>
      </c>
      <c r="AM598" s="6" t="n"/>
      <c r="AN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Row],[tipo_ot]]="","",_xlfn.XLOOKUP(tblOrdenes[[#This Row],[tipo_ot]],tblTiposOT[codigo],tblTiposOT[clasificacion],"sin_clasificar"))</f>
        <v/>
      </c>
      <c r="T599" s="3">
        <f>IF(tblOrdenes[[#This Row],[centro_costo]]="","",_xlfn.XLOOKUP(tblOrdenes[[#This Row],[centro_costo]],tblCECO[codigo],tblCECO[linea],"(sin catálogo)"))</f>
        <v/>
      </c>
      <c r="U599" s="3">
        <f>IF(tblOrdenes[[#This Row],[centro_costo]]="","",_xlfn.XLOOKUP(tblOrdenes[[#This Row],[centro_costo]],tblCECO[codigo],tblCECO[area],"(sin catálogo)"))</f>
        <v/>
      </c>
      <c r="V599" s="3">
        <f>IF(tblOrdenes[[#This Row],[centro_costo]]="","",_xlfn.XLOOKUP(tblOrdenes[[#This Row],[centro_costo]],tblCECO[codigo],tblCECO[coordinador],"(sin catálogo)"))</f>
        <v/>
      </c>
      <c r="W599" s="3">
        <f>IF(tblOrdenes[[#This Row],[puesto_trabajo]]="","",_xlfn.XLOOKUP(tblOrdenes[[#This Row],[puesto_trabajo]],tblPuestos[codigo],tblPuestos[especialidad],"(sin catálogo)"))</f>
        <v/>
      </c>
      <c r="X599" s="3">
        <f>IF(tblOrdenes[[#This Row],[cod_actividad]]="","",_xlfn.XLOOKUP(tblOrdenes[[#This Row],[cod_actividad]],tblActividades[codigo],tblActividades[descripcion],"(sin catálogo)"))</f>
        <v/>
      </c>
      <c r="Y599" s="12">
        <f>IF(tblOrdenes[[#This Row],[fecha_inicio]]="","",TODAY()-tblOrdenes[[#This Row],[fecha_inicio]])</f>
        <v/>
      </c>
      <c r="Z599" s="3">
        <f>IF(tblOrdenes[[#This Row],[backlog_dias]]="","",IF(tblOrdenes[[#This Row],[backlog_dias]]&lt;0,"FUTURO",IF(tblOrdenes[[#This Row],[backlog_dias]]&gt;p_dias_backlog_max,"BACKLOG","MES CORRIENTE")))</f>
        <v/>
      </c>
      <c r="AA599" s="3">
        <f>IF(tblOrdenes[[#This Row],[backlog_dias]]="",FALSE,AND(tblOrdenes[[#This Row],[backlog_dias]]&gt;p_dias_backlog_min,tblOrdenes[[#This Row],[backlog_dias]]&lt;=p_dias_backlog_max))</f>
        <v/>
      </c>
      <c r="AB599" s="6" t="n"/>
      <c r="AC5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9" s="10">
        <f>IF(tblOrdenes[[#This Row],[orden]]="","",_xlfn.XLOOKUP(tblOrdenes[[#This Row],[id_operacion]],tblEjecucion[id_operacion],tblEjecucion[precio],0))</f>
        <v/>
      </c>
      <c r="AG599" s="10">
        <f>IF(tblOrdenes[[#This Row],[orden]]="","",MAX(0,_xlfn.XLOOKUP(tblOrdenes[[#This Row],[id_operacion]],tblEjecucion[id_operacion],tblEjecucion[costo_plan_total],0)-tblOrdenes[[#This Row],[costo_servicio]]))</f>
        <v/>
      </c>
      <c r="AH599" s="10">
        <f>IF(tblOrdenes[[#This Row],[orden]]="","",tblOrdenes[[#This Row],[costo_servicio]]+tblOrdenes[[#This Row],[costo_materiales]])</f>
        <v/>
      </c>
      <c r="AI599" s="6" t="n"/>
      <c r="AJ599" s="6" t="n"/>
      <c r="AK599" s="6" t="n"/>
      <c r="AL599" s="3">
        <f>IF(tblOrdenes[[#This Row],[link_checklist]]="","",HYPERLINK(p_ruta_base_checklists&amp;tblOrdenes[[#This Row],[link_checklist]],"abrir"))</f>
        <v/>
      </c>
      <c r="AM599" s="6" t="n"/>
      <c r="AN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Row],[tipo_ot]]="","",_xlfn.XLOOKUP(tblOrdenes[[#This Row],[tipo_ot]],tblTiposOT[codigo],tblTiposOT[clasificacion],"sin_clasificar"))</f>
        <v/>
      </c>
      <c r="T600" s="3">
        <f>IF(tblOrdenes[[#This Row],[centro_costo]]="","",_xlfn.XLOOKUP(tblOrdenes[[#This Row],[centro_costo]],tblCECO[codigo],tblCECO[linea],"(sin catálogo)"))</f>
        <v/>
      </c>
      <c r="U600" s="3">
        <f>IF(tblOrdenes[[#This Row],[centro_costo]]="","",_xlfn.XLOOKUP(tblOrdenes[[#This Row],[centro_costo]],tblCECO[codigo],tblCECO[area],"(sin catálogo)"))</f>
        <v/>
      </c>
      <c r="V600" s="3">
        <f>IF(tblOrdenes[[#This Row],[centro_costo]]="","",_xlfn.XLOOKUP(tblOrdenes[[#This Row],[centro_costo]],tblCECO[codigo],tblCECO[coordinador],"(sin catálogo)"))</f>
        <v/>
      </c>
      <c r="W600" s="3">
        <f>IF(tblOrdenes[[#This Row],[puesto_trabajo]]="","",_xlfn.XLOOKUP(tblOrdenes[[#This Row],[puesto_trabajo]],tblPuestos[codigo],tblPuestos[especialidad],"(sin catálogo)"))</f>
        <v/>
      </c>
      <c r="X600" s="3">
        <f>IF(tblOrdenes[[#This Row],[cod_actividad]]="","",_xlfn.XLOOKUP(tblOrdenes[[#This Row],[cod_actividad]],tblActividades[codigo],tblActividades[descripcion],"(sin catálogo)"))</f>
        <v/>
      </c>
      <c r="Y600" s="12">
        <f>IF(tblOrdenes[[#This Row],[fecha_inicio]]="","",TODAY()-tblOrdenes[[#This Row],[fecha_inicio]])</f>
        <v/>
      </c>
      <c r="Z600" s="3">
        <f>IF(tblOrdenes[[#This Row],[backlog_dias]]="","",IF(tblOrdenes[[#This Row],[backlog_dias]]&lt;0,"FUTURO",IF(tblOrdenes[[#This Row],[backlog_dias]]&gt;p_dias_backlog_max,"BACKLOG","MES CORRIENTE")))</f>
        <v/>
      </c>
      <c r="AA600" s="3">
        <f>IF(tblOrdenes[[#This Row],[backlog_dias]]="",FALSE,AND(tblOrdenes[[#This Row],[backlog_dias]]&gt;p_dias_backlog_min,tblOrdenes[[#This Row],[backlog_dias]]&lt;=p_dias_backlog_max))</f>
        <v/>
      </c>
      <c r="AB600" s="6" t="n"/>
      <c r="AC6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0" s="10">
        <f>IF(tblOrdenes[[#This Row],[orden]]="","",_xlfn.XLOOKUP(tblOrdenes[[#This Row],[id_operacion]],tblEjecucion[id_operacion],tblEjecucion[precio],0))</f>
        <v/>
      </c>
      <c r="AG600" s="10">
        <f>IF(tblOrdenes[[#This Row],[orden]]="","",MAX(0,_xlfn.XLOOKUP(tblOrdenes[[#This Row],[id_operacion]],tblEjecucion[id_operacion],tblEjecucion[costo_plan_total],0)-tblOrdenes[[#This Row],[costo_servicio]]))</f>
        <v/>
      </c>
      <c r="AH600" s="10">
        <f>IF(tblOrdenes[[#This Row],[orden]]="","",tblOrdenes[[#This Row],[costo_servicio]]+tblOrdenes[[#This Row],[costo_materiales]])</f>
        <v/>
      </c>
      <c r="AI600" s="6" t="n"/>
      <c r="AJ600" s="6" t="n"/>
      <c r="AK600" s="6" t="n"/>
      <c r="AL600" s="3">
        <f>IF(tblOrdenes[[#This Row],[link_checklist]]="","",HYPERLINK(p_ruta_base_checklists&amp;tblOrdenes[[#This Row],[link_checklist]],"abrir"))</f>
        <v/>
      </c>
      <c r="AM600" s="6" t="n"/>
      <c r="AN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Row],[tipo_ot]]="","",_xlfn.XLOOKUP(tblOrdenes[[#This Row],[tipo_ot]],tblTiposOT[codigo],tblTiposOT[clasificacion],"sin_clasificar"))</f>
        <v/>
      </c>
      <c r="T601" s="3">
        <f>IF(tblOrdenes[[#This Row],[centro_costo]]="","",_xlfn.XLOOKUP(tblOrdenes[[#This Row],[centro_costo]],tblCECO[codigo],tblCECO[linea],"(sin catálogo)"))</f>
        <v/>
      </c>
      <c r="U601" s="3">
        <f>IF(tblOrdenes[[#This Row],[centro_costo]]="","",_xlfn.XLOOKUP(tblOrdenes[[#This Row],[centro_costo]],tblCECO[codigo],tblCECO[area],"(sin catálogo)"))</f>
        <v/>
      </c>
      <c r="V601" s="3">
        <f>IF(tblOrdenes[[#This Row],[centro_costo]]="","",_xlfn.XLOOKUP(tblOrdenes[[#This Row],[centro_costo]],tblCECO[codigo],tblCECO[coordinador],"(sin catálogo)"))</f>
        <v/>
      </c>
      <c r="W601" s="3">
        <f>IF(tblOrdenes[[#This Row],[puesto_trabajo]]="","",_xlfn.XLOOKUP(tblOrdenes[[#This Row],[puesto_trabajo]],tblPuestos[codigo],tblPuestos[especialidad],"(sin catálogo)"))</f>
        <v/>
      </c>
      <c r="X601" s="3">
        <f>IF(tblOrdenes[[#This Row],[cod_actividad]]="","",_xlfn.XLOOKUP(tblOrdenes[[#This Row],[cod_actividad]],tblActividades[codigo],tblActividades[descripcion],"(sin catálogo)"))</f>
        <v/>
      </c>
      <c r="Y601" s="12">
        <f>IF(tblOrdenes[[#This Row],[fecha_inicio]]="","",TODAY()-tblOrdenes[[#This Row],[fecha_inicio]])</f>
        <v/>
      </c>
      <c r="Z601" s="3">
        <f>IF(tblOrdenes[[#This Row],[backlog_dias]]="","",IF(tblOrdenes[[#This Row],[backlog_dias]]&lt;0,"FUTURO",IF(tblOrdenes[[#This Row],[backlog_dias]]&gt;p_dias_backlog_max,"BACKLOG","MES CORRIENTE")))</f>
        <v/>
      </c>
      <c r="AA601" s="3">
        <f>IF(tblOrdenes[[#This Row],[backlog_dias]]="",FALSE,AND(tblOrdenes[[#This Row],[backlog_dias]]&gt;p_dias_backlog_min,tblOrdenes[[#This Row],[backlog_dias]]&lt;=p_dias_backlog_max))</f>
        <v/>
      </c>
      <c r="AB601" s="6" t="n"/>
      <c r="AC6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1" s="10">
        <f>IF(tblOrdenes[[#This Row],[orden]]="","",_xlfn.XLOOKUP(tblOrdenes[[#This Row],[id_operacion]],tblEjecucion[id_operacion],tblEjecucion[precio],0))</f>
        <v/>
      </c>
      <c r="AG601" s="10">
        <f>IF(tblOrdenes[[#This Row],[orden]]="","",MAX(0,_xlfn.XLOOKUP(tblOrdenes[[#This Row],[id_operacion]],tblEjecucion[id_operacion],tblEjecucion[costo_plan_total],0)-tblOrdenes[[#This Row],[costo_servicio]]))</f>
        <v/>
      </c>
      <c r="AH601" s="10">
        <f>IF(tblOrdenes[[#This Row],[orden]]="","",tblOrdenes[[#This Row],[costo_servicio]]+tblOrdenes[[#This Row],[costo_materiales]])</f>
        <v/>
      </c>
      <c r="AI601" s="6" t="n"/>
      <c r="AJ601" s="6" t="n"/>
      <c r="AK601" s="6" t="n"/>
      <c r="AL601" s="3">
        <f>IF(tblOrdenes[[#This Row],[link_checklist]]="","",HYPERLINK(p_ruta_base_checklists&amp;tblOrdenes[[#This Row],[link_checklist]],"abrir"))</f>
        <v/>
      </c>
      <c r="AM601" s="6" t="n"/>
      <c r="AN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Row],[tipo_ot]]="","",_xlfn.XLOOKUP(tblOrdenes[[#This Row],[tipo_ot]],tblTiposOT[codigo],tblTiposOT[clasificacion],"sin_clasificar"))</f>
        <v/>
      </c>
      <c r="T602" s="3">
        <f>IF(tblOrdenes[[#This Row],[centro_costo]]="","",_xlfn.XLOOKUP(tblOrdenes[[#This Row],[centro_costo]],tblCECO[codigo],tblCECO[linea],"(sin catálogo)"))</f>
        <v/>
      </c>
      <c r="U602" s="3">
        <f>IF(tblOrdenes[[#This Row],[centro_costo]]="","",_xlfn.XLOOKUP(tblOrdenes[[#This Row],[centro_costo]],tblCECO[codigo],tblCECO[area],"(sin catálogo)"))</f>
        <v/>
      </c>
      <c r="V602" s="3">
        <f>IF(tblOrdenes[[#This Row],[centro_costo]]="","",_xlfn.XLOOKUP(tblOrdenes[[#This Row],[centro_costo]],tblCECO[codigo],tblCECO[coordinador],"(sin catálogo)"))</f>
        <v/>
      </c>
      <c r="W602" s="3">
        <f>IF(tblOrdenes[[#This Row],[puesto_trabajo]]="","",_xlfn.XLOOKUP(tblOrdenes[[#This Row],[puesto_trabajo]],tblPuestos[codigo],tblPuestos[especialidad],"(sin catálogo)"))</f>
        <v/>
      </c>
      <c r="X602" s="3">
        <f>IF(tblOrdenes[[#This Row],[cod_actividad]]="","",_xlfn.XLOOKUP(tblOrdenes[[#This Row],[cod_actividad]],tblActividades[codigo],tblActividades[descripcion],"(sin catálogo)"))</f>
        <v/>
      </c>
      <c r="Y602" s="12">
        <f>IF(tblOrdenes[[#This Row],[fecha_inicio]]="","",TODAY()-tblOrdenes[[#This Row],[fecha_inicio]])</f>
        <v/>
      </c>
      <c r="Z602" s="3">
        <f>IF(tblOrdenes[[#This Row],[backlog_dias]]="","",IF(tblOrdenes[[#This Row],[backlog_dias]]&lt;0,"FUTURO",IF(tblOrdenes[[#This Row],[backlog_dias]]&gt;p_dias_backlog_max,"BACKLOG","MES CORRIENTE")))</f>
        <v/>
      </c>
      <c r="AA602" s="3">
        <f>IF(tblOrdenes[[#This Row],[backlog_dias]]="",FALSE,AND(tblOrdenes[[#This Row],[backlog_dias]]&gt;p_dias_backlog_min,tblOrdenes[[#This Row],[backlog_dias]]&lt;=p_dias_backlog_max))</f>
        <v/>
      </c>
      <c r="AB602" s="6" t="n"/>
      <c r="AC6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2" s="10">
        <f>IF(tblOrdenes[[#This Row],[orden]]="","",_xlfn.XLOOKUP(tblOrdenes[[#This Row],[id_operacion]],tblEjecucion[id_operacion],tblEjecucion[precio],0))</f>
        <v/>
      </c>
      <c r="AG602" s="10">
        <f>IF(tblOrdenes[[#This Row],[orden]]="","",MAX(0,_xlfn.XLOOKUP(tblOrdenes[[#This Row],[id_operacion]],tblEjecucion[id_operacion],tblEjecucion[costo_plan_total],0)-tblOrdenes[[#This Row],[costo_servicio]]))</f>
        <v/>
      </c>
      <c r="AH602" s="10">
        <f>IF(tblOrdenes[[#This Row],[orden]]="","",tblOrdenes[[#This Row],[costo_servicio]]+tblOrdenes[[#This Row],[costo_materiales]])</f>
        <v/>
      </c>
      <c r="AI602" s="6" t="n"/>
      <c r="AJ602" s="6" t="n"/>
      <c r="AK602" s="6" t="n"/>
      <c r="AL602" s="3">
        <f>IF(tblOrdenes[[#This Row],[link_checklist]]="","",HYPERLINK(p_ruta_base_checklists&amp;tblOrdenes[[#This Row],[link_checklist]],"abrir"))</f>
        <v/>
      </c>
      <c r="AM602" s="6" t="n"/>
      <c r="AN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Row],[tipo_ot]]="","",_xlfn.XLOOKUP(tblOrdenes[[#This Row],[tipo_ot]],tblTiposOT[codigo],tblTiposOT[clasificacion],"sin_clasificar"))</f>
        <v/>
      </c>
      <c r="T603" s="3">
        <f>IF(tblOrdenes[[#This Row],[centro_costo]]="","",_xlfn.XLOOKUP(tblOrdenes[[#This Row],[centro_costo]],tblCECO[codigo],tblCECO[linea],"(sin catálogo)"))</f>
        <v/>
      </c>
      <c r="U603" s="3">
        <f>IF(tblOrdenes[[#This Row],[centro_costo]]="","",_xlfn.XLOOKUP(tblOrdenes[[#This Row],[centro_costo]],tblCECO[codigo],tblCECO[area],"(sin catálogo)"))</f>
        <v/>
      </c>
      <c r="V603" s="3">
        <f>IF(tblOrdenes[[#This Row],[centro_costo]]="","",_xlfn.XLOOKUP(tblOrdenes[[#This Row],[centro_costo]],tblCECO[codigo],tblCECO[coordinador],"(sin catálogo)"))</f>
        <v/>
      </c>
      <c r="W603" s="3">
        <f>IF(tblOrdenes[[#This Row],[puesto_trabajo]]="","",_xlfn.XLOOKUP(tblOrdenes[[#This Row],[puesto_trabajo]],tblPuestos[codigo],tblPuestos[especialidad],"(sin catálogo)"))</f>
        <v/>
      </c>
      <c r="X603" s="3">
        <f>IF(tblOrdenes[[#This Row],[cod_actividad]]="","",_xlfn.XLOOKUP(tblOrdenes[[#This Row],[cod_actividad]],tblActividades[codigo],tblActividades[descripcion],"(sin catálogo)"))</f>
        <v/>
      </c>
      <c r="Y603" s="12">
        <f>IF(tblOrdenes[[#This Row],[fecha_inicio]]="","",TODAY()-tblOrdenes[[#This Row],[fecha_inicio]])</f>
        <v/>
      </c>
      <c r="Z603" s="3">
        <f>IF(tblOrdenes[[#This Row],[backlog_dias]]="","",IF(tblOrdenes[[#This Row],[backlog_dias]]&lt;0,"FUTURO",IF(tblOrdenes[[#This Row],[backlog_dias]]&gt;p_dias_backlog_max,"BACKLOG","MES CORRIENTE")))</f>
        <v/>
      </c>
      <c r="AA603" s="3">
        <f>IF(tblOrdenes[[#This Row],[backlog_dias]]="",FALSE,AND(tblOrdenes[[#This Row],[backlog_dias]]&gt;p_dias_backlog_min,tblOrdenes[[#This Row],[backlog_dias]]&lt;=p_dias_backlog_max))</f>
        <v/>
      </c>
      <c r="AB603" s="6" t="n"/>
      <c r="AC6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3" s="10">
        <f>IF(tblOrdenes[[#This Row],[orden]]="","",_xlfn.XLOOKUP(tblOrdenes[[#This Row],[id_operacion]],tblEjecucion[id_operacion],tblEjecucion[precio],0))</f>
        <v/>
      </c>
      <c r="AG603" s="10">
        <f>IF(tblOrdenes[[#This Row],[orden]]="","",MAX(0,_xlfn.XLOOKUP(tblOrdenes[[#This Row],[id_operacion]],tblEjecucion[id_operacion],tblEjecucion[costo_plan_total],0)-tblOrdenes[[#This Row],[costo_servicio]]))</f>
        <v/>
      </c>
      <c r="AH603" s="10">
        <f>IF(tblOrdenes[[#This Row],[orden]]="","",tblOrdenes[[#This Row],[costo_servicio]]+tblOrdenes[[#This Row],[costo_materiales]])</f>
        <v/>
      </c>
      <c r="AI603" s="6" t="n"/>
      <c r="AJ603" s="6" t="n"/>
      <c r="AK603" s="6" t="n"/>
      <c r="AL603" s="3">
        <f>IF(tblOrdenes[[#This Row],[link_checklist]]="","",HYPERLINK(p_ruta_base_checklists&amp;tblOrdenes[[#This Row],[link_checklist]],"abrir"))</f>
        <v/>
      </c>
      <c r="AM603" s="6" t="n"/>
      <c r="AN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Row],[tipo_ot]]="","",_xlfn.XLOOKUP(tblOrdenes[[#This Row],[tipo_ot]],tblTiposOT[codigo],tblTiposOT[clasificacion],"sin_clasificar"))</f>
        <v/>
      </c>
      <c r="T604" s="3">
        <f>IF(tblOrdenes[[#This Row],[centro_costo]]="","",_xlfn.XLOOKUP(tblOrdenes[[#This Row],[centro_costo]],tblCECO[codigo],tblCECO[linea],"(sin catálogo)"))</f>
        <v/>
      </c>
      <c r="U604" s="3">
        <f>IF(tblOrdenes[[#This Row],[centro_costo]]="","",_xlfn.XLOOKUP(tblOrdenes[[#This Row],[centro_costo]],tblCECO[codigo],tblCECO[area],"(sin catálogo)"))</f>
        <v/>
      </c>
      <c r="V604" s="3">
        <f>IF(tblOrdenes[[#This Row],[centro_costo]]="","",_xlfn.XLOOKUP(tblOrdenes[[#This Row],[centro_costo]],tblCECO[codigo],tblCECO[coordinador],"(sin catálogo)"))</f>
        <v/>
      </c>
      <c r="W604" s="3">
        <f>IF(tblOrdenes[[#This Row],[puesto_trabajo]]="","",_xlfn.XLOOKUP(tblOrdenes[[#This Row],[puesto_trabajo]],tblPuestos[codigo],tblPuestos[especialidad],"(sin catálogo)"))</f>
        <v/>
      </c>
      <c r="X604" s="3">
        <f>IF(tblOrdenes[[#This Row],[cod_actividad]]="","",_xlfn.XLOOKUP(tblOrdenes[[#This Row],[cod_actividad]],tblActividades[codigo],tblActividades[descripcion],"(sin catálogo)"))</f>
        <v/>
      </c>
      <c r="Y604" s="12">
        <f>IF(tblOrdenes[[#This Row],[fecha_inicio]]="","",TODAY()-tblOrdenes[[#This Row],[fecha_inicio]])</f>
        <v/>
      </c>
      <c r="Z604" s="3">
        <f>IF(tblOrdenes[[#This Row],[backlog_dias]]="","",IF(tblOrdenes[[#This Row],[backlog_dias]]&lt;0,"FUTURO",IF(tblOrdenes[[#This Row],[backlog_dias]]&gt;p_dias_backlog_max,"BACKLOG","MES CORRIENTE")))</f>
        <v/>
      </c>
      <c r="AA604" s="3">
        <f>IF(tblOrdenes[[#This Row],[backlog_dias]]="",FALSE,AND(tblOrdenes[[#This Row],[backlog_dias]]&gt;p_dias_backlog_min,tblOrdenes[[#This Row],[backlog_dias]]&lt;=p_dias_backlog_max))</f>
        <v/>
      </c>
      <c r="AB604" s="6" t="n"/>
      <c r="AC6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4" s="10">
        <f>IF(tblOrdenes[[#This Row],[orden]]="","",_xlfn.XLOOKUP(tblOrdenes[[#This Row],[id_operacion]],tblEjecucion[id_operacion],tblEjecucion[precio],0))</f>
        <v/>
      </c>
      <c r="AG604" s="10">
        <f>IF(tblOrdenes[[#This Row],[orden]]="","",MAX(0,_xlfn.XLOOKUP(tblOrdenes[[#This Row],[id_operacion]],tblEjecucion[id_operacion],tblEjecucion[costo_plan_total],0)-tblOrdenes[[#This Row],[costo_servicio]]))</f>
        <v/>
      </c>
      <c r="AH604" s="10">
        <f>IF(tblOrdenes[[#This Row],[orden]]="","",tblOrdenes[[#This Row],[costo_servicio]]+tblOrdenes[[#This Row],[costo_materiales]])</f>
        <v/>
      </c>
      <c r="AI604" s="6" t="n"/>
      <c r="AJ604" s="6" t="n"/>
      <c r="AK604" s="6" t="n"/>
      <c r="AL604" s="3">
        <f>IF(tblOrdenes[[#This Row],[link_checklist]]="","",HYPERLINK(p_ruta_base_checklists&amp;tblOrdenes[[#This Row],[link_checklist]],"abrir"))</f>
        <v/>
      </c>
      <c r="AM604" s="6" t="n"/>
      <c r="AN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Row],[tipo_ot]]="","",_xlfn.XLOOKUP(tblOrdenes[[#This Row],[tipo_ot]],tblTiposOT[codigo],tblTiposOT[clasificacion],"sin_clasificar"))</f>
        <v/>
      </c>
      <c r="T605" s="3">
        <f>IF(tblOrdenes[[#This Row],[centro_costo]]="","",_xlfn.XLOOKUP(tblOrdenes[[#This Row],[centro_costo]],tblCECO[codigo],tblCECO[linea],"(sin catálogo)"))</f>
        <v/>
      </c>
      <c r="U605" s="3">
        <f>IF(tblOrdenes[[#This Row],[centro_costo]]="","",_xlfn.XLOOKUP(tblOrdenes[[#This Row],[centro_costo]],tblCECO[codigo],tblCECO[area],"(sin catálogo)"))</f>
        <v/>
      </c>
      <c r="V605" s="3">
        <f>IF(tblOrdenes[[#This Row],[centro_costo]]="","",_xlfn.XLOOKUP(tblOrdenes[[#This Row],[centro_costo]],tblCECO[codigo],tblCECO[coordinador],"(sin catálogo)"))</f>
        <v/>
      </c>
      <c r="W605" s="3">
        <f>IF(tblOrdenes[[#This Row],[puesto_trabajo]]="","",_xlfn.XLOOKUP(tblOrdenes[[#This Row],[puesto_trabajo]],tblPuestos[codigo],tblPuestos[especialidad],"(sin catálogo)"))</f>
        <v/>
      </c>
      <c r="X605" s="3">
        <f>IF(tblOrdenes[[#This Row],[cod_actividad]]="","",_xlfn.XLOOKUP(tblOrdenes[[#This Row],[cod_actividad]],tblActividades[codigo],tblActividades[descripcion],"(sin catálogo)"))</f>
        <v/>
      </c>
      <c r="Y605" s="12">
        <f>IF(tblOrdenes[[#This Row],[fecha_inicio]]="","",TODAY()-tblOrdenes[[#This Row],[fecha_inicio]])</f>
        <v/>
      </c>
      <c r="Z605" s="3">
        <f>IF(tblOrdenes[[#This Row],[backlog_dias]]="","",IF(tblOrdenes[[#This Row],[backlog_dias]]&lt;0,"FUTURO",IF(tblOrdenes[[#This Row],[backlog_dias]]&gt;p_dias_backlog_max,"BACKLOG","MES CORRIENTE")))</f>
        <v/>
      </c>
      <c r="AA605" s="3">
        <f>IF(tblOrdenes[[#This Row],[backlog_dias]]="",FALSE,AND(tblOrdenes[[#This Row],[backlog_dias]]&gt;p_dias_backlog_min,tblOrdenes[[#This Row],[backlog_dias]]&lt;=p_dias_backlog_max))</f>
        <v/>
      </c>
      <c r="AB605" s="6" t="n"/>
      <c r="AC6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5" s="10">
        <f>IF(tblOrdenes[[#This Row],[orden]]="","",_xlfn.XLOOKUP(tblOrdenes[[#This Row],[id_operacion]],tblEjecucion[id_operacion],tblEjecucion[precio],0))</f>
        <v/>
      </c>
      <c r="AG605" s="10">
        <f>IF(tblOrdenes[[#This Row],[orden]]="","",MAX(0,_xlfn.XLOOKUP(tblOrdenes[[#This Row],[id_operacion]],tblEjecucion[id_operacion],tblEjecucion[costo_plan_total],0)-tblOrdenes[[#This Row],[costo_servicio]]))</f>
        <v/>
      </c>
      <c r="AH605" s="10">
        <f>IF(tblOrdenes[[#This Row],[orden]]="","",tblOrdenes[[#This Row],[costo_servicio]]+tblOrdenes[[#This Row],[costo_materiales]])</f>
        <v/>
      </c>
      <c r="AI605" s="6" t="n"/>
      <c r="AJ605" s="6" t="n"/>
      <c r="AK605" s="6" t="n"/>
      <c r="AL605" s="3">
        <f>IF(tblOrdenes[[#This Row],[link_checklist]]="","",HYPERLINK(p_ruta_base_checklists&amp;tblOrdenes[[#This Row],[link_checklist]],"abrir"))</f>
        <v/>
      </c>
      <c r="AM605" s="6" t="n"/>
      <c r="AN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Row],[tipo_ot]]="","",_xlfn.XLOOKUP(tblOrdenes[[#This Row],[tipo_ot]],tblTiposOT[codigo],tblTiposOT[clasificacion],"sin_clasificar"))</f>
        <v/>
      </c>
      <c r="T606" s="3">
        <f>IF(tblOrdenes[[#This Row],[centro_costo]]="","",_xlfn.XLOOKUP(tblOrdenes[[#This Row],[centro_costo]],tblCECO[codigo],tblCECO[linea],"(sin catálogo)"))</f>
        <v/>
      </c>
      <c r="U606" s="3">
        <f>IF(tblOrdenes[[#This Row],[centro_costo]]="","",_xlfn.XLOOKUP(tblOrdenes[[#This Row],[centro_costo]],tblCECO[codigo],tblCECO[area],"(sin catálogo)"))</f>
        <v/>
      </c>
      <c r="V606" s="3">
        <f>IF(tblOrdenes[[#This Row],[centro_costo]]="","",_xlfn.XLOOKUP(tblOrdenes[[#This Row],[centro_costo]],tblCECO[codigo],tblCECO[coordinador],"(sin catálogo)"))</f>
        <v/>
      </c>
      <c r="W606" s="3">
        <f>IF(tblOrdenes[[#This Row],[puesto_trabajo]]="","",_xlfn.XLOOKUP(tblOrdenes[[#This Row],[puesto_trabajo]],tblPuestos[codigo],tblPuestos[especialidad],"(sin catálogo)"))</f>
        <v/>
      </c>
      <c r="X606" s="3">
        <f>IF(tblOrdenes[[#This Row],[cod_actividad]]="","",_xlfn.XLOOKUP(tblOrdenes[[#This Row],[cod_actividad]],tblActividades[codigo],tblActividades[descripcion],"(sin catálogo)"))</f>
        <v/>
      </c>
      <c r="Y606" s="12">
        <f>IF(tblOrdenes[[#This Row],[fecha_inicio]]="","",TODAY()-tblOrdenes[[#This Row],[fecha_inicio]])</f>
        <v/>
      </c>
      <c r="Z606" s="3">
        <f>IF(tblOrdenes[[#This Row],[backlog_dias]]="","",IF(tblOrdenes[[#This Row],[backlog_dias]]&lt;0,"FUTURO",IF(tblOrdenes[[#This Row],[backlog_dias]]&gt;p_dias_backlog_max,"BACKLOG","MES CORRIENTE")))</f>
        <v/>
      </c>
      <c r="AA606" s="3">
        <f>IF(tblOrdenes[[#This Row],[backlog_dias]]="",FALSE,AND(tblOrdenes[[#This Row],[backlog_dias]]&gt;p_dias_backlog_min,tblOrdenes[[#This Row],[backlog_dias]]&lt;=p_dias_backlog_max))</f>
        <v/>
      </c>
      <c r="AB606" s="6" t="n"/>
      <c r="AC6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6" s="10">
        <f>IF(tblOrdenes[[#This Row],[orden]]="","",_xlfn.XLOOKUP(tblOrdenes[[#This Row],[id_operacion]],tblEjecucion[id_operacion],tblEjecucion[precio],0))</f>
        <v/>
      </c>
      <c r="AG606" s="10">
        <f>IF(tblOrdenes[[#This Row],[orden]]="","",MAX(0,_xlfn.XLOOKUP(tblOrdenes[[#This Row],[id_operacion]],tblEjecucion[id_operacion],tblEjecucion[costo_plan_total],0)-tblOrdenes[[#This Row],[costo_servicio]]))</f>
        <v/>
      </c>
      <c r="AH606" s="10">
        <f>IF(tblOrdenes[[#This Row],[orden]]="","",tblOrdenes[[#This Row],[costo_servicio]]+tblOrdenes[[#This Row],[costo_materiales]])</f>
        <v/>
      </c>
      <c r="AI606" s="6" t="n"/>
      <c r="AJ606" s="6" t="n"/>
      <c r="AK606" s="6" t="n"/>
      <c r="AL606" s="3">
        <f>IF(tblOrdenes[[#This Row],[link_checklist]]="","",HYPERLINK(p_ruta_base_checklists&amp;tblOrdenes[[#This Row],[link_checklist]],"abrir"))</f>
        <v/>
      </c>
      <c r="AM606" s="6" t="n"/>
      <c r="AN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Row],[tipo_ot]]="","",_xlfn.XLOOKUP(tblOrdenes[[#This Row],[tipo_ot]],tblTiposOT[codigo],tblTiposOT[clasificacion],"sin_clasificar"))</f>
        <v/>
      </c>
      <c r="T607" s="3">
        <f>IF(tblOrdenes[[#This Row],[centro_costo]]="","",_xlfn.XLOOKUP(tblOrdenes[[#This Row],[centro_costo]],tblCECO[codigo],tblCECO[linea],"(sin catálogo)"))</f>
        <v/>
      </c>
      <c r="U607" s="3">
        <f>IF(tblOrdenes[[#This Row],[centro_costo]]="","",_xlfn.XLOOKUP(tblOrdenes[[#This Row],[centro_costo]],tblCECO[codigo],tblCECO[area],"(sin catálogo)"))</f>
        <v/>
      </c>
      <c r="V607" s="3">
        <f>IF(tblOrdenes[[#This Row],[centro_costo]]="","",_xlfn.XLOOKUP(tblOrdenes[[#This Row],[centro_costo]],tblCECO[codigo],tblCECO[coordinador],"(sin catálogo)"))</f>
        <v/>
      </c>
      <c r="W607" s="3">
        <f>IF(tblOrdenes[[#This Row],[puesto_trabajo]]="","",_xlfn.XLOOKUP(tblOrdenes[[#This Row],[puesto_trabajo]],tblPuestos[codigo],tblPuestos[especialidad],"(sin catálogo)"))</f>
        <v/>
      </c>
      <c r="X607" s="3">
        <f>IF(tblOrdenes[[#This Row],[cod_actividad]]="","",_xlfn.XLOOKUP(tblOrdenes[[#This Row],[cod_actividad]],tblActividades[codigo],tblActividades[descripcion],"(sin catálogo)"))</f>
        <v/>
      </c>
      <c r="Y607" s="12">
        <f>IF(tblOrdenes[[#This Row],[fecha_inicio]]="","",TODAY()-tblOrdenes[[#This Row],[fecha_inicio]])</f>
        <v/>
      </c>
      <c r="Z607" s="3">
        <f>IF(tblOrdenes[[#This Row],[backlog_dias]]="","",IF(tblOrdenes[[#This Row],[backlog_dias]]&lt;0,"FUTURO",IF(tblOrdenes[[#This Row],[backlog_dias]]&gt;p_dias_backlog_max,"BACKLOG","MES CORRIENTE")))</f>
        <v/>
      </c>
      <c r="AA607" s="3">
        <f>IF(tblOrdenes[[#This Row],[backlog_dias]]="",FALSE,AND(tblOrdenes[[#This Row],[backlog_dias]]&gt;p_dias_backlog_min,tblOrdenes[[#This Row],[backlog_dias]]&lt;=p_dias_backlog_max))</f>
        <v/>
      </c>
      <c r="AB607" s="6" t="n"/>
      <c r="AC6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7" s="10">
        <f>IF(tblOrdenes[[#This Row],[orden]]="","",_xlfn.XLOOKUP(tblOrdenes[[#This Row],[id_operacion]],tblEjecucion[id_operacion],tblEjecucion[precio],0))</f>
        <v/>
      </c>
      <c r="AG607" s="10">
        <f>IF(tblOrdenes[[#This Row],[orden]]="","",MAX(0,_xlfn.XLOOKUP(tblOrdenes[[#This Row],[id_operacion]],tblEjecucion[id_operacion],tblEjecucion[costo_plan_total],0)-tblOrdenes[[#This Row],[costo_servicio]]))</f>
        <v/>
      </c>
      <c r="AH607" s="10">
        <f>IF(tblOrdenes[[#This Row],[orden]]="","",tblOrdenes[[#This Row],[costo_servicio]]+tblOrdenes[[#This Row],[costo_materiales]])</f>
        <v/>
      </c>
      <c r="AI607" s="6" t="n"/>
      <c r="AJ607" s="6" t="n"/>
      <c r="AK607" s="6" t="n"/>
      <c r="AL607" s="3">
        <f>IF(tblOrdenes[[#This Row],[link_checklist]]="","",HYPERLINK(p_ruta_base_checklists&amp;tblOrdenes[[#This Row],[link_checklist]],"abrir"))</f>
        <v/>
      </c>
      <c r="AM607" s="6" t="n"/>
      <c r="AN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Row],[tipo_ot]]="","",_xlfn.XLOOKUP(tblOrdenes[[#This Row],[tipo_ot]],tblTiposOT[codigo],tblTiposOT[clasificacion],"sin_clasificar"))</f>
        <v/>
      </c>
      <c r="T608" s="3">
        <f>IF(tblOrdenes[[#This Row],[centro_costo]]="","",_xlfn.XLOOKUP(tblOrdenes[[#This Row],[centro_costo]],tblCECO[codigo],tblCECO[linea],"(sin catálogo)"))</f>
        <v/>
      </c>
      <c r="U608" s="3">
        <f>IF(tblOrdenes[[#This Row],[centro_costo]]="","",_xlfn.XLOOKUP(tblOrdenes[[#This Row],[centro_costo]],tblCECO[codigo],tblCECO[area],"(sin catálogo)"))</f>
        <v/>
      </c>
      <c r="V608" s="3">
        <f>IF(tblOrdenes[[#This Row],[centro_costo]]="","",_xlfn.XLOOKUP(tblOrdenes[[#This Row],[centro_costo]],tblCECO[codigo],tblCECO[coordinador],"(sin catálogo)"))</f>
        <v/>
      </c>
      <c r="W608" s="3">
        <f>IF(tblOrdenes[[#This Row],[puesto_trabajo]]="","",_xlfn.XLOOKUP(tblOrdenes[[#This Row],[puesto_trabajo]],tblPuestos[codigo],tblPuestos[especialidad],"(sin catálogo)"))</f>
        <v/>
      </c>
      <c r="X608" s="3">
        <f>IF(tblOrdenes[[#This Row],[cod_actividad]]="","",_xlfn.XLOOKUP(tblOrdenes[[#This Row],[cod_actividad]],tblActividades[codigo],tblActividades[descripcion],"(sin catálogo)"))</f>
        <v/>
      </c>
      <c r="Y608" s="12">
        <f>IF(tblOrdenes[[#This Row],[fecha_inicio]]="","",TODAY()-tblOrdenes[[#This Row],[fecha_inicio]])</f>
        <v/>
      </c>
      <c r="Z608" s="3">
        <f>IF(tblOrdenes[[#This Row],[backlog_dias]]="","",IF(tblOrdenes[[#This Row],[backlog_dias]]&lt;0,"FUTURO",IF(tblOrdenes[[#This Row],[backlog_dias]]&gt;p_dias_backlog_max,"BACKLOG","MES CORRIENTE")))</f>
        <v/>
      </c>
      <c r="AA608" s="3">
        <f>IF(tblOrdenes[[#This Row],[backlog_dias]]="",FALSE,AND(tblOrdenes[[#This Row],[backlog_dias]]&gt;p_dias_backlog_min,tblOrdenes[[#This Row],[backlog_dias]]&lt;=p_dias_backlog_max))</f>
        <v/>
      </c>
      <c r="AB608" s="6" t="n"/>
      <c r="AC6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8" s="10">
        <f>IF(tblOrdenes[[#This Row],[orden]]="","",_xlfn.XLOOKUP(tblOrdenes[[#This Row],[id_operacion]],tblEjecucion[id_operacion],tblEjecucion[precio],0))</f>
        <v/>
      </c>
      <c r="AG608" s="10">
        <f>IF(tblOrdenes[[#This Row],[orden]]="","",MAX(0,_xlfn.XLOOKUP(tblOrdenes[[#This Row],[id_operacion]],tblEjecucion[id_operacion],tblEjecucion[costo_plan_total],0)-tblOrdenes[[#This Row],[costo_servicio]]))</f>
        <v/>
      </c>
      <c r="AH608" s="10">
        <f>IF(tblOrdenes[[#This Row],[orden]]="","",tblOrdenes[[#This Row],[costo_servicio]]+tblOrdenes[[#This Row],[costo_materiales]])</f>
        <v/>
      </c>
      <c r="AI608" s="6" t="n"/>
      <c r="AJ608" s="6" t="n"/>
      <c r="AK608" s="6" t="n"/>
      <c r="AL608" s="3">
        <f>IF(tblOrdenes[[#This Row],[link_checklist]]="","",HYPERLINK(p_ruta_base_checklists&amp;tblOrdenes[[#This Row],[link_checklist]],"abrir"))</f>
        <v/>
      </c>
      <c r="AM608" s="6" t="n"/>
      <c r="AN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Row],[tipo_ot]]="","",_xlfn.XLOOKUP(tblOrdenes[[#This Row],[tipo_ot]],tblTiposOT[codigo],tblTiposOT[clasificacion],"sin_clasificar"))</f>
        <v/>
      </c>
      <c r="T609" s="3">
        <f>IF(tblOrdenes[[#This Row],[centro_costo]]="","",_xlfn.XLOOKUP(tblOrdenes[[#This Row],[centro_costo]],tblCECO[codigo],tblCECO[linea],"(sin catálogo)"))</f>
        <v/>
      </c>
      <c r="U609" s="3">
        <f>IF(tblOrdenes[[#This Row],[centro_costo]]="","",_xlfn.XLOOKUP(tblOrdenes[[#This Row],[centro_costo]],tblCECO[codigo],tblCECO[area],"(sin catálogo)"))</f>
        <v/>
      </c>
      <c r="V609" s="3">
        <f>IF(tblOrdenes[[#This Row],[centro_costo]]="","",_xlfn.XLOOKUP(tblOrdenes[[#This Row],[centro_costo]],tblCECO[codigo],tblCECO[coordinador],"(sin catálogo)"))</f>
        <v/>
      </c>
      <c r="W609" s="3">
        <f>IF(tblOrdenes[[#This Row],[puesto_trabajo]]="","",_xlfn.XLOOKUP(tblOrdenes[[#This Row],[puesto_trabajo]],tblPuestos[codigo],tblPuestos[especialidad],"(sin catálogo)"))</f>
        <v/>
      </c>
      <c r="X609" s="3">
        <f>IF(tblOrdenes[[#This Row],[cod_actividad]]="","",_xlfn.XLOOKUP(tblOrdenes[[#This Row],[cod_actividad]],tblActividades[codigo],tblActividades[descripcion],"(sin catálogo)"))</f>
        <v/>
      </c>
      <c r="Y609" s="12">
        <f>IF(tblOrdenes[[#This Row],[fecha_inicio]]="","",TODAY()-tblOrdenes[[#This Row],[fecha_inicio]])</f>
        <v/>
      </c>
      <c r="Z609" s="3">
        <f>IF(tblOrdenes[[#This Row],[backlog_dias]]="","",IF(tblOrdenes[[#This Row],[backlog_dias]]&lt;0,"FUTURO",IF(tblOrdenes[[#This Row],[backlog_dias]]&gt;p_dias_backlog_max,"BACKLOG","MES CORRIENTE")))</f>
        <v/>
      </c>
      <c r="AA609" s="3">
        <f>IF(tblOrdenes[[#This Row],[backlog_dias]]="",FALSE,AND(tblOrdenes[[#This Row],[backlog_dias]]&gt;p_dias_backlog_min,tblOrdenes[[#This Row],[backlog_dias]]&lt;=p_dias_backlog_max))</f>
        <v/>
      </c>
      <c r="AB609" s="6" t="n"/>
      <c r="AC6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9" s="10">
        <f>IF(tblOrdenes[[#This Row],[orden]]="","",_xlfn.XLOOKUP(tblOrdenes[[#This Row],[id_operacion]],tblEjecucion[id_operacion],tblEjecucion[precio],0))</f>
        <v/>
      </c>
      <c r="AG609" s="10">
        <f>IF(tblOrdenes[[#This Row],[orden]]="","",MAX(0,_xlfn.XLOOKUP(tblOrdenes[[#This Row],[id_operacion]],tblEjecucion[id_operacion],tblEjecucion[costo_plan_total],0)-tblOrdenes[[#This Row],[costo_servicio]]))</f>
        <v/>
      </c>
      <c r="AH609" s="10">
        <f>IF(tblOrdenes[[#This Row],[orden]]="","",tblOrdenes[[#This Row],[costo_servicio]]+tblOrdenes[[#This Row],[costo_materiales]])</f>
        <v/>
      </c>
      <c r="AI609" s="6" t="n"/>
      <c r="AJ609" s="6" t="n"/>
      <c r="AK609" s="6" t="n"/>
      <c r="AL609" s="3">
        <f>IF(tblOrdenes[[#This Row],[link_checklist]]="","",HYPERLINK(p_ruta_base_checklists&amp;tblOrdenes[[#This Row],[link_checklist]],"abrir"))</f>
        <v/>
      </c>
      <c r="AM609" s="6" t="n"/>
      <c r="AN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Row],[tipo_ot]]="","",_xlfn.XLOOKUP(tblOrdenes[[#This Row],[tipo_ot]],tblTiposOT[codigo],tblTiposOT[clasificacion],"sin_clasificar"))</f>
        <v/>
      </c>
      <c r="T610" s="3">
        <f>IF(tblOrdenes[[#This Row],[centro_costo]]="","",_xlfn.XLOOKUP(tblOrdenes[[#This Row],[centro_costo]],tblCECO[codigo],tblCECO[linea],"(sin catálogo)"))</f>
        <v/>
      </c>
      <c r="U610" s="3">
        <f>IF(tblOrdenes[[#This Row],[centro_costo]]="","",_xlfn.XLOOKUP(tblOrdenes[[#This Row],[centro_costo]],tblCECO[codigo],tblCECO[area],"(sin catálogo)"))</f>
        <v/>
      </c>
      <c r="V610" s="3">
        <f>IF(tblOrdenes[[#This Row],[centro_costo]]="","",_xlfn.XLOOKUP(tblOrdenes[[#This Row],[centro_costo]],tblCECO[codigo],tblCECO[coordinador],"(sin catálogo)"))</f>
        <v/>
      </c>
      <c r="W610" s="3">
        <f>IF(tblOrdenes[[#This Row],[puesto_trabajo]]="","",_xlfn.XLOOKUP(tblOrdenes[[#This Row],[puesto_trabajo]],tblPuestos[codigo],tblPuestos[especialidad],"(sin catálogo)"))</f>
        <v/>
      </c>
      <c r="X610" s="3">
        <f>IF(tblOrdenes[[#This Row],[cod_actividad]]="","",_xlfn.XLOOKUP(tblOrdenes[[#This Row],[cod_actividad]],tblActividades[codigo],tblActividades[descripcion],"(sin catálogo)"))</f>
        <v/>
      </c>
      <c r="Y610" s="12">
        <f>IF(tblOrdenes[[#This Row],[fecha_inicio]]="","",TODAY()-tblOrdenes[[#This Row],[fecha_inicio]])</f>
        <v/>
      </c>
      <c r="Z610" s="3">
        <f>IF(tblOrdenes[[#This Row],[backlog_dias]]="","",IF(tblOrdenes[[#This Row],[backlog_dias]]&lt;0,"FUTURO",IF(tblOrdenes[[#This Row],[backlog_dias]]&gt;p_dias_backlog_max,"BACKLOG","MES CORRIENTE")))</f>
        <v/>
      </c>
      <c r="AA610" s="3">
        <f>IF(tblOrdenes[[#This Row],[backlog_dias]]="",FALSE,AND(tblOrdenes[[#This Row],[backlog_dias]]&gt;p_dias_backlog_min,tblOrdenes[[#This Row],[backlog_dias]]&lt;=p_dias_backlog_max))</f>
        <v/>
      </c>
      <c r="AB610" s="6" t="n"/>
      <c r="AC6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0" s="10">
        <f>IF(tblOrdenes[[#This Row],[orden]]="","",_xlfn.XLOOKUP(tblOrdenes[[#This Row],[id_operacion]],tblEjecucion[id_operacion],tblEjecucion[precio],0))</f>
        <v/>
      </c>
      <c r="AG610" s="10">
        <f>IF(tblOrdenes[[#This Row],[orden]]="","",MAX(0,_xlfn.XLOOKUP(tblOrdenes[[#This Row],[id_operacion]],tblEjecucion[id_operacion],tblEjecucion[costo_plan_total],0)-tblOrdenes[[#This Row],[costo_servicio]]))</f>
        <v/>
      </c>
      <c r="AH610" s="10">
        <f>IF(tblOrdenes[[#This Row],[orden]]="","",tblOrdenes[[#This Row],[costo_servicio]]+tblOrdenes[[#This Row],[costo_materiales]])</f>
        <v/>
      </c>
      <c r="AI610" s="6" t="n"/>
      <c r="AJ610" s="6" t="n"/>
      <c r="AK610" s="6" t="n"/>
      <c r="AL610" s="3">
        <f>IF(tblOrdenes[[#This Row],[link_checklist]]="","",HYPERLINK(p_ruta_base_checklists&amp;tblOrdenes[[#This Row],[link_checklist]],"abrir"))</f>
        <v/>
      </c>
      <c r="AM610" s="6" t="n"/>
      <c r="AN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Row],[tipo_ot]]="","",_xlfn.XLOOKUP(tblOrdenes[[#This Row],[tipo_ot]],tblTiposOT[codigo],tblTiposOT[clasificacion],"sin_clasificar"))</f>
        <v/>
      </c>
      <c r="T611" s="3">
        <f>IF(tblOrdenes[[#This Row],[centro_costo]]="","",_xlfn.XLOOKUP(tblOrdenes[[#This Row],[centro_costo]],tblCECO[codigo],tblCECO[linea],"(sin catálogo)"))</f>
        <v/>
      </c>
      <c r="U611" s="3">
        <f>IF(tblOrdenes[[#This Row],[centro_costo]]="","",_xlfn.XLOOKUP(tblOrdenes[[#This Row],[centro_costo]],tblCECO[codigo],tblCECO[area],"(sin catálogo)"))</f>
        <v/>
      </c>
      <c r="V611" s="3">
        <f>IF(tblOrdenes[[#This Row],[centro_costo]]="","",_xlfn.XLOOKUP(tblOrdenes[[#This Row],[centro_costo]],tblCECO[codigo],tblCECO[coordinador],"(sin catálogo)"))</f>
        <v/>
      </c>
      <c r="W611" s="3">
        <f>IF(tblOrdenes[[#This Row],[puesto_trabajo]]="","",_xlfn.XLOOKUP(tblOrdenes[[#This Row],[puesto_trabajo]],tblPuestos[codigo],tblPuestos[especialidad],"(sin catálogo)"))</f>
        <v/>
      </c>
      <c r="X611" s="3">
        <f>IF(tblOrdenes[[#This Row],[cod_actividad]]="","",_xlfn.XLOOKUP(tblOrdenes[[#This Row],[cod_actividad]],tblActividades[codigo],tblActividades[descripcion],"(sin catálogo)"))</f>
        <v/>
      </c>
      <c r="Y611" s="12">
        <f>IF(tblOrdenes[[#This Row],[fecha_inicio]]="","",TODAY()-tblOrdenes[[#This Row],[fecha_inicio]])</f>
        <v/>
      </c>
      <c r="Z611" s="3">
        <f>IF(tblOrdenes[[#This Row],[backlog_dias]]="","",IF(tblOrdenes[[#This Row],[backlog_dias]]&lt;0,"FUTURO",IF(tblOrdenes[[#This Row],[backlog_dias]]&gt;p_dias_backlog_max,"BACKLOG","MES CORRIENTE")))</f>
        <v/>
      </c>
      <c r="AA611" s="3">
        <f>IF(tblOrdenes[[#This Row],[backlog_dias]]="",FALSE,AND(tblOrdenes[[#This Row],[backlog_dias]]&gt;p_dias_backlog_min,tblOrdenes[[#This Row],[backlog_dias]]&lt;=p_dias_backlog_max))</f>
        <v/>
      </c>
      <c r="AB611" s="6" t="n"/>
      <c r="AC6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1" s="10">
        <f>IF(tblOrdenes[[#This Row],[orden]]="","",_xlfn.XLOOKUP(tblOrdenes[[#This Row],[id_operacion]],tblEjecucion[id_operacion],tblEjecucion[precio],0))</f>
        <v/>
      </c>
      <c r="AG611" s="10">
        <f>IF(tblOrdenes[[#This Row],[orden]]="","",MAX(0,_xlfn.XLOOKUP(tblOrdenes[[#This Row],[id_operacion]],tblEjecucion[id_operacion],tblEjecucion[costo_plan_total],0)-tblOrdenes[[#This Row],[costo_servicio]]))</f>
        <v/>
      </c>
      <c r="AH611" s="10">
        <f>IF(tblOrdenes[[#This Row],[orden]]="","",tblOrdenes[[#This Row],[costo_servicio]]+tblOrdenes[[#This Row],[costo_materiales]])</f>
        <v/>
      </c>
      <c r="AI611" s="6" t="n"/>
      <c r="AJ611" s="6" t="n"/>
      <c r="AK611" s="6" t="n"/>
      <c r="AL611" s="3">
        <f>IF(tblOrdenes[[#This Row],[link_checklist]]="","",HYPERLINK(p_ruta_base_checklists&amp;tblOrdenes[[#This Row],[link_checklist]],"abrir"))</f>
        <v/>
      </c>
      <c r="AM611" s="6" t="n"/>
      <c r="AN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Row],[tipo_ot]]="","",_xlfn.XLOOKUP(tblOrdenes[[#This Row],[tipo_ot]],tblTiposOT[codigo],tblTiposOT[clasificacion],"sin_clasificar"))</f>
        <v/>
      </c>
      <c r="T612" s="3">
        <f>IF(tblOrdenes[[#This Row],[centro_costo]]="","",_xlfn.XLOOKUP(tblOrdenes[[#This Row],[centro_costo]],tblCECO[codigo],tblCECO[linea],"(sin catálogo)"))</f>
        <v/>
      </c>
      <c r="U612" s="3">
        <f>IF(tblOrdenes[[#This Row],[centro_costo]]="","",_xlfn.XLOOKUP(tblOrdenes[[#This Row],[centro_costo]],tblCECO[codigo],tblCECO[area],"(sin catálogo)"))</f>
        <v/>
      </c>
      <c r="V612" s="3">
        <f>IF(tblOrdenes[[#This Row],[centro_costo]]="","",_xlfn.XLOOKUP(tblOrdenes[[#This Row],[centro_costo]],tblCECO[codigo],tblCECO[coordinador],"(sin catálogo)"))</f>
        <v/>
      </c>
      <c r="W612" s="3">
        <f>IF(tblOrdenes[[#This Row],[puesto_trabajo]]="","",_xlfn.XLOOKUP(tblOrdenes[[#This Row],[puesto_trabajo]],tblPuestos[codigo],tblPuestos[especialidad],"(sin catálogo)"))</f>
        <v/>
      </c>
      <c r="X612" s="3">
        <f>IF(tblOrdenes[[#This Row],[cod_actividad]]="","",_xlfn.XLOOKUP(tblOrdenes[[#This Row],[cod_actividad]],tblActividades[codigo],tblActividades[descripcion],"(sin catálogo)"))</f>
        <v/>
      </c>
      <c r="Y612" s="12">
        <f>IF(tblOrdenes[[#This Row],[fecha_inicio]]="","",TODAY()-tblOrdenes[[#This Row],[fecha_inicio]])</f>
        <v/>
      </c>
      <c r="Z612" s="3">
        <f>IF(tblOrdenes[[#This Row],[backlog_dias]]="","",IF(tblOrdenes[[#This Row],[backlog_dias]]&lt;0,"FUTURO",IF(tblOrdenes[[#This Row],[backlog_dias]]&gt;p_dias_backlog_max,"BACKLOG","MES CORRIENTE")))</f>
        <v/>
      </c>
      <c r="AA612" s="3">
        <f>IF(tblOrdenes[[#This Row],[backlog_dias]]="",FALSE,AND(tblOrdenes[[#This Row],[backlog_dias]]&gt;p_dias_backlog_min,tblOrdenes[[#This Row],[backlog_dias]]&lt;=p_dias_backlog_max))</f>
        <v/>
      </c>
      <c r="AB612" s="6" t="n"/>
      <c r="AC6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2" s="10">
        <f>IF(tblOrdenes[[#This Row],[orden]]="","",_xlfn.XLOOKUP(tblOrdenes[[#This Row],[id_operacion]],tblEjecucion[id_operacion],tblEjecucion[precio],0))</f>
        <v/>
      </c>
      <c r="AG612" s="10">
        <f>IF(tblOrdenes[[#This Row],[orden]]="","",MAX(0,_xlfn.XLOOKUP(tblOrdenes[[#This Row],[id_operacion]],tblEjecucion[id_operacion],tblEjecucion[costo_plan_total],0)-tblOrdenes[[#This Row],[costo_servicio]]))</f>
        <v/>
      </c>
      <c r="AH612" s="10">
        <f>IF(tblOrdenes[[#This Row],[orden]]="","",tblOrdenes[[#This Row],[costo_servicio]]+tblOrdenes[[#This Row],[costo_materiales]])</f>
        <v/>
      </c>
      <c r="AI612" s="6" t="n"/>
      <c r="AJ612" s="6" t="n"/>
      <c r="AK612" s="6" t="n"/>
      <c r="AL612" s="3">
        <f>IF(tblOrdenes[[#This Row],[link_checklist]]="","",HYPERLINK(p_ruta_base_checklists&amp;tblOrdenes[[#This Row],[link_checklist]],"abrir"))</f>
        <v/>
      </c>
      <c r="AM612" s="6" t="n"/>
      <c r="AN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Row],[tipo_ot]]="","",_xlfn.XLOOKUP(tblOrdenes[[#This Row],[tipo_ot]],tblTiposOT[codigo],tblTiposOT[clasificacion],"sin_clasificar"))</f>
        <v/>
      </c>
      <c r="T613" s="3">
        <f>IF(tblOrdenes[[#This Row],[centro_costo]]="","",_xlfn.XLOOKUP(tblOrdenes[[#This Row],[centro_costo]],tblCECO[codigo],tblCECO[linea],"(sin catálogo)"))</f>
        <v/>
      </c>
      <c r="U613" s="3">
        <f>IF(tblOrdenes[[#This Row],[centro_costo]]="","",_xlfn.XLOOKUP(tblOrdenes[[#This Row],[centro_costo]],tblCECO[codigo],tblCECO[area],"(sin catálogo)"))</f>
        <v/>
      </c>
      <c r="V613" s="3">
        <f>IF(tblOrdenes[[#This Row],[centro_costo]]="","",_xlfn.XLOOKUP(tblOrdenes[[#This Row],[centro_costo]],tblCECO[codigo],tblCECO[coordinador],"(sin catálogo)"))</f>
        <v/>
      </c>
      <c r="W613" s="3">
        <f>IF(tblOrdenes[[#This Row],[puesto_trabajo]]="","",_xlfn.XLOOKUP(tblOrdenes[[#This Row],[puesto_trabajo]],tblPuestos[codigo],tblPuestos[especialidad],"(sin catálogo)"))</f>
        <v/>
      </c>
      <c r="X613" s="3">
        <f>IF(tblOrdenes[[#This Row],[cod_actividad]]="","",_xlfn.XLOOKUP(tblOrdenes[[#This Row],[cod_actividad]],tblActividades[codigo],tblActividades[descripcion],"(sin catálogo)"))</f>
        <v/>
      </c>
      <c r="Y613" s="12">
        <f>IF(tblOrdenes[[#This Row],[fecha_inicio]]="","",TODAY()-tblOrdenes[[#This Row],[fecha_inicio]])</f>
        <v/>
      </c>
      <c r="Z613" s="3">
        <f>IF(tblOrdenes[[#This Row],[backlog_dias]]="","",IF(tblOrdenes[[#This Row],[backlog_dias]]&lt;0,"FUTURO",IF(tblOrdenes[[#This Row],[backlog_dias]]&gt;p_dias_backlog_max,"BACKLOG","MES CORRIENTE")))</f>
        <v/>
      </c>
      <c r="AA613" s="3">
        <f>IF(tblOrdenes[[#This Row],[backlog_dias]]="",FALSE,AND(tblOrdenes[[#This Row],[backlog_dias]]&gt;p_dias_backlog_min,tblOrdenes[[#This Row],[backlog_dias]]&lt;=p_dias_backlog_max))</f>
        <v/>
      </c>
      <c r="AB613" s="6" t="n"/>
      <c r="AC6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3" s="10">
        <f>IF(tblOrdenes[[#This Row],[orden]]="","",_xlfn.XLOOKUP(tblOrdenes[[#This Row],[id_operacion]],tblEjecucion[id_operacion],tblEjecucion[precio],0))</f>
        <v/>
      </c>
      <c r="AG613" s="10">
        <f>IF(tblOrdenes[[#This Row],[orden]]="","",MAX(0,_xlfn.XLOOKUP(tblOrdenes[[#This Row],[id_operacion]],tblEjecucion[id_operacion],tblEjecucion[costo_plan_total],0)-tblOrdenes[[#This Row],[costo_servicio]]))</f>
        <v/>
      </c>
      <c r="AH613" s="10">
        <f>IF(tblOrdenes[[#This Row],[orden]]="","",tblOrdenes[[#This Row],[costo_servicio]]+tblOrdenes[[#This Row],[costo_materiales]])</f>
        <v/>
      </c>
      <c r="AI613" s="6" t="n"/>
      <c r="AJ613" s="6" t="n"/>
      <c r="AK613" s="6" t="n"/>
      <c r="AL613" s="3">
        <f>IF(tblOrdenes[[#This Row],[link_checklist]]="","",HYPERLINK(p_ruta_base_checklists&amp;tblOrdenes[[#This Row],[link_checklist]],"abrir"))</f>
        <v/>
      </c>
      <c r="AM613" s="6" t="n"/>
      <c r="AN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Row],[tipo_ot]]="","",_xlfn.XLOOKUP(tblOrdenes[[#This Row],[tipo_ot]],tblTiposOT[codigo],tblTiposOT[clasificacion],"sin_clasificar"))</f>
        <v/>
      </c>
      <c r="T614" s="3">
        <f>IF(tblOrdenes[[#This Row],[centro_costo]]="","",_xlfn.XLOOKUP(tblOrdenes[[#This Row],[centro_costo]],tblCECO[codigo],tblCECO[linea],"(sin catálogo)"))</f>
        <v/>
      </c>
      <c r="U614" s="3">
        <f>IF(tblOrdenes[[#This Row],[centro_costo]]="","",_xlfn.XLOOKUP(tblOrdenes[[#This Row],[centro_costo]],tblCECO[codigo],tblCECO[area],"(sin catálogo)"))</f>
        <v/>
      </c>
      <c r="V614" s="3">
        <f>IF(tblOrdenes[[#This Row],[centro_costo]]="","",_xlfn.XLOOKUP(tblOrdenes[[#This Row],[centro_costo]],tblCECO[codigo],tblCECO[coordinador],"(sin catálogo)"))</f>
        <v/>
      </c>
      <c r="W614" s="3">
        <f>IF(tblOrdenes[[#This Row],[puesto_trabajo]]="","",_xlfn.XLOOKUP(tblOrdenes[[#This Row],[puesto_trabajo]],tblPuestos[codigo],tblPuestos[especialidad],"(sin catálogo)"))</f>
        <v/>
      </c>
      <c r="X614" s="3">
        <f>IF(tblOrdenes[[#This Row],[cod_actividad]]="","",_xlfn.XLOOKUP(tblOrdenes[[#This Row],[cod_actividad]],tblActividades[codigo],tblActividades[descripcion],"(sin catálogo)"))</f>
        <v/>
      </c>
      <c r="Y614" s="12">
        <f>IF(tblOrdenes[[#This Row],[fecha_inicio]]="","",TODAY()-tblOrdenes[[#This Row],[fecha_inicio]])</f>
        <v/>
      </c>
      <c r="Z614" s="3">
        <f>IF(tblOrdenes[[#This Row],[backlog_dias]]="","",IF(tblOrdenes[[#This Row],[backlog_dias]]&lt;0,"FUTURO",IF(tblOrdenes[[#This Row],[backlog_dias]]&gt;p_dias_backlog_max,"BACKLOG","MES CORRIENTE")))</f>
        <v/>
      </c>
      <c r="AA614" s="3">
        <f>IF(tblOrdenes[[#This Row],[backlog_dias]]="",FALSE,AND(tblOrdenes[[#This Row],[backlog_dias]]&gt;p_dias_backlog_min,tblOrdenes[[#This Row],[backlog_dias]]&lt;=p_dias_backlog_max))</f>
        <v/>
      </c>
      <c r="AB614" s="6" t="n"/>
      <c r="AC6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4" s="10">
        <f>IF(tblOrdenes[[#This Row],[orden]]="","",_xlfn.XLOOKUP(tblOrdenes[[#This Row],[id_operacion]],tblEjecucion[id_operacion],tblEjecucion[precio],0))</f>
        <v/>
      </c>
      <c r="AG614" s="10">
        <f>IF(tblOrdenes[[#This Row],[orden]]="","",MAX(0,_xlfn.XLOOKUP(tblOrdenes[[#This Row],[id_operacion]],tblEjecucion[id_operacion],tblEjecucion[costo_plan_total],0)-tblOrdenes[[#This Row],[costo_servicio]]))</f>
        <v/>
      </c>
      <c r="AH614" s="10">
        <f>IF(tblOrdenes[[#This Row],[orden]]="","",tblOrdenes[[#This Row],[costo_servicio]]+tblOrdenes[[#This Row],[costo_materiales]])</f>
        <v/>
      </c>
      <c r="AI614" s="6" t="n"/>
      <c r="AJ614" s="6" t="n"/>
      <c r="AK614" s="6" t="n"/>
      <c r="AL614" s="3">
        <f>IF(tblOrdenes[[#This Row],[link_checklist]]="","",HYPERLINK(p_ruta_base_checklists&amp;tblOrdenes[[#This Row],[link_checklist]],"abrir"))</f>
        <v/>
      </c>
      <c r="AM614" s="6" t="n"/>
      <c r="AN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Row],[tipo_ot]]="","",_xlfn.XLOOKUP(tblOrdenes[[#This Row],[tipo_ot]],tblTiposOT[codigo],tblTiposOT[clasificacion],"sin_clasificar"))</f>
        <v/>
      </c>
      <c r="T615" s="3">
        <f>IF(tblOrdenes[[#This Row],[centro_costo]]="","",_xlfn.XLOOKUP(tblOrdenes[[#This Row],[centro_costo]],tblCECO[codigo],tblCECO[linea],"(sin catálogo)"))</f>
        <v/>
      </c>
      <c r="U615" s="3">
        <f>IF(tblOrdenes[[#This Row],[centro_costo]]="","",_xlfn.XLOOKUP(tblOrdenes[[#This Row],[centro_costo]],tblCECO[codigo],tblCECO[area],"(sin catálogo)"))</f>
        <v/>
      </c>
      <c r="V615" s="3">
        <f>IF(tblOrdenes[[#This Row],[centro_costo]]="","",_xlfn.XLOOKUP(tblOrdenes[[#This Row],[centro_costo]],tblCECO[codigo],tblCECO[coordinador],"(sin catálogo)"))</f>
        <v/>
      </c>
      <c r="W615" s="3">
        <f>IF(tblOrdenes[[#This Row],[puesto_trabajo]]="","",_xlfn.XLOOKUP(tblOrdenes[[#This Row],[puesto_trabajo]],tblPuestos[codigo],tblPuestos[especialidad],"(sin catálogo)"))</f>
        <v/>
      </c>
      <c r="X615" s="3">
        <f>IF(tblOrdenes[[#This Row],[cod_actividad]]="","",_xlfn.XLOOKUP(tblOrdenes[[#This Row],[cod_actividad]],tblActividades[codigo],tblActividades[descripcion],"(sin catálogo)"))</f>
        <v/>
      </c>
      <c r="Y615" s="12">
        <f>IF(tblOrdenes[[#This Row],[fecha_inicio]]="","",TODAY()-tblOrdenes[[#This Row],[fecha_inicio]])</f>
        <v/>
      </c>
      <c r="Z615" s="3">
        <f>IF(tblOrdenes[[#This Row],[backlog_dias]]="","",IF(tblOrdenes[[#This Row],[backlog_dias]]&lt;0,"FUTURO",IF(tblOrdenes[[#This Row],[backlog_dias]]&gt;p_dias_backlog_max,"BACKLOG","MES CORRIENTE")))</f>
        <v/>
      </c>
      <c r="AA615" s="3">
        <f>IF(tblOrdenes[[#This Row],[backlog_dias]]="",FALSE,AND(tblOrdenes[[#This Row],[backlog_dias]]&gt;p_dias_backlog_min,tblOrdenes[[#This Row],[backlog_dias]]&lt;=p_dias_backlog_max))</f>
        <v/>
      </c>
      <c r="AB615" s="6" t="n"/>
      <c r="AC6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5" s="10">
        <f>IF(tblOrdenes[[#This Row],[orden]]="","",_xlfn.XLOOKUP(tblOrdenes[[#This Row],[id_operacion]],tblEjecucion[id_operacion],tblEjecucion[precio],0))</f>
        <v/>
      </c>
      <c r="AG615" s="10">
        <f>IF(tblOrdenes[[#This Row],[orden]]="","",MAX(0,_xlfn.XLOOKUP(tblOrdenes[[#This Row],[id_operacion]],tblEjecucion[id_operacion],tblEjecucion[costo_plan_total],0)-tblOrdenes[[#This Row],[costo_servicio]]))</f>
        <v/>
      </c>
      <c r="AH615" s="10">
        <f>IF(tblOrdenes[[#This Row],[orden]]="","",tblOrdenes[[#This Row],[costo_servicio]]+tblOrdenes[[#This Row],[costo_materiales]])</f>
        <v/>
      </c>
      <c r="AI615" s="6" t="n"/>
      <c r="AJ615" s="6" t="n"/>
      <c r="AK615" s="6" t="n"/>
      <c r="AL615" s="3">
        <f>IF(tblOrdenes[[#This Row],[link_checklist]]="","",HYPERLINK(p_ruta_base_checklists&amp;tblOrdenes[[#This Row],[link_checklist]],"abrir"))</f>
        <v/>
      </c>
      <c r="AM615" s="6" t="n"/>
      <c r="AN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Row],[tipo_ot]]="","",_xlfn.XLOOKUP(tblOrdenes[[#This Row],[tipo_ot]],tblTiposOT[codigo],tblTiposOT[clasificacion],"sin_clasificar"))</f>
        <v/>
      </c>
      <c r="T616" s="3">
        <f>IF(tblOrdenes[[#This Row],[centro_costo]]="","",_xlfn.XLOOKUP(tblOrdenes[[#This Row],[centro_costo]],tblCECO[codigo],tblCECO[linea],"(sin catálogo)"))</f>
        <v/>
      </c>
      <c r="U616" s="3">
        <f>IF(tblOrdenes[[#This Row],[centro_costo]]="","",_xlfn.XLOOKUP(tblOrdenes[[#This Row],[centro_costo]],tblCECO[codigo],tblCECO[area],"(sin catálogo)"))</f>
        <v/>
      </c>
      <c r="V616" s="3">
        <f>IF(tblOrdenes[[#This Row],[centro_costo]]="","",_xlfn.XLOOKUP(tblOrdenes[[#This Row],[centro_costo]],tblCECO[codigo],tblCECO[coordinador],"(sin catálogo)"))</f>
        <v/>
      </c>
      <c r="W616" s="3">
        <f>IF(tblOrdenes[[#This Row],[puesto_trabajo]]="","",_xlfn.XLOOKUP(tblOrdenes[[#This Row],[puesto_trabajo]],tblPuestos[codigo],tblPuestos[especialidad],"(sin catálogo)"))</f>
        <v/>
      </c>
      <c r="X616" s="3">
        <f>IF(tblOrdenes[[#This Row],[cod_actividad]]="","",_xlfn.XLOOKUP(tblOrdenes[[#This Row],[cod_actividad]],tblActividades[codigo],tblActividades[descripcion],"(sin catálogo)"))</f>
        <v/>
      </c>
      <c r="Y616" s="12">
        <f>IF(tblOrdenes[[#This Row],[fecha_inicio]]="","",TODAY()-tblOrdenes[[#This Row],[fecha_inicio]])</f>
        <v/>
      </c>
      <c r="Z616" s="3">
        <f>IF(tblOrdenes[[#This Row],[backlog_dias]]="","",IF(tblOrdenes[[#This Row],[backlog_dias]]&lt;0,"FUTURO",IF(tblOrdenes[[#This Row],[backlog_dias]]&gt;p_dias_backlog_max,"BACKLOG","MES CORRIENTE")))</f>
        <v/>
      </c>
      <c r="AA616" s="3">
        <f>IF(tblOrdenes[[#This Row],[backlog_dias]]="",FALSE,AND(tblOrdenes[[#This Row],[backlog_dias]]&gt;p_dias_backlog_min,tblOrdenes[[#This Row],[backlog_dias]]&lt;=p_dias_backlog_max))</f>
        <v/>
      </c>
      <c r="AB616" s="6" t="n"/>
      <c r="AC6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6" s="10">
        <f>IF(tblOrdenes[[#This Row],[orden]]="","",_xlfn.XLOOKUP(tblOrdenes[[#This Row],[id_operacion]],tblEjecucion[id_operacion],tblEjecucion[precio],0))</f>
        <v/>
      </c>
      <c r="AG616" s="10">
        <f>IF(tblOrdenes[[#This Row],[orden]]="","",MAX(0,_xlfn.XLOOKUP(tblOrdenes[[#This Row],[id_operacion]],tblEjecucion[id_operacion],tblEjecucion[costo_plan_total],0)-tblOrdenes[[#This Row],[costo_servicio]]))</f>
        <v/>
      </c>
      <c r="AH616" s="10">
        <f>IF(tblOrdenes[[#This Row],[orden]]="","",tblOrdenes[[#This Row],[costo_servicio]]+tblOrdenes[[#This Row],[costo_materiales]])</f>
        <v/>
      </c>
      <c r="AI616" s="6" t="n"/>
      <c r="AJ616" s="6" t="n"/>
      <c r="AK616" s="6" t="n"/>
      <c r="AL616" s="3">
        <f>IF(tblOrdenes[[#This Row],[link_checklist]]="","",HYPERLINK(p_ruta_base_checklists&amp;tblOrdenes[[#This Row],[link_checklist]],"abrir"))</f>
        <v/>
      </c>
      <c r="AM616" s="6" t="n"/>
      <c r="AN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Row],[tipo_ot]]="","",_xlfn.XLOOKUP(tblOrdenes[[#This Row],[tipo_ot]],tblTiposOT[codigo],tblTiposOT[clasificacion],"sin_clasificar"))</f>
        <v/>
      </c>
      <c r="T617" s="3">
        <f>IF(tblOrdenes[[#This Row],[centro_costo]]="","",_xlfn.XLOOKUP(tblOrdenes[[#This Row],[centro_costo]],tblCECO[codigo],tblCECO[linea],"(sin catálogo)"))</f>
        <v/>
      </c>
      <c r="U617" s="3">
        <f>IF(tblOrdenes[[#This Row],[centro_costo]]="","",_xlfn.XLOOKUP(tblOrdenes[[#This Row],[centro_costo]],tblCECO[codigo],tblCECO[area],"(sin catálogo)"))</f>
        <v/>
      </c>
      <c r="V617" s="3">
        <f>IF(tblOrdenes[[#This Row],[centro_costo]]="","",_xlfn.XLOOKUP(tblOrdenes[[#This Row],[centro_costo]],tblCECO[codigo],tblCECO[coordinador],"(sin catálogo)"))</f>
        <v/>
      </c>
      <c r="W617" s="3">
        <f>IF(tblOrdenes[[#This Row],[puesto_trabajo]]="","",_xlfn.XLOOKUP(tblOrdenes[[#This Row],[puesto_trabajo]],tblPuestos[codigo],tblPuestos[especialidad],"(sin catálogo)"))</f>
        <v/>
      </c>
      <c r="X617" s="3">
        <f>IF(tblOrdenes[[#This Row],[cod_actividad]]="","",_xlfn.XLOOKUP(tblOrdenes[[#This Row],[cod_actividad]],tblActividades[codigo],tblActividades[descripcion],"(sin catálogo)"))</f>
        <v/>
      </c>
      <c r="Y617" s="12">
        <f>IF(tblOrdenes[[#This Row],[fecha_inicio]]="","",TODAY()-tblOrdenes[[#This Row],[fecha_inicio]])</f>
        <v/>
      </c>
      <c r="Z617" s="3">
        <f>IF(tblOrdenes[[#This Row],[backlog_dias]]="","",IF(tblOrdenes[[#This Row],[backlog_dias]]&lt;0,"FUTURO",IF(tblOrdenes[[#This Row],[backlog_dias]]&gt;p_dias_backlog_max,"BACKLOG","MES CORRIENTE")))</f>
        <v/>
      </c>
      <c r="AA617" s="3">
        <f>IF(tblOrdenes[[#This Row],[backlog_dias]]="",FALSE,AND(tblOrdenes[[#This Row],[backlog_dias]]&gt;p_dias_backlog_min,tblOrdenes[[#This Row],[backlog_dias]]&lt;=p_dias_backlog_max))</f>
        <v/>
      </c>
      <c r="AB617" s="6" t="n"/>
      <c r="AC6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7" s="10">
        <f>IF(tblOrdenes[[#This Row],[orden]]="","",_xlfn.XLOOKUP(tblOrdenes[[#This Row],[id_operacion]],tblEjecucion[id_operacion],tblEjecucion[precio],0))</f>
        <v/>
      </c>
      <c r="AG617" s="10">
        <f>IF(tblOrdenes[[#This Row],[orden]]="","",MAX(0,_xlfn.XLOOKUP(tblOrdenes[[#This Row],[id_operacion]],tblEjecucion[id_operacion],tblEjecucion[costo_plan_total],0)-tblOrdenes[[#This Row],[costo_servicio]]))</f>
        <v/>
      </c>
      <c r="AH617" s="10">
        <f>IF(tblOrdenes[[#This Row],[orden]]="","",tblOrdenes[[#This Row],[costo_servicio]]+tblOrdenes[[#This Row],[costo_materiales]])</f>
        <v/>
      </c>
      <c r="AI617" s="6" t="n"/>
      <c r="AJ617" s="6" t="n"/>
      <c r="AK617" s="6" t="n"/>
      <c r="AL617" s="3">
        <f>IF(tblOrdenes[[#This Row],[link_checklist]]="","",HYPERLINK(p_ruta_base_checklists&amp;tblOrdenes[[#This Row],[link_checklist]],"abrir"))</f>
        <v/>
      </c>
      <c r="AM617" s="6" t="n"/>
      <c r="AN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Row],[tipo_ot]]="","",_xlfn.XLOOKUP(tblOrdenes[[#This Row],[tipo_ot]],tblTiposOT[codigo],tblTiposOT[clasificacion],"sin_clasificar"))</f>
        <v/>
      </c>
      <c r="T618" s="3">
        <f>IF(tblOrdenes[[#This Row],[centro_costo]]="","",_xlfn.XLOOKUP(tblOrdenes[[#This Row],[centro_costo]],tblCECO[codigo],tblCECO[linea],"(sin catálogo)"))</f>
        <v/>
      </c>
      <c r="U618" s="3">
        <f>IF(tblOrdenes[[#This Row],[centro_costo]]="","",_xlfn.XLOOKUP(tblOrdenes[[#This Row],[centro_costo]],tblCECO[codigo],tblCECO[area],"(sin catálogo)"))</f>
        <v/>
      </c>
      <c r="V618" s="3">
        <f>IF(tblOrdenes[[#This Row],[centro_costo]]="","",_xlfn.XLOOKUP(tblOrdenes[[#This Row],[centro_costo]],tblCECO[codigo],tblCECO[coordinador],"(sin catálogo)"))</f>
        <v/>
      </c>
      <c r="W618" s="3">
        <f>IF(tblOrdenes[[#This Row],[puesto_trabajo]]="","",_xlfn.XLOOKUP(tblOrdenes[[#This Row],[puesto_trabajo]],tblPuestos[codigo],tblPuestos[especialidad],"(sin catálogo)"))</f>
        <v/>
      </c>
      <c r="X618" s="3">
        <f>IF(tblOrdenes[[#This Row],[cod_actividad]]="","",_xlfn.XLOOKUP(tblOrdenes[[#This Row],[cod_actividad]],tblActividades[codigo],tblActividades[descripcion],"(sin catálogo)"))</f>
        <v/>
      </c>
      <c r="Y618" s="12">
        <f>IF(tblOrdenes[[#This Row],[fecha_inicio]]="","",TODAY()-tblOrdenes[[#This Row],[fecha_inicio]])</f>
        <v/>
      </c>
      <c r="Z618" s="3">
        <f>IF(tblOrdenes[[#This Row],[backlog_dias]]="","",IF(tblOrdenes[[#This Row],[backlog_dias]]&lt;0,"FUTURO",IF(tblOrdenes[[#This Row],[backlog_dias]]&gt;p_dias_backlog_max,"BACKLOG","MES CORRIENTE")))</f>
        <v/>
      </c>
      <c r="AA618" s="3">
        <f>IF(tblOrdenes[[#This Row],[backlog_dias]]="",FALSE,AND(tblOrdenes[[#This Row],[backlog_dias]]&gt;p_dias_backlog_min,tblOrdenes[[#This Row],[backlog_dias]]&lt;=p_dias_backlog_max))</f>
        <v/>
      </c>
      <c r="AB618" s="6" t="n"/>
      <c r="AC6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8" s="10">
        <f>IF(tblOrdenes[[#This Row],[orden]]="","",_xlfn.XLOOKUP(tblOrdenes[[#This Row],[id_operacion]],tblEjecucion[id_operacion],tblEjecucion[precio],0))</f>
        <v/>
      </c>
      <c r="AG618" s="10">
        <f>IF(tblOrdenes[[#This Row],[orden]]="","",MAX(0,_xlfn.XLOOKUP(tblOrdenes[[#This Row],[id_operacion]],tblEjecucion[id_operacion],tblEjecucion[costo_plan_total],0)-tblOrdenes[[#This Row],[costo_servicio]]))</f>
        <v/>
      </c>
      <c r="AH618" s="10">
        <f>IF(tblOrdenes[[#This Row],[orden]]="","",tblOrdenes[[#This Row],[costo_servicio]]+tblOrdenes[[#This Row],[costo_materiales]])</f>
        <v/>
      </c>
      <c r="AI618" s="6" t="n"/>
      <c r="AJ618" s="6" t="n"/>
      <c r="AK618" s="6" t="n"/>
      <c r="AL618" s="3">
        <f>IF(tblOrdenes[[#This Row],[link_checklist]]="","",HYPERLINK(p_ruta_base_checklists&amp;tblOrdenes[[#This Row],[link_checklist]],"abrir"))</f>
        <v/>
      </c>
      <c r="AM618" s="6" t="n"/>
      <c r="AN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Row],[tipo_ot]]="","",_xlfn.XLOOKUP(tblOrdenes[[#This Row],[tipo_ot]],tblTiposOT[codigo],tblTiposOT[clasificacion],"sin_clasificar"))</f>
        <v/>
      </c>
      <c r="T619" s="3">
        <f>IF(tblOrdenes[[#This Row],[centro_costo]]="","",_xlfn.XLOOKUP(tblOrdenes[[#This Row],[centro_costo]],tblCECO[codigo],tblCECO[linea],"(sin catálogo)"))</f>
        <v/>
      </c>
      <c r="U619" s="3">
        <f>IF(tblOrdenes[[#This Row],[centro_costo]]="","",_xlfn.XLOOKUP(tblOrdenes[[#This Row],[centro_costo]],tblCECO[codigo],tblCECO[area],"(sin catálogo)"))</f>
        <v/>
      </c>
      <c r="V619" s="3">
        <f>IF(tblOrdenes[[#This Row],[centro_costo]]="","",_xlfn.XLOOKUP(tblOrdenes[[#This Row],[centro_costo]],tblCECO[codigo],tblCECO[coordinador],"(sin catálogo)"))</f>
        <v/>
      </c>
      <c r="W619" s="3">
        <f>IF(tblOrdenes[[#This Row],[puesto_trabajo]]="","",_xlfn.XLOOKUP(tblOrdenes[[#This Row],[puesto_trabajo]],tblPuestos[codigo],tblPuestos[especialidad],"(sin catálogo)"))</f>
        <v/>
      </c>
      <c r="X619" s="3">
        <f>IF(tblOrdenes[[#This Row],[cod_actividad]]="","",_xlfn.XLOOKUP(tblOrdenes[[#This Row],[cod_actividad]],tblActividades[codigo],tblActividades[descripcion],"(sin catálogo)"))</f>
        <v/>
      </c>
      <c r="Y619" s="12">
        <f>IF(tblOrdenes[[#This Row],[fecha_inicio]]="","",TODAY()-tblOrdenes[[#This Row],[fecha_inicio]])</f>
        <v/>
      </c>
      <c r="Z619" s="3">
        <f>IF(tblOrdenes[[#This Row],[backlog_dias]]="","",IF(tblOrdenes[[#This Row],[backlog_dias]]&lt;0,"FUTURO",IF(tblOrdenes[[#This Row],[backlog_dias]]&gt;p_dias_backlog_max,"BACKLOG","MES CORRIENTE")))</f>
        <v/>
      </c>
      <c r="AA619" s="3">
        <f>IF(tblOrdenes[[#This Row],[backlog_dias]]="",FALSE,AND(tblOrdenes[[#This Row],[backlog_dias]]&gt;p_dias_backlog_min,tblOrdenes[[#This Row],[backlog_dias]]&lt;=p_dias_backlog_max))</f>
        <v/>
      </c>
      <c r="AB619" s="6" t="n"/>
      <c r="AC6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9" s="10">
        <f>IF(tblOrdenes[[#This Row],[orden]]="","",_xlfn.XLOOKUP(tblOrdenes[[#This Row],[id_operacion]],tblEjecucion[id_operacion],tblEjecucion[precio],0))</f>
        <v/>
      </c>
      <c r="AG619" s="10">
        <f>IF(tblOrdenes[[#This Row],[orden]]="","",MAX(0,_xlfn.XLOOKUP(tblOrdenes[[#This Row],[id_operacion]],tblEjecucion[id_operacion],tblEjecucion[costo_plan_total],0)-tblOrdenes[[#This Row],[costo_servicio]]))</f>
        <v/>
      </c>
      <c r="AH619" s="10">
        <f>IF(tblOrdenes[[#This Row],[orden]]="","",tblOrdenes[[#This Row],[costo_servicio]]+tblOrdenes[[#This Row],[costo_materiales]])</f>
        <v/>
      </c>
      <c r="AI619" s="6" t="n"/>
      <c r="AJ619" s="6" t="n"/>
      <c r="AK619" s="6" t="n"/>
      <c r="AL619" s="3">
        <f>IF(tblOrdenes[[#This Row],[link_checklist]]="","",HYPERLINK(p_ruta_base_checklists&amp;tblOrdenes[[#This Row],[link_checklist]],"abrir"))</f>
        <v/>
      </c>
      <c r="AM619" s="6" t="n"/>
      <c r="AN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Row],[tipo_ot]]="","",_xlfn.XLOOKUP(tblOrdenes[[#This Row],[tipo_ot]],tblTiposOT[codigo],tblTiposOT[clasificacion],"sin_clasificar"))</f>
        <v/>
      </c>
      <c r="T620" s="3">
        <f>IF(tblOrdenes[[#This Row],[centro_costo]]="","",_xlfn.XLOOKUP(tblOrdenes[[#This Row],[centro_costo]],tblCECO[codigo],tblCECO[linea],"(sin catálogo)"))</f>
        <v/>
      </c>
      <c r="U620" s="3">
        <f>IF(tblOrdenes[[#This Row],[centro_costo]]="","",_xlfn.XLOOKUP(tblOrdenes[[#This Row],[centro_costo]],tblCECO[codigo],tblCECO[area],"(sin catálogo)"))</f>
        <v/>
      </c>
      <c r="V620" s="3">
        <f>IF(tblOrdenes[[#This Row],[centro_costo]]="","",_xlfn.XLOOKUP(tblOrdenes[[#This Row],[centro_costo]],tblCECO[codigo],tblCECO[coordinador],"(sin catálogo)"))</f>
        <v/>
      </c>
      <c r="W620" s="3">
        <f>IF(tblOrdenes[[#This Row],[puesto_trabajo]]="","",_xlfn.XLOOKUP(tblOrdenes[[#This Row],[puesto_trabajo]],tblPuestos[codigo],tblPuestos[especialidad],"(sin catálogo)"))</f>
        <v/>
      </c>
      <c r="X620" s="3">
        <f>IF(tblOrdenes[[#This Row],[cod_actividad]]="","",_xlfn.XLOOKUP(tblOrdenes[[#This Row],[cod_actividad]],tblActividades[codigo],tblActividades[descripcion],"(sin catálogo)"))</f>
        <v/>
      </c>
      <c r="Y620" s="12">
        <f>IF(tblOrdenes[[#This Row],[fecha_inicio]]="","",TODAY()-tblOrdenes[[#This Row],[fecha_inicio]])</f>
        <v/>
      </c>
      <c r="Z620" s="3">
        <f>IF(tblOrdenes[[#This Row],[backlog_dias]]="","",IF(tblOrdenes[[#This Row],[backlog_dias]]&lt;0,"FUTURO",IF(tblOrdenes[[#This Row],[backlog_dias]]&gt;p_dias_backlog_max,"BACKLOG","MES CORRIENTE")))</f>
        <v/>
      </c>
      <c r="AA620" s="3">
        <f>IF(tblOrdenes[[#This Row],[backlog_dias]]="",FALSE,AND(tblOrdenes[[#This Row],[backlog_dias]]&gt;p_dias_backlog_min,tblOrdenes[[#This Row],[backlog_dias]]&lt;=p_dias_backlog_max))</f>
        <v/>
      </c>
      <c r="AB620" s="6" t="n"/>
      <c r="AC6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0" s="10">
        <f>IF(tblOrdenes[[#This Row],[orden]]="","",_xlfn.XLOOKUP(tblOrdenes[[#This Row],[id_operacion]],tblEjecucion[id_operacion],tblEjecucion[precio],0))</f>
        <v/>
      </c>
      <c r="AG620" s="10">
        <f>IF(tblOrdenes[[#This Row],[orden]]="","",MAX(0,_xlfn.XLOOKUP(tblOrdenes[[#This Row],[id_operacion]],tblEjecucion[id_operacion],tblEjecucion[costo_plan_total],0)-tblOrdenes[[#This Row],[costo_servicio]]))</f>
        <v/>
      </c>
      <c r="AH620" s="10">
        <f>IF(tblOrdenes[[#This Row],[orden]]="","",tblOrdenes[[#This Row],[costo_servicio]]+tblOrdenes[[#This Row],[costo_materiales]])</f>
        <v/>
      </c>
      <c r="AI620" s="6" t="n"/>
      <c r="AJ620" s="6" t="n"/>
      <c r="AK620" s="6" t="n"/>
      <c r="AL620" s="3">
        <f>IF(tblOrdenes[[#This Row],[link_checklist]]="","",HYPERLINK(p_ruta_base_checklists&amp;tblOrdenes[[#This Row],[link_checklist]],"abrir"))</f>
        <v/>
      </c>
      <c r="AM620" s="6" t="n"/>
      <c r="AN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Row],[tipo_ot]]="","",_xlfn.XLOOKUP(tblOrdenes[[#This Row],[tipo_ot]],tblTiposOT[codigo],tblTiposOT[clasificacion],"sin_clasificar"))</f>
        <v/>
      </c>
      <c r="T621" s="3">
        <f>IF(tblOrdenes[[#This Row],[centro_costo]]="","",_xlfn.XLOOKUP(tblOrdenes[[#This Row],[centro_costo]],tblCECO[codigo],tblCECO[linea],"(sin catálogo)"))</f>
        <v/>
      </c>
      <c r="U621" s="3">
        <f>IF(tblOrdenes[[#This Row],[centro_costo]]="","",_xlfn.XLOOKUP(tblOrdenes[[#This Row],[centro_costo]],tblCECO[codigo],tblCECO[area],"(sin catálogo)"))</f>
        <v/>
      </c>
      <c r="V621" s="3">
        <f>IF(tblOrdenes[[#This Row],[centro_costo]]="","",_xlfn.XLOOKUP(tblOrdenes[[#This Row],[centro_costo]],tblCECO[codigo],tblCECO[coordinador],"(sin catálogo)"))</f>
        <v/>
      </c>
      <c r="W621" s="3">
        <f>IF(tblOrdenes[[#This Row],[puesto_trabajo]]="","",_xlfn.XLOOKUP(tblOrdenes[[#This Row],[puesto_trabajo]],tblPuestos[codigo],tblPuestos[especialidad],"(sin catálogo)"))</f>
        <v/>
      </c>
      <c r="X621" s="3">
        <f>IF(tblOrdenes[[#This Row],[cod_actividad]]="","",_xlfn.XLOOKUP(tblOrdenes[[#This Row],[cod_actividad]],tblActividades[codigo],tblActividades[descripcion],"(sin catálogo)"))</f>
        <v/>
      </c>
      <c r="Y621" s="12">
        <f>IF(tblOrdenes[[#This Row],[fecha_inicio]]="","",TODAY()-tblOrdenes[[#This Row],[fecha_inicio]])</f>
        <v/>
      </c>
      <c r="Z621" s="3">
        <f>IF(tblOrdenes[[#This Row],[backlog_dias]]="","",IF(tblOrdenes[[#This Row],[backlog_dias]]&lt;0,"FUTURO",IF(tblOrdenes[[#This Row],[backlog_dias]]&gt;p_dias_backlog_max,"BACKLOG","MES CORRIENTE")))</f>
        <v/>
      </c>
      <c r="AA621" s="3">
        <f>IF(tblOrdenes[[#This Row],[backlog_dias]]="",FALSE,AND(tblOrdenes[[#This Row],[backlog_dias]]&gt;p_dias_backlog_min,tblOrdenes[[#This Row],[backlog_dias]]&lt;=p_dias_backlog_max))</f>
        <v/>
      </c>
      <c r="AB621" s="6" t="n"/>
      <c r="AC6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1" s="10">
        <f>IF(tblOrdenes[[#This Row],[orden]]="","",_xlfn.XLOOKUP(tblOrdenes[[#This Row],[id_operacion]],tblEjecucion[id_operacion],tblEjecucion[precio],0))</f>
        <v/>
      </c>
      <c r="AG621" s="10">
        <f>IF(tblOrdenes[[#This Row],[orden]]="","",MAX(0,_xlfn.XLOOKUP(tblOrdenes[[#This Row],[id_operacion]],tblEjecucion[id_operacion],tblEjecucion[costo_plan_total],0)-tblOrdenes[[#This Row],[costo_servicio]]))</f>
        <v/>
      </c>
      <c r="AH621" s="10">
        <f>IF(tblOrdenes[[#This Row],[orden]]="","",tblOrdenes[[#This Row],[costo_servicio]]+tblOrdenes[[#This Row],[costo_materiales]])</f>
        <v/>
      </c>
      <c r="AI621" s="6" t="n"/>
      <c r="AJ621" s="6" t="n"/>
      <c r="AK621" s="6" t="n"/>
      <c r="AL621" s="3">
        <f>IF(tblOrdenes[[#This Row],[link_checklist]]="","",HYPERLINK(p_ruta_base_checklists&amp;tblOrdenes[[#This Row],[link_checklist]],"abrir"))</f>
        <v/>
      </c>
      <c r="AM621" s="6" t="n"/>
      <c r="AN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Row],[tipo_ot]]="","",_xlfn.XLOOKUP(tblOrdenes[[#This Row],[tipo_ot]],tblTiposOT[codigo],tblTiposOT[clasificacion],"sin_clasificar"))</f>
        <v/>
      </c>
      <c r="T622" s="3">
        <f>IF(tblOrdenes[[#This Row],[centro_costo]]="","",_xlfn.XLOOKUP(tblOrdenes[[#This Row],[centro_costo]],tblCECO[codigo],tblCECO[linea],"(sin catálogo)"))</f>
        <v/>
      </c>
      <c r="U622" s="3">
        <f>IF(tblOrdenes[[#This Row],[centro_costo]]="","",_xlfn.XLOOKUP(tblOrdenes[[#This Row],[centro_costo]],tblCECO[codigo],tblCECO[area],"(sin catálogo)"))</f>
        <v/>
      </c>
      <c r="V622" s="3">
        <f>IF(tblOrdenes[[#This Row],[centro_costo]]="","",_xlfn.XLOOKUP(tblOrdenes[[#This Row],[centro_costo]],tblCECO[codigo],tblCECO[coordinador],"(sin catálogo)"))</f>
        <v/>
      </c>
      <c r="W622" s="3">
        <f>IF(tblOrdenes[[#This Row],[puesto_trabajo]]="","",_xlfn.XLOOKUP(tblOrdenes[[#This Row],[puesto_trabajo]],tblPuestos[codigo],tblPuestos[especialidad],"(sin catálogo)"))</f>
        <v/>
      </c>
      <c r="X622" s="3">
        <f>IF(tblOrdenes[[#This Row],[cod_actividad]]="","",_xlfn.XLOOKUP(tblOrdenes[[#This Row],[cod_actividad]],tblActividades[codigo],tblActividades[descripcion],"(sin catálogo)"))</f>
        <v/>
      </c>
      <c r="Y622" s="12">
        <f>IF(tblOrdenes[[#This Row],[fecha_inicio]]="","",TODAY()-tblOrdenes[[#This Row],[fecha_inicio]])</f>
        <v/>
      </c>
      <c r="Z622" s="3">
        <f>IF(tblOrdenes[[#This Row],[backlog_dias]]="","",IF(tblOrdenes[[#This Row],[backlog_dias]]&lt;0,"FUTURO",IF(tblOrdenes[[#This Row],[backlog_dias]]&gt;p_dias_backlog_max,"BACKLOG","MES CORRIENTE")))</f>
        <v/>
      </c>
      <c r="AA622" s="3">
        <f>IF(tblOrdenes[[#This Row],[backlog_dias]]="",FALSE,AND(tblOrdenes[[#This Row],[backlog_dias]]&gt;p_dias_backlog_min,tblOrdenes[[#This Row],[backlog_dias]]&lt;=p_dias_backlog_max))</f>
        <v/>
      </c>
      <c r="AB622" s="6" t="n"/>
      <c r="AC6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2" s="10">
        <f>IF(tblOrdenes[[#This Row],[orden]]="","",_xlfn.XLOOKUP(tblOrdenes[[#This Row],[id_operacion]],tblEjecucion[id_operacion],tblEjecucion[precio],0))</f>
        <v/>
      </c>
      <c r="AG622" s="10">
        <f>IF(tblOrdenes[[#This Row],[orden]]="","",MAX(0,_xlfn.XLOOKUP(tblOrdenes[[#This Row],[id_operacion]],tblEjecucion[id_operacion],tblEjecucion[costo_plan_total],0)-tblOrdenes[[#This Row],[costo_servicio]]))</f>
        <v/>
      </c>
      <c r="AH622" s="10">
        <f>IF(tblOrdenes[[#This Row],[orden]]="","",tblOrdenes[[#This Row],[costo_servicio]]+tblOrdenes[[#This Row],[costo_materiales]])</f>
        <v/>
      </c>
      <c r="AI622" s="6" t="n"/>
      <c r="AJ622" s="6" t="n"/>
      <c r="AK622" s="6" t="n"/>
      <c r="AL622" s="3">
        <f>IF(tblOrdenes[[#This Row],[link_checklist]]="","",HYPERLINK(p_ruta_base_checklists&amp;tblOrdenes[[#This Row],[link_checklist]],"abrir"))</f>
        <v/>
      </c>
      <c r="AM622" s="6" t="n"/>
      <c r="AN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Row],[tipo_ot]]="","",_xlfn.XLOOKUP(tblOrdenes[[#This Row],[tipo_ot]],tblTiposOT[codigo],tblTiposOT[clasificacion],"sin_clasificar"))</f>
        <v/>
      </c>
      <c r="T623" s="3">
        <f>IF(tblOrdenes[[#This Row],[centro_costo]]="","",_xlfn.XLOOKUP(tblOrdenes[[#This Row],[centro_costo]],tblCECO[codigo],tblCECO[linea],"(sin catálogo)"))</f>
        <v/>
      </c>
      <c r="U623" s="3">
        <f>IF(tblOrdenes[[#This Row],[centro_costo]]="","",_xlfn.XLOOKUP(tblOrdenes[[#This Row],[centro_costo]],tblCECO[codigo],tblCECO[area],"(sin catálogo)"))</f>
        <v/>
      </c>
      <c r="V623" s="3">
        <f>IF(tblOrdenes[[#This Row],[centro_costo]]="","",_xlfn.XLOOKUP(tblOrdenes[[#This Row],[centro_costo]],tblCECO[codigo],tblCECO[coordinador],"(sin catálogo)"))</f>
        <v/>
      </c>
      <c r="W623" s="3">
        <f>IF(tblOrdenes[[#This Row],[puesto_trabajo]]="","",_xlfn.XLOOKUP(tblOrdenes[[#This Row],[puesto_trabajo]],tblPuestos[codigo],tblPuestos[especialidad],"(sin catálogo)"))</f>
        <v/>
      </c>
      <c r="X623" s="3">
        <f>IF(tblOrdenes[[#This Row],[cod_actividad]]="","",_xlfn.XLOOKUP(tblOrdenes[[#This Row],[cod_actividad]],tblActividades[codigo],tblActividades[descripcion],"(sin catálogo)"))</f>
        <v/>
      </c>
      <c r="Y623" s="12">
        <f>IF(tblOrdenes[[#This Row],[fecha_inicio]]="","",TODAY()-tblOrdenes[[#This Row],[fecha_inicio]])</f>
        <v/>
      </c>
      <c r="Z623" s="3">
        <f>IF(tblOrdenes[[#This Row],[backlog_dias]]="","",IF(tblOrdenes[[#This Row],[backlog_dias]]&lt;0,"FUTURO",IF(tblOrdenes[[#This Row],[backlog_dias]]&gt;p_dias_backlog_max,"BACKLOG","MES CORRIENTE")))</f>
        <v/>
      </c>
      <c r="AA623" s="3">
        <f>IF(tblOrdenes[[#This Row],[backlog_dias]]="",FALSE,AND(tblOrdenes[[#This Row],[backlog_dias]]&gt;p_dias_backlog_min,tblOrdenes[[#This Row],[backlog_dias]]&lt;=p_dias_backlog_max))</f>
        <v/>
      </c>
      <c r="AB623" s="6" t="n"/>
      <c r="AC6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3" s="10">
        <f>IF(tblOrdenes[[#This Row],[orden]]="","",_xlfn.XLOOKUP(tblOrdenes[[#This Row],[id_operacion]],tblEjecucion[id_operacion],tblEjecucion[precio],0))</f>
        <v/>
      </c>
      <c r="AG623" s="10">
        <f>IF(tblOrdenes[[#This Row],[orden]]="","",MAX(0,_xlfn.XLOOKUP(tblOrdenes[[#This Row],[id_operacion]],tblEjecucion[id_operacion],tblEjecucion[costo_plan_total],0)-tblOrdenes[[#This Row],[costo_servicio]]))</f>
        <v/>
      </c>
      <c r="AH623" s="10">
        <f>IF(tblOrdenes[[#This Row],[orden]]="","",tblOrdenes[[#This Row],[costo_servicio]]+tblOrdenes[[#This Row],[costo_materiales]])</f>
        <v/>
      </c>
      <c r="AI623" s="6" t="n"/>
      <c r="AJ623" s="6" t="n"/>
      <c r="AK623" s="6" t="n"/>
      <c r="AL623" s="3">
        <f>IF(tblOrdenes[[#This Row],[link_checklist]]="","",HYPERLINK(p_ruta_base_checklists&amp;tblOrdenes[[#This Row],[link_checklist]],"abrir"))</f>
        <v/>
      </c>
      <c r="AM623" s="6" t="n"/>
      <c r="AN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Row],[tipo_ot]]="","",_xlfn.XLOOKUP(tblOrdenes[[#This Row],[tipo_ot]],tblTiposOT[codigo],tblTiposOT[clasificacion],"sin_clasificar"))</f>
        <v/>
      </c>
      <c r="T624" s="3">
        <f>IF(tblOrdenes[[#This Row],[centro_costo]]="","",_xlfn.XLOOKUP(tblOrdenes[[#This Row],[centro_costo]],tblCECO[codigo],tblCECO[linea],"(sin catálogo)"))</f>
        <v/>
      </c>
      <c r="U624" s="3">
        <f>IF(tblOrdenes[[#This Row],[centro_costo]]="","",_xlfn.XLOOKUP(tblOrdenes[[#This Row],[centro_costo]],tblCECO[codigo],tblCECO[area],"(sin catálogo)"))</f>
        <v/>
      </c>
      <c r="V624" s="3">
        <f>IF(tblOrdenes[[#This Row],[centro_costo]]="","",_xlfn.XLOOKUP(tblOrdenes[[#This Row],[centro_costo]],tblCECO[codigo],tblCECO[coordinador],"(sin catálogo)"))</f>
        <v/>
      </c>
      <c r="W624" s="3">
        <f>IF(tblOrdenes[[#This Row],[puesto_trabajo]]="","",_xlfn.XLOOKUP(tblOrdenes[[#This Row],[puesto_trabajo]],tblPuestos[codigo],tblPuestos[especialidad],"(sin catálogo)"))</f>
        <v/>
      </c>
      <c r="X624" s="3">
        <f>IF(tblOrdenes[[#This Row],[cod_actividad]]="","",_xlfn.XLOOKUP(tblOrdenes[[#This Row],[cod_actividad]],tblActividades[codigo],tblActividades[descripcion],"(sin catálogo)"))</f>
        <v/>
      </c>
      <c r="Y624" s="12">
        <f>IF(tblOrdenes[[#This Row],[fecha_inicio]]="","",TODAY()-tblOrdenes[[#This Row],[fecha_inicio]])</f>
        <v/>
      </c>
      <c r="Z624" s="3">
        <f>IF(tblOrdenes[[#This Row],[backlog_dias]]="","",IF(tblOrdenes[[#This Row],[backlog_dias]]&lt;0,"FUTURO",IF(tblOrdenes[[#This Row],[backlog_dias]]&gt;p_dias_backlog_max,"BACKLOG","MES CORRIENTE")))</f>
        <v/>
      </c>
      <c r="AA624" s="3">
        <f>IF(tblOrdenes[[#This Row],[backlog_dias]]="",FALSE,AND(tblOrdenes[[#This Row],[backlog_dias]]&gt;p_dias_backlog_min,tblOrdenes[[#This Row],[backlog_dias]]&lt;=p_dias_backlog_max))</f>
        <v/>
      </c>
      <c r="AB624" s="6" t="n"/>
      <c r="AC6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4" s="10">
        <f>IF(tblOrdenes[[#This Row],[orden]]="","",_xlfn.XLOOKUP(tblOrdenes[[#This Row],[id_operacion]],tblEjecucion[id_operacion],tblEjecucion[precio],0))</f>
        <v/>
      </c>
      <c r="AG624" s="10">
        <f>IF(tblOrdenes[[#This Row],[orden]]="","",MAX(0,_xlfn.XLOOKUP(tblOrdenes[[#This Row],[id_operacion]],tblEjecucion[id_operacion],tblEjecucion[costo_plan_total],0)-tblOrdenes[[#This Row],[costo_servicio]]))</f>
        <v/>
      </c>
      <c r="AH624" s="10">
        <f>IF(tblOrdenes[[#This Row],[orden]]="","",tblOrdenes[[#This Row],[costo_servicio]]+tblOrdenes[[#This Row],[costo_materiales]])</f>
        <v/>
      </c>
      <c r="AI624" s="6" t="n"/>
      <c r="AJ624" s="6" t="n"/>
      <c r="AK624" s="6" t="n"/>
      <c r="AL624" s="3">
        <f>IF(tblOrdenes[[#This Row],[link_checklist]]="","",HYPERLINK(p_ruta_base_checklists&amp;tblOrdenes[[#This Row],[link_checklist]],"abrir"))</f>
        <v/>
      </c>
      <c r="AM624" s="6" t="n"/>
      <c r="AN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Row],[tipo_ot]]="","",_xlfn.XLOOKUP(tblOrdenes[[#This Row],[tipo_ot]],tblTiposOT[codigo],tblTiposOT[clasificacion],"sin_clasificar"))</f>
        <v/>
      </c>
      <c r="T625" s="3">
        <f>IF(tblOrdenes[[#This Row],[centro_costo]]="","",_xlfn.XLOOKUP(tblOrdenes[[#This Row],[centro_costo]],tblCECO[codigo],tblCECO[linea],"(sin catálogo)"))</f>
        <v/>
      </c>
      <c r="U625" s="3">
        <f>IF(tblOrdenes[[#This Row],[centro_costo]]="","",_xlfn.XLOOKUP(tblOrdenes[[#This Row],[centro_costo]],tblCECO[codigo],tblCECO[area],"(sin catálogo)"))</f>
        <v/>
      </c>
      <c r="V625" s="3">
        <f>IF(tblOrdenes[[#This Row],[centro_costo]]="","",_xlfn.XLOOKUP(tblOrdenes[[#This Row],[centro_costo]],tblCECO[codigo],tblCECO[coordinador],"(sin catálogo)"))</f>
        <v/>
      </c>
      <c r="W625" s="3">
        <f>IF(tblOrdenes[[#This Row],[puesto_trabajo]]="","",_xlfn.XLOOKUP(tblOrdenes[[#This Row],[puesto_trabajo]],tblPuestos[codigo],tblPuestos[especialidad],"(sin catálogo)"))</f>
        <v/>
      </c>
      <c r="X625" s="3">
        <f>IF(tblOrdenes[[#This Row],[cod_actividad]]="","",_xlfn.XLOOKUP(tblOrdenes[[#This Row],[cod_actividad]],tblActividades[codigo],tblActividades[descripcion],"(sin catálogo)"))</f>
        <v/>
      </c>
      <c r="Y625" s="12">
        <f>IF(tblOrdenes[[#This Row],[fecha_inicio]]="","",TODAY()-tblOrdenes[[#This Row],[fecha_inicio]])</f>
        <v/>
      </c>
      <c r="Z625" s="3">
        <f>IF(tblOrdenes[[#This Row],[backlog_dias]]="","",IF(tblOrdenes[[#This Row],[backlog_dias]]&lt;0,"FUTURO",IF(tblOrdenes[[#This Row],[backlog_dias]]&gt;p_dias_backlog_max,"BACKLOG","MES CORRIENTE")))</f>
        <v/>
      </c>
      <c r="AA625" s="3">
        <f>IF(tblOrdenes[[#This Row],[backlog_dias]]="",FALSE,AND(tblOrdenes[[#This Row],[backlog_dias]]&gt;p_dias_backlog_min,tblOrdenes[[#This Row],[backlog_dias]]&lt;=p_dias_backlog_max))</f>
        <v/>
      </c>
      <c r="AB625" s="6" t="n"/>
      <c r="AC6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5" s="10">
        <f>IF(tblOrdenes[[#This Row],[orden]]="","",_xlfn.XLOOKUP(tblOrdenes[[#This Row],[id_operacion]],tblEjecucion[id_operacion],tblEjecucion[precio],0))</f>
        <v/>
      </c>
      <c r="AG625" s="10">
        <f>IF(tblOrdenes[[#This Row],[orden]]="","",MAX(0,_xlfn.XLOOKUP(tblOrdenes[[#This Row],[id_operacion]],tblEjecucion[id_operacion],tblEjecucion[costo_plan_total],0)-tblOrdenes[[#This Row],[costo_servicio]]))</f>
        <v/>
      </c>
      <c r="AH625" s="10">
        <f>IF(tblOrdenes[[#This Row],[orden]]="","",tblOrdenes[[#This Row],[costo_servicio]]+tblOrdenes[[#This Row],[costo_materiales]])</f>
        <v/>
      </c>
      <c r="AI625" s="6" t="n"/>
      <c r="AJ625" s="6" t="n"/>
      <c r="AK625" s="6" t="n"/>
      <c r="AL625" s="3">
        <f>IF(tblOrdenes[[#This Row],[link_checklist]]="","",HYPERLINK(p_ruta_base_checklists&amp;tblOrdenes[[#This Row],[link_checklist]],"abrir"))</f>
        <v/>
      </c>
      <c r="AM625" s="6" t="n"/>
      <c r="AN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Row],[tipo_ot]]="","",_xlfn.XLOOKUP(tblOrdenes[[#This Row],[tipo_ot]],tblTiposOT[codigo],tblTiposOT[clasificacion],"sin_clasificar"))</f>
        <v/>
      </c>
      <c r="T626" s="3">
        <f>IF(tblOrdenes[[#This Row],[centro_costo]]="","",_xlfn.XLOOKUP(tblOrdenes[[#This Row],[centro_costo]],tblCECO[codigo],tblCECO[linea],"(sin catálogo)"))</f>
        <v/>
      </c>
      <c r="U626" s="3">
        <f>IF(tblOrdenes[[#This Row],[centro_costo]]="","",_xlfn.XLOOKUP(tblOrdenes[[#This Row],[centro_costo]],tblCECO[codigo],tblCECO[area],"(sin catálogo)"))</f>
        <v/>
      </c>
      <c r="V626" s="3">
        <f>IF(tblOrdenes[[#This Row],[centro_costo]]="","",_xlfn.XLOOKUP(tblOrdenes[[#This Row],[centro_costo]],tblCECO[codigo],tblCECO[coordinador],"(sin catálogo)"))</f>
        <v/>
      </c>
      <c r="W626" s="3">
        <f>IF(tblOrdenes[[#This Row],[puesto_trabajo]]="","",_xlfn.XLOOKUP(tblOrdenes[[#This Row],[puesto_trabajo]],tblPuestos[codigo],tblPuestos[especialidad],"(sin catálogo)"))</f>
        <v/>
      </c>
      <c r="X626" s="3">
        <f>IF(tblOrdenes[[#This Row],[cod_actividad]]="","",_xlfn.XLOOKUP(tblOrdenes[[#This Row],[cod_actividad]],tblActividades[codigo],tblActividades[descripcion],"(sin catálogo)"))</f>
        <v/>
      </c>
      <c r="Y626" s="12">
        <f>IF(tblOrdenes[[#This Row],[fecha_inicio]]="","",TODAY()-tblOrdenes[[#This Row],[fecha_inicio]])</f>
        <v/>
      </c>
      <c r="Z626" s="3">
        <f>IF(tblOrdenes[[#This Row],[backlog_dias]]="","",IF(tblOrdenes[[#This Row],[backlog_dias]]&lt;0,"FUTURO",IF(tblOrdenes[[#This Row],[backlog_dias]]&gt;p_dias_backlog_max,"BACKLOG","MES CORRIENTE")))</f>
        <v/>
      </c>
      <c r="AA626" s="3">
        <f>IF(tblOrdenes[[#This Row],[backlog_dias]]="",FALSE,AND(tblOrdenes[[#This Row],[backlog_dias]]&gt;p_dias_backlog_min,tblOrdenes[[#This Row],[backlog_dias]]&lt;=p_dias_backlog_max))</f>
        <v/>
      </c>
      <c r="AB626" s="6" t="n"/>
      <c r="AC6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6" s="10">
        <f>IF(tblOrdenes[[#This Row],[orden]]="","",_xlfn.XLOOKUP(tblOrdenes[[#This Row],[id_operacion]],tblEjecucion[id_operacion],tblEjecucion[precio],0))</f>
        <v/>
      </c>
      <c r="AG626" s="10">
        <f>IF(tblOrdenes[[#This Row],[orden]]="","",MAX(0,_xlfn.XLOOKUP(tblOrdenes[[#This Row],[id_operacion]],tblEjecucion[id_operacion],tblEjecucion[costo_plan_total],0)-tblOrdenes[[#This Row],[costo_servicio]]))</f>
        <v/>
      </c>
      <c r="AH626" s="10">
        <f>IF(tblOrdenes[[#This Row],[orden]]="","",tblOrdenes[[#This Row],[costo_servicio]]+tblOrdenes[[#This Row],[costo_materiales]])</f>
        <v/>
      </c>
      <c r="AI626" s="6" t="n"/>
      <c r="AJ626" s="6" t="n"/>
      <c r="AK626" s="6" t="n"/>
      <c r="AL626" s="3">
        <f>IF(tblOrdenes[[#This Row],[link_checklist]]="","",HYPERLINK(p_ruta_base_checklists&amp;tblOrdenes[[#This Row],[link_checklist]],"abrir"))</f>
        <v/>
      </c>
      <c r="AM626" s="6" t="n"/>
      <c r="AN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Row],[tipo_ot]]="","",_xlfn.XLOOKUP(tblOrdenes[[#This Row],[tipo_ot]],tblTiposOT[codigo],tblTiposOT[clasificacion],"sin_clasificar"))</f>
        <v/>
      </c>
      <c r="T627" s="3">
        <f>IF(tblOrdenes[[#This Row],[centro_costo]]="","",_xlfn.XLOOKUP(tblOrdenes[[#This Row],[centro_costo]],tblCECO[codigo],tblCECO[linea],"(sin catálogo)"))</f>
        <v/>
      </c>
      <c r="U627" s="3">
        <f>IF(tblOrdenes[[#This Row],[centro_costo]]="","",_xlfn.XLOOKUP(tblOrdenes[[#This Row],[centro_costo]],tblCECO[codigo],tblCECO[area],"(sin catálogo)"))</f>
        <v/>
      </c>
      <c r="V627" s="3">
        <f>IF(tblOrdenes[[#This Row],[centro_costo]]="","",_xlfn.XLOOKUP(tblOrdenes[[#This Row],[centro_costo]],tblCECO[codigo],tblCECO[coordinador],"(sin catálogo)"))</f>
        <v/>
      </c>
      <c r="W627" s="3">
        <f>IF(tblOrdenes[[#This Row],[puesto_trabajo]]="","",_xlfn.XLOOKUP(tblOrdenes[[#This Row],[puesto_trabajo]],tblPuestos[codigo],tblPuestos[especialidad],"(sin catálogo)"))</f>
        <v/>
      </c>
      <c r="X627" s="3">
        <f>IF(tblOrdenes[[#This Row],[cod_actividad]]="","",_xlfn.XLOOKUP(tblOrdenes[[#This Row],[cod_actividad]],tblActividades[codigo],tblActividades[descripcion],"(sin catálogo)"))</f>
        <v/>
      </c>
      <c r="Y627" s="12">
        <f>IF(tblOrdenes[[#This Row],[fecha_inicio]]="","",TODAY()-tblOrdenes[[#This Row],[fecha_inicio]])</f>
        <v/>
      </c>
      <c r="Z627" s="3">
        <f>IF(tblOrdenes[[#This Row],[backlog_dias]]="","",IF(tblOrdenes[[#This Row],[backlog_dias]]&lt;0,"FUTURO",IF(tblOrdenes[[#This Row],[backlog_dias]]&gt;p_dias_backlog_max,"BACKLOG","MES CORRIENTE")))</f>
        <v/>
      </c>
      <c r="AA627" s="3">
        <f>IF(tblOrdenes[[#This Row],[backlog_dias]]="",FALSE,AND(tblOrdenes[[#This Row],[backlog_dias]]&gt;p_dias_backlog_min,tblOrdenes[[#This Row],[backlog_dias]]&lt;=p_dias_backlog_max))</f>
        <v/>
      </c>
      <c r="AB627" s="6" t="n"/>
      <c r="AC6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7" s="10">
        <f>IF(tblOrdenes[[#This Row],[orden]]="","",_xlfn.XLOOKUP(tblOrdenes[[#This Row],[id_operacion]],tblEjecucion[id_operacion],tblEjecucion[precio],0))</f>
        <v/>
      </c>
      <c r="AG627" s="10">
        <f>IF(tblOrdenes[[#This Row],[orden]]="","",MAX(0,_xlfn.XLOOKUP(tblOrdenes[[#This Row],[id_operacion]],tblEjecucion[id_operacion],tblEjecucion[costo_plan_total],0)-tblOrdenes[[#This Row],[costo_servicio]]))</f>
        <v/>
      </c>
      <c r="AH627" s="10">
        <f>IF(tblOrdenes[[#This Row],[orden]]="","",tblOrdenes[[#This Row],[costo_servicio]]+tblOrdenes[[#This Row],[costo_materiales]])</f>
        <v/>
      </c>
      <c r="AI627" s="6" t="n"/>
      <c r="AJ627" s="6" t="n"/>
      <c r="AK627" s="6" t="n"/>
      <c r="AL627" s="3">
        <f>IF(tblOrdenes[[#This Row],[link_checklist]]="","",HYPERLINK(p_ruta_base_checklists&amp;tblOrdenes[[#This Row],[link_checklist]],"abrir"))</f>
        <v/>
      </c>
      <c r="AM627" s="6" t="n"/>
      <c r="AN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Row],[tipo_ot]]="","",_xlfn.XLOOKUP(tblOrdenes[[#This Row],[tipo_ot]],tblTiposOT[codigo],tblTiposOT[clasificacion],"sin_clasificar"))</f>
        <v/>
      </c>
      <c r="T628" s="3">
        <f>IF(tblOrdenes[[#This Row],[centro_costo]]="","",_xlfn.XLOOKUP(tblOrdenes[[#This Row],[centro_costo]],tblCECO[codigo],tblCECO[linea],"(sin catálogo)"))</f>
        <v/>
      </c>
      <c r="U628" s="3">
        <f>IF(tblOrdenes[[#This Row],[centro_costo]]="","",_xlfn.XLOOKUP(tblOrdenes[[#This Row],[centro_costo]],tblCECO[codigo],tblCECO[area],"(sin catálogo)"))</f>
        <v/>
      </c>
      <c r="V628" s="3">
        <f>IF(tblOrdenes[[#This Row],[centro_costo]]="","",_xlfn.XLOOKUP(tblOrdenes[[#This Row],[centro_costo]],tblCECO[codigo],tblCECO[coordinador],"(sin catálogo)"))</f>
        <v/>
      </c>
      <c r="W628" s="3">
        <f>IF(tblOrdenes[[#This Row],[puesto_trabajo]]="","",_xlfn.XLOOKUP(tblOrdenes[[#This Row],[puesto_trabajo]],tblPuestos[codigo],tblPuestos[especialidad],"(sin catálogo)"))</f>
        <v/>
      </c>
      <c r="X628" s="3">
        <f>IF(tblOrdenes[[#This Row],[cod_actividad]]="","",_xlfn.XLOOKUP(tblOrdenes[[#This Row],[cod_actividad]],tblActividades[codigo],tblActividades[descripcion],"(sin catálogo)"))</f>
        <v/>
      </c>
      <c r="Y628" s="12">
        <f>IF(tblOrdenes[[#This Row],[fecha_inicio]]="","",TODAY()-tblOrdenes[[#This Row],[fecha_inicio]])</f>
        <v/>
      </c>
      <c r="Z628" s="3">
        <f>IF(tblOrdenes[[#This Row],[backlog_dias]]="","",IF(tblOrdenes[[#This Row],[backlog_dias]]&lt;0,"FUTURO",IF(tblOrdenes[[#This Row],[backlog_dias]]&gt;p_dias_backlog_max,"BACKLOG","MES CORRIENTE")))</f>
        <v/>
      </c>
      <c r="AA628" s="3">
        <f>IF(tblOrdenes[[#This Row],[backlog_dias]]="",FALSE,AND(tblOrdenes[[#This Row],[backlog_dias]]&gt;p_dias_backlog_min,tblOrdenes[[#This Row],[backlog_dias]]&lt;=p_dias_backlog_max))</f>
        <v/>
      </c>
      <c r="AB628" s="6" t="n"/>
      <c r="AC6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8" s="10">
        <f>IF(tblOrdenes[[#This Row],[orden]]="","",_xlfn.XLOOKUP(tblOrdenes[[#This Row],[id_operacion]],tblEjecucion[id_operacion],tblEjecucion[precio],0))</f>
        <v/>
      </c>
      <c r="AG628" s="10">
        <f>IF(tblOrdenes[[#This Row],[orden]]="","",MAX(0,_xlfn.XLOOKUP(tblOrdenes[[#This Row],[id_operacion]],tblEjecucion[id_operacion],tblEjecucion[costo_plan_total],0)-tblOrdenes[[#This Row],[costo_servicio]]))</f>
        <v/>
      </c>
      <c r="AH628" s="10">
        <f>IF(tblOrdenes[[#This Row],[orden]]="","",tblOrdenes[[#This Row],[costo_servicio]]+tblOrdenes[[#This Row],[costo_materiales]])</f>
        <v/>
      </c>
      <c r="AI628" s="6" t="n"/>
      <c r="AJ628" s="6" t="n"/>
      <c r="AK628" s="6" t="n"/>
      <c r="AL628" s="3">
        <f>IF(tblOrdenes[[#This Row],[link_checklist]]="","",HYPERLINK(p_ruta_base_checklists&amp;tblOrdenes[[#This Row],[link_checklist]],"abrir"))</f>
        <v/>
      </c>
      <c r="AM628" s="6" t="n"/>
      <c r="AN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Row],[tipo_ot]]="","",_xlfn.XLOOKUP(tblOrdenes[[#This Row],[tipo_ot]],tblTiposOT[codigo],tblTiposOT[clasificacion],"sin_clasificar"))</f>
        <v/>
      </c>
      <c r="T629" s="3">
        <f>IF(tblOrdenes[[#This Row],[centro_costo]]="","",_xlfn.XLOOKUP(tblOrdenes[[#This Row],[centro_costo]],tblCECO[codigo],tblCECO[linea],"(sin catálogo)"))</f>
        <v/>
      </c>
      <c r="U629" s="3">
        <f>IF(tblOrdenes[[#This Row],[centro_costo]]="","",_xlfn.XLOOKUP(tblOrdenes[[#This Row],[centro_costo]],tblCECO[codigo],tblCECO[area],"(sin catálogo)"))</f>
        <v/>
      </c>
      <c r="V629" s="3">
        <f>IF(tblOrdenes[[#This Row],[centro_costo]]="","",_xlfn.XLOOKUP(tblOrdenes[[#This Row],[centro_costo]],tblCECO[codigo],tblCECO[coordinador],"(sin catálogo)"))</f>
        <v/>
      </c>
      <c r="W629" s="3">
        <f>IF(tblOrdenes[[#This Row],[puesto_trabajo]]="","",_xlfn.XLOOKUP(tblOrdenes[[#This Row],[puesto_trabajo]],tblPuestos[codigo],tblPuestos[especialidad],"(sin catálogo)"))</f>
        <v/>
      </c>
      <c r="X629" s="3">
        <f>IF(tblOrdenes[[#This Row],[cod_actividad]]="","",_xlfn.XLOOKUP(tblOrdenes[[#This Row],[cod_actividad]],tblActividades[codigo],tblActividades[descripcion],"(sin catálogo)"))</f>
        <v/>
      </c>
      <c r="Y629" s="12">
        <f>IF(tblOrdenes[[#This Row],[fecha_inicio]]="","",TODAY()-tblOrdenes[[#This Row],[fecha_inicio]])</f>
        <v/>
      </c>
      <c r="Z629" s="3">
        <f>IF(tblOrdenes[[#This Row],[backlog_dias]]="","",IF(tblOrdenes[[#This Row],[backlog_dias]]&lt;0,"FUTURO",IF(tblOrdenes[[#This Row],[backlog_dias]]&gt;p_dias_backlog_max,"BACKLOG","MES CORRIENTE")))</f>
        <v/>
      </c>
      <c r="AA629" s="3">
        <f>IF(tblOrdenes[[#This Row],[backlog_dias]]="",FALSE,AND(tblOrdenes[[#This Row],[backlog_dias]]&gt;p_dias_backlog_min,tblOrdenes[[#This Row],[backlog_dias]]&lt;=p_dias_backlog_max))</f>
        <v/>
      </c>
      <c r="AB629" s="6" t="n"/>
      <c r="AC6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9" s="10">
        <f>IF(tblOrdenes[[#This Row],[orden]]="","",_xlfn.XLOOKUP(tblOrdenes[[#This Row],[id_operacion]],tblEjecucion[id_operacion],tblEjecucion[precio],0))</f>
        <v/>
      </c>
      <c r="AG629" s="10">
        <f>IF(tblOrdenes[[#This Row],[orden]]="","",MAX(0,_xlfn.XLOOKUP(tblOrdenes[[#This Row],[id_operacion]],tblEjecucion[id_operacion],tblEjecucion[costo_plan_total],0)-tblOrdenes[[#This Row],[costo_servicio]]))</f>
        <v/>
      </c>
      <c r="AH629" s="10">
        <f>IF(tblOrdenes[[#This Row],[orden]]="","",tblOrdenes[[#This Row],[costo_servicio]]+tblOrdenes[[#This Row],[costo_materiales]])</f>
        <v/>
      </c>
      <c r="AI629" s="6" t="n"/>
      <c r="AJ629" s="6" t="n"/>
      <c r="AK629" s="6" t="n"/>
      <c r="AL629" s="3">
        <f>IF(tblOrdenes[[#This Row],[link_checklist]]="","",HYPERLINK(p_ruta_base_checklists&amp;tblOrdenes[[#This Row],[link_checklist]],"abrir"))</f>
        <v/>
      </c>
      <c r="AM629" s="6" t="n"/>
      <c r="AN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Row],[tipo_ot]]="","",_xlfn.XLOOKUP(tblOrdenes[[#This Row],[tipo_ot]],tblTiposOT[codigo],tblTiposOT[clasificacion],"sin_clasificar"))</f>
        <v/>
      </c>
      <c r="T630" s="3">
        <f>IF(tblOrdenes[[#This Row],[centro_costo]]="","",_xlfn.XLOOKUP(tblOrdenes[[#This Row],[centro_costo]],tblCECO[codigo],tblCECO[linea],"(sin catálogo)"))</f>
        <v/>
      </c>
      <c r="U630" s="3">
        <f>IF(tblOrdenes[[#This Row],[centro_costo]]="","",_xlfn.XLOOKUP(tblOrdenes[[#This Row],[centro_costo]],tblCECO[codigo],tblCECO[area],"(sin catálogo)"))</f>
        <v/>
      </c>
      <c r="V630" s="3">
        <f>IF(tblOrdenes[[#This Row],[centro_costo]]="","",_xlfn.XLOOKUP(tblOrdenes[[#This Row],[centro_costo]],tblCECO[codigo],tblCECO[coordinador],"(sin catálogo)"))</f>
        <v/>
      </c>
      <c r="W630" s="3">
        <f>IF(tblOrdenes[[#This Row],[puesto_trabajo]]="","",_xlfn.XLOOKUP(tblOrdenes[[#This Row],[puesto_trabajo]],tblPuestos[codigo],tblPuestos[especialidad],"(sin catálogo)"))</f>
        <v/>
      </c>
      <c r="X630" s="3">
        <f>IF(tblOrdenes[[#This Row],[cod_actividad]]="","",_xlfn.XLOOKUP(tblOrdenes[[#This Row],[cod_actividad]],tblActividades[codigo],tblActividades[descripcion],"(sin catálogo)"))</f>
        <v/>
      </c>
      <c r="Y630" s="12">
        <f>IF(tblOrdenes[[#This Row],[fecha_inicio]]="","",TODAY()-tblOrdenes[[#This Row],[fecha_inicio]])</f>
        <v/>
      </c>
      <c r="Z630" s="3">
        <f>IF(tblOrdenes[[#This Row],[backlog_dias]]="","",IF(tblOrdenes[[#This Row],[backlog_dias]]&lt;0,"FUTURO",IF(tblOrdenes[[#This Row],[backlog_dias]]&gt;p_dias_backlog_max,"BACKLOG","MES CORRIENTE")))</f>
        <v/>
      </c>
      <c r="AA630" s="3">
        <f>IF(tblOrdenes[[#This Row],[backlog_dias]]="",FALSE,AND(tblOrdenes[[#This Row],[backlog_dias]]&gt;p_dias_backlog_min,tblOrdenes[[#This Row],[backlog_dias]]&lt;=p_dias_backlog_max))</f>
        <v/>
      </c>
      <c r="AB630" s="6" t="n"/>
      <c r="AC6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0" s="10">
        <f>IF(tblOrdenes[[#This Row],[orden]]="","",_xlfn.XLOOKUP(tblOrdenes[[#This Row],[id_operacion]],tblEjecucion[id_operacion],tblEjecucion[precio],0))</f>
        <v/>
      </c>
      <c r="AG630" s="10">
        <f>IF(tblOrdenes[[#This Row],[orden]]="","",MAX(0,_xlfn.XLOOKUP(tblOrdenes[[#This Row],[id_operacion]],tblEjecucion[id_operacion],tblEjecucion[costo_plan_total],0)-tblOrdenes[[#This Row],[costo_servicio]]))</f>
        <v/>
      </c>
      <c r="AH630" s="10">
        <f>IF(tblOrdenes[[#This Row],[orden]]="","",tblOrdenes[[#This Row],[costo_servicio]]+tblOrdenes[[#This Row],[costo_materiales]])</f>
        <v/>
      </c>
      <c r="AI630" s="6" t="n"/>
      <c r="AJ630" s="6" t="n"/>
      <c r="AK630" s="6" t="n"/>
      <c r="AL630" s="3">
        <f>IF(tblOrdenes[[#This Row],[link_checklist]]="","",HYPERLINK(p_ruta_base_checklists&amp;tblOrdenes[[#This Row],[link_checklist]],"abrir"))</f>
        <v/>
      </c>
      <c r="AM630" s="6" t="n"/>
      <c r="AN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Row],[tipo_ot]]="","",_xlfn.XLOOKUP(tblOrdenes[[#This Row],[tipo_ot]],tblTiposOT[codigo],tblTiposOT[clasificacion],"sin_clasificar"))</f>
        <v/>
      </c>
      <c r="T631" s="3">
        <f>IF(tblOrdenes[[#This Row],[centro_costo]]="","",_xlfn.XLOOKUP(tblOrdenes[[#This Row],[centro_costo]],tblCECO[codigo],tblCECO[linea],"(sin catálogo)"))</f>
        <v/>
      </c>
      <c r="U631" s="3">
        <f>IF(tblOrdenes[[#This Row],[centro_costo]]="","",_xlfn.XLOOKUP(tblOrdenes[[#This Row],[centro_costo]],tblCECO[codigo],tblCECO[area],"(sin catálogo)"))</f>
        <v/>
      </c>
      <c r="V631" s="3">
        <f>IF(tblOrdenes[[#This Row],[centro_costo]]="","",_xlfn.XLOOKUP(tblOrdenes[[#This Row],[centro_costo]],tblCECO[codigo],tblCECO[coordinador],"(sin catálogo)"))</f>
        <v/>
      </c>
      <c r="W631" s="3">
        <f>IF(tblOrdenes[[#This Row],[puesto_trabajo]]="","",_xlfn.XLOOKUP(tblOrdenes[[#This Row],[puesto_trabajo]],tblPuestos[codigo],tblPuestos[especialidad],"(sin catálogo)"))</f>
        <v/>
      </c>
      <c r="X631" s="3">
        <f>IF(tblOrdenes[[#This Row],[cod_actividad]]="","",_xlfn.XLOOKUP(tblOrdenes[[#This Row],[cod_actividad]],tblActividades[codigo],tblActividades[descripcion],"(sin catálogo)"))</f>
        <v/>
      </c>
      <c r="Y631" s="12">
        <f>IF(tblOrdenes[[#This Row],[fecha_inicio]]="","",TODAY()-tblOrdenes[[#This Row],[fecha_inicio]])</f>
        <v/>
      </c>
      <c r="Z631" s="3">
        <f>IF(tblOrdenes[[#This Row],[backlog_dias]]="","",IF(tblOrdenes[[#This Row],[backlog_dias]]&lt;0,"FUTURO",IF(tblOrdenes[[#This Row],[backlog_dias]]&gt;p_dias_backlog_max,"BACKLOG","MES CORRIENTE")))</f>
        <v/>
      </c>
      <c r="AA631" s="3">
        <f>IF(tblOrdenes[[#This Row],[backlog_dias]]="",FALSE,AND(tblOrdenes[[#This Row],[backlog_dias]]&gt;p_dias_backlog_min,tblOrdenes[[#This Row],[backlog_dias]]&lt;=p_dias_backlog_max))</f>
        <v/>
      </c>
      <c r="AB631" s="6" t="n"/>
      <c r="AC6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1" s="10">
        <f>IF(tblOrdenes[[#This Row],[orden]]="","",_xlfn.XLOOKUP(tblOrdenes[[#This Row],[id_operacion]],tblEjecucion[id_operacion],tblEjecucion[precio],0))</f>
        <v/>
      </c>
      <c r="AG631" s="10">
        <f>IF(tblOrdenes[[#This Row],[orden]]="","",MAX(0,_xlfn.XLOOKUP(tblOrdenes[[#This Row],[id_operacion]],tblEjecucion[id_operacion],tblEjecucion[costo_plan_total],0)-tblOrdenes[[#This Row],[costo_servicio]]))</f>
        <v/>
      </c>
      <c r="AH631" s="10">
        <f>IF(tblOrdenes[[#This Row],[orden]]="","",tblOrdenes[[#This Row],[costo_servicio]]+tblOrdenes[[#This Row],[costo_materiales]])</f>
        <v/>
      </c>
      <c r="AI631" s="6" t="n"/>
      <c r="AJ631" s="6" t="n"/>
      <c r="AK631" s="6" t="n"/>
      <c r="AL631" s="3">
        <f>IF(tblOrdenes[[#This Row],[link_checklist]]="","",HYPERLINK(p_ruta_base_checklists&amp;tblOrdenes[[#This Row],[link_checklist]],"abrir"))</f>
        <v/>
      </c>
      <c r="AM631" s="6" t="n"/>
      <c r="AN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Row],[tipo_ot]]="","",_xlfn.XLOOKUP(tblOrdenes[[#This Row],[tipo_ot]],tblTiposOT[codigo],tblTiposOT[clasificacion],"sin_clasificar"))</f>
        <v/>
      </c>
      <c r="T632" s="3">
        <f>IF(tblOrdenes[[#This Row],[centro_costo]]="","",_xlfn.XLOOKUP(tblOrdenes[[#This Row],[centro_costo]],tblCECO[codigo],tblCECO[linea],"(sin catálogo)"))</f>
        <v/>
      </c>
      <c r="U632" s="3">
        <f>IF(tblOrdenes[[#This Row],[centro_costo]]="","",_xlfn.XLOOKUP(tblOrdenes[[#This Row],[centro_costo]],tblCECO[codigo],tblCECO[area],"(sin catálogo)"))</f>
        <v/>
      </c>
      <c r="V632" s="3">
        <f>IF(tblOrdenes[[#This Row],[centro_costo]]="","",_xlfn.XLOOKUP(tblOrdenes[[#This Row],[centro_costo]],tblCECO[codigo],tblCECO[coordinador],"(sin catálogo)"))</f>
        <v/>
      </c>
      <c r="W632" s="3">
        <f>IF(tblOrdenes[[#This Row],[puesto_trabajo]]="","",_xlfn.XLOOKUP(tblOrdenes[[#This Row],[puesto_trabajo]],tblPuestos[codigo],tblPuestos[especialidad],"(sin catálogo)"))</f>
        <v/>
      </c>
      <c r="X632" s="3">
        <f>IF(tblOrdenes[[#This Row],[cod_actividad]]="","",_xlfn.XLOOKUP(tblOrdenes[[#This Row],[cod_actividad]],tblActividades[codigo],tblActividades[descripcion],"(sin catálogo)"))</f>
        <v/>
      </c>
      <c r="Y632" s="12">
        <f>IF(tblOrdenes[[#This Row],[fecha_inicio]]="","",TODAY()-tblOrdenes[[#This Row],[fecha_inicio]])</f>
        <v/>
      </c>
      <c r="Z632" s="3">
        <f>IF(tblOrdenes[[#This Row],[backlog_dias]]="","",IF(tblOrdenes[[#This Row],[backlog_dias]]&lt;0,"FUTURO",IF(tblOrdenes[[#This Row],[backlog_dias]]&gt;p_dias_backlog_max,"BACKLOG","MES CORRIENTE")))</f>
        <v/>
      </c>
      <c r="AA632" s="3">
        <f>IF(tblOrdenes[[#This Row],[backlog_dias]]="",FALSE,AND(tblOrdenes[[#This Row],[backlog_dias]]&gt;p_dias_backlog_min,tblOrdenes[[#This Row],[backlog_dias]]&lt;=p_dias_backlog_max))</f>
        <v/>
      </c>
      <c r="AB632" s="6" t="n"/>
      <c r="AC6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2" s="10">
        <f>IF(tblOrdenes[[#This Row],[orden]]="","",_xlfn.XLOOKUP(tblOrdenes[[#This Row],[id_operacion]],tblEjecucion[id_operacion],tblEjecucion[precio],0))</f>
        <v/>
      </c>
      <c r="AG632" s="10">
        <f>IF(tblOrdenes[[#This Row],[orden]]="","",MAX(0,_xlfn.XLOOKUP(tblOrdenes[[#This Row],[id_operacion]],tblEjecucion[id_operacion],tblEjecucion[costo_plan_total],0)-tblOrdenes[[#This Row],[costo_servicio]]))</f>
        <v/>
      </c>
      <c r="AH632" s="10">
        <f>IF(tblOrdenes[[#This Row],[orden]]="","",tblOrdenes[[#This Row],[costo_servicio]]+tblOrdenes[[#This Row],[costo_materiales]])</f>
        <v/>
      </c>
      <c r="AI632" s="6" t="n"/>
      <c r="AJ632" s="6" t="n"/>
      <c r="AK632" s="6" t="n"/>
      <c r="AL632" s="3">
        <f>IF(tblOrdenes[[#This Row],[link_checklist]]="","",HYPERLINK(p_ruta_base_checklists&amp;tblOrdenes[[#This Row],[link_checklist]],"abrir"))</f>
        <v/>
      </c>
      <c r="AM632" s="6" t="n"/>
      <c r="AN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Row],[tipo_ot]]="","",_xlfn.XLOOKUP(tblOrdenes[[#This Row],[tipo_ot]],tblTiposOT[codigo],tblTiposOT[clasificacion],"sin_clasificar"))</f>
        <v/>
      </c>
      <c r="T633" s="3">
        <f>IF(tblOrdenes[[#This Row],[centro_costo]]="","",_xlfn.XLOOKUP(tblOrdenes[[#This Row],[centro_costo]],tblCECO[codigo],tblCECO[linea],"(sin catálogo)"))</f>
        <v/>
      </c>
      <c r="U633" s="3">
        <f>IF(tblOrdenes[[#This Row],[centro_costo]]="","",_xlfn.XLOOKUP(tblOrdenes[[#This Row],[centro_costo]],tblCECO[codigo],tblCECO[area],"(sin catálogo)"))</f>
        <v/>
      </c>
      <c r="V633" s="3">
        <f>IF(tblOrdenes[[#This Row],[centro_costo]]="","",_xlfn.XLOOKUP(tblOrdenes[[#This Row],[centro_costo]],tblCECO[codigo],tblCECO[coordinador],"(sin catálogo)"))</f>
        <v/>
      </c>
      <c r="W633" s="3">
        <f>IF(tblOrdenes[[#This Row],[puesto_trabajo]]="","",_xlfn.XLOOKUP(tblOrdenes[[#This Row],[puesto_trabajo]],tblPuestos[codigo],tblPuestos[especialidad],"(sin catálogo)"))</f>
        <v/>
      </c>
      <c r="X633" s="3">
        <f>IF(tblOrdenes[[#This Row],[cod_actividad]]="","",_xlfn.XLOOKUP(tblOrdenes[[#This Row],[cod_actividad]],tblActividades[codigo],tblActividades[descripcion],"(sin catálogo)"))</f>
        <v/>
      </c>
      <c r="Y633" s="12">
        <f>IF(tblOrdenes[[#This Row],[fecha_inicio]]="","",TODAY()-tblOrdenes[[#This Row],[fecha_inicio]])</f>
        <v/>
      </c>
      <c r="Z633" s="3">
        <f>IF(tblOrdenes[[#This Row],[backlog_dias]]="","",IF(tblOrdenes[[#This Row],[backlog_dias]]&lt;0,"FUTURO",IF(tblOrdenes[[#This Row],[backlog_dias]]&gt;p_dias_backlog_max,"BACKLOG","MES CORRIENTE")))</f>
        <v/>
      </c>
      <c r="AA633" s="3">
        <f>IF(tblOrdenes[[#This Row],[backlog_dias]]="",FALSE,AND(tblOrdenes[[#This Row],[backlog_dias]]&gt;p_dias_backlog_min,tblOrdenes[[#This Row],[backlog_dias]]&lt;=p_dias_backlog_max))</f>
        <v/>
      </c>
      <c r="AB633" s="6" t="n"/>
      <c r="AC6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3" s="10">
        <f>IF(tblOrdenes[[#This Row],[orden]]="","",_xlfn.XLOOKUP(tblOrdenes[[#This Row],[id_operacion]],tblEjecucion[id_operacion],tblEjecucion[precio],0))</f>
        <v/>
      </c>
      <c r="AG633" s="10">
        <f>IF(tblOrdenes[[#This Row],[orden]]="","",MAX(0,_xlfn.XLOOKUP(tblOrdenes[[#This Row],[id_operacion]],tblEjecucion[id_operacion],tblEjecucion[costo_plan_total],0)-tblOrdenes[[#This Row],[costo_servicio]]))</f>
        <v/>
      </c>
      <c r="AH633" s="10">
        <f>IF(tblOrdenes[[#This Row],[orden]]="","",tblOrdenes[[#This Row],[costo_servicio]]+tblOrdenes[[#This Row],[costo_materiales]])</f>
        <v/>
      </c>
      <c r="AI633" s="6" t="n"/>
      <c r="AJ633" s="6" t="n"/>
      <c r="AK633" s="6" t="n"/>
      <c r="AL633" s="3">
        <f>IF(tblOrdenes[[#This Row],[link_checklist]]="","",HYPERLINK(p_ruta_base_checklists&amp;tblOrdenes[[#This Row],[link_checklist]],"abrir"))</f>
        <v/>
      </c>
      <c r="AM633" s="6" t="n"/>
      <c r="AN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Row],[tipo_ot]]="","",_xlfn.XLOOKUP(tblOrdenes[[#This Row],[tipo_ot]],tblTiposOT[codigo],tblTiposOT[clasificacion],"sin_clasificar"))</f>
        <v/>
      </c>
      <c r="T634" s="3">
        <f>IF(tblOrdenes[[#This Row],[centro_costo]]="","",_xlfn.XLOOKUP(tblOrdenes[[#This Row],[centro_costo]],tblCECO[codigo],tblCECO[linea],"(sin catálogo)"))</f>
        <v/>
      </c>
      <c r="U634" s="3">
        <f>IF(tblOrdenes[[#This Row],[centro_costo]]="","",_xlfn.XLOOKUP(tblOrdenes[[#This Row],[centro_costo]],tblCECO[codigo],tblCECO[area],"(sin catálogo)"))</f>
        <v/>
      </c>
      <c r="V634" s="3">
        <f>IF(tblOrdenes[[#This Row],[centro_costo]]="","",_xlfn.XLOOKUP(tblOrdenes[[#This Row],[centro_costo]],tblCECO[codigo],tblCECO[coordinador],"(sin catálogo)"))</f>
        <v/>
      </c>
      <c r="W634" s="3">
        <f>IF(tblOrdenes[[#This Row],[puesto_trabajo]]="","",_xlfn.XLOOKUP(tblOrdenes[[#This Row],[puesto_trabajo]],tblPuestos[codigo],tblPuestos[especialidad],"(sin catálogo)"))</f>
        <v/>
      </c>
      <c r="X634" s="3">
        <f>IF(tblOrdenes[[#This Row],[cod_actividad]]="","",_xlfn.XLOOKUP(tblOrdenes[[#This Row],[cod_actividad]],tblActividades[codigo],tblActividades[descripcion],"(sin catálogo)"))</f>
        <v/>
      </c>
      <c r="Y634" s="12">
        <f>IF(tblOrdenes[[#This Row],[fecha_inicio]]="","",TODAY()-tblOrdenes[[#This Row],[fecha_inicio]])</f>
        <v/>
      </c>
      <c r="Z634" s="3">
        <f>IF(tblOrdenes[[#This Row],[backlog_dias]]="","",IF(tblOrdenes[[#This Row],[backlog_dias]]&lt;0,"FUTURO",IF(tblOrdenes[[#This Row],[backlog_dias]]&gt;p_dias_backlog_max,"BACKLOG","MES CORRIENTE")))</f>
        <v/>
      </c>
      <c r="AA634" s="3">
        <f>IF(tblOrdenes[[#This Row],[backlog_dias]]="",FALSE,AND(tblOrdenes[[#This Row],[backlog_dias]]&gt;p_dias_backlog_min,tblOrdenes[[#This Row],[backlog_dias]]&lt;=p_dias_backlog_max))</f>
        <v/>
      </c>
      <c r="AB634" s="6" t="n"/>
      <c r="AC6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4" s="10">
        <f>IF(tblOrdenes[[#This Row],[orden]]="","",_xlfn.XLOOKUP(tblOrdenes[[#This Row],[id_operacion]],tblEjecucion[id_operacion],tblEjecucion[precio],0))</f>
        <v/>
      </c>
      <c r="AG634" s="10">
        <f>IF(tblOrdenes[[#This Row],[orden]]="","",MAX(0,_xlfn.XLOOKUP(tblOrdenes[[#This Row],[id_operacion]],tblEjecucion[id_operacion],tblEjecucion[costo_plan_total],0)-tblOrdenes[[#This Row],[costo_servicio]]))</f>
        <v/>
      </c>
      <c r="AH634" s="10">
        <f>IF(tblOrdenes[[#This Row],[orden]]="","",tblOrdenes[[#This Row],[costo_servicio]]+tblOrdenes[[#This Row],[costo_materiales]])</f>
        <v/>
      </c>
      <c r="AI634" s="6" t="n"/>
      <c r="AJ634" s="6" t="n"/>
      <c r="AK634" s="6" t="n"/>
      <c r="AL634" s="3">
        <f>IF(tblOrdenes[[#This Row],[link_checklist]]="","",HYPERLINK(p_ruta_base_checklists&amp;tblOrdenes[[#This Row],[link_checklist]],"abrir"))</f>
        <v/>
      </c>
      <c r="AM634" s="6" t="n"/>
      <c r="AN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Row],[tipo_ot]]="","",_xlfn.XLOOKUP(tblOrdenes[[#This Row],[tipo_ot]],tblTiposOT[codigo],tblTiposOT[clasificacion],"sin_clasificar"))</f>
        <v/>
      </c>
      <c r="T635" s="3">
        <f>IF(tblOrdenes[[#This Row],[centro_costo]]="","",_xlfn.XLOOKUP(tblOrdenes[[#This Row],[centro_costo]],tblCECO[codigo],tblCECO[linea],"(sin catálogo)"))</f>
        <v/>
      </c>
      <c r="U635" s="3">
        <f>IF(tblOrdenes[[#This Row],[centro_costo]]="","",_xlfn.XLOOKUP(tblOrdenes[[#This Row],[centro_costo]],tblCECO[codigo],tblCECO[area],"(sin catálogo)"))</f>
        <v/>
      </c>
      <c r="V635" s="3">
        <f>IF(tblOrdenes[[#This Row],[centro_costo]]="","",_xlfn.XLOOKUP(tblOrdenes[[#This Row],[centro_costo]],tblCECO[codigo],tblCECO[coordinador],"(sin catálogo)"))</f>
        <v/>
      </c>
      <c r="W635" s="3">
        <f>IF(tblOrdenes[[#This Row],[puesto_trabajo]]="","",_xlfn.XLOOKUP(tblOrdenes[[#This Row],[puesto_trabajo]],tblPuestos[codigo],tblPuestos[especialidad],"(sin catálogo)"))</f>
        <v/>
      </c>
      <c r="X635" s="3">
        <f>IF(tblOrdenes[[#This Row],[cod_actividad]]="","",_xlfn.XLOOKUP(tblOrdenes[[#This Row],[cod_actividad]],tblActividades[codigo],tblActividades[descripcion],"(sin catálogo)"))</f>
        <v/>
      </c>
      <c r="Y635" s="12">
        <f>IF(tblOrdenes[[#This Row],[fecha_inicio]]="","",TODAY()-tblOrdenes[[#This Row],[fecha_inicio]])</f>
        <v/>
      </c>
      <c r="Z635" s="3">
        <f>IF(tblOrdenes[[#This Row],[backlog_dias]]="","",IF(tblOrdenes[[#This Row],[backlog_dias]]&lt;0,"FUTURO",IF(tblOrdenes[[#This Row],[backlog_dias]]&gt;p_dias_backlog_max,"BACKLOG","MES CORRIENTE")))</f>
        <v/>
      </c>
      <c r="AA635" s="3">
        <f>IF(tblOrdenes[[#This Row],[backlog_dias]]="",FALSE,AND(tblOrdenes[[#This Row],[backlog_dias]]&gt;p_dias_backlog_min,tblOrdenes[[#This Row],[backlog_dias]]&lt;=p_dias_backlog_max))</f>
        <v/>
      </c>
      <c r="AB635" s="6" t="n"/>
      <c r="AC6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5" s="10">
        <f>IF(tblOrdenes[[#This Row],[orden]]="","",_xlfn.XLOOKUP(tblOrdenes[[#This Row],[id_operacion]],tblEjecucion[id_operacion],tblEjecucion[precio],0))</f>
        <v/>
      </c>
      <c r="AG635" s="10">
        <f>IF(tblOrdenes[[#This Row],[orden]]="","",MAX(0,_xlfn.XLOOKUP(tblOrdenes[[#This Row],[id_operacion]],tblEjecucion[id_operacion],tblEjecucion[costo_plan_total],0)-tblOrdenes[[#This Row],[costo_servicio]]))</f>
        <v/>
      </c>
      <c r="AH635" s="10">
        <f>IF(tblOrdenes[[#This Row],[orden]]="","",tblOrdenes[[#This Row],[costo_servicio]]+tblOrdenes[[#This Row],[costo_materiales]])</f>
        <v/>
      </c>
      <c r="AI635" s="6" t="n"/>
      <c r="AJ635" s="6" t="n"/>
      <c r="AK635" s="6" t="n"/>
      <c r="AL635" s="3">
        <f>IF(tblOrdenes[[#This Row],[link_checklist]]="","",HYPERLINK(p_ruta_base_checklists&amp;tblOrdenes[[#This Row],[link_checklist]],"abrir"))</f>
        <v/>
      </c>
      <c r="AM635" s="6" t="n"/>
      <c r="AN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Row],[tipo_ot]]="","",_xlfn.XLOOKUP(tblOrdenes[[#This Row],[tipo_ot]],tblTiposOT[codigo],tblTiposOT[clasificacion],"sin_clasificar"))</f>
        <v/>
      </c>
      <c r="T636" s="3">
        <f>IF(tblOrdenes[[#This Row],[centro_costo]]="","",_xlfn.XLOOKUP(tblOrdenes[[#This Row],[centro_costo]],tblCECO[codigo],tblCECO[linea],"(sin catálogo)"))</f>
        <v/>
      </c>
      <c r="U636" s="3">
        <f>IF(tblOrdenes[[#This Row],[centro_costo]]="","",_xlfn.XLOOKUP(tblOrdenes[[#This Row],[centro_costo]],tblCECO[codigo],tblCECO[area],"(sin catálogo)"))</f>
        <v/>
      </c>
      <c r="V636" s="3">
        <f>IF(tblOrdenes[[#This Row],[centro_costo]]="","",_xlfn.XLOOKUP(tblOrdenes[[#This Row],[centro_costo]],tblCECO[codigo],tblCECO[coordinador],"(sin catálogo)"))</f>
        <v/>
      </c>
      <c r="W636" s="3">
        <f>IF(tblOrdenes[[#This Row],[puesto_trabajo]]="","",_xlfn.XLOOKUP(tblOrdenes[[#This Row],[puesto_trabajo]],tblPuestos[codigo],tblPuestos[especialidad],"(sin catálogo)"))</f>
        <v/>
      </c>
      <c r="X636" s="3">
        <f>IF(tblOrdenes[[#This Row],[cod_actividad]]="","",_xlfn.XLOOKUP(tblOrdenes[[#This Row],[cod_actividad]],tblActividades[codigo],tblActividades[descripcion],"(sin catálogo)"))</f>
        <v/>
      </c>
      <c r="Y636" s="12">
        <f>IF(tblOrdenes[[#This Row],[fecha_inicio]]="","",TODAY()-tblOrdenes[[#This Row],[fecha_inicio]])</f>
        <v/>
      </c>
      <c r="Z636" s="3">
        <f>IF(tblOrdenes[[#This Row],[backlog_dias]]="","",IF(tblOrdenes[[#This Row],[backlog_dias]]&lt;0,"FUTURO",IF(tblOrdenes[[#This Row],[backlog_dias]]&gt;p_dias_backlog_max,"BACKLOG","MES CORRIENTE")))</f>
        <v/>
      </c>
      <c r="AA636" s="3">
        <f>IF(tblOrdenes[[#This Row],[backlog_dias]]="",FALSE,AND(tblOrdenes[[#This Row],[backlog_dias]]&gt;p_dias_backlog_min,tblOrdenes[[#This Row],[backlog_dias]]&lt;=p_dias_backlog_max))</f>
        <v/>
      </c>
      <c r="AB636" s="6" t="n"/>
      <c r="AC6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6" s="10">
        <f>IF(tblOrdenes[[#This Row],[orden]]="","",_xlfn.XLOOKUP(tblOrdenes[[#This Row],[id_operacion]],tblEjecucion[id_operacion],tblEjecucion[precio],0))</f>
        <v/>
      </c>
      <c r="AG636" s="10">
        <f>IF(tblOrdenes[[#This Row],[orden]]="","",MAX(0,_xlfn.XLOOKUP(tblOrdenes[[#This Row],[id_operacion]],tblEjecucion[id_operacion],tblEjecucion[costo_plan_total],0)-tblOrdenes[[#This Row],[costo_servicio]]))</f>
        <v/>
      </c>
      <c r="AH636" s="10">
        <f>IF(tblOrdenes[[#This Row],[orden]]="","",tblOrdenes[[#This Row],[costo_servicio]]+tblOrdenes[[#This Row],[costo_materiales]])</f>
        <v/>
      </c>
      <c r="AI636" s="6" t="n"/>
      <c r="AJ636" s="6" t="n"/>
      <c r="AK636" s="6" t="n"/>
      <c r="AL636" s="3">
        <f>IF(tblOrdenes[[#This Row],[link_checklist]]="","",HYPERLINK(p_ruta_base_checklists&amp;tblOrdenes[[#This Row],[link_checklist]],"abrir"))</f>
        <v/>
      </c>
      <c r="AM636" s="6" t="n"/>
      <c r="AN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Row],[tipo_ot]]="","",_xlfn.XLOOKUP(tblOrdenes[[#This Row],[tipo_ot]],tblTiposOT[codigo],tblTiposOT[clasificacion],"sin_clasificar"))</f>
        <v/>
      </c>
      <c r="T637" s="3">
        <f>IF(tblOrdenes[[#This Row],[centro_costo]]="","",_xlfn.XLOOKUP(tblOrdenes[[#This Row],[centro_costo]],tblCECO[codigo],tblCECO[linea],"(sin catálogo)"))</f>
        <v/>
      </c>
      <c r="U637" s="3">
        <f>IF(tblOrdenes[[#This Row],[centro_costo]]="","",_xlfn.XLOOKUP(tblOrdenes[[#This Row],[centro_costo]],tblCECO[codigo],tblCECO[area],"(sin catálogo)"))</f>
        <v/>
      </c>
      <c r="V637" s="3">
        <f>IF(tblOrdenes[[#This Row],[centro_costo]]="","",_xlfn.XLOOKUP(tblOrdenes[[#This Row],[centro_costo]],tblCECO[codigo],tblCECO[coordinador],"(sin catálogo)"))</f>
        <v/>
      </c>
      <c r="W637" s="3">
        <f>IF(tblOrdenes[[#This Row],[puesto_trabajo]]="","",_xlfn.XLOOKUP(tblOrdenes[[#This Row],[puesto_trabajo]],tblPuestos[codigo],tblPuestos[especialidad],"(sin catálogo)"))</f>
        <v/>
      </c>
      <c r="X637" s="3">
        <f>IF(tblOrdenes[[#This Row],[cod_actividad]]="","",_xlfn.XLOOKUP(tblOrdenes[[#This Row],[cod_actividad]],tblActividades[codigo],tblActividades[descripcion],"(sin catálogo)"))</f>
        <v/>
      </c>
      <c r="Y637" s="12">
        <f>IF(tblOrdenes[[#This Row],[fecha_inicio]]="","",TODAY()-tblOrdenes[[#This Row],[fecha_inicio]])</f>
        <v/>
      </c>
      <c r="Z637" s="3">
        <f>IF(tblOrdenes[[#This Row],[backlog_dias]]="","",IF(tblOrdenes[[#This Row],[backlog_dias]]&lt;0,"FUTURO",IF(tblOrdenes[[#This Row],[backlog_dias]]&gt;p_dias_backlog_max,"BACKLOG","MES CORRIENTE")))</f>
        <v/>
      </c>
      <c r="AA637" s="3">
        <f>IF(tblOrdenes[[#This Row],[backlog_dias]]="",FALSE,AND(tblOrdenes[[#This Row],[backlog_dias]]&gt;p_dias_backlog_min,tblOrdenes[[#This Row],[backlog_dias]]&lt;=p_dias_backlog_max))</f>
        <v/>
      </c>
      <c r="AB637" s="6" t="n"/>
      <c r="AC6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7" s="10">
        <f>IF(tblOrdenes[[#This Row],[orden]]="","",_xlfn.XLOOKUP(tblOrdenes[[#This Row],[id_operacion]],tblEjecucion[id_operacion],tblEjecucion[precio],0))</f>
        <v/>
      </c>
      <c r="AG637" s="10">
        <f>IF(tblOrdenes[[#This Row],[orden]]="","",MAX(0,_xlfn.XLOOKUP(tblOrdenes[[#This Row],[id_operacion]],tblEjecucion[id_operacion],tblEjecucion[costo_plan_total],0)-tblOrdenes[[#This Row],[costo_servicio]]))</f>
        <v/>
      </c>
      <c r="AH637" s="10">
        <f>IF(tblOrdenes[[#This Row],[orden]]="","",tblOrdenes[[#This Row],[costo_servicio]]+tblOrdenes[[#This Row],[costo_materiales]])</f>
        <v/>
      </c>
      <c r="AI637" s="6" t="n"/>
      <c r="AJ637" s="6" t="n"/>
      <c r="AK637" s="6" t="n"/>
      <c r="AL637" s="3">
        <f>IF(tblOrdenes[[#This Row],[link_checklist]]="","",HYPERLINK(p_ruta_base_checklists&amp;tblOrdenes[[#This Row],[link_checklist]],"abrir"))</f>
        <v/>
      </c>
      <c r="AM637" s="6" t="n"/>
      <c r="AN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Row],[tipo_ot]]="","",_xlfn.XLOOKUP(tblOrdenes[[#This Row],[tipo_ot]],tblTiposOT[codigo],tblTiposOT[clasificacion],"sin_clasificar"))</f>
        <v/>
      </c>
      <c r="T638" s="3">
        <f>IF(tblOrdenes[[#This Row],[centro_costo]]="","",_xlfn.XLOOKUP(tblOrdenes[[#This Row],[centro_costo]],tblCECO[codigo],tblCECO[linea],"(sin catálogo)"))</f>
        <v/>
      </c>
      <c r="U638" s="3">
        <f>IF(tblOrdenes[[#This Row],[centro_costo]]="","",_xlfn.XLOOKUP(tblOrdenes[[#This Row],[centro_costo]],tblCECO[codigo],tblCECO[area],"(sin catálogo)"))</f>
        <v/>
      </c>
      <c r="V638" s="3">
        <f>IF(tblOrdenes[[#This Row],[centro_costo]]="","",_xlfn.XLOOKUP(tblOrdenes[[#This Row],[centro_costo]],tblCECO[codigo],tblCECO[coordinador],"(sin catálogo)"))</f>
        <v/>
      </c>
      <c r="W638" s="3">
        <f>IF(tblOrdenes[[#This Row],[puesto_trabajo]]="","",_xlfn.XLOOKUP(tblOrdenes[[#This Row],[puesto_trabajo]],tblPuestos[codigo],tblPuestos[especialidad],"(sin catálogo)"))</f>
        <v/>
      </c>
      <c r="X638" s="3">
        <f>IF(tblOrdenes[[#This Row],[cod_actividad]]="","",_xlfn.XLOOKUP(tblOrdenes[[#This Row],[cod_actividad]],tblActividades[codigo],tblActividades[descripcion],"(sin catálogo)"))</f>
        <v/>
      </c>
      <c r="Y638" s="12">
        <f>IF(tblOrdenes[[#This Row],[fecha_inicio]]="","",TODAY()-tblOrdenes[[#This Row],[fecha_inicio]])</f>
        <v/>
      </c>
      <c r="Z638" s="3">
        <f>IF(tblOrdenes[[#This Row],[backlog_dias]]="","",IF(tblOrdenes[[#This Row],[backlog_dias]]&lt;0,"FUTURO",IF(tblOrdenes[[#This Row],[backlog_dias]]&gt;p_dias_backlog_max,"BACKLOG","MES CORRIENTE")))</f>
        <v/>
      </c>
      <c r="AA638" s="3">
        <f>IF(tblOrdenes[[#This Row],[backlog_dias]]="",FALSE,AND(tblOrdenes[[#This Row],[backlog_dias]]&gt;p_dias_backlog_min,tblOrdenes[[#This Row],[backlog_dias]]&lt;=p_dias_backlog_max))</f>
        <v/>
      </c>
      <c r="AB638" s="6" t="n"/>
      <c r="AC6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8" s="10">
        <f>IF(tblOrdenes[[#This Row],[orden]]="","",_xlfn.XLOOKUP(tblOrdenes[[#This Row],[id_operacion]],tblEjecucion[id_operacion],tblEjecucion[precio],0))</f>
        <v/>
      </c>
      <c r="AG638" s="10">
        <f>IF(tblOrdenes[[#This Row],[orden]]="","",MAX(0,_xlfn.XLOOKUP(tblOrdenes[[#This Row],[id_operacion]],tblEjecucion[id_operacion],tblEjecucion[costo_plan_total],0)-tblOrdenes[[#This Row],[costo_servicio]]))</f>
        <v/>
      </c>
      <c r="AH638" s="10">
        <f>IF(tblOrdenes[[#This Row],[orden]]="","",tblOrdenes[[#This Row],[costo_servicio]]+tblOrdenes[[#This Row],[costo_materiales]])</f>
        <v/>
      </c>
      <c r="AI638" s="6" t="n"/>
      <c r="AJ638" s="6" t="n"/>
      <c r="AK638" s="6" t="n"/>
      <c r="AL638" s="3">
        <f>IF(tblOrdenes[[#This Row],[link_checklist]]="","",HYPERLINK(p_ruta_base_checklists&amp;tblOrdenes[[#This Row],[link_checklist]],"abrir"))</f>
        <v/>
      </c>
      <c r="AM638" s="6" t="n"/>
      <c r="AN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Row],[tipo_ot]]="","",_xlfn.XLOOKUP(tblOrdenes[[#This Row],[tipo_ot]],tblTiposOT[codigo],tblTiposOT[clasificacion],"sin_clasificar"))</f>
        <v/>
      </c>
      <c r="T639" s="3">
        <f>IF(tblOrdenes[[#This Row],[centro_costo]]="","",_xlfn.XLOOKUP(tblOrdenes[[#This Row],[centro_costo]],tblCECO[codigo],tblCECO[linea],"(sin catálogo)"))</f>
        <v/>
      </c>
      <c r="U639" s="3">
        <f>IF(tblOrdenes[[#This Row],[centro_costo]]="","",_xlfn.XLOOKUP(tblOrdenes[[#This Row],[centro_costo]],tblCECO[codigo],tblCECO[area],"(sin catálogo)"))</f>
        <v/>
      </c>
      <c r="V639" s="3">
        <f>IF(tblOrdenes[[#This Row],[centro_costo]]="","",_xlfn.XLOOKUP(tblOrdenes[[#This Row],[centro_costo]],tblCECO[codigo],tblCECO[coordinador],"(sin catálogo)"))</f>
        <v/>
      </c>
      <c r="W639" s="3">
        <f>IF(tblOrdenes[[#This Row],[puesto_trabajo]]="","",_xlfn.XLOOKUP(tblOrdenes[[#This Row],[puesto_trabajo]],tblPuestos[codigo],tblPuestos[especialidad],"(sin catálogo)"))</f>
        <v/>
      </c>
      <c r="X639" s="3">
        <f>IF(tblOrdenes[[#This Row],[cod_actividad]]="","",_xlfn.XLOOKUP(tblOrdenes[[#This Row],[cod_actividad]],tblActividades[codigo],tblActividades[descripcion],"(sin catálogo)"))</f>
        <v/>
      </c>
      <c r="Y639" s="12">
        <f>IF(tblOrdenes[[#This Row],[fecha_inicio]]="","",TODAY()-tblOrdenes[[#This Row],[fecha_inicio]])</f>
        <v/>
      </c>
      <c r="Z639" s="3">
        <f>IF(tblOrdenes[[#This Row],[backlog_dias]]="","",IF(tblOrdenes[[#This Row],[backlog_dias]]&lt;0,"FUTURO",IF(tblOrdenes[[#This Row],[backlog_dias]]&gt;p_dias_backlog_max,"BACKLOG","MES CORRIENTE")))</f>
        <v/>
      </c>
      <c r="AA639" s="3">
        <f>IF(tblOrdenes[[#This Row],[backlog_dias]]="",FALSE,AND(tblOrdenes[[#This Row],[backlog_dias]]&gt;p_dias_backlog_min,tblOrdenes[[#This Row],[backlog_dias]]&lt;=p_dias_backlog_max))</f>
        <v/>
      </c>
      <c r="AB639" s="6" t="n"/>
      <c r="AC6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9" s="10">
        <f>IF(tblOrdenes[[#This Row],[orden]]="","",_xlfn.XLOOKUP(tblOrdenes[[#This Row],[id_operacion]],tblEjecucion[id_operacion],tblEjecucion[precio],0))</f>
        <v/>
      </c>
      <c r="AG639" s="10">
        <f>IF(tblOrdenes[[#This Row],[orden]]="","",MAX(0,_xlfn.XLOOKUP(tblOrdenes[[#This Row],[id_operacion]],tblEjecucion[id_operacion],tblEjecucion[costo_plan_total],0)-tblOrdenes[[#This Row],[costo_servicio]]))</f>
        <v/>
      </c>
      <c r="AH639" s="10">
        <f>IF(tblOrdenes[[#This Row],[orden]]="","",tblOrdenes[[#This Row],[costo_servicio]]+tblOrdenes[[#This Row],[costo_materiales]])</f>
        <v/>
      </c>
      <c r="AI639" s="6" t="n"/>
      <c r="AJ639" s="6" t="n"/>
      <c r="AK639" s="6" t="n"/>
      <c r="AL639" s="3">
        <f>IF(tblOrdenes[[#This Row],[link_checklist]]="","",HYPERLINK(p_ruta_base_checklists&amp;tblOrdenes[[#This Row],[link_checklist]],"abrir"))</f>
        <v/>
      </c>
      <c r="AM639" s="6" t="n"/>
      <c r="AN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Row],[tipo_ot]]="","",_xlfn.XLOOKUP(tblOrdenes[[#This Row],[tipo_ot]],tblTiposOT[codigo],tblTiposOT[clasificacion],"sin_clasificar"))</f>
        <v/>
      </c>
      <c r="T640" s="3">
        <f>IF(tblOrdenes[[#This Row],[centro_costo]]="","",_xlfn.XLOOKUP(tblOrdenes[[#This Row],[centro_costo]],tblCECO[codigo],tblCECO[linea],"(sin catálogo)"))</f>
        <v/>
      </c>
      <c r="U640" s="3">
        <f>IF(tblOrdenes[[#This Row],[centro_costo]]="","",_xlfn.XLOOKUP(tblOrdenes[[#This Row],[centro_costo]],tblCECO[codigo],tblCECO[area],"(sin catálogo)"))</f>
        <v/>
      </c>
      <c r="V640" s="3">
        <f>IF(tblOrdenes[[#This Row],[centro_costo]]="","",_xlfn.XLOOKUP(tblOrdenes[[#This Row],[centro_costo]],tblCECO[codigo],tblCECO[coordinador],"(sin catálogo)"))</f>
        <v/>
      </c>
      <c r="W640" s="3">
        <f>IF(tblOrdenes[[#This Row],[puesto_trabajo]]="","",_xlfn.XLOOKUP(tblOrdenes[[#This Row],[puesto_trabajo]],tblPuestos[codigo],tblPuestos[especialidad],"(sin catálogo)"))</f>
        <v/>
      </c>
      <c r="X640" s="3">
        <f>IF(tblOrdenes[[#This Row],[cod_actividad]]="","",_xlfn.XLOOKUP(tblOrdenes[[#This Row],[cod_actividad]],tblActividades[codigo],tblActividades[descripcion],"(sin catálogo)"))</f>
        <v/>
      </c>
      <c r="Y640" s="12">
        <f>IF(tblOrdenes[[#This Row],[fecha_inicio]]="","",TODAY()-tblOrdenes[[#This Row],[fecha_inicio]])</f>
        <v/>
      </c>
      <c r="Z640" s="3">
        <f>IF(tblOrdenes[[#This Row],[backlog_dias]]="","",IF(tblOrdenes[[#This Row],[backlog_dias]]&lt;0,"FUTURO",IF(tblOrdenes[[#This Row],[backlog_dias]]&gt;p_dias_backlog_max,"BACKLOG","MES CORRIENTE")))</f>
        <v/>
      </c>
      <c r="AA640" s="3">
        <f>IF(tblOrdenes[[#This Row],[backlog_dias]]="",FALSE,AND(tblOrdenes[[#This Row],[backlog_dias]]&gt;p_dias_backlog_min,tblOrdenes[[#This Row],[backlog_dias]]&lt;=p_dias_backlog_max))</f>
        <v/>
      </c>
      <c r="AB640" s="6" t="n"/>
      <c r="AC6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0" s="10">
        <f>IF(tblOrdenes[[#This Row],[orden]]="","",_xlfn.XLOOKUP(tblOrdenes[[#This Row],[id_operacion]],tblEjecucion[id_operacion],tblEjecucion[precio],0))</f>
        <v/>
      </c>
      <c r="AG640" s="10">
        <f>IF(tblOrdenes[[#This Row],[orden]]="","",MAX(0,_xlfn.XLOOKUP(tblOrdenes[[#This Row],[id_operacion]],tblEjecucion[id_operacion],tblEjecucion[costo_plan_total],0)-tblOrdenes[[#This Row],[costo_servicio]]))</f>
        <v/>
      </c>
      <c r="AH640" s="10">
        <f>IF(tblOrdenes[[#This Row],[orden]]="","",tblOrdenes[[#This Row],[costo_servicio]]+tblOrdenes[[#This Row],[costo_materiales]])</f>
        <v/>
      </c>
      <c r="AI640" s="6" t="n"/>
      <c r="AJ640" s="6" t="n"/>
      <c r="AK640" s="6" t="n"/>
      <c r="AL640" s="3">
        <f>IF(tblOrdenes[[#This Row],[link_checklist]]="","",HYPERLINK(p_ruta_base_checklists&amp;tblOrdenes[[#This Row],[link_checklist]],"abrir"))</f>
        <v/>
      </c>
      <c r="AM640" s="6" t="n"/>
      <c r="AN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Row],[tipo_ot]]="","",_xlfn.XLOOKUP(tblOrdenes[[#This Row],[tipo_ot]],tblTiposOT[codigo],tblTiposOT[clasificacion],"sin_clasificar"))</f>
        <v/>
      </c>
      <c r="T641" s="3">
        <f>IF(tblOrdenes[[#This Row],[centro_costo]]="","",_xlfn.XLOOKUP(tblOrdenes[[#This Row],[centro_costo]],tblCECO[codigo],tblCECO[linea],"(sin catálogo)"))</f>
        <v/>
      </c>
      <c r="U641" s="3">
        <f>IF(tblOrdenes[[#This Row],[centro_costo]]="","",_xlfn.XLOOKUP(tblOrdenes[[#This Row],[centro_costo]],tblCECO[codigo],tblCECO[area],"(sin catálogo)"))</f>
        <v/>
      </c>
      <c r="V641" s="3">
        <f>IF(tblOrdenes[[#This Row],[centro_costo]]="","",_xlfn.XLOOKUP(tblOrdenes[[#This Row],[centro_costo]],tblCECO[codigo],tblCECO[coordinador],"(sin catálogo)"))</f>
        <v/>
      </c>
      <c r="W641" s="3">
        <f>IF(tblOrdenes[[#This Row],[puesto_trabajo]]="","",_xlfn.XLOOKUP(tblOrdenes[[#This Row],[puesto_trabajo]],tblPuestos[codigo],tblPuestos[especialidad],"(sin catálogo)"))</f>
        <v/>
      </c>
      <c r="X641" s="3">
        <f>IF(tblOrdenes[[#This Row],[cod_actividad]]="","",_xlfn.XLOOKUP(tblOrdenes[[#This Row],[cod_actividad]],tblActividades[codigo],tblActividades[descripcion],"(sin catálogo)"))</f>
        <v/>
      </c>
      <c r="Y641" s="12">
        <f>IF(tblOrdenes[[#This Row],[fecha_inicio]]="","",TODAY()-tblOrdenes[[#This Row],[fecha_inicio]])</f>
        <v/>
      </c>
      <c r="Z641" s="3">
        <f>IF(tblOrdenes[[#This Row],[backlog_dias]]="","",IF(tblOrdenes[[#This Row],[backlog_dias]]&lt;0,"FUTURO",IF(tblOrdenes[[#This Row],[backlog_dias]]&gt;p_dias_backlog_max,"BACKLOG","MES CORRIENTE")))</f>
        <v/>
      </c>
      <c r="AA641" s="3">
        <f>IF(tblOrdenes[[#This Row],[backlog_dias]]="",FALSE,AND(tblOrdenes[[#This Row],[backlog_dias]]&gt;p_dias_backlog_min,tblOrdenes[[#This Row],[backlog_dias]]&lt;=p_dias_backlog_max))</f>
        <v/>
      </c>
      <c r="AB641" s="6" t="n"/>
      <c r="AC6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1" s="10">
        <f>IF(tblOrdenes[[#This Row],[orden]]="","",_xlfn.XLOOKUP(tblOrdenes[[#This Row],[id_operacion]],tblEjecucion[id_operacion],tblEjecucion[precio],0))</f>
        <v/>
      </c>
      <c r="AG641" s="10">
        <f>IF(tblOrdenes[[#This Row],[orden]]="","",MAX(0,_xlfn.XLOOKUP(tblOrdenes[[#This Row],[id_operacion]],tblEjecucion[id_operacion],tblEjecucion[costo_plan_total],0)-tblOrdenes[[#This Row],[costo_servicio]]))</f>
        <v/>
      </c>
      <c r="AH641" s="10">
        <f>IF(tblOrdenes[[#This Row],[orden]]="","",tblOrdenes[[#This Row],[costo_servicio]]+tblOrdenes[[#This Row],[costo_materiales]])</f>
        <v/>
      </c>
      <c r="AI641" s="6" t="n"/>
      <c r="AJ641" s="6" t="n"/>
      <c r="AK641" s="6" t="n"/>
      <c r="AL641" s="3">
        <f>IF(tblOrdenes[[#This Row],[link_checklist]]="","",HYPERLINK(p_ruta_base_checklists&amp;tblOrdenes[[#This Row],[link_checklist]],"abrir"))</f>
        <v/>
      </c>
      <c r="AM641" s="6" t="n"/>
      <c r="AN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Row],[tipo_ot]]="","",_xlfn.XLOOKUP(tblOrdenes[[#This Row],[tipo_ot]],tblTiposOT[codigo],tblTiposOT[clasificacion],"sin_clasificar"))</f>
        <v/>
      </c>
      <c r="T642" s="3">
        <f>IF(tblOrdenes[[#This Row],[centro_costo]]="","",_xlfn.XLOOKUP(tblOrdenes[[#This Row],[centro_costo]],tblCECO[codigo],tblCECO[linea],"(sin catálogo)"))</f>
        <v/>
      </c>
      <c r="U642" s="3">
        <f>IF(tblOrdenes[[#This Row],[centro_costo]]="","",_xlfn.XLOOKUP(tblOrdenes[[#This Row],[centro_costo]],tblCECO[codigo],tblCECO[area],"(sin catálogo)"))</f>
        <v/>
      </c>
      <c r="V642" s="3">
        <f>IF(tblOrdenes[[#This Row],[centro_costo]]="","",_xlfn.XLOOKUP(tblOrdenes[[#This Row],[centro_costo]],tblCECO[codigo],tblCECO[coordinador],"(sin catálogo)"))</f>
        <v/>
      </c>
      <c r="W642" s="3">
        <f>IF(tblOrdenes[[#This Row],[puesto_trabajo]]="","",_xlfn.XLOOKUP(tblOrdenes[[#This Row],[puesto_trabajo]],tblPuestos[codigo],tblPuestos[especialidad],"(sin catálogo)"))</f>
        <v/>
      </c>
      <c r="X642" s="3">
        <f>IF(tblOrdenes[[#This Row],[cod_actividad]]="","",_xlfn.XLOOKUP(tblOrdenes[[#This Row],[cod_actividad]],tblActividades[codigo],tblActividades[descripcion],"(sin catálogo)"))</f>
        <v/>
      </c>
      <c r="Y642" s="12">
        <f>IF(tblOrdenes[[#This Row],[fecha_inicio]]="","",TODAY()-tblOrdenes[[#This Row],[fecha_inicio]])</f>
        <v/>
      </c>
      <c r="Z642" s="3">
        <f>IF(tblOrdenes[[#This Row],[backlog_dias]]="","",IF(tblOrdenes[[#This Row],[backlog_dias]]&lt;0,"FUTURO",IF(tblOrdenes[[#This Row],[backlog_dias]]&gt;p_dias_backlog_max,"BACKLOG","MES CORRIENTE")))</f>
        <v/>
      </c>
      <c r="AA642" s="3">
        <f>IF(tblOrdenes[[#This Row],[backlog_dias]]="",FALSE,AND(tblOrdenes[[#This Row],[backlog_dias]]&gt;p_dias_backlog_min,tblOrdenes[[#This Row],[backlog_dias]]&lt;=p_dias_backlog_max))</f>
        <v/>
      </c>
      <c r="AB642" s="6" t="n"/>
      <c r="AC6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2" s="10">
        <f>IF(tblOrdenes[[#This Row],[orden]]="","",_xlfn.XLOOKUP(tblOrdenes[[#This Row],[id_operacion]],tblEjecucion[id_operacion],tblEjecucion[precio],0))</f>
        <v/>
      </c>
      <c r="AG642" s="10">
        <f>IF(tblOrdenes[[#This Row],[orden]]="","",MAX(0,_xlfn.XLOOKUP(tblOrdenes[[#This Row],[id_operacion]],tblEjecucion[id_operacion],tblEjecucion[costo_plan_total],0)-tblOrdenes[[#This Row],[costo_servicio]]))</f>
        <v/>
      </c>
      <c r="AH642" s="10">
        <f>IF(tblOrdenes[[#This Row],[orden]]="","",tblOrdenes[[#This Row],[costo_servicio]]+tblOrdenes[[#This Row],[costo_materiales]])</f>
        <v/>
      </c>
      <c r="AI642" s="6" t="n"/>
      <c r="AJ642" s="6" t="n"/>
      <c r="AK642" s="6" t="n"/>
      <c r="AL642" s="3">
        <f>IF(tblOrdenes[[#This Row],[link_checklist]]="","",HYPERLINK(p_ruta_base_checklists&amp;tblOrdenes[[#This Row],[link_checklist]],"abrir"))</f>
        <v/>
      </c>
      <c r="AM642" s="6" t="n"/>
      <c r="AN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Row],[tipo_ot]]="","",_xlfn.XLOOKUP(tblOrdenes[[#This Row],[tipo_ot]],tblTiposOT[codigo],tblTiposOT[clasificacion],"sin_clasificar"))</f>
        <v/>
      </c>
      <c r="T643" s="3">
        <f>IF(tblOrdenes[[#This Row],[centro_costo]]="","",_xlfn.XLOOKUP(tblOrdenes[[#This Row],[centro_costo]],tblCECO[codigo],tblCECO[linea],"(sin catálogo)"))</f>
        <v/>
      </c>
      <c r="U643" s="3">
        <f>IF(tblOrdenes[[#This Row],[centro_costo]]="","",_xlfn.XLOOKUP(tblOrdenes[[#This Row],[centro_costo]],tblCECO[codigo],tblCECO[area],"(sin catálogo)"))</f>
        <v/>
      </c>
      <c r="V643" s="3">
        <f>IF(tblOrdenes[[#This Row],[centro_costo]]="","",_xlfn.XLOOKUP(tblOrdenes[[#This Row],[centro_costo]],tblCECO[codigo],tblCECO[coordinador],"(sin catálogo)"))</f>
        <v/>
      </c>
      <c r="W643" s="3">
        <f>IF(tblOrdenes[[#This Row],[puesto_trabajo]]="","",_xlfn.XLOOKUP(tblOrdenes[[#This Row],[puesto_trabajo]],tblPuestos[codigo],tblPuestos[especialidad],"(sin catálogo)"))</f>
        <v/>
      </c>
      <c r="X643" s="3">
        <f>IF(tblOrdenes[[#This Row],[cod_actividad]]="","",_xlfn.XLOOKUP(tblOrdenes[[#This Row],[cod_actividad]],tblActividades[codigo],tblActividades[descripcion],"(sin catálogo)"))</f>
        <v/>
      </c>
      <c r="Y643" s="12">
        <f>IF(tblOrdenes[[#This Row],[fecha_inicio]]="","",TODAY()-tblOrdenes[[#This Row],[fecha_inicio]])</f>
        <v/>
      </c>
      <c r="Z643" s="3">
        <f>IF(tblOrdenes[[#This Row],[backlog_dias]]="","",IF(tblOrdenes[[#This Row],[backlog_dias]]&lt;0,"FUTURO",IF(tblOrdenes[[#This Row],[backlog_dias]]&gt;p_dias_backlog_max,"BACKLOG","MES CORRIENTE")))</f>
        <v/>
      </c>
      <c r="AA643" s="3">
        <f>IF(tblOrdenes[[#This Row],[backlog_dias]]="",FALSE,AND(tblOrdenes[[#This Row],[backlog_dias]]&gt;p_dias_backlog_min,tblOrdenes[[#This Row],[backlog_dias]]&lt;=p_dias_backlog_max))</f>
        <v/>
      </c>
      <c r="AB643" s="6" t="n"/>
      <c r="AC6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3" s="10">
        <f>IF(tblOrdenes[[#This Row],[orden]]="","",_xlfn.XLOOKUP(tblOrdenes[[#This Row],[id_operacion]],tblEjecucion[id_operacion],tblEjecucion[precio],0))</f>
        <v/>
      </c>
      <c r="AG643" s="10">
        <f>IF(tblOrdenes[[#This Row],[orden]]="","",MAX(0,_xlfn.XLOOKUP(tblOrdenes[[#This Row],[id_operacion]],tblEjecucion[id_operacion],tblEjecucion[costo_plan_total],0)-tblOrdenes[[#This Row],[costo_servicio]]))</f>
        <v/>
      </c>
      <c r="AH643" s="10">
        <f>IF(tblOrdenes[[#This Row],[orden]]="","",tblOrdenes[[#This Row],[costo_servicio]]+tblOrdenes[[#This Row],[costo_materiales]])</f>
        <v/>
      </c>
      <c r="AI643" s="6" t="n"/>
      <c r="AJ643" s="6" t="n"/>
      <c r="AK643" s="6" t="n"/>
      <c r="AL643" s="3">
        <f>IF(tblOrdenes[[#This Row],[link_checklist]]="","",HYPERLINK(p_ruta_base_checklists&amp;tblOrdenes[[#This Row],[link_checklist]],"abrir"))</f>
        <v/>
      </c>
      <c r="AM643" s="6" t="n"/>
      <c r="AN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Row],[tipo_ot]]="","",_xlfn.XLOOKUP(tblOrdenes[[#This Row],[tipo_ot]],tblTiposOT[codigo],tblTiposOT[clasificacion],"sin_clasificar"))</f>
        <v/>
      </c>
      <c r="T644" s="3">
        <f>IF(tblOrdenes[[#This Row],[centro_costo]]="","",_xlfn.XLOOKUP(tblOrdenes[[#This Row],[centro_costo]],tblCECO[codigo],tblCECO[linea],"(sin catálogo)"))</f>
        <v/>
      </c>
      <c r="U644" s="3">
        <f>IF(tblOrdenes[[#This Row],[centro_costo]]="","",_xlfn.XLOOKUP(tblOrdenes[[#This Row],[centro_costo]],tblCECO[codigo],tblCECO[area],"(sin catálogo)"))</f>
        <v/>
      </c>
      <c r="V644" s="3">
        <f>IF(tblOrdenes[[#This Row],[centro_costo]]="","",_xlfn.XLOOKUP(tblOrdenes[[#This Row],[centro_costo]],tblCECO[codigo],tblCECO[coordinador],"(sin catálogo)"))</f>
        <v/>
      </c>
      <c r="W644" s="3">
        <f>IF(tblOrdenes[[#This Row],[puesto_trabajo]]="","",_xlfn.XLOOKUP(tblOrdenes[[#This Row],[puesto_trabajo]],tblPuestos[codigo],tblPuestos[especialidad],"(sin catálogo)"))</f>
        <v/>
      </c>
      <c r="X644" s="3">
        <f>IF(tblOrdenes[[#This Row],[cod_actividad]]="","",_xlfn.XLOOKUP(tblOrdenes[[#This Row],[cod_actividad]],tblActividades[codigo],tblActividades[descripcion],"(sin catálogo)"))</f>
        <v/>
      </c>
      <c r="Y644" s="12">
        <f>IF(tblOrdenes[[#This Row],[fecha_inicio]]="","",TODAY()-tblOrdenes[[#This Row],[fecha_inicio]])</f>
        <v/>
      </c>
      <c r="Z644" s="3">
        <f>IF(tblOrdenes[[#This Row],[backlog_dias]]="","",IF(tblOrdenes[[#This Row],[backlog_dias]]&lt;0,"FUTURO",IF(tblOrdenes[[#This Row],[backlog_dias]]&gt;p_dias_backlog_max,"BACKLOG","MES CORRIENTE")))</f>
        <v/>
      </c>
      <c r="AA644" s="3">
        <f>IF(tblOrdenes[[#This Row],[backlog_dias]]="",FALSE,AND(tblOrdenes[[#This Row],[backlog_dias]]&gt;p_dias_backlog_min,tblOrdenes[[#This Row],[backlog_dias]]&lt;=p_dias_backlog_max))</f>
        <v/>
      </c>
      <c r="AB644" s="6" t="n"/>
      <c r="AC6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4" s="10">
        <f>IF(tblOrdenes[[#This Row],[orden]]="","",_xlfn.XLOOKUP(tblOrdenes[[#This Row],[id_operacion]],tblEjecucion[id_operacion],tblEjecucion[precio],0))</f>
        <v/>
      </c>
      <c r="AG644" s="10">
        <f>IF(tblOrdenes[[#This Row],[orden]]="","",MAX(0,_xlfn.XLOOKUP(tblOrdenes[[#This Row],[id_operacion]],tblEjecucion[id_operacion],tblEjecucion[costo_plan_total],0)-tblOrdenes[[#This Row],[costo_servicio]]))</f>
        <v/>
      </c>
      <c r="AH644" s="10">
        <f>IF(tblOrdenes[[#This Row],[orden]]="","",tblOrdenes[[#This Row],[costo_servicio]]+tblOrdenes[[#This Row],[costo_materiales]])</f>
        <v/>
      </c>
      <c r="AI644" s="6" t="n"/>
      <c r="AJ644" s="6" t="n"/>
      <c r="AK644" s="6" t="n"/>
      <c r="AL644" s="3">
        <f>IF(tblOrdenes[[#This Row],[link_checklist]]="","",HYPERLINK(p_ruta_base_checklists&amp;tblOrdenes[[#This Row],[link_checklist]],"abrir"))</f>
        <v/>
      </c>
      <c r="AM644" s="6" t="n"/>
      <c r="AN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Row],[tipo_ot]]="","",_xlfn.XLOOKUP(tblOrdenes[[#This Row],[tipo_ot]],tblTiposOT[codigo],tblTiposOT[clasificacion],"sin_clasificar"))</f>
        <v/>
      </c>
      <c r="T645" s="3">
        <f>IF(tblOrdenes[[#This Row],[centro_costo]]="","",_xlfn.XLOOKUP(tblOrdenes[[#This Row],[centro_costo]],tblCECO[codigo],tblCECO[linea],"(sin catálogo)"))</f>
        <v/>
      </c>
      <c r="U645" s="3">
        <f>IF(tblOrdenes[[#This Row],[centro_costo]]="","",_xlfn.XLOOKUP(tblOrdenes[[#This Row],[centro_costo]],tblCECO[codigo],tblCECO[area],"(sin catálogo)"))</f>
        <v/>
      </c>
      <c r="V645" s="3">
        <f>IF(tblOrdenes[[#This Row],[centro_costo]]="","",_xlfn.XLOOKUP(tblOrdenes[[#This Row],[centro_costo]],tblCECO[codigo],tblCECO[coordinador],"(sin catálogo)"))</f>
        <v/>
      </c>
      <c r="W645" s="3">
        <f>IF(tblOrdenes[[#This Row],[puesto_trabajo]]="","",_xlfn.XLOOKUP(tblOrdenes[[#This Row],[puesto_trabajo]],tblPuestos[codigo],tblPuestos[especialidad],"(sin catálogo)"))</f>
        <v/>
      </c>
      <c r="X645" s="3">
        <f>IF(tblOrdenes[[#This Row],[cod_actividad]]="","",_xlfn.XLOOKUP(tblOrdenes[[#This Row],[cod_actividad]],tblActividades[codigo],tblActividades[descripcion],"(sin catálogo)"))</f>
        <v/>
      </c>
      <c r="Y645" s="12">
        <f>IF(tblOrdenes[[#This Row],[fecha_inicio]]="","",TODAY()-tblOrdenes[[#This Row],[fecha_inicio]])</f>
        <v/>
      </c>
      <c r="Z645" s="3">
        <f>IF(tblOrdenes[[#This Row],[backlog_dias]]="","",IF(tblOrdenes[[#This Row],[backlog_dias]]&lt;0,"FUTURO",IF(tblOrdenes[[#This Row],[backlog_dias]]&gt;p_dias_backlog_max,"BACKLOG","MES CORRIENTE")))</f>
        <v/>
      </c>
      <c r="AA645" s="3">
        <f>IF(tblOrdenes[[#This Row],[backlog_dias]]="",FALSE,AND(tblOrdenes[[#This Row],[backlog_dias]]&gt;p_dias_backlog_min,tblOrdenes[[#This Row],[backlog_dias]]&lt;=p_dias_backlog_max))</f>
        <v/>
      </c>
      <c r="AB645" s="6" t="n"/>
      <c r="AC6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5" s="10">
        <f>IF(tblOrdenes[[#This Row],[orden]]="","",_xlfn.XLOOKUP(tblOrdenes[[#This Row],[id_operacion]],tblEjecucion[id_operacion],tblEjecucion[precio],0))</f>
        <v/>
      </c>
      <c r="AG645" s="10">
        <f>IF(tblOrdenes[[#This Row],[orden]]="","",MAX(0,_xlfn.XLOOKUP(tblOrdenes[[#This Row],[id_operacion]],tblEjecucion[id_operacion],tblEjecucion[costo_plan_total],0)-tblOrdenes[[#This Row],[costo_servicio]]))</f>
        <v/>
      </c>
      <c r="AH645" s="10">
        <f>IF(tblOrdenes[[#This Row],[orden]]="","",tblOrdenes[[#This Row],[costo_servicio]]+tblOrdenes[[#This Row],[costo_materiales]])</f>
        <v/>
      </c>
      <c r="AI645" s="6" t="n"/>
      <c r="AJ645" s="6" t="n"/>
      <c r="AK645" s="6" t="n"/>
      <c r="AL645" s="3">
        <f>IF(tblOrdenes[[#This Row],[link_checklist]]="","",HYPERLINK(p_ruta_base_checklists&amp;tblOrdenes[[#This Row],[link_checklist]],"abrir"))</f>
        <v/>
      </c>
      <c r="AM645" s="6" t="n"/>
      <c r="AN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Row],[tipo_ot]]="","",_xlfn.XLOOKUP(tblOrdenes[[#This Row],[tipo_ot]],tblTiposOT[codigo],tblTiposOT[clasificacion],"sin_clasificar"))</f>
        <v/>
      </c>
      <c r="T646" s="3">
        <f>IF(tblOrdenes[[#This Row],[centro_costo]]="","",_xlfn.XLOOKUP(tblOrdenes[[#This Row],[centro_costo]],tblCECO[codigo],tblCECO[linea],"(sin catálogo)"))</f>
        <v/>
      </c>
      <c r="U646" s="3">
        <f>IF(tblOrdenes[[#This Row],[centro_costo]]="","",_xlfn.XLOOKUP(tblOrdenes[[#This Row],[centro_costo]],tblCECO[codigo],tblCECO[area],"(sin catálogo)"))</f>
        <v/>
      </c>
      <c r="V646" s="3">
        <f>IF(tblOrdenes[[#This Row],[centro_costo]]="","",_xlfn.XLOOKUP(tblOrdenes[[#This Row],[centro_costo]],tblCECO[codigo],tblCECO[coordinador],"(sin catálogo)"))</f>
        <v/>
      </c>
      <c r="W646" s="3">
        <f>IF(tblOrdenes[[#This Row],[puesto_trabajo]]="","",_xlfn.XLOOKUP(tblOrdenes[[#This Row],[puesto_trabajo]],tblPuestos[codigo],tblPuestos[especialidad],"(sin catálogo)"))</f>
        <v/>
      </c>
      <c r="X646" s="3">
        <f>IF(tblOrdenes[[#This Row],[cod_actividad]]="","",_xlfn.XLOOKUP(tblOrdenes[[#This Row],[cod_actividad]],tblActividades[codigo],tblActividades[descripcion],"(sin catálogo)"))</f>
        <v/>
      </c>
      <c r="Y646" s="12">
        <f>IF(tblOrdenes[[#This Row],[fecha_inicio]]="","",TODAY()-tblOrdenes[[#This Row],[fecha_inicio]])</f>
        <v/>
      </c>
      <c r="Z646" s="3">
        <f>IF(tblOrdenes[[#This Row],[backlog_dias]]="","",IF(tblOrdenes[[#This Row],[backlog_dias]]&lt;0,"FUTURO",IF(tblOrdenes[[#This Row],[backlog_dias]]&gt;p_dias_backlog_max,"BACKLOG","MES CORRIENTE")))</f>
        <v/>
      </c>
      <c r="AA646" s="3">
        <f>IF(tblOrdenes[[#This Row],[backlog_dias]]="",FALSE,AND(tblOrdenes[[#This Row],[backlog_dias]]&gt;p_dias_backlog_min,tblOrdenes[[#This Row],[backlog_dias]]&lt;=p_dias_backlog_max))</f>
        <v/>
      </c>
      <c r="AB646" s="6" t="n"/>
      <c r="AC6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6" s="10">
        <f>IF(tblOrdenes[[#This Row],[orden]]="","",_xlfn.XLOOKUP(tblOrdenes[[#This Row],[id_operacion]],tblEjecucion[id_operacion],tblEjecucion[precio],0))</f>
        <v/>
      </c>
      <c r="AG646" s="10">
        <f>IF(tblOrdenes[[#This Row],[orden]]="","",MAX(0,_xlfn.XLOOKUP(tblOrdenes[[#This Row],[id_operacion]],tblEjecucion[id_operacion],tblEjecucion[costo_plan_total],0)-tblOrdenes[[#This Row],[costo_servicio]]))</f>
        <v/>
      </c>
      <c r="AH646" s="10">
        <f>IF(tblOrdenes[[#This Row],[orden]]="","",tblOrdenes[[#This Row],[costo_servicio]]+tblOrdenes[[#This Row],[costo_materiales]])</f>
        <v/>
      </c>
      <c r="AI646" s="6" t="n"/>
      <c r="AJ646" s="6" t="n"/>
      <c r="AK646" s="6" t="n"/>
      <c r="AL646" s="3">
        <f>IF(tblOrdenes[[#This Row],[link_checklist]]="","",HYPERLINK(p_ruta_base_checklists&amp;tblOrdenes[[#This Row],[link_checklist]],"abrir"))</f>
        <v/>
      </c>
      <c r="AM646" s="6" t="n"/>
      <c r="AN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Row],[tipo_ot]]="","",_xlfn.XLOOKUP(tblOrdenes[[#This Row],[tipo_ot]],tblTiposOT[codigo],tblTiposOT[clasificacion],"sin_clasificar"))</f>
        <v/>
      </c>
      <c r="T647" s="3">
        <f>IF(tblOrdenes[[#This Row],[centro_costo]]="","",_xlfn.XLOOKUP(tblOrdenes[[#This Row],[centro_costo]],tblCECO[codigo],tblCECO[linea],"(sin catálogo)"))</f>
        <v/>
      </c>
      <c r="U647" s="3">
        <f>IF(tblOrdenes[[#This Row],[centro_costo]]="","",_xlfn.XLOOKUP(tblOrdenes[[#This Row],[centro_costo]],tblCECO[codigo],tblCECO[area],"(sin catálogo)"))</f>
        <v/>
      </c>
      <c r="V647" s="3">
        <f>IF(tblOrdenes[[#This Row],[centro_costo]]="","",_xlfn.XLOOKUP(tblOrdenes[[#This Row],[centro_costo]],tblCECO[codigo],tblCECO[coordinador],"(sin catálogo)"))</f>
        <v/>
      </c>
      <c r="W647" s="3">
        <f>IF(tblOrdenes[[#This Row],[puesto_trabajo]]="","",_xlfn.XLOOKUP(tblOrdenes[[#This Row],[puesto_trabajo]],tblPuestos[codigo],tblPuestos[especialidad],"(sin catálogo)"))</f>
        <v/>
      </c>
      <c r="X647" s="3">
        <f>IF(tblOrdenes[[#This Row],[cod_actividad]]="","",_xlfn.XLOOKUP(tblOrdenes[[#This Row],[cod_actividad]],tblActividades[codigo],tblActividades[descripcion],"(sin catálogo)"))</f>
        <v/>
      </c>
      <c r="Y647" s="12">
        <f>IF(tblOrdenes[[#This Row],[fecha_inicio]]="","",TODAY()-tblOrdenes[[#This Row],[fecha_inicio]])</f>
        <v/>
      </c>
      <c r="Z647" s="3">
        <f>IF(tblOrdenes[[#This Row],[backlog_dias]]="","",IF(tblOrdenes[[#This Row],[backlog_dias]]&lt;0,"FUTURO",IF(tblOrdenes[[#This Row],[backlog_dias]]&gt;p_dias_backlog_max,"BACKLOG","MES CORRIENTE")))</f>
        <v/>
      </c>
      <c r="AA647" s="3">
        <f>IF(tblOrdenes[[#This Row],[backlog_dias]]="",FALSE,AND(tblOrdenes[[#This Row],[backlog_dias]]&gt;p_dias_backlog_min,tblOrdenes[[#This Row],[backlog_dias]]&lt;=p_dias_backlog_max))</f>
        <v/>
      </c>
      <c r="AB647" s="6" t="n"/>
      <c r="AC6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7" s="10">
        <f>IF(tblOrdenes[[#This Row],[orden]]="","",_xlfn.XLOOKUP(tblOrdenes[[#This Row],[id_operacion]],tblEjecucion[id_operacion],tblEjecucion[precio],0))</f>
        <v/>
      </c>
      <c r="AG647" s="10">
        <f>IF(tblOrdenes[[#This Row],[orden]]="","",MAX(0,_xlfn.XLOOKUP(tblOrdenes[[#This Row],[id_operacion]],tblEjecucion[id_operacion],tblEjecucion[costo_plan_total],0)-tblOrdenes[[#This Row],[costo_servicio]]))</f>
        <v/>
      </c>
      <c r="AH647" s="10">
        <f>IF(tblOrdenes[[#This Row],[orden]]="","",tblOrdenes[[#This Row],[costo_servicio]]+tblOrdenes[[#This Row],[costo_materiales]])</f>
        <v/>
      </c>
      <c r="AI647" s="6" t="n"/>
      <c r="AJ647" s="6" t="n"/>
      <c r="AK647" s="6" t="n"/>
      <c r="AL647" s="3">
        <f>IF(tblOrdenes[[#This Row],[link_checklist]]="","",HYPERLINK(p_ruta_base_checklists&amp;tblOrdenes[[#This Row],[link_checklist]],"abrir"))</f>
        <v/>
      </c>
      <c r="AM647" s="6" t="n"/>
      <c r="AN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Row],[tipo_ot]]="","",_xlfn.XLOOKUP(tblOrdenes[[#This Row],[tipo_ot]],tblTiposOT[codigo],tblTiposOT[clasificacion],"sin_clasificar"))</f>
        <v/>
      </c>
      <c r="T648" s="3">
        <f>IF(tblOrdenes[[#This Row],[centro_costo]]="","",_xlfn.XLOOKUP(tblOrdenes[[#This Row],[centro_costo]],tblCECO[codigo],tblCECO[linea],"(sin catálogo)"))</f>
        <v/>
      </c>
      <c r="U648" s="3">
        <f>IF(tblOrdenes[[#This Row],[centro_costo]]="","",_xlfn.XLOOKUP(tblOrdenes[[#This Row],[centro_costo]],tblCECO[codigo],tblCECO[area],"(sin catálogo)"))</f>
        <v/>
      </c>
      <c r="V648" s="3">
        <f>IF(tblOrdenes[[#This Row],[centro_costo]]="","",_xlfn.XLOOKUP(tblOrdenes[[#This Row],[centro_costo]],tblCECO[codigo],tblCECO[coordinador],"(sin catálogo)"))</f>
        <v/>
      </c>
      <c r="W648" s="3">
        <f>IF(tblOrdenes[[#This Row],[puesto_trabajo]]="","",_xlfn.XLOOKUP(tblOrdenes[[#This Row],[puesto_trabajo]],tblPuestos[codigo],tblPuestos[especialidad],"(sin catálogo)"))</f>
        <v/>
      </c>
      <c r="X648" s="3">
        <f>IF(tblOrdenes[[#This Row],[cod_actividad]]="","",_xlfn.XLOOKUP(tblOrdenes[[#This Row],[cod_actividad]],tblActividades[codigo],tblActividades[descripcion],"(sin catálogo)"))</f>
        <v/>
      </c>
      <c r="Y648" s="12">
        <f>IF(tblOrdenes[[#This Row],[fecha_inicio]]="","",TODAY()-tblOrdenes[[#This Row],[fecha_inicio]])</f>
        <v/>
      </c>
      <c r="Z648" s="3">
        <f>IF(tblOrdenes[[#This Row],[backlog_dias]]="","",IF(tblOrdenes[[#This Row],[backlog_dias]]&lt;0,"FUTURO",IF(tblOrdenes[[#This Row],[backlog_dias]]&gt;p_dias_backlog_max,"BACKLOG","MES CORRIENTE")))</f>
        <v/>
      </c>
      <c r="AA648" s="3">
        <f>IF(tblOrdenes[[#This Row],[backlog_dias]]="",FALSE,AND(tblOrdenes[[#This Row],[backlog_dias]]&gt;p_dias_backlog_min,tblOrdenes[[#This Row],[backlog_dias]]&lt;=p_dias_backlog_max))</f>
        <v/>
      </c>
      <c r="AB648" s="6" t="n"/>
      <c r="AC6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8" s="10">
        <f>IF(tblOrdenes[[#This Row],[orden]]="","",_xlfn.XLOOKUP(tblOrdenes[[#This Row],[id_operacion]],tblEjecucion[id_operacion],tblEjecucion[precio],0))</f>
        <v/>
      </c>
      <c r="AG648" s="10">
        <f>IF(tblOrdenes[[#This Row],[orden]]="","",MAX(0,_xlfn.XLOOKUP(tblOrdenes[[#This Row],[id_operacion]],tblEjecucion[id_operacion],tblEjecucion[costo_plan_total],0)-tblOrdenes[[#This Row],[costo_servicio]]))</f>
        <v/>
      </c>
      <c r="AH648" s="10">
        <f>IF(tblOrdenes[[#This Row],[orden]]="","",tblOrdenes[[#This Row],[costo_servicio]]+tblOrdenes[[#This Row],[costo_materiales]])</f>
        <v/>
      </c>
      <c r="AI648" s="6" t="n"/>
      <c r="AJ648" s="6" t="n"/>
      <c r="AK648" s="6" t="n"/>
      <c r="AL648" s="3">
        <f>IF(tblOrdenes[[#This Row],[link_checklist]]="","",HYPERLINK(p_ruta_base_checklists&amp;tblOrdenes[[#This Row],[link_checklist]],"abrir"))</f>
        <v/>
      </c>
      <c r="AM648" s="6" t="n"/>
      <c r="AN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Row],[tipo_ot]]="","",_xlfn.XLOOKUP(tblOrdenes[[#This Row],[tipo_ot]],tblTiposOT[codigo],tblTiposOT[clasificacion],"sin_clasificar"))</f>
        <v/>
      </c>
      <c r="T649" s="3">
        <f>IF(tblOrdenes[[#This Row],[centro_costo]]="","",_xlfn.XLOOKUP(tblOrdenes[[#This Row],[centro_costo]],tblCECO[codigo],tblCECO[linea],"(sin catálogo)"))</f>
        <v/>
      </c>
      <c r="U649" s="3">
        <f>IF(tblOrdenes[[#This Row],[centro_costo]]="","",_xlfn.XLOOKUP(tblOrdenes[[#This Row],[centro_costo]],tblCECO[codigo],tblCECO[area],"(sin catálogo)"))</f>
        <v/>
      </c>
      <c r="V649" s="3">
        <f>IF(tblOrdenes[[#This Row],[centro_costo]]="","",_xlfn.XLOOKUP(tblOrdenes[[#This Row],[centro_costo]],tblCECO[codigo],tblCECO[coordinador],"(sin catálogo)"))</f>
        <v/>
      </c>
      <c r="W649" s="3">
        <f>IF(tblOrdenes[[#This Row],[puesto_trabajo]]="","",_xlfn.XLOOKUP(tblOrdenes[[#This Row],[puesto_trabajo]],tblPuestos[codigo],tblPuestos[especialidad],"(sin catálogo)"))</f>
        <v/>
      </c>
      <c r="X649" s="3">
        <f>IF(tblOrdenes[[#This Row],[cod_actividad]]="","",_xlfn.XLOOKUP(tblOrdenes[[#This Row],[cod_actividad]],tblActividades[codigo],tblActividades[descripcion],"(sin catálogo)"))</f>
        <v/>
      </c>
      <c r="Y649" s="12">
        <f>IF(tblOrdenes[[#This Row],[fecha_inicio]]="","",TODAY()-tblOrdenes[[#This Row],[fecha_inicio]])</f>
        <v/>
      </c>
      <c r="Z649" s="3">
        <f>IF(tblOrdenes[[#This Row],[backlog_dias]]="","",IF(tblOrdenes[[#This Row],[backlog_dias]]&lt;0,"FUTURO",IF(tblOrdenes[[#This Row],[backlog_dias]]&gt;p_dias_backlog_max,"BACKLOG","MES CORRIENTE")))</f>
        <v/>
      </c>
      <c r="AA649" s="3">
        <f>IF(tblOrdenes[[#This Row],[backlog_dias]]="",FALSE,AND(tblOrdenes[[#This Row],[backlog_dias]]&gt;p_dias_backlog_min,tblOrdenes[[#This Row],[backlog_dias]]&lt;=p_dias_backlog_max))</f>
        <v/>
      </c>
      <c r="AB649" s="6" t="n"/>
      <c r="AC6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9" s="10">
        <f>IF(tblOrdenes[[#This Row],[orden]]="","",_xlfn.XLOOKUP(tblOrdenes[[#This Row],[id_operacion]],tblEjecucion[id_operacion],tblEjecucion[precio],0))</f>
        <v/>
      </c>
      <c r="AG649" s="10">
        <f>IF(tblOrdenes[[#This Row],[orden]]="","",MAX(0,_xlfn.XLOOKUP(tblOrdenes[[#This Row],[id_operacion]],tblEjecucion[id_operacion],tblEjecucion[costo_plan_total],0)-tblOrdenes[[#This Row],[costo_servicio]]))</f>
        <v/>
      </c>
      <c r="AH649" s="10">
        <f>IF(tblOrdenes[[#This Row],[orden]]="","",tblOrdenes[[#This Row],[costo_servicio]]+tblOrdenes[[#This Row],[costo_materiales]])</f>
        <v/>
      </c>
      <c r="AI649" s="6" t="n"/>
      <c r="AJ649" s="6" t="n"/>
      <c r="AK649" s="6" t="n"/>
      <c r="AL649" s="3">
        <f>IF(tblOrdenes[[#This Row],[link_checklist]]="","",HYPERLINK(p_ruta_base_checklists&amp;tblOrdenes[[#This Row],[link_checklist]],"abrir"))</f>
        <v/>
      </c>
      <c r="AM649" s="6" t="n"/>
      <c r="AN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Row],[tipo_ot]]="","",_xlfn.XLOOKUP(tblOrdenes[[#This Row],[tipo_ot]],tblTiposOT[codigo],tblTiposOT[clasificacion],"sin_clasificar"))</f>
        <v/>
      </c>
      <c r="T650" s="3">
        <f>IF(tblOrdenes[[#This Row],[centro_costo]]="","",_xlfn.XLOOKUP(tblOrdenes[[#This Row],[centro_costo]],tblCECO[codigo],tblCECO[linea],"(sin catálogo)"))</f>
        <v/>
      </c>
      <c r="U650" s="3">
        <f>IF(tblOrdenes[[#This Row],[centro_costo]]="","",_xlfn.XLOOKUP(tblOrdenes[[#This Row],[centro_costo]],tblCECO[codigo],tblCECO[area],"(sin catálogo)"))</f>
        <v/>
      </c>
      <c r="V650" s="3">
        <f>IF(tblOrdenes[[#This Row],[centro_costo]]="","",_xlfn.XLOOKUP(tblOrdenes[[#This Row],[centro_costo]],tblCECO[codigo],tblCECO[coordinador],"(sin catálogo)"))</f>
        <v/>
      </c>
      <c r="W650" s="3">
        <f>IF(tblOrdenes[[#This Row],[puesto_trabajo]]="","",_xlfn.XLOOKUP(tblOrdenes[[#This Row],[puesto_trabajo]],tblPuestos[codigo],tblPuestos[especialidad],"(sin catálogo)"))</f>
        <v/>
      </c>
      <c r="X650" s="3">
        <f>IF(tblOrdenes[[#This Row],[cod_actividad]]="","",_xlfn.XLOOKUP(tblOrdenes[[#This Row],[cod_actividad]],tblActividades[codigo],tblActividades[descripcion],"(sin catálogo)"))</f>
        <v/>
      </c>
      <c r="Y650" s="12">
        <f>IF(tblOrdenes[[#This Row],[fecha_inicio]]="","",TODAY()-tblOrdenes[[#This Row],[fecha_inicio]])</f>
        <v/>
      </c>
      <c r="Z650" s="3">
        <f>IF(tblOrdenes[[#This Row],[backlog_dias]]="","",IF(tblOrdenes[[#This Row],[backlog_dias]]&lt;0,"FUTURO",IF(tblOrdenes[[#This Row],[backlog_dias]]&gt;p_dias_backlog_max,"BACKLOG","MES CORRIENTE")))</f>
        <v/>
      </c>
      <c r="AA650" s="3">
        <f>IF(tblOrdenes[[#This Row],[backlog_dias]]="",FALSE,AND(tblOrdenes[[#This Row],[backlog_dias]]&gt;p_dias_backlog_min,tblOrdenes[[#This Row],[backlog_dias]]&lt;=p_dias_backlog_max))</f>
        <v/>
      </c>
      <c r="AB650" s="6" t="n"/>
      <c r="AC6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0" s="10">
        <f>IF(tblOrdenes[[#This Row],[orden]]="","",_xlfn.XLOOKUP(tblOrdenes[[#This Row],[id_operacion]],tblEjecucion[id_operacion],tblEjecucion[precio],0))</f>
        <v/>
      </c>
      <c r="AG650" s="10">
        <f>IF(tblOrdenes[[#This Row],[orden]]="","",MAX(0,_xlfn.XLOOKUP(tblOrdenes[[#This Row],[id_operacion]],tblEjecucion[id_operacion],tblEjecucion[costo_plan_total],0)-tblOrdenes[[#This Row],[costo_servicio]]))</f>
        <v/>
      </c>
      <c r="AH650" s="10">
        <f>IF(tblOrdenes[[#This Row],[orden]]="","",tblOrdenes[[#This Row],[costo_servicio]]+tblOrdenes[[#This Row],[costo_materiales]])</f>
        <v/>
      </c>
      <c r="AI650" s="6" t="n"/>
      <c r="AJ650" s="6" t="n"/>
      <c r="AK650" s="6" t="n"/>
      <c r="AL650" s="3">
        <f>IF(tblOrdenes[[#This Row],[link_checklist]]="","",HYPERLINK(p_ruta_base_checklists&amp;tblOrdenes[[#This Row],[link_checklist]],"abrir"))</f>
        <v/>
      </c>
      <c r="AM650" s="6" t="n"/>
      <c r="AN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Row],[tipo_ot]]="","",_xlfn.XLOOKUP(tblOrdenes[[#This Row],[tipo_ot]],tblTiposOT[codigo],tblTiposOT[clasificacion],"sin_clasificar"))</f>
        <v/>
      </c>
      <c r="T651" s="3">
        <f>IF(tblOrdenes[[#This Row],[centro_costo]]="","",_xlfn.XLOOKUP(tblOrdenes[[#This Row],[centro_costo]],tblCECO[codigo],tblCECO[linea],"(sin catálogo)"))</f>
        <v/>
      </c>
      <c r="U651" s="3">
        <f>IF(tblOrdenes[[#This Row],[centro_costo]]="","",_xlfn.XLOOKUP(tblOrdenes[[#This Row],[centro_costo]],tblCECO[codigo],tblCECO[area],"(sin catálogo)"))</f>
        <v/>
      </c>
      <c r="V651" s="3">
        <f>IF(tblOrdenes[[#This Row],[centro_costo]]="","",_xlfn.XLOOKUP(tblOrdenes[[#This Row],[centro_costo]],tblCECO[codigo],tblCECO[coordinador],"(sin catálogo)"))</f>
        <v/>
      </c>
      <c r="W651" s="3">
        <f>IF(tblOrdenes[[#This Row],[puesto_trabajo]]="","",_xlfn.XLOOKUP(tblOrdenes[[#This Row],[puesto_trabajo]],tblPuestos[codigo],tblPuestos[especialidad],"(sin catálogo)"))</f>
        <v/>
      </c>
      <c r="X651" s="3">
        <f>IF(tblOrdenes[[#This Row],[cod_actividad]]="","",_xlfn.XLOOKUP(tblOrdenes[[#This Row],[cod_actividad]],tblActividades[codigo],tblActividades[descripcion],"(sin catálogo)"))</f>
        <v/>
      </c>
      <c r="Y651" s="12">
        <f>IF(tblOrdenes[[#This Row],[fecha_inicio]]="","",TODAY()-tblOrdenes[[#This Row],[fecha_inicio]])</f>
        <v/>
      </c>
      <c r="Z651" s="3">
        <f>IF(tblOrdenes[[#This Row],[backlog_dias]]="","",IF(tblOrdenes[[#This Row],[backlog_dias]]&lt;0,"FUTURO",IF(tblOrdenes[[#This Row],[backlog_dias]]&gt;p_dias_backlog_max,"BACKLOG","MES CORRIENTE")))</f>
        <v/>
      </c>
      <c r="AA651" s="3">
        <f>IF(tblOrdenes[[#This Row],[backlog_dias]]="",FALSE,AND(tblOrdenes[[#This Row],[backlog_dias]]&gt;p_dias_backlog_min,tblOrdenes[[#This Row],[backlog_dias]]&lt;=p_dias_backlog_max))</f>
        <v/>
      </c>
      <c r="AB651" s="6" t="n"/>
      <c r="AC6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1" s="10">
        <f>IF(tblOrdenes[[#This Row],[orden]]="","",_xlfn.XLOOKUP(tblOrdenes[[#This Row],[id_operacion]],tblEjecucion[id_operacion],tblEjecucion[precio],0))</f>
        <v/>
      </c>
      <c r="AG651" s="10">
        <f>IF(tblOrdenes[[#This Row],[orden]]="","",MAX(0,_xlfn.XLOOKUP(tblOrdenes[[#This Row],[id_operacion]],tblEjecucion[id_operacion],tblEjecucion[costo_plan_total],0)-tblOrdenes[[#This Row],[costo_servicio]]))</f>
        <v/>
      </c>
      <c r="AH651" s="10">
        <f>IF(tblOrdenes[[#This Row],[orden]]="","",tblOrdenes[[#This Row],[costo_servicio]]+tblOrdenes[[#This Row],[costo_materiales]])</f>
        <v/>
      </c>
      <c r="AI651" s="6" t="n"/>
      <c r="AJ651" s="6" t="n"/>
      <c r="AK651" s="6" t="n"/>
      <c r="AL651" s="3">
        <f>IF(tblOrdenes[[#This Row],[link_checklist]]="","",HYPERLINK(p_ruta_base_checklists&amp;tblOrdenes[[#This Row],[link_checklist]],"abrir"))</f>
        <v/>
      </c>
      <c r="AM651" s="6" t="n"/>
      <c r="AN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Row],[tipo_ot]]="","",_xlfn.XLOOKUP(tblOrdenes[[#This Row],[tipo_ot]],tblTiposOT[codigo],tblTiposOT[clasificacion],"sin_clasificar"))</f>
        <v/>
      </c>
      <c r="T652" s="3">
        <f>IF(tblOrdenes[[#This Row],[centro_costo]]="","",_xlfn.XLOOKUP(tblOrdenes[[#This Row],[centro_costo]],tblCECO[codigo],tblCECO[linea],"(sin catálogo)"))</f>
        <v/>
      </c>
      <c r="U652" s="3">
        <f>IF(tblOrdenes[[#This Row],[centro_costo]]="","",_xlfn.XLOOKUP(tblOrdenes[[#This Row],[centro_costo]],tblCECO[codigo],tblCECO[area],"(sin catálogo)"))</f>
        <v/>
      </c>
      <c r="V652" s="3">
        <f>IF(tblOrdenes[[#This Row],[centro_costo]]="","",_xlfn.XLOOKUP(tblOrdenes[[#This Row],[centro_costo]],tblCECO[codigo],tblCECO[coordinador],"(sin catálogo)"))</f>
        <v/>
      </c>
      <c r="W652" s="3">
        <f>IF(tblOrdenes[[#This Row],[puesto_trabajo]]="","",_xlfn.XLOOKUP(tblOrdenes[[#This Row],[puesto_trabajo]],tblPuestos[codigo],tblPuestos[especialidad],"(sin catálogo)"))</f>
        <v/>
      </c>
      <c r="X652" s="3">
        <f>IF(tblOrdenes[[#This Row],[cod_actividad]]="","",_xlfn.XLOOKUP(tblOrdenes[[#This Row],[cod_actividad]],tblActividades[codigo],tblActividades[descripcion],"(sin catálogo)"))</f>
        <v/>
      </c>
      <c r="Y652" s="12">
        <f>IF(tblOrdenes[[#This Row],[fecha_inicio]]="","",TODAY()-tblOrdenes[[#This Row],[fecha_inicio]])</f>
        <v/>
      </c>
      <c r="Z652" s="3">
        <f>IF(tblOrdenes[[#This Row],[backlog_dias]]="","",IF(tblOrdenes[[#This Row],[backlog_dias]]&lt;0,"FUTURO",IF(tblOrdenes[[#This Row],[backlog_dias]]&gt;p_dias_backlog_max,"BACKLOG","MES CORRIENTE")))</f>
        <v/>
      </c>
      <c r="AA652" s="3">
        <f>IF(tblOrdenes[[#This Row],[backlog_dias]]="",FALSE,AND(tblOrdenes[[#This Row],[backlog_dias]]&gt;p_dias_backlog_min,tblOrdenes[[#This Row],[backlog_dias]]&lt;=p_dias_backlog_max))</f>
        <v/>
      </c>
      <c r="AB652" s="6" t="n"/>
      <c r="AC6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2" s="10">
        <f>IF(tblOrdenes[[#This Row],[orden]]="","",_xlfn.XLOOKUP(tblOrdenes[[#This Row],[id_operacion]],tblEjecucion[id_operacion],tblEjecucion[precio],0))</f>
        <v/>
      </c>
      <c r="AG652" s="10">
        <f>IF(tblOrdenes[[#This Row],[orden]]="","",MAX(0,_xlfn.XLOOKUP(tblOrdenes[[#This Row],[id_operacion]],tblEjecucion[id_operacion],tblEjecucion[costo_plan_total],0)-tblOrdenes[[#This Row],[costo_servicio]]))</f>
        <v/>
      </c>
      <c r="AH652" s="10">
        <f>IF(tblOrdenes[[#This Row],[orden]]="","",tblOrdenes[[#This Row],[costo_servicio]]+tblOrdenes[[#This Row],[costo_materiales]])</f>
        <v/>
      </c>
      <c r="AI652" s="6" t="n"/>
      <c r="AJ652" s="6" t="n"/>
      <c r="AK652" s="6" t="n"/>
      <c r="AL652" s="3">
        <f>IF(tblOrdenes[[#This Row],[link_checklist]]="","",HYPERLINK(p_ruta_base_checklists&amp;tblOrdenes[[#This Row],[link_checklist]],"abrir"))</f>
        <v/>
      </c>
      <c r="AM652" s="6" t="n"/>
      <c r="AN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Row],[tipo_ot]]="","",_xlfn.XLOOKUP(tblOrdenes[[#This Row],[tipo_ot]],tblTiposOT[codigo],tblTiposOT[clasificacion],"sin_clasificar"))</f>
        <v/>
      </c>
      <c r="T653" s="3">
        <f>IF(tblOrdenes[[#This Row],[centro_costo]]="","",_xlfn.XLOOKUP(tblOrdenes[[#This Row],[centro_costo]],tblCECO[codigo],tblCECO[linea],"(sin catálogo)"))</f>
        <v/>
      </c>
      <c r="U653" s="3">
        <f>IF(tblOrdenes[[#This Row],[centro_costo]]="","",_xlfn.XLOOKUP(tblOrdenes[[#This Row],[centro_costo]],tblCECO[codigo],tblCECO[area],"(sin catálogo)"))</f>
        <v/>
      </c>
      <c r="V653" s="3">
        <f>IF(tblOrdenes[[#This Row],[centro_costo]]="","",_xlfn.XLOOKUP(tblOrdenes[[#This Row],[centro_costo]],tblCECO[codigo],tblCECO[coordinador],"(sin catálogo)"))</f>
        <v/>
      </c>
      <c r="W653" s="3">
        <f>IF(tblOrdenes[[#This Row],[puesto_trabajo]]="","",_xlfn.XLOOKUP(tblOrdenes[[#This Row],[puesto_trabajo]],tblPuestos[codigo],tblPuestos[especialidad],"(sin catálogo)"))</f>
        <v/>
      </c>
      <c r="X653" s="3">
        <f>IF(tblOrdenes[[#This Row],[cod_actividad]]="","",_xlfn.XLOOKUP(tblOrdenes[[#This Row],[cod_actividad]],tblActividades[codigo],tblActividades[descripcion],"(sin catálogo)"))</f>
        <v/>
      </c>
      <c r="Y653" s="12">
        <f>IF(tblOrdenes[[#This Row],[fecha_inicio]]="","",TODAY()-tblOrdenes[[#This Row],[fecha_inicio]])</f>
        <v/>
      </c>
      <c r="Z653" s="3">
        <f>IF(tblOrdenes[[#This Row],[backlog_dias]]="","",IF(tblOrdenes[[#This Row],[backlog_dias]]&lt;0,"FUTURO",IF(tblOrdenes[[#This Row],[backlog_dias]]&gt;p_dias_backlog_max,"BACKLOG","MES CORRIENTE")))</f>
        <v/>
      </c>
      <c r="AA653" s="3">
        <f>IF(tblOrdenes[[#This Row],[backlog_dias]]="",FALSE,AND(tblOrdenes[[#This Row],[backlog_dias]]&gt;p_dias_backlog_min,tblOrdenes[[#This Row],[backlog_dias]]&lt;=p_dias_backlog_max))</f>
        <v/>
      </c>
      <c r="AB653" s="6" t="n"/>
      <c r="AC6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3" s="10">
        <f>IF(tblOrdenes[[#This Row],[orden]]="","",_xlfn.XLOOKUP(tblOrdenes[[#This Row],[id_operacion]],tblEjecucion[id_operacion],tblEjecucion[precio],0))</f>
        <v/>
      </c>
      <c r="AG653" s="10">
        <f>IF(tblOrdenes[[#This Row],[orden]]="","",MAX(0,_xlfn.XLOOKUP(tblOrdenes[[#This Row],[id_operacion]],tblEjecucion[id_operacion],tblEjecucion[costo_plan_total],0)-tblOrdenes[[#This Row],[costo_servicio]]))</f>
        <v/>
      </c>
      <c r="AH653" s="10">
        <f>IF(tblOrdenes[[#This Row],[orden]]="","",tblOrdenes[[#This Row],[costo_servicio]]+tblOrdenes[[#This Row],[costo_materiales]])</f>
        <v/>
      </c>
      <c r="AI653" s="6" t="n"/>
      <c r="AJ653" s="6" t="n"/>
      <c r="AK653" s="6" t="n"/>
      <c r="AL653" s="3">
        <f>IF(tblOrdenes[[#This Row],[link_checklist]]="","",HYPERLINK(p_ruta_base_checklists&amp;tblOrdenes[[#This Row],[link_checklist]],"abrir"))</f>
        <v/>
      </c>
      <c r="AM653" s="6" t="n"/>
      <c r="AN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Row],[tipo_ot]]="","",_xlfn.XLOOKUP(tblOrdenes[[#This Row],[tipo_ot]],tblTiposOT[codigo],tblTiposOT[clasificacion],"sin_clasificar"))</f>
        <v/>
      </c>
      <c r="T654" s="3">
        <f>IF(tblOrdenes[[#This Row],[centro_costo]]="","",_xlfn.XLOOKUP(tblOrdenes[[#This Row],[centro_costo]],tblCECO[codigo],tblCECO[linea],"(sin catálogo)"))</f>
        <v/>
      </c>
      <c r="U654" s="3">
        <f>IF(tblOrdenes[[#This Row],[centro_costo]]="","",_xlfn.XLOOKUP(tblOrdenes[[#This Row],[centro_costo]],tblCECO[codigo],tblCECO[area],"(sin catálogo)"))</f>
        <v/>
      </c>
      <c r="V654" s="3">
        <f>IF(tblOrdenes[[#This Row],[centro_costo]]="","",_xlfn.XLOOKUP(tblOrdenes[[#This Row],[centro_costo]],tblCECO[codigo],tblCECO[coordinador],"(sin catálogo)"))</f>
        <v/>
      </c>
      <c r="W654" s="3">
        <f>IF(tblOrdenes[[#This Row],[puesto_trabajo]]="","",_xlfn.XLOOKUP(tblOrdenes[[#This Row],[puesto_trabajo]],tblPuestos[codigo],tblPuestos[especialidad],"(sin catálogo)"))</f>
        <v/>
      </c>
      <c r="X654" s="3">
        <f>IF(tblOrdenes[[#This Row],[cod_actividad]]="","",_xlfn.XLOOKUP(tblOrdenes[[#This Row],[cod_actividad]],tblActividades[codigo],tblActividades[descripcion],"(sin catálogo)"))</f>
        <v/>
      </c>
      <c r="Y654" s="12">
        <f>IF(tblOrdenes[[#This Row],[fecha_inicio]]="","",TODAY()-tblOrdenes[[#This Row],[fecha_inicio]])</f>
        <v/>
      </c>
      <c r="Z654" s="3">
        <f>IF(tblOrdenes[[#This Row],[backlog_dias]]="","",IF(tblOrdenes[[#This Row],[backlog_dias]]&lt;0,"FUTURO",IF(tblOrdenes[[#This Row],[backlog_dias]]&gt;p_dias_backlog_max,"BACKLOG","MES CORRIENTE")))</f>
        <v/>
      </c>
      <c r="AA654" s="3">
        <f>IF(tblOrdenes[[#This Row],[backlog_dias]]="",FALSE,AND(tblOrdenes[[#This Row],[backlog_dias]]&gt;p_dias_backlog_min,tblOrdenes[[#This Row],[backlog_dias]]&lt;=p_dias_backlog_max))</f>
        <v/>
      </c>
      <c r="AB654" s="6" t="n"/>
      <c r="AC6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4" s="10">
        <f>IF(tblOrdenes[[#This Row],[orden]]="","",_xlfn.XLOOKUP(tblOrdenes[[#This Row],[id_operacion]],tblEjecucion[id_operacion],tblEjecucion[precio],0))</f>
        <v/>
      </c>
      <c r="AG654" s="10">
        <f>IF(tblOrdenes[[#This Row],[orden]]="","",MAX(0,_xlfn.XLOOKUP(tblOrdenes[[#This Row],[id_operacion]],tblEjecucion[id_operacion],tblEjecucion[costo_plan_total],0)-tblOrdenes[[#This Row],[costo_servicio]]))</f>
        <v/>
      </c>
      <c r="AH654" s="10">
        <f>IF(tblOrdenes[[#This Row],[orden]]="","",tblOrdenes[[#This Row],[costo_servicio]]+tblOrdenes[[#This Row],[costo_materiales]])</f>
        <v/>
      </c>
      <c r="AI654" s="6" t="n"/>
      <c r="AJ654" s="6" t="n"/>
      <c r="AK654" s="6" t="n"/>
      <c r="AL654" s="3">
        <f>IF(tblOrdenes[[#This Row],[link_checklist]]="","",HYPERLINK(p_ruta_base_checklists&amp;tblOrdenes[[#This Row],[link_checklist]],"abrir"))</f>
        <v/>
      </c>
      <c r="AM654" s="6" t="n"/>
      <c r="AN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Row],[tipo_ot]]="","",_xlfn.XLOOKUP(tblOrdenes[[#This Row],[tipo_ot]],tblTiposOT[codigo],tblTiposOT[clasificacion],"sin_clasificar"))</f>
        <v/>
      </c>
      <c r="T655" s="3">
        <f>IF(tblOrdenes[[#This Row],[centro_costo]]="","",_xlfn.XLOOKUP(tblOrdenes[[#This Row],[centro_costo]],tblCECO[codigo],tblCECO[linea],"(sin catálogo)"))</f>
        <v/>
      </c>
      <c r="U655" s="3">
        <f>IF(tblOrdenes[[#This Row],[centro_costo]]="","",_xlfn.XLOOKUP(tblOrdenes[[#This Row],[centro_costo]],tblCECO[codigo],tblCECO[area],"(sin catálogo)"))</f>
        <v/>
      </c>
      <c r="V655" s="3">
        <f>IF(tblOrdenes[[#This Row],[centro_costo]]="","",_xlfn.XLOOKUP(tblOrdenes[[#This Row],[centro_costo]],tblCECO[codigo],tblCECO[coordinador],"(sin catálogo)"))</f>
        <v/>
      </c>
      <c r="W655" s="3">
        <f>IF(tblOrdenes[[#This Row],[puesto_trabajo]]="","",_xlfn.XLOOKUP(tblOrdenes[[#This Row],[puesto_trabajo]],tblPuestos[codigo],tblPuestos[especialidad],"(sin catálogo)"))</f>
        <v/>
      </c>
      <c r="X655" s="3">
        <f>IF(tblOrdenes[[#This Row],[cod_actividad]]="","",_xlfn.XLOOKUP(tblOrdenes[[#This Row],[cod_actividad]],tblActividades[codigo],tblActividades[descripcion],"(sin catálogo)"))</f>
        <v/>
      </c>
      <c r="Y655" s="12">
        <f>IF(tblOrdenes[[#This Row],[fecha_inicio]]="","",TODAY()-tblOrdenes[[#This Row],[fecha_inicio]])</f>
        <v/>
      </c>
      <c r="Z655" s="3">
        <f>IF(tblOrdenes[[#This Row],[backlog_dias]]="","",IF(tblOrdenes[[#This Row],[backlog_dias]]&lt;0,"FUTURO",IF(tblOrdenes[[#This Row],[backlog_dias]]&gt;p_dias_backlog_max,"BACKLOG","MES CORRIENTE")))</f>
        <v/>
      </c>
      <c r="AA655" s="3">
        <f>IF(tblOrdenes[[#This Row],[backlog_dias]]="",FALSE,AND(tblOrdenes[[#This Row],[backlog_dias]]&gt;p_dias_backlog_min,tblOrdenes[[#This Row],[backlog_dias]]&lt;=p_dias_backlog_max))</f>
        <v/>
      </c>
      <c r="AB655" s="6" t="n"/>
      <c r="AC6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5" s="10">
        <f>IF(tblOrdenes[[#This Row],[orden]]="","",_xlfn.XLOOKUP(tblOrdenes[[#This Row],[id_operacion]],tblEjecucion[id_operacion],tblEjecucion[precio],0))</f>
        <v/>
      </c>
      <c r="AG655" s="10">
        <f>IF(tblOrdenes[[#This Row],[orden]]="","",MAX(0,_xlfn.XLOOKUP(tblOrdenes[[#This Row],[id_operacion]],tblEjecucion[id_operacion],tblEjecucion[costo_plan_total],0)-tblOrdenes[[#This Row],[costo_servicio]]))</f>
        <v/>
      </c>
      <c r="AH655" s="10">
        <f>IF(tblOrdenes[[#This Row],[orden]]="","",tblOrdenes[[#This Row],[costo_servicio]]+tblOrdenes[[#This Row],[costo_materiales]])</f>
        <v/>
      </c>
      <c r="AI655" s="6" t="n"/>
      <c r="AJ655" s="6" t="n"/>
      <c r="AK655" s="6" t="n"/>
      <c r="AL655" s="3">
        <f>IF(tblOrdenes[[#This Row],[link_checklist]]="","",HYPERLINK(p_ruta_base_checklists&amp;tblOrdenes[[#This Row],[link_checklist]],"abrir"))</f>
        <v/>
      </c>
      <c r="AM655" s="6" t="n"/>
      <c r="AN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Row],[tipo_ot]]="","",_xlfn.XLOOKUP(tblOrdenes[[#This Row],[tipo_ot]],tblTiposOT[codigo],tblTiposOT[clasificacion],"sin_clasificar"))</f>
        <v/>
      </c>
      <c r="T656" s="3">
        <f>IF(tblOrdenes[[#This Row],[centro_costo]]="","",_xlfn.XLOOKUP(tblOrdenes[[#This Row],[centro_costo]],tblCECO[codigo],tblCECO[linea],"(sin catálogo)"))</f>
        <v/>
      </c>
      <c r="U656" s="3">
        <f>IF(tblOrdenes[[#This Row],[centro_costo]]="","",_xlfn.XLOOKUP(tblOrdenes[[#This Row],[centro_costo]],tblCECO[codigo],tblCECO[area],"(sin catálogo)"))</f>
        <v/>
      </c>
      <c r="V656" s="3">
        <f>IF(tblOrdenes[[#This Row],[centro_costo]]="","",_xlfn.XLOOKUP(tblOrdenes[[#This Row],[centro_costo]],tblCECO[codigo],tblCECO[coordinador],"(sin catálogo)"))</f>
        <v/>
      </c>
      <c r="W656" s="3">
        <f>IF(tblOrdenes[[#This Row],[puesto_trabajo]]="","",_xlfn.XLOOKUP(tblOrdenes[[#This Row],[puesto_trabajo]],tblPuestos[codigo],tblPuestos[especialidad],"(sin catálogo)"))</f>
        <v/>
      </c>
      <c r="X656" s="3">
        <f>IF(tblOrdenes[[#This Row],[cod_actividad]]="","",_xlfn.XLOOKUP(tblOrdenes[[#This Row],[cod_actividad]],tblActividades[codigo],tblActividades[descripcion],"(sin catálogo)"))</f>
        <v/>
      </c>
      <c r="Y656" s="12">
        <f>IF(tblOrdenes[[#This Row],[fecha_inicio]]="","",TODAY()-tblOrdenes[[#This Row],[fecha_inicio]])</f>
        <v/>
      </c>
      <c r="Z656" s="3">
        <f>IF(tblOrdenes[[#This Row],[backlog_dias]]="","",IF(tblOrdenes[[#This Row],[backlog_dias]]&lt;0,"FUTURO",IF(tblOrdenes[[#This Row],[backlog_dias]]&gt;p_dias_backlog_max,"BACKLOG","MES CORRIENTE")))</f>
        <v/>
      </c>
      <c r="AA656" s="3">
        <f>IF(tblOrdenes[[#This Row],[backlog_dias]]="",FALSE,AND(tblOrdenes[[#This Row],[backlog_dias]]&gt;p_dias_backlog_min,tblOrdenes[[#This Row],[backlog_dias]]&lt;=p_dias_backlog_max))</f>
        <v/>
      </c>
      <c r="AB656" s="6" t="n"/>
      <c r="AC6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6" s="10">
        <f>IF(tblOrdenes[[#This Row],[orden]]="","",_xlfn.XLOOKUP(tblOrdenes[[#This Row],[id_operacion]],tblEjecucion[id_operacion],tblEjecucion[precio],0))</f>
        <v/>
      </c>
      <c r="AG656" s="10">
        <f>IF(tblOrdenes[[#This Row],[orden]]="","",MAX(0,_xlfn.XLOOKUP(tblOrdenes[[#This Row],[id_operacion]],tblEjecucion[id_operacion],tblEjecucion[costo_plan_total],0)-tblOrdenes[[#This Row],[costo_servicio]]))</f>
        <v/>
      </c>
      <c r="AH656" s="10">
        <f>IF(tblOrdenes[[#This Row],[orden]]="","",tblOrdenes[[#This Row],[costo_servicio]]+tblOrdenes[[#This Row],[costo_materiales]])</f>
        <v/>
      </c>
      <c r="AI656" s="6" t="n"/>
      <c r="AJ656" s="6" t="n"/>
      <c r="AK656" s="6" t="n"/>
      <c r="AL656" s="3">
        <f>IF(tblOrdenes[[#This Row],[link_checklist]]="","",HYPERLINK(p_ruta_base_checklists&amp;tblOrdenes[[#This Row],[link_checklist]],"abrir"))</f>
        <v/>
      </c>
      <c r="AM656" s="6" t="n"/>
      <c r="AN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Row],[tipo_ot]]="","",_xlfn.XLOOKUP(tblOrdenes[[#This Row],[tipo_ot]],tblTiposOT[codigo],tblTiposOT[clasificacion],"sin_clasificar"))</f>
        <v/>
      </c>
      <c r="T657" s="3">
        <f>IF(tblOrdenes[[#This Row],[centro_costo]]="","",_xlfn.XLOOKUP(tblOrdenes[[#This Row],[centro_costo]],tblCECO[codigo],tblCECO[linea],"(sin catálogo)"))</f>
        <v/>
      </c>
      <c r="U657" s="3">
        <f>IF(tblOrdenes[[#This Row],[centro_costo]]="","",_xlfn.XLOOKUP(tblOrdenes[[#This Row],[centro_costo]],tblCECO[codigo],tblCECO[area],"(sin catálogo)"))</f>
        <v/>
      </c>
      <c r="V657" s="3">
        <f>IF(tblOrdenes[[#This Row],[centro_costo]]="","",_xlfn.XLOOKUP(tblOrdenes[[#This Row],[centro_costo]],tblCECO[codigo],tblCECO[coordinador],"(sin catálogo)"))</f>
        <v/>
      </c>
      <c r="W657" s="3">
        <f>IF(tblOrdenes[[#This Row],[puesto_trabajo]]="","",_xlfn.XLOOKUP(tblOrdenes[[#This Row],[puesto_trabajo]],tblPuestos[codigo],tblPuestos[especialidad],"(sin catálogo)"))</f>
        <v/>
      </c>
      <c r="X657" s="3">
        <f>IF(tblOrdenes[[#This Row],[cod_actividad]]="","",_xlfn.XLOOKUP(tblOrdenes[[#This Row],[cod_actividad]],tblActividades[codigo],tblActividades[descripcion],"(sin catálogo)"))</f>
        <v/>
      </c>
      <c r="Y657" s="12">
        <f>IF(tblOrdenes[[#This Row],[fecha_inicio]]="","",TODAY()-tblOrdenes[[#This Row],[fecha_inicio]])</f>
        <v/>
      </c>
      <c r="Z657" s="3">
        <f>IF(tblOrdenes[[#This Row],[backlog_dias]]="","",IF(tblOrdenes[[#This Row],[backlog_dias]]&lt;0,"FUTURO",IF(tblOrdenes[[#This Row],[backlog_dias]]&gt;p_dias_backlog_max,"BACKLOG","MES CORRIENTE")))</f>
        <v/>
      </c>
      <c r="AA657" s="3">
        <f>IF(tblOrdenes[[#This Row],[backlog_dias]]="",FALSE,AND(tblOrdenes[[#This Row],[backlog_dias]]&gt;p_dias_backlog_min,tblOrdenes[[#This Row],[backlog_dias]]&lt;=p_dias_backlog_max))</f>
        <v/>
      </c>
      <c r="AB657" s="6" t="n"/>
      <c r="AC6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7" s="10">
        <f>IF(tblOrdenes[[#This Row],[orden]]="","",_xlfn.XLOOKUP(tblOrdenes[[#This Row],[id_operacion]],tblEjecucion[id_operacion],tblEjecucion[precio],0))</f>
        <v/>
      </c>
      <c r="AG657" s="10">
        <f>IF(tblOrdenes[[#This Row],[orden]]="","",MAX(0,_xlfn.XLOOKUP(tblOrdenes[[#This Row],[id_operacion]],tblEjecucion[id_operacion],tblEjecucion[costo_plan_total],0)-tblOrdenes[[#This Row],[costo_servicio]]))</f>
        <v/>
      </c>
      <c r="AH657" s="10">
        <f>IF(tblOrdenes[[#This Row],[orden]]="","",tblOrdenes[[#This Row],[costo_servicio]]+tblOrdenes[[#This Row],[costo_materiales]])</f>
        <v/>
      </c>
      <c r="AI657" s="6" t="n"/>
      <c r="AJ657" s="6" t="n"/>
      <c r="AK657" s="6" t="n"/>
      <c r="AL657" s="3">
        <f>IF(tblOrdenes[[#This Row],[link_checklist]]="","",HYPERLINK(p_ruta_base_checklists&amp;tblOrdenes[[#This Row],[link_checklist]],"abrir"))</f>
        <v/>
      </c>
      <c r="AM657" s="6" t="n"/>
      <c r="AN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Row],[tipo_ot]]="","",_xlfn.XLOOKUP(tblOrdenes[[#This Row],[tipo_ot]],tblTiposOT[codigo],tblTiposOT[clasificacion],"sin_clasificar"))</f>
        <v/>
      </c>
      <c r="T658" s="3">
        <f>IF(tblOrdenes[[#This Row],[centro_costo]]="","",_xlfn.XLOOKUP(tblOrdenes[[#This Row],[centro_costo]],tblCECO[codigo],tblCECO[linea],"(sin catálogo)"))</f>
        <v/>
      </c>
      <c r="U658" s="3">
        <f>IF(tblOrdenes[[#This Row],[centro_costo]]="","",_xlfn.XLOOKUP(tblOrdenes[[#This Row],[centro_costo]],tblCECO[codigo],tblCECO[area],"(sin catálogo)"))</f>
        <v/>
      </c>
      <c r="V658" s="3">
        <f>IF(tblOrdenes[[#This Row],[centro_costo]]="","",_xlfn.XLOOKUP(tblOrdenes[[#This Row],[centro_costo]],tblCECO[codigo],tblCECO[coordinador],"(sin catálogo)"))</f>
        <v/>
      </c>
      <c r="W658" s="3">
        <f>IF(tblOrdenes[[#This Row],[puesto_trabajo]]="","",_xlfn.XLOOKUP(tblOrdenes[[#This Row],[puesto_trabajo]],tblPuestos[codigo],tblPuestos[especialidad],"(sin catálogo)"))</f>
        <v/>
      </c>
      <c r="X658" s="3">
        <f>IF(tblOrdenes[[#This Row],[cod_actividad]]="","",_xlfn.XLOOKUP(tblOrdenes[[#This Row],[cod_actividad]],tblActividades[codigo],tblActividades[descripcion],"(sin catálogo)"))</f>
        <v/>
      </c>
      <c r="Y658" s="12">
        <f>IF(tblOrdenes[[#This Row],[fecha_inicio]]="","",TODAY()-tblOrdenes[[#This Row],[fecha_inicio]])</f>
        <v/>
      </c>
      <c r="Z658" s="3">
        <f>IF(tblOrdenes[[#This Row],[backlog_dias]]="","",IF(tblOrdenes[[#This Row],[backlog_dias]]&lt;0,"FUTURO",IF(tblOrdenes[[#This Row],[backlog_dias]]&gt;p_dias_backlog_max,"BACKLOG","MES CORRIENTE")))</f>
        <v/>
      </c>
      <c r="AA658" s="3">
        <f>IF(tblOrdenes[[#This Row],[backlog_dias]]="",FALSE,AND(tblOrdenes[[#This Row],[backlog_dias]]&gt;p_dias_backlog_min,tblOrdenes[[#This Row],[backlog_dias]]&lt;=p_dias_backlog_max))</f>
        <v/>
      </c>
      <c r="AB658" s="6" t="n"/>
      <c r="AC6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8" s="10">
        <f>IF(tblOrdenes[[#This Row],[orden]]="","",_xlfn.XLOOKUP(tblOrdenes[[#This Row],[id_operacion]],tblEjecucion[id_operacion],tblEjecucion[precio],0))</f>
        <v/>
      </c>
      <c r="AG658" s="10">
        <f>IF(tblOrdenes[[#This Row],[orden]]="","",MAX(0,_xlfn.XLOOKUP(tblOrdenes[[#This Row],[id_operacion]],tblEjecucion[id_operacion],tblEjecucion[costo_plan_total],0)-tblOrdenes[[#This Row],[costo_servicio]]))</f>
        <v/>
      </c>
      <c r="AH658" s="10">
        <f>IF(tblOrdenes[[#This Row],[orden]]="","",tblOrdenes[[#This Row],[costo_servicio]]+tblOrdenes[[#This Row],[costo_materiales]])</f>
        <v/>
      </c>
      <c r="AI658" s="6" t="n"/>
      <c r="AJ658" s="6" t="n"/>
      <c r="AK658" s="6" t="n"/>
      <c r="AL658" s="3">
        <f>IF(tblOrdenes[[#This Row],[link_checklist]]="","",HYPERLINK(p_ruta_base_checklists&amp;tblOrdenes[[#This Row],[link_checklist]],"abrir"))</f>
        <v/>
      </c>
      <c r="AM658" s="6" t="n"/>
      <c r="AN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Row],[tipo_ot]]="","",_xlfn.XLOOKUP(tblOrdenes[[#This Row],[tipo_ot]],tblTiposOT[codigo],tblTiposOT[clasificacion],"sin_clasificar"))</f>
        <v/>
      </c>
      <c r="T659" s="3">
        <f>IF(tblOrdenes[[#This Row],[centro_costo]]="","",_xlfn.XLOOKUP(tblOrdenes[[#This Row],[centro_costo]],tblCECO[codigo],tblCECO[linea],"(sin catálogo)"))</f>
        <v/>
      </c>
      <c r="U659" s="3">
        <f>IF(tblOrdenes[[#This Row],[centro_costo]]="","",_xlfn.XLOOKUP(tblOrdenes[[#This Row],[centro_costo]],tblCECO[codigo],tblCECO[area],"(sin catálogo)"))</f>
        <v/>
      </c>
      <c r="V659" s="3">
        <f>IF(tblOrdenes[[#This Row],[centro_costo]]="","",_xlfn.XLOOKUP(tblOrdenes[[#This Row],[centro_costo]],tblCECO[codigo],tblCECO[coordinador],"(sin catálogo)"))</f>
        <v/>
      </c>
      <c r="W659" s="3">
        <f>IF(tblOrdenes[[#This Row],[puesto_trabajo]]="","",_xlfn.XLOOKUP(tblOrdenes[[#This Row],[puesto_trabajo]],tblPuestos[codigo],tblPuestos[especialidad],"(sin catálogo)"))</f>
        <v/>
      </c>
      <c r="X659" s="3">
        <f>IF(tblOrdenes[[#This Row],[cod_actividad]]="","",_xlfn.XLOOKUP(tblOrdenes[[#This Row],[cod_actividad]],tblActividades[codigo],tblActividades[descripcion],"(sin catálogo)"))</f>
        <v/>
      </c>
      <c r="Y659" s="12">
        <f>IF(tblOrdenes[[#This Row],[fecha_inicio]]="","",TODAY()-tblOrdenes[[#This Row],[fecha_inicio]])</f>
        <v/>
      </c>
      <c r="Z659" s="3">
        <f>IF(tblOrdenes[[#This Row],[backlog_dias]]="","",IF(tblOrdenes[[#This Row],[backlog_dias]]&lt;0,"FUTURO",IF(tblOrdenes[[#This Row],[backlog_dias]]&gt;p_dias_backlog_max,"BACKLOG","MES CORRIENTE")))</f>
        <v/>
      </c>
      <c r="AA659" s="3">
        <f>IF(tblOrdenes[[#This Row],[backlog_dias]]="",FALSE,AND(tblOrdenes[[#This Row],[backlog_dias]]&gt;p_dias_backlog_min,tblOrdenes[[#This Row],[backlog_dias]]&lt;=p_dias_backlog_max))</f>
        <v/>
      </c>
      <c r="AB659" s="6" t="n"/>
      <c r="AC6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9" s="10">
        <f>IF(tblOrdenes[[#This Row],[orden]]="","",_xlfn.XLOOKUP(tblOrdenes[[#This Row],[id_operacion]],tblEjecucion[id_operacion],tblEjecucion[precio],0))</f>
        <v/>
      </c>
      <c r="AG659" s="10">
        <f>IF(tblOrdenes[[#This Row],[orden]]="","",MAX(0,_xlfn.XLOOKUP(tblOrdenes[[#This Row],[id_operacion]],tblEjecucion[id_operacion],tblEjecucion[costo_plan_total],0)-tblOrdenes[[#This Row],[costo_servicio]]))</f>
        <v/>
      </c>
      <c r="AH659" s="10">
        <f>IF(tblOrdenes[[#This Row],[orden]]="","",tblOrdenes[[#This Row],[costo_servicio]]+tblOrdenes[[#This Row],[costo_materiales]])</f>
        <v/>
      </c>
      <c r="AI659" s="6" t="n"/>
      <c r="AJ659" s="6" t="n"/>
      <c r="AK659" s="6" t="n"/>
      <c r="AL659" s="3">
        <f>IF(tblOrdenes[[#This Row],[link_checklist]]="","",HYPERLINK(p_ruta_base_checklists&amp;tblOrdenes[[#This Row],[link_checklist]],"abrir"))</f>
        <v/>
      </c>
      <c r="AM659" s="6" t="n"/>
      <c r="AN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Row],[tipo_ot]]="","",_xlfn.XLOOKUP(tblOrdenes[[#This Row],[tipo_ot]],tblTiposOT[codigo],tblTiposOT[clasificacion],"sin_clasificar"))</f>
        <v/>
      </c>
      <c r="T660" s="3">
        <f>IF(tblOrdenes[[#This Row],[centro_costo]]="","",_xlfn.XLOOKUP(tblOrdenes[[#This Row],[centro_costo]],tblCECO[codigo],tblCECO[linea],"(sin catálogo)"))</f>
        <v/>
      </c>
      <c r="U660" s="3">
        <f>IF(tblOrdenes[[#This Row],[centro_costo]]="","",_xlfn.XLOOKUP(tblOrdenes[[#This Row],[centro_costo]],tblCECO[codigo],tblCECO[area],"(sin catálogo)"))</f>
        <v/>
      </c>
      <c r="V660" s="3">
        <f>IF(tblOrdenes[[#This Row],[centro_costo]]="","",_xlfn.XLOOKUP(tblOrdenes[[#This Row],[centro_costo]],tblCECO[codigo],tblCECO[coordinador],"(sin catálogo)"))</f>
        <v/>
      </c>
      <c r="W660" s="3">
        <f>IF(tblOrdenes[[#This Row],[puesto_trabajo]]="","",_xlfn.XLOOKUP(tblOrdenes[[#This Row],[puesto_trabajo]],tblPuestos[codigo],tblPuestos[especialidad],"(sin catálogo)"))</f>
        <v/>
      </c>
      <c r="X660" s="3">
        <f>IF(tblOrdenes[[#This Row],[cod_actividad]]="","",_xlfn.XLOOKUP(tblOrdenes[[#This Row],[cod_actividad]],tblActividades[codigo],tblActividades[descripcion],"(sin catálogo)"))</f>
        <v/>
      </c>
      <c r="Y660" s="12">
        <f>IF(tblOrdenes[[#This Row],[fecha_inicio]]="","",TODAY()-tblOrdenes[[#This Row],[fecha_inicio]])</f>
        <v/>
      </c>
      <c r="Z660" s="3">
        <f>IF(tblOrdenes[[#This Row],[backlog_dias]]="","",IF(tblOrdenes[[#This Row],[backlog_dias]]&lt;0,"FUTURO",IF(tblOrdenes[[#This Row],[backlog_dias]]&gt;p_dias_backlog_max,"BACKLOG","MES CORRIENTE")))</f>
        <v/>
      </c>
      <c r="AA660" s="3">
        <f>IF(tblOrdenes[[#This Row],[backlog_dias]]="",FALSE,AND(tblOrdenes[[#This Row],[backlog_dias]]&gt;p_dias_backlog_min,tblOrdenes[[#This Row],[backlog_dias]]&lt;=p_dias_backlog_max))</f>
        <v/>
      </c>
      <c r="AB660" s="6" t="n"/>
      <c r="AC6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0" s="10">
        <f>IF(tblOrdenes[[#This Row],[orden]]="","",_xlfn.XLOOKUP(tblOrdenes[[#This Row],[id_operacion]],tblEjecucion[id_operacion],tblEjecucion[precio],0))</f>
        <v/>
      </c>
      <c r="AG660" s="10">
        <f>IF(tblOrdenes[[#This Row],[orden]]="","",MAX(0,_xlfn.XLOOKUP(tblOrdenes[[#This Row],[id_operacion]],tblEjecucion[id_operacion],tblEjecucion[costo_plan_total],0)-tblOrdenes[[#This Row],[costo_servicio]]))</f>
        <v/>
      </c>
      <c r="AH660" s="10">
        <f>IF(tblOrdenes[[#This Row],[orden]]="","",tblOrdenes[[#This Row],[costo_servicio]]+tblOrdenes[[#This Row],[costo_materiales]])</f>
        <v/>
      </c>
      <c r="AI660" s="6" t="n"/>
      <c r="AJ660" s="6" t="n"/>
      <c r="AK660" s="6" t="n"/>
      <c r="AL660" s="3">
        <f>IF(tblOrdenes[[#This Row],[link_checklist]]="","",HYPERLINK(p_ruta_base_checklists&amp;tblOrdenes[[#This Row],[link_checklist]],"abrir"))</f>
        <v/>
      </c>
      <c r="AM660" s="6" t="n"/>
      <c r="AN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Row],[tipo_ot]]="","",_xlfn.XLOOKUP(tblOrdenes[[#This Row],[tipo_ot]],tblTiposOT[codigo],tblTiposOT[clasificacion],"sin_clasificar"))</f>
        <v/>
      </c>
      <c r="T661" s="3">
        <f>IF(tblOrdenes[[#This Row],[centro_costo]]="","",_xlfn.XLOOKUP(tblOrdenes[[#This Row],[centro_costo]],tblCECO[codigo],tblCECO[linea],"(sin catálogo)"))</f>
        <v/>
      </c>
      <c r="U661" s="3">
        <f>IF(tblOrdenes[[#This Row],[centro_costo]]="","",_xlfn.XLOOKUP(tblOrdenes[[#This Row],[centro_costo]],tblCECO[codigo],tblCECO[area],"(sin catálogo)"))</f>
        <v/>
      </c>
      <c r="V661" s="3">
        <f>IF(tblOrdenes[[#This Row],[centro_costo]]="","",_xlfn.XLOOKUP(tblOrdenes[[#This Row],[centro_costo]],tblCECO[codigo],tblCECO[coordinador],"(sin catálogo)"))</f>
        <v/>
      </c>
      <c r="W661" s="3">
        <f>IF(tblOrdenes[[#This Row],[puesto_trabajo]]="","",_xlfn.XLOOKUP(tblOrdenes[[#This Row],[puesto_trabajo]],tblPuestos[codigo],tblPuestos[especialidad],"(sin catálogo)"))</f>
        <v/>
      </c>
      <c r="X661" s="3">
        <f>IF(tblOrdenes[[#This Row],[cod_actividad]]="","",_xlfn.XLOOKUP(tblOrdenes[[#This Row],[cod_actividad]],tblActividades[codigo],tblActividades[descripcion],"(sin catálogo)"))</f>
        <v/>
      </c>
      <c r="Y661" s="12">
        <f>IF(tblOrdenes[[#This Row],[fecha_inicio]]="","",TODAY()-tblOrdenes[[#This Row],[fecha_inicio]])</f>
        <v/>
      </c>
      <c r="Z661" s="3">
        <f>IF(tblOrdenes[[#This Row],[backlog_dias]]="","",IF(tblOrdenes[[#This Row],[backlog_dias]]&lt;0,"FUTURO",IF(tblOrdenes[[#This Row],[backlog_dias]]&gt;p_dias_backlog_max,"BACKLOG","MES CORRIENTE")))</f>
        <v/>
      </c>
      <c r="AA661" s="3">
        <f>IF(tblOrdenes[[#This Row],[backlog_dias]]="",FALSE,AND(tblOrdenes[[#This Row],[backlog_dias]]&gt;p_dias_backlog_min,tblOrdenes[[#This Row],[backlog_dias]]&lt;=p_dias_backlog_max))</f>
        <v/>
      </c>
      <c r="AB661" s="6" t="n"/>
      <c r="AC6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1" s="10">
        <f>IF(tblOrdenes[[#This Row],[orden]]="","",_xlfn.XLOOKUP(tblOrdenes[[#This Row],[id_operacion]],tblEjecucion[id_operacion],tblEjecucion[precio],0))</f>
        <v/>
      </c>
      <c r="AG661" s="10">
        <f>IF(tblOrdenes[[#This Row],[orden]]="","",MAX(0,_xlfn.XLOOKUP(tblOrdenes[[#This Row],[id_operacion]],tblEjecucion[id_operacion],tblEjecucion[costo_plan_total],0)-tblOrdenes[[#This Row],[costo_servicio]]))</f>
        <v/>
      </c>
      <c r="AH661" s="10">
        <f>IF(tblOrdenes[[#This Row],[orden]]="","",tblOrdenes[[#This Row],[costo_servicio]]+tblOrdenes[[#This Row],[costo_materiales]])</f>
        <v/>
      </c>
      <c r="AI661" s="6" t="n"/>
      <c r="AJ661" s="6" t="n"/>
      <c r="AK661" s="6" t="n"/>
      <c r="AL661" s="3">
        <f>IF(tblOrdenes[[#This Row],[link_checklist]]="","",HYPERLINK(p_ruta_base_checklists&amp;tblOrdenes[[#This Row],[link_checklist]],"abrir"))</f>
        <v/>
      </c>
      <c r="AM661" s="6" t="n"/>
      <c r="AN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Row],[tipo_ot]]="","",_xlfn.XLOOKUP(tblOrdenes[[#This Row],[tipo_ot]],tblTiposOT[codigo],tblTiposOT[clasificacion],"sin_clasificar"))</f>
        <v/>
      </c>
      <c r="T662" s="3">
        <f>IF(tblOrdenes[[#This Row],[centro_costo]]="","",_xlfn.XLOOKUP(tblOrdenes[[#This Row],[centro_costo]],tblCECO[codigo],tblCECO[linea],"(sin catálogo)"))</f>
        <v/>
      </c>
      <c r="U662" s="3">
        <f>IF(tblOrdenes[[#This Row],[centro_costo]]="","",_xlfn.XLOOKUP(tblOrdenes[[#This Row],[centro_costo]],tblCECO[codigo],tblCECO[area],"(sin catálogo)"))</f>
        <v/>
      </c>
      <c r="V662" s="3">
        <f>IF(tblOrdenes[[#This Row],[centro_costo]]="","",_xlfn.XLOOKUP(tblOrdenes[[#This Row],[centro_costo]],tblCECO[codigo],tblCECO[coordinador],"(sin catálogo)"))</f>
        <v/>
      </c>
      <c r="W662" s="3">
        <f>IF(tblOrdenes[[#This Row],[puesto_trabajo]]="","",_xlfn.XLOOKUP(tblOrdenes[[#This Row],[puesto_trabajo]],tblPuestos[codigo],tblPuestos[especialidad],"(sin catálogo)"))</f>
        <v/>
      </c>
      <c r="X662" s="3">
        <f>IF(tblOrdenes[[#This Row],[cod_actividad]]="","",_xlfn.XLOOKUP(tblOrdenes[[#This Row],[cod_actividad]],tblActividades[codigo],tblActividades[descripcion],"(sin catálogo)"))</f>
        <v/>
      </c>
      <c r="Y662" s="12">
        <f>IF(tblOrdenes[[#This Row],[fecha_inicio]]="","",TODAY()-tblOrdenes[[#This Row],[fecha_inicio]])</f>
        <v/>
      </c>
      <c r="Z662" s="3">
        <f>IF(tblOrdenes[[#This Row],[backlog_dias]]="","",IF(tblOrdenes[[#This Row],[backlog_dias]]&lt;0,"FUTURO",IF(tblOrdenes[[#This Row],[backlog_dias]]&gt;p_dias_backlog_max,"BACKLOG","MES CORRIENTE")))</f>
        <v/>
      </c>
      <c r="AA662" s="3">
        <f>IF(tblOrdenes[[#This Row],[backlog_dias]]="",FALSE,AND(tblOrdenes[[#This Row],[backlog_dias]]&gt;p_dias_backlog_min,tblOrdenes[[#This Row],[backlog_dias]]&lt;=p_dias_backlog_max))</f>
        <v/>
      </c>
      <c r="AB662" s="6" t="n"/>
      <c r="AC6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2" s="10">
        <f>IF(tblOrdenes[[#This Row],[orden]]="","",_xlfn.XLOOKUP(tblOrdenes[[#This Row],[id_operacion]],tblEjecucion[id_operacion],tblEjecucion[precio],0))</f>
        <v/>
      </c>
      <c r="AG662" s="10">
        <f>IF(tblOrdenes[[#This Row],[orden]]="","",MAX(0,_xlfn.XLOOKUP(tblOrdenes[[#This Row],[id_operacion]],tblEjecucion[id_operacion],tblEjecucion[costo_plan_total],0)-tblOrdenes[[#This Row],[costo_servicio]]))</f>
        <v/>
      </c>
      <c r="AH662" s="10">
        <f>IF(tblOrdenes[[#This Row],[orden]]="","",tblOrdenes[[#This Row],[costo_servicio]]+tblOrdenes[[#This Row],[costo_materiales]])</f>
        <v/>
      </c>
      <c r="AI662" s="6" t="n"/>
      <c r="AJ662" s="6" t="n"/>
      <c r="AK662" s="6" t="n"/>
      <c r="AL662" s="3">
        <f>IF(tblOrdenes[[#This Row],[link_checklist]]="","",HYPERLINK(p_ruta_base_checklists&amp;tblOrdenes[[#This Row],[link_checklist]],"abrir"))</f>
        <v/>
      </c>
      <c r="AM662" s="6" t="n"/>
      <c r="AN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Row],[tipo_ot]]="","",_xlfn.XLOOKUP(tblOrdenes[[#This Row],[tipo_ot]],tblTiposOT[codigo],tblTiposOT[clasificacion],"sin_clasificar"))</f>
        <v/>
      </c>
      <c r="T663" s="3">
        <f>IF(tblOrdenes[[#This Row],[centro_costo]]="","",_xlfn.XLOOKUP(tblOrdenes[[#This Row],[centro_costo]],tblCECO[codigo],tblCECO[linea],"(sin catálogo)"))</f>
        <v/>
      </c>
      <c r="U663" s="3">
        <f>IF(tblOrdenes[[#This Row],[centro_costo]]="","",_xlfn.XLOOKUP(tblOrdenes[[#This Row],[centro_costo]],tblCECO[codigo],tblCECO[area],"(sin catálogo)"))</f>
        <v/>
      </c>
      <c r="V663" s="3">
        <f>IF(tblOrdenes[[#This Row],[centro_costo]]="","",_xlfn.XLOOKUP(tblOrdenes[[#This Row],[centro_costo]],tblCECO[codigo],tblCECO[coordinador],"(sin catálogo)"))</f>
        <v/>
      </c>
      <c r="W663" s="3">
        <f>IF(tblOrdenes[[#This Row],[puesto_trabajo]]="","",_xlfn.XLOOKUP(tblOrdenes[[#This Row],[puesto_trabajo]],tblPuestos[codigo],tblPuestos[especialidad],"(sin catálogo)"))</f>
        <v/>
      </c>
      <c r="X663" s="3">
        <f>IF(tblOrdenes[[#This Row],[cod_actividad]]="","",_xlfn.XLOOKUP(tblOrdenes[[#This Row],[cod_actividad]],tblActividades[codigo],tblActividades[descripcion],"(sin catálogo)"))</f>
        <v/>
      </c>
      <c r="Y663" s="12">
        <f>IF(tblOrdenes[[#This Row],[fecha_inicio]]="","",TODAY()-tblOrdenes[[#This Row],[fecha_inicio]])</f>
        <v/>
      </c>
      <c r="Z663" s="3">
        <f>IF(tblOrdenes[[#This Row],[backlog_dias]]="","",IF(tblOrdenes[[#This Row],[backlog_dias]]&lt;0,"FUTURO",IF(tblOrdenes[[#This Row],[backlog_dias]]&gt;p_dias_backlog_max,"BACKLOG","MES CORRIENTE")))</f>
        <v/>
      </c>
      <c r="AA663" s="3">
        <f>IF(tblOrdenes[[#This Row],[backlog_dias]]="",FALSE,AND(tblOrdenes[[#This Row],[backlog_dias]]&gt;p_dias_backlog_min,tblOrdenes[[#This Row],[backlog_dias]]&lt;=p_dias_backlog_max))</f>
        <v/>
      </c>
      <c r="AB663" s="6" t="n"/>
      <c r="AC6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3" s="10">
        <f>IF(tblOrdenes[[#This Row],[orden]]="","",_xlfn.XLOOKUP(tblOrdenes[[#This Row],[id_operacion]],tblEjecucion[id_operacion],tblEjecucion[precio],0))</f>
        <v/>
      </c>
      <c r="AG663" s="10">
        <f>IF(tblOrdenes[[#This Row],[orden]]="","",MAX(0,_xlfn.XLOOKUP(tblOrdenes[[#This Row],[id_operacion]],tblEjecucion[id_operacion],tblEjecucion[costo_plan_total],0)-tblOrdenes[[#This Row],[costo_servicio]]))</f>
        <v/>
      </c>
      <c r="AH663" s="10">
        <f>IF(tblOrdenes[[#This Row],[orden]]="","",tblOrdenes[[#This Row],[costo_servicio]]+tblOrdenes[[#This Row],[costo_materiales]])</f>
        <v/>
      </c>
      <c r="AI663" s="6" t="n"/>
      <c r="AJ663" s="6" t="n"/>
      <c r="AK663" s="6" t="n"/>
      <c r="AL663" s="3">
        <f>IF(tblOrdenes[[#This Row],[link_checklist]]="","",HYPERLINK(p_ruta_base_checklists&amp;tblOrdenes[[#This Row],[link_checklist]],"abrir"))</f>
        <v/>
      </c>
      <c r="AM663" s="6" t="n"/>
      <c r="AN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Row],[tipo_ot]]="","",_xlfn.XLOOKUP(tblOrdenes[[#This Row],[tipo_ot]],tblTiposOT[codigo],tblTiposOT[clasificacion],"sin_clasificar"))</f>
        <v/>
      </c>
      <c r="T664" s="3">
        <f>IF(tblOrdenes[[#This Row],[centro_costo]]="","",_xlfn.XLOOKUP(tblOrdenes[[#This Row],[centro_costo]],tblCECO[codigo],tblCECO[linea],"(sin catálogo)"))</f>
        <v/>
      </c>
      <c r="U664" s="3">
        <f>IF(tblOrdenes[[#This Row],[centro_costo]]="","",_xlfn.XLOOKUP(tblOrdenes[[#This Row],[centro_costo]],tblCECO[codigo],tblCECO[area],"(sin catálogo)"))</f>
        <v/>
      </c>
      <c r="V664" s="3">
        <f>IF(tblOrdenes[[#This Row],[centro_costo]]="","",_xlfn.XLOOKUP(tblOrdenes[[#This Row],[centro_costo]],tblCECO[codigo],tblCECO[coordinador],"(sin catálogo)"))</f>
        <v/>
      </c>
      <c r="W664" s="3">
        <f>IF(tblOrdenes[[#This Row],[puesto_trabajo]]="","",_xlfn.XLOOKUP(tblOrdenes[[#This Row],[puesto_trabajo]],tblPuestos[codigo],tblPuestos[especialidad],"(sin catálogo)"))</f>
        <v/>
      </c>
      <c r="X664" s="3">
        <f>IF(tblOrdenes[[#This Row],[cod_actividad]]="","",_xlfn.XLOOKUP(tblOrdenes[[#This Row],[cod_actividad]],tblActividades[codigo],tblActividades[descripcion],"(sin catálogo)"))</f>
        <v/>
      </c>
      <c r="Y664" s="12">
        <f>IF(tblOrdenes[[#This Row],[fecha_inicio]]="","",TODAY()-tblOrdenes[[#This Row],[fecha_inicio]])</f>
        <v/>
      </c>
      <c r="Z664" s="3">
        <f>IF(tblOrdenes[[#This Row],[backlog_dias]]="","",IF(tblOrdenes[[#This Row],[backlog_dias]]&lt;0,"FUTURO",IF(tblOrdenes[[#This Row],[backlog_dias]]&gt;p_dias_backlog_max,"BACKLOG","MES CORRIENTE")))</f>
        <v/>
      </c>
      <c r="AA664" s="3">
        <f>IF(tblOrdenes[[#This Row],[backlog_dias]]="",FALSE,AND(tblOrdenes[[#This Row],[backlog_dias]]&gt;p_dias_backlog_min,tblOrdenes[[#This Row],[backlog_dias]]&lt;=p_dias_backlog_max))</f>
        <v/>
      </c>
      <c r="AB664" s="6" t="n"/>
      <c r="AC6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4" s="10">
        <f>IF(tblOrdenes[[#This Row],[orden]]="","",_xlfn.XLOOKUP(tblOrdenes[[#This Row],[id_operacion]],tblEjecucion[id_operacion],tblEjecucion[precio],0))</f>
        <v/>
      </c>
      <c r="AG664" s="10">
        <f>IF(tblOrdenes[[#This Row],[orden]]="","",MAX(0,_xlfn.XLOOKUP(tblOrdenes[[#This Row],[id_operacion]],tblEjecucion[id_operacion],tblEjecucion[costo_plan_total],0)-tblOrdenes[[#This Row],[costo_servicio]]))</f>
        <v/>
      </c>
      <c r="AH664" s="10">
        <f>IF(tblOrdenes[[#This Row],[orden]]="","",tblOrdenes[[#This Row],[costo_servicio]]+tblOrdenes[[#This Row],[costo_materiales]])</f>
        <v/>
      </c>
      <c r="AI664" s="6" t="n"/>
      <c r="AJ664" s="6" t="n"/>
      <c r="AK664" s="6" t="n"/>
      <c r="AL664" s="3">
        <f>IF(tblOrdenes[[#This Row],[link_checklist]]="","",HYPERLINK(p_ruta_base_checklists&amp;tblOrdenes[[#This Row],[link_checklist]],"abrir"))</f>
        <v/>
      </c>
      <c r="AM664" s="6" t="n"/>
      <c r="AN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Row],[tipo_ot]]="","",_xlfn.XLOOKUP(tblOrdenes[[#This Row],[tipo_ot]],tblTiposOT[codigo],tblTiposOT[clasificacion],"sin_clasificar"))</f>
        <v/>
      </c>
      <c r="T665" s="3">
        <f>IF(tblOrdenes[[#This Row],[centro_costo]]="","",_xlfn.XLOOKUP(tblOrdenes[[#This Row],[centro_costo]],tblCECO[codigo],tblCECO[linea],"(sin catálogo)"))</f>
        <v/>
      </c>
      <c r="U665" s="3">
        <f>IF(tblOrdenes[[#This Row],[centro_costo]]="","",_xlfn.XLOOKUP(tblOrdenes[[#This Row],[centro_costo]],tblCECO[codigo],tblCECO[area],"(sin catálogo)"))</f>
        <v/>
      </c>
      <c r="V665" s="3">
        <f>IF(tblOrdenes[[#This Row],[centro_costo]]="","",_xlfn.XLOOKUP(tblOrdenes[[#This Row],[centro_costo]],tblCECO[codigo],tblCECO[coordinador],"(sin catálogo)"))</f>
        <v/>
      </c>
      <c r="W665" s="3">
        <f>IF(tblOrdenes[[#This Row],[puesto_trabajo]]="","",_xlfn.XLOOKUP(tblOrdenes[[#This Row],[puesto_trabajo]],tblPuestos[codigo],tblPuestos[especialidad],"(sin catálogo)"))</f>
        <v/>
      </c>
      <c r="X665" s="3">
        <f>IF(tblOrdenes[[#This Row],[cod_actividad]]="","",_xlfn.XLOOKUP(tblOrdenes[[#This Row],[cod_actividad]],tblActividades[codigo],tblActividades[descripcion],"(sin catálogo)"))</f>
        <v/>
      </c>
      <c r="Y665" s="12">
        <f>IF(tblOrdenes[[#This Row],[fecha_inicio]]="","",TODAY()-tblOrdenes[[#This Row],[fecha_inicio]])</f>
        <v/>
      </c>
      <c r="Z665" s="3">
        <f>IF(tblOrdenes[[#This Row],[backlog_dias]]="","",IF(tblOrdenes[[#This Row],[backlog_dias]]&lt;0,"FUTURO",IF(tblOrdenes[[#This Row],[backlog_dias]]&gt;p_dias_backlog_max,"BACKLOG","MES CORRIENTE")))</f>
        <v/>
      </c>
      <c r="AA665" s="3">
        <f>IF(tblOrdenes[[#This Row],[backlog_dias]]="",FALSE,AND(tblOrdenes[[#This Row],[backlog_dias]]&gt;p_dias_backlog_min,tblOrdenes[[#This Row],[backlog_dias]]&lt;=p_dias_backlog_max))</f>
        <v/>
      </c>
      <c r="AB665" s="6" t="n"/>
      <c r="AC6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5" s="10">
        <f>IF(tblOrdenes[[#This Row],[orden]]="","",_xlfn.XLOOKUP(tblOrdenes[[#This Row],[id_operacion]],tblEjecucion[id_operacion],tblEjecucion[precio],0))</f>
        <v/>
      </c>
      <c r="AG665" s="10">
        <f>IF(tblOrdenes[[#This Row],[orden]]="","",MAX(0,_xlfn.XLOOKUP(tblOrdenes[[#This Row],[id_operacion]],tblEjecucion[id_operacion],tblEjecucion[costo_plan_total],0)-tblOrdenes[[#This Row],[costo_servicio]]))</f>
        <v/>
      </c>
      <c r="AH665" s="10">
        <f>IF(tblOrdenes[[#This Row],[orden]]="","",tblOrdenes[[#This Row],[costo_servicio]]+tblOrdenes[[#This Row],[costo_materiales]])</f>
        <v/>
      </c>
      <c r="AI665" s="6" t="n"/>
      <c r="AJ665" s="6" t="n"/>
      <c r="AK665" s="6" t="n"/>
      <c r="AL665" s="3">
        <f>IF(tblOrdenes[[#This Row],[link_checklist]]="","",HYPERLINK(p_ruta_base_checklists&amp;tblOrdenes[[#This Row],[link_checklist]],"abrir"))</f>
        <v/>
      </c>
      <c r="AM665" s="6" t="n"/>
      <c r="AN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Row],[tipo_ot]]="","",_xlfn.XLOOKUP(tblOrdenes[[#This Row],[tipo_ot]],tblTiposOT[codigo],tblTiposOT[clasificacion],"sin_clasificar"))</f>
        <v/>
      </c>
      <c r="T666" s="3">
        <f>IF(tblOrdenes[[#This Row],[centro_costo]]="","",_xlfn.XLOOKUP(tblOrdenes[[#This Row],[centro_costo]],tblCECO[codigo],tblCECO[linea],"(sin catálogo)"))</f>
        <v/>
      </c>
      <c r="U666" s="3">
        <f>IF(tblOrdenes[[#This Row],[centro_costo]]="","",_xlfn.XLOOKUP(tblOrdenes[[#This Row],[centro_costo]],tblCECO[codigo],tblCECO[area],"(sin catálogo)"))</f>
        <v/>
      </c>
      <c r="V666" s="3">
        <f>IF(tblOrdenes[[#This Row],[centro_costo]]="","",_xlfn.XLOOKUP(tblOrdenes[[#This Row],[centro_costo]],tblCECO[codigo],tblCECO[coordinador],"(sin catálogo)"))</f>
        <v/>
      </c>
      <c r="W666" s="3">
        <f>IF(tblOrdenes[[#This Row],[puesto_trabajo]]="","",_xlfn.XLOOKUP(tblOrdenes[[#This Row],[puesto_trabajo]],tblPuestos[codigo],tblPuestos[especialidad],"(sin catálogo)"))</f>
        <v/>
      </c>
      <c r="X666" s="3">
        <f>IF(tblOrdenes[[#This Row],[cod_actividad]]="","",_xlfn.XLOOKUP(tblOrdenes[[#This Row],[cod_actividad]],tblActividades[codigo],tblActividades[descripcion],"(sin catálogo)"))</f>
        <v/>
      </c>
      <c r="Y666" s="12">
        <f>IF(tblOrdenes[[#This Row],[fecha_inicio]]="","",TODAY()-tblOrdenes[[#This Row],[fecha_inicio]])</f>
        <v/>
      </c>
      <c r="Z666" s="3">
        <f>IF(tblOrdenes[[#This Row],[backlog_dias]]="","",IF(tblOrdenes[[#This Row],[backlog_dias]]&lt;0,"FUTURO",IF(tblOrdenes[[#This Row],[backlog_dias]]&gt;p_dias_backlog_max,"BACKLOG","MES CORRIENTE")))</f>
        <v/>
      </c>
      <c r="AA666" s="3">
        <f>IF(tblOrdenes[[#This Row],[backlog_dias]]="",FALSE,AND(tblOrdenes[[#This Row],[backlog_dias]]&gt;p_dias_backlog_min,tblOrdenes[[#This Row],[backlog_dias]]&lt;=p_dias_backlog_max))</f>
        <v/>
      </c>
      <c r="AB666" s="6" t="n"/>
      <c r="AC6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6" s="10">
        <f>IF(tblOrdenes[[#This Row],[orden]]="","",_xlfn.XLOOKUP(tblOrdenes[[#This Row],[id_operacion]],tblEjecucion[id_operacion],tblEjecucion[precio],0))</f>
        <v/>
      </c>
      <c r="AG666" s="10">
        <f>IF(tblOrdenes[[#This Row],[orden]]="","",MAX(0,_xlfn.XLOOKUP(tblOrdenes[[#This Row],[id_operacion]],tblEjecucion[id_operacion],tblEjecucion[costo_plan_total],0)-tblOrdenes[[#This Row],[costo_servicio]]))</f>
        <v/>
      </c>
      <c r="AH666" s="10">
        <f>IF(tblOrdenes[[#This Row],[orden]]="","",tblOrdenes[[#This Row],[costo_servicio]]+tblOrdenes[[#This Row],[costo_materiales]])</f>
        <v/>
      </c>
      <c r="AI666" s="6" t="n"/>
      <c r="AJ666" s="6" t="n"/>
      <c r="AK666" s="6" t="n"/>
      <c r="AL666" s="3">
        <f>IF(tblOrdenes[[#This Row],[link_checklist]]="","",HYPERLINK(p_ruta_base_checklists&amp;tblOrdenes[[#This Row],[link_checklist]],"abrir"))</f>
        <v/>
      </c>
      <c r="AM666" s="6" t="n"/>
      <c r="AN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Row],[tipo_ot]]="","",_xlfn.XLOOKUP(tblOrdenes[[#This Row],[tipo_ot]],tblTiposOT[codigo],tblTiposOT[clasificacion],"sin_clasificar"))</f>
        <v/>
      </c>
      <c r="T667" s="3">
        <f>IF(tblOrdenes[[#This Row],[centro_costo]]="","",_xlfn.XLOOKUP(tblOrdenes[[#This Row],[centro_costo]],tblCECO[codigo],tblCECO[linea],"(sin catálogo)"))</f>
        <v/>
      </c>
      <c r="U667" s="3">
        <f>IF(tblOrdenes[[#This Row],[centro_costo]]="","",_xlfn.XLOOKUP(tblOrdenes[[#This Row],[centro_costo]],tblCECO[codigo],tblCECO[area],"(sin catálogo)"))</f>
        <v/>
      </c>
      <c r="V667" s="3">
        <f>IF(tblOrdenes[[#This Row],[centro_costo]]="","",_xlfn.XLOOKUP(tblOrdenes[[#This Row],[centro_costo]],tblCECO[codigo],tblCECO[coordinador],"(sin catálogo)"))</f>
        <v/>
      </c>
      <c r="W667" s="3">
        <f>IF(tblOrdenes[[#This Row],[puesto_trabajo]]="","",_xlfn.XLOOKUP(tblOrdenes[[#This Row],[puesto_trabajo]],tblPuestos[codigo],tblPuestos[especialidad],"(sin catálogo)"))</f>
        <v/>
      </c>
      <c r="X667" s="3">
        <f>IF(tblOrdenes[[#This Row],[cod_actividad]]="","",_xlfn.XLOOKUP(tblOrdenes[[#This Row],[cod_actividad]],tblActividades[codigo],tblActividades[descripcion],"(sin catálogo)"))</f>
        <v/>
      </c>
      <c r="Y667" s="12">
        <f>IF(tblOrdenes[[#This Row],[fecha_inicio]]="","",TODAY()-tblOrdenes[[#This Row],[fecha_inicio]])</f>
        <v/>
      </c>
      <c r="Z667" s="3">
        <f>IF(tblOrdenes[[#This Row],[backlog_dias]]="","",IF(tblOrdenes[[#This Row],[backlog_dias]]&lt;0,"FUTURO",IF(tblOrdenes[[#This Row],[backlog_dias]]&gt;p_dias_backlog_max,"BACKLOG","MES CORRIENTE")))</f>
        <v/>
      </c>
      <c r="AA667" s="3">
        <f>IF(tblOrdenes[[#This Row],[backlog_dias]]="",FALSE,AND(tblOrdenes[[#This Row],[backlog_dias]]&gt;p_dias_backlog_min,tblOrdenes[[#This Row],[backlog_dias]]&lt;=p_dias_backlog_max))</f>
        <v/>
      </c>
      <c r="AB667" s="6" t="n"/>
      <c r="AC6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7" s="10">
        <f>IF(tblOrdenes[[#This Row],[orden]]="","",_xlfn.XLOOKUP(tblOrdenes[[#This Row],[id_operacion]],tblEjecucion[id_operacion],tblEjecucion[precio],0))</f>
        <v/>
      </c>
      <c r="AG667" s="10">
        <f>IF(tblOrdenes[[#This Row],[orden]]="","",MAX(0,_xlfn.XLOOKUP(tblOrdenes[[#This Row],[id_operacion]],tblEjecucion[id_operacion],tblEjecucion[costo_plan_total],0)-tblOrdenes[[#This Row],[costo_servicio]]))</f>
        <v/>
      </c>
      <c r="AH667" s="10">
        <f>IF(tblOrdenes[[#This Row],[orden]]="","",tblOrdenes[[#This Row],[costo_servicio]]+tblOrdenes[[#This Row],[costo_materiales]])</f>
        <v/>
      </c>
      <c r="AI667" s="6" t="n"/>
      <c r="AJ667" s="6" t="n"/>
      <c r="AK667" s="6" t="n"/>
      <c r="AL667" s="3">
        <f>IF(tblOrdenes[[#This Row],[link_checklist]]="","",HYPERLINK(p_ruta_base_checklists&amp;tblOrdenes[[#This Row],[link_checklist]],"abrir"))</f>
        <v/>
      </c>
      <c r="AM667" s="6" t="n"/>
      <c r="AN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Row],[tipo_ot]]="","",_xlfn.XLOOKUP(tblOrdenes[[#This Row],[tipo_ot]],tblTiposOT[codigo],tblTiposOT[clasificacion],"sin_clasificar"))</f>
        <v/>
      </c>
      <c r="T668" s="3">
        <f>IF(tblOrdenes[[#This Row],[centro_costo]]="","",_xlfn.XLOOKUP(tblOrdenes[[#This Row],[centro_costo]],tblCECO[codigo],tblCECO[linea],"(sin catálogo)"))</f>
        <v/>
      </c>
      <c r="U668" s="3">
        <f>IF(tblOrdenes[[#This Row],[centro_costo]]="","",_xlfn.XLOOKUP(tblOrdenes[[#This Row],[centro_costo]],tblCECO[codigo],tblCECO[area],"(sin catálogo)"))</f>
        <v/>
      </c>
      <c r="V668" s="3">
        <f>IF(tblOrdenes[[#This Row],[centro_costo]]="","",_xlfn.XLOOKUP(tblOrdenes[[#This Row],[centro_costo]],tblCECO[codigo],tblCECO[coordinador],"(sin catálogo)"))</f>
        <v/>
      </c>
      <c r="W668" s="3">
        <f>IF(tblOrdenes[[#This Row],[puesto_trabajo]]="","",_xlfn.XLOOKUP(tblOrdenes[[#This Row],[puesto_trabajo]],tblPuestos[codigo],tblPuestos[especialidad],"(sin catálogo)"))</f>
        <v/>
      </c>
      <c r="X668" s="3">
        <f>IF(tblOrdenes[[#This Row],[cod_actividad]]="","",_xlfn.XLOOKUP(tblOrdenes[[#This Row],[cod_actividad]],tblActividades[codigo],tblActividades[descripcion],"(sin catálogo)"))</f>
        <v/>
      </c>
      <c r="Y668" s="12">
        <f>IF(tblOrdenes[[#This Row],[fecha_inicio]]="","",TODAY()-tblOrdenes[[#This Row],[fecha_inicio]])</f>
        <v/>
      </c>
      <c r="Z668" s="3">
        <f>IF(tblOrdenes[[#This Row],[backlog_dias]]="","",IF(tblOrdenes[[#This Row],[backlog_dias]]&lt;0,"FUTURO",IF(tblOrdenes[[#This Row],[backlog_dias]]&gt;p_dias_backlog_max,"BACKLOG","MES CORRIENTE")))</f>
        <v/>
      </c>
      <c r="AA668" s="3">
        <f>IF(tblOrdenes[[#This Row],[backlog_dias]]="",FALSE,AND(tblOrdenes[[#This Row],[backlog_dias]]&gt;p_dias_backlog_min,tblOrdenes[[#This Row],[backlog_dias]]&lt;=p_dias_backlog_max))</f>
        <v/>
      </c>
      <c r="AB668" s="6" t="n"/>
      <c r="AC6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8" s="10">
        <f>IF(tblOrdenes[[#This Row],[orden]]="","",_xlfn.XLOOKUP(tblOrdenes[[#This Row],[id_operacion]],tblEjecucion[id_operacion],tblEjecucion[precio],0))</f>
        <v/>
      </c>
      <c r="AG668" s="10">
        <f>IF(tblOrdenes[[#This Row],[orden]]="","",MAX(0,_xlfn.XLOOKUP(tblOrdenes[[#This Row],[id_operacion]],tblEjecucion[id_operacion],tblEjecucion[costo_plan_total],0)-tblOrdenes[[#This Row],[costo_servicio]]))</f>
        <v/>
      </c>
      <c r="AH668" s="10">
        <f>IF(tblOrdenes[[#This Row],[orden]]="","",tblOrdenes[[#This Row],[costo_servicio]]+tblOrdenes[[#This Row],[costo_materiales]])</f>
        <v/>
      </c>
      <c r="AI668" s="6" t="n"/>
      <c r="AJ668" s="6" t="n"/>
      <c r="AK668" s="6" t="n"/>
      <c r="AL668" s="3">
        <f>IF(tblOrdenes[[#This Row],[link_checklist]]="","",HYPERLINK(p_ruta_base_checklists&amp;tblOrdenes[[#This Row],[link_checklist]],"abrir"))</f>
        <v/>
      </c>
      <c r="AM668" s="6" t="n"/>
      <c r="AN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Row],[tipo_ot]]="","",_xlfn.XLOOKUP(tblOrdenes[[#This Row],[tipo_ot]],tblTiposOT[codigo],tblTiposOT[clasificacion],"sin_clasificar"))</f>
        <v/>
      </c>
      <c r="T669" s="3">
        <f>IF(tblOrdenes[[#This Row],[centro_costo]]="","",_xlfn.XLOOKUP(tblOrdenes[[#This Row],[centro_costo]],tblCECO[codigo],tblCECO[linea],"(sin catálogo)"))</f>
        <v/>
      </c>
      <c r="U669" s="3">
        <f>IF(tblOrdenes[[#This Row],[centro_costo]]="","",_xlfn.XLOOKUP(tblOrdenes[[#This Row],[centro_costo]],tblCECO[codigo],tblCECO[area],"(sin catálogo)"))</f>
        <v/>
      </c>
      <c r="V669" s="3">
        <f>IF(tblOrdenes[[#This Row],[centro_costo]]="","",_xlfn.XLOOKUP(tblOrdenes[[#This Row],[centro_costo]],tblCECO[codigo],tblCECO[coordinador],"(sin catálogo)"))</f>
        <v/>
      </c>
      <c r="W669" s="3">
        <f>IF(tblOrdenes[[#This Row],[puesto_trabajo]]="","",_xlfn.XLOOKUP(tblOrdenes[[#This Row],[puesto_trabajo]],tblPuestos[codigo],tblPuestos[especialidad],"(sin catálogo)"))</f>
        <v/>
      </c>
      <c r="X669" s="3">
        <f>IF(tblOrdenes[[#This Row],[cod_actividad]]="","",_xlfn.XLOOKUP(tblOrdenes[[#This Row],[cod_actividad]],tblActividades[codigo],tblActividades[descripcion],"(sin catálogo)"))</f>
        <v/>
      </c>
      <c r="Y669" s="12">
        <f>IF(tblOrdenes[[#This Row],[fecha_inicio]]="","",TODAY()-tblOrdenes[[#This Row],[fecha_inicio]])</f>
        <v/>
      </c>
      <c r="Z669" s="3">
        <f>IF(tblOrdenes[[#This Row],[backlog_dias]]="","",IF(tblOrdenes[[#This Row],[backlog_dias]]&lt;0,"FUTURO",IF(tblOrdenes[[#This Row],[backlog_dias]]&gt;p_dias_backlog_max,"BACKLOG","MES CORRIENTE")))</f>
        <v/>
      </c>
      <c r="AA669" s="3">
        <f>IF(tblOrdenes[[#This Row],[backlog_dias]]="",FALSE,AND(tblOrdenes[[#This Row],[backlog_dias]]&gt;p_dias_backlog_min,tblOrdenes[[#This Row],[backlog_dias]]&lt;=p_dias_backlog_max))</f>
        <v/>
      </c>
      <c r="AB669" s="6" t="n"/>
      <c r="AC6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9" s="10">
        <f>IF(tblOrdenes[[#This Row],[orden]]="","",_xlfn.XLOOKUP(tblOrdenes[[#This Row],[id_operacion]],tblEjecucion[id_operacion],tblEjecucion[precio],0))</f>
        <v/>
      </c>
      <c r="AG669" s="10">
        <f>IF(tblOrdenes[[#This Row],[orden]]="","",MAX(0,_xlfn.XLOOKUP(tblOrdenes[[#This Row],[id_operacion]],tblEjecucion[id_operacion],tblEjecucion[costo_plan_total],0)-tblOrdenes[[#This Row],[costo_servicio]]))</f>
        <v/>
      </c>
      <c r="AH669" s="10">
        <f>IF(tblOrdenes[[#This Row],[orden]]="","",tblOrdenes[[#This Row],[costo_servicio]]+tblOrdenes[[#This Row],[costo_materiales]])</f>
        <v/>
      </c>
      <c r="AI669" s="6" t="n"/>
      <c r="AJ669" s="6" t="n"/>
      <c r="AK669" s="6" t="n"/>
      <c r="AL669" s="3">
        <f>IF(tblOrdenes[[#This Row],[link_checklist]]="","",HYPERLINK(p_ruta_base_checklists&amp;tblOrdenes[[#This Row],[link_checklist]],"abrir"))</f>
        <v/>
      </c>
      <c r="AM669" s="6" t="n"/>
      <c r="AN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Row],[tipo_ot]]="","",_xlfn.XLOOKUP(tblOrdenes[[#This Row],[tipo_ot]],tblTiposOT[codigo],tblTiposOT[clasificacion],"sin_clasificar"))</f>
        <v/>
      </c>
      <c r="T670" s="3">
        <f>IF(tblOrdenes[[#This Row],[centro_costo]]="","",_xlfn.XLOOKUP(tblOrdenes[[#This Row],[centro_costo]],tblCECO[codigo],tblCECO[linea],"(sin catálogo)"))</f>
        <v/>
      </c>
      <c r="U670" s="3">
        <f>IF(tblOrdenes[[#This Row],[centro_costo]]="","",_xlfn.XLOOKUP(tblOrdenes[[#This Row],[centro_costo]],tblCECO[codigo],tblCECO[area],"(sin catálogo)"))</f>
        <v/>
      </c>
      <c r="V670" s="3">
        <f>IF(tblOrdenes[[#This Row],[centro_costo]]="","",_xlfn.XLOOKUP(tblOrdenes[[#This Row],[centro_costo]],tblCECO[codigo],tblCECO[coordinador],"(sin catálogo)"))</f>
        <v/>
      </c>
      <c r="W670" s="3">
        <f>IF(tblOrdenes[[#This Row],[puesto_trabajo]]="","",_xlfn.XLOOKUP(tblOrdenes[[#This Row],[puesto_trabajo]],tblPuestos[codigo],tblPuestos[especialidad],"(sin catálogo)"))</f>
        <v/>
      </c>
      <c r="X670" s="3">
        <f>IF(tblOrdenes[[#This Row],[cod_actividad]]="","",_xlfn.XLOOKUP(tblOrdenes[[#This Row],[cod_actividad]],tblActividades[codigo],tblActividades[descripcion],"(sin catálogo)"))</f>
        <v/>
      </c>
      <c r="Y670" s="12">
        <f>IF(tblOrdenes[[#This Row],[fecha_inicio]]="","",TODAY()-tblOrdenes[[#This Row],[fecha_inicio]])</f>
        <v/>
      </c>
      <c r="Z670" s="3">
        <f>IF(tblOrdenes[[#This Row],[backlog_dias]]="","",IF(tblOrdenes[[#This Row],[backlog_dias]]&lt;0,"FUTURO",IF(tblOrdenes[[#This Row],[backlog_dias]]&gt;p_dias_backlog_max,"BACKLOG","MES CORRIENTE")))</f>
        <v/>
      </c>
      <c r="AA670" s="3">
        <f>IF(tblOrdenes[[#This Row],[backlog_dias]]="",FALSE,AND(tblOrdenes[[#This Row],[backlog_dias]]&gt;p_dias_backlog_min,tblOrdenes[[#This Row],[backlog_dias]]&lt;=p_dias_backlog_max))</f>
        <v/>
      </c>
      <c r="AB670" s="6" t="n"/>
      <c r="AC6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0" s="10">
        <f>IF(tblOrdenes[[#This Row],[orden]]="","",_xlfn.XLOOKUP(tblOrdenes[[#This Row],[id_operacion]],tblEjecucion[id_operacion],tblEjecucion[precio],0))</f>
        <v/>
      </c>
      <c r="AG670" s="10">
        <f>IF(tblOrdenes[[#This Row],[orden]]="","",MAX(0,_xlfn.XLOOKUP(tblOrdenes[[#This Row],[id_operacion]],tblEjecucion[id_operacion],tblEjecucion[costo_plan_total],0)-tblOrdenes[[#This Row],[costo_servicio]]))</f>
        <v/>
      </c>
      <c r="AH670" s="10">
        <f>IF(tblOrdenes[[#This Row],[orden]]="","",tblOrdenes[[#This Row],[costo_servicio]]+tblOrdenes[[#This Row],[costo_materiales]])</f>
        <v/>
      </c>
      <c r="AI670" s="6" t="n"/>
      <c r="AJ670" s="6" t="n"/>
      <c r="AK670" s="6" t="n"/>
      <c r="AL670" s="3">
        <f>IF(tblOrdenes[[#This Row],[link_checklist]]="","",HYPERLINK(p_ruta_base_checklists&amp;tblOrdenes[[#This Row],[link_checklist]],"abrir"))</f>
        <v/>
      </c>
      <c r="AM670" s="6" t="n"/>
      <c r="AN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Row],[tipo_ot]]="","",_xlfn.XLOOKUP(tblOrdenes[[#This Row],[tipo_ot]],tblTiposOT[codigo],tblTiposOT[clasificacion],"sin_clasificar"))</f>
        <v/>
      </c>
      <c r="T671" s="3">
        <f>IF(tblOrdenes[[#This Row],[centro_costo]]="","",_xlfn.XLOOKUP(tblOrdenes[[#This Row],[centro_costo]],tblCECO[codigo],tblCECO[linea],"(sin catálogo)"))</f>
        <v/>
      </c>
      <c r="U671" s="3">
        <f>IF(tblOrdenes[[#This Row],[centro_costo]]="","",_xlfn.XLOOKUP(tblOrdenes[[#This Row],[centro_costo]],tblCECO[codigo],tblCECO[area],"(sin catálogo)"))</f>
        <v/>
      </c>
      <c r="V671" s="3">
        <f>IF(tblOrdenes[[#This Row],[centro_costo]]="","",_xlfn.XLOOKUP(tblOrdenes[[#This Row],[centro_costo]],tblCECO[codigo],tblCECO[coordinador],"(sin catálogo)"))</f>
        <v/>
      </c>
      <c r="W671" s="3">
        <f>IF(tblOrdenes[[#This Row],[puesto_trabajo]]="","",_xlfn.XLOOKUP(tblOrdenes[[#This Row],[puesto_trabajo]],tblPuestos[codigo],tblPuestos[especialidad],"(sin catálogo)"))</f>
        <v/>
      </c>
      <c r="X671" s="3">
        <f>IF(tblOrdenes[[#This Row],[cod_actividad]]="","",_xlfn.XLOOKUP(tblOrdenes[[#This Row],[cod_actividad]],tblActividades[codigo],tblActividades[descripcion],"(sin catálogo)"))</f>
        <v/>
      </c>
      <c r="Y671" s="12">
        <f>IF(tblOrdenes[[#This Row],[fecha_inicio]]="","",TODAY()-tblOrdenes[[#This Row],[fecha_inicio]])</f>
        <v/>
      </c>
      <c r="Z671" s="3">
        <f>IF(tblOrdenes[[#This Row],[backlog_dias]]="","",IF(tblOrdenes[[#This Row],[backlog_dias]]&lt;0,"FUTURO",IF(tblOrdenes[[#This Row],[backlog_dias]]&gt;p_dias_backlog_max,"BACKLOG","MES CORRIENTE")))</f>
        <v/>
      </c>
      <c r="AA671" s="3">
        <f>IF(tblOrdenes[[#This Row],[backlog_dias]]="",FALSE,AND(tblOrdenes[[#This Row],[backlog_dias]]&gt;p_dias_backlog_min,tblOrdenes[[#This Row],[backlog_dias]]&lt;=p_dias_backlog_max))</f>
        <v/>
      </c>
      <c r="AB671" s="6" t="n"/>
      <c r="AC6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1" s="10">
        <f>IF(tblOrdenes[[#This Row],[orden]]="","",_xlfn.XLOOKUP(tblOrdenes[[#This Row],[id_operacion]],tblEjecucion[id_operacion],tblEjecucion[precio],0))</f>
        <v/>
      </c>
      <c r="AG671" s="10">
        <f>IF(tblOrdenes[[#This Row],[orden]]="","",MAX(0,_xlfn.XLOOKUP(tblOrdenes[[#This Row],[id_operacion]],tblEjecucion[id_operacion],tblEjecucion[costo_plan_total],0)-tblOrdenes[[#This Row],[costo_servicio]]))</f>
        <v/>
      </c>
      <c r="AH671" s="10">
        <f>IF(tblOrdenes[[#This Row],[orden]]="","",tblOrdenes[[#This Row],[costo_servicio]]+tblOrdenes[[#This Row],[costo_materiales]])</f>
        <v/>
      </c>
      <c r="AI671" s="6" t="n"/>
      <c r="AJ671" s="6" t="n"/>
      <c r="AK671" s="6" t="n"/>
      <c r="AL671" s="3">
        <f>IF(tblOrdenes[[#This Row],[link_checklist]]="","",HYPERLINK(p_ruta_base_checklists&amp;tblOrdenes[[#This Row],[link_checklist]],"abrir"))</f>
        <v/>
      </c>
      <c r="AM671" s="6" t="n"/>
      <c r="AN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Row],[tipo_ot]]="","",_xlfn.XLOOKUP(tblOrdenes[[#This Row],[tipo_ot]],tblTiposOT[codigo],tblTiposOT[clasificacion],"sin_clasificar"))</f>
        <v/>
      </c>
      <c r="T672" s="3">
        <f>IF(tblOrdenes[[#This Row],[centro_costo]]="","",_xlfn.XLOOKUP(tblOrdenes[[#This Row],[centro_costo]],tblCECO[codigo],tblCECO[linea],"(sin catálogo)"))</f>
        <v/>
      </c>
      <c r="U672" s="3">
        <f>IF(tblOrdenes[[#This Row],[centro_costo]]="","",_xlfn.XLOOKUP(tblOrdenes[[#This Row],[centro_costo]],tblCECO[codigo],tblCECO[area],"(sin catálogo)"))</f>
        <v/>
      </c>
      <c r="V672" s="3">
        <f>IF(tblOrdenes[[#This Row],[centro_costo]]="","",_xlfn.XLOOKUP(tblOrdenes[[#This Row],[centro_costo]],tblCECO[codigo],tblCECO[coordinador],"(sin catálogo)"))</f>
        <v/>
      </c>
      <c r="W672" s="3">
        <f>IF(tblOrdenes[[#This Row],[puesto_trabajo]]="","",_xlfn.XLOOKUP(tblOrdenes[[#This Row],[puesto_trabajo]],tblPuestos[codigo],tblPuestos[especialidad],"(sin catálogo)"))</f>
        <v/>
      </c>
      <c r="X672" s="3">
        <f>IF(tblOrdenes[[#This Row],[cod_actividad]]="","",_xlfn.XLOOKUP(tblOrdenes[[#This Row],[cod_actividad]],tblActividades[codigo],tblActividades[descripcion],"(sin catálogo)"))</f>
        <v/>
      </c>
      <c r="Y672" s="12">
        <f>IF(tblOrdenes[[#This Row],[fecha_inicio]]="","",TODAY()-tblOrdenes[[#This Row],[fecha_inicio]])</f>
        <v/>
      </c>
      <c r="Z672" s="3">
        <f>IF(tblOrdenes[[#This Row],[backlog_dias]]="","",IF(tblOrdenes[[#This Row],[backlog_dias]]&lt;0,"FUTURO",IF(tblOrdenes[[#This Row],[backlog_dias]]&gt;p_dias_backlog_max,"BACKLOG","MES CORRIENTE")))</f>
        <v/>
      </c>
      <c r="AA672" s="3">
        <f>IF(tblOrdenes[[#This Row],[backlog_dias]]="",FALSE,AND(tblOrdenes[[#This Row],[backlog_dias]]&gt;p_dias_backlog_min,tblOrdenes[[#This Row],[backlog_dias]]&lt;=p_dias_backlog_max))</f>
        <v/>
      </c>
      <c r="AB672" s="6" t="n"/>
      <c r="AC6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2" s="10">
        <f>IF(tblOrdenes[[#This Row],[orden]]="","",_xlfn.XLOOKUP(tblOrdenes[[#This Row],[id_operacion]],tblEjecucion[id_operacion],tblEjecucion[precio],0))</f>
        <v/>
      </c>
      <c r="AG672" s="10">
        <f>IF(tblOrdenes[[#This Row],[orden]]="","",MAX(0,_xlfn.XLOOKUP(tblOrdenes[[#This Row],[id_operacion]],tblEjecucion[id_operacion],tblEjecucion[costo_plan_total],0)-tblOrdenes[[#This Row],[costo_servicio]]))</f>
        <v/>
      </c>
      <c r="AH672" s="10">
        <f>IF(tblOrdenes[[#This Row],[orden]]="","",tblOrdenes[[#This Row],[costo_servicio]]+tblOrdenes[[#This Row],[costo_materiales]])</f>
        <v/>
      </c>
      <c r="AI672" s="6" t="n"/>
      <c r="AJ672" s="6" t="n"/>
      <c r="AK672" s="6" t="n"/>
      <c r="AL672" s="3">
        <f>IF(tblOrdenes[[#This Row],[link_checklist]]="","",HYPERLINK(p_ruta_base_checklists&amp;tblOrdenes[[#This Row],[link_checklist]],"abrir"))</f>
        <v/>
      </c>
      <c r="AM672" s="6" t="n"/>
      <c r="AN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Row],[tipo_ot]]="","",_xlfn.XLOOKUP(tblOrdenes[[#This Row],[tipo_ot]],tblTiposOT[codigo],tblTiposOT[clasificacion],"sin_clasificar"))</f>
        <v/>
      </c>
      <c r="T673" s="3">
        <f>IF(tblOrdenes[[#This Row],[centro_costo]]="","",_xlfn.XLOOKUP(tblOrdenes[[#This Row],[centro_costo]],tblCECO[codigo],tblCECO[linea],"(sin catálogo)"))</f>
        <v/>
      </c>
      <c r="U673" s="3">
        <f>IF(tblOrdenes[[#This Row],[centro_costo]]="","",_xlfn.XLOOKUP(tblOrdenes[[#This Row],[centro_costo]],tblCECO[codigo],tblCECO[area],"(sin catálogo)"))</f>
        <v/>
      </c>
      <c r="V673" s="3">
        <f>IF(tblOrdenes[[#This Row],[centro_costo]]="","",_xlfn.XLOOKUP(tblOrdenes[[#This Row],[centro_costo]],tblCECO[codigo],tblCECO[coordinador],"(sin catálogo)"))</f>
        <v/>
      </c>
      <c r="W673" s="3">
        <f>IF(tblOrdenes[[#This Row],[puesto_trabajo]]="","",_xlfn.XLOOKUP(tblOrdenes[[#This Row],[puesto_trabajo]],tblPuestos[codigo],tblPuestos[especialidad],"(sin catálogo)"))</f>
        <v/>
      </c>
      <c r="X673" s="3">
        <f>IF(tblOrdenes[[#This Row],[cod_actividad]]="","",_xlfn.XLOOKUP(tblOrdenes[[#This Row],[cod_actividad]],tblActividades[codigo],tblActividades[descripcion],"(sin catálogo)"))</f>
        <v/>
      </c>
      <c r="Y673" s="12">
        <f>IF(tblOrdenes[[#This Row],[fecha_inicio]]="","",TODAY()-tblOrdenes[[#This Row],[fecha_inicio]])</f>
        <v/>
      </c>
      <c r="Z673" s="3">
        <f>IF(tblOrdenes[[#This Row],[backlog_dias]]="","",IF(tblOrdenes[[#This Row],[backlog_dias]]&lt;0,"FUTURO",IF(tblOrdenes[[#This Row],[backlog_dias]]&gt;p_dias_backlog_max,"BACKLOG","MES CORRIENTE")))</f>
        <v/>
      </c>
      <c r="AA673" s="3">
        <f>IF(tblOrdenes[[#This Row],[backlog_dias]]="",FALSE,AND(tblOrdenes[[#This Row],[backlog_dias]]&gt;p_dias_backlog_min,tblOrdenes[[#This Row],[backlog_dias]]&lt;=p_dias_backlog_max))</f>
        <v/>
      </c>
      <c r="AB673" s="6" t="n"/>
      <c r="AC6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3" s="10">
        <f>IF(tblOrdenes[[#This Row],[orden]]="","",_xlfn.XLOOKUP(tblOrdenes[[#This Row],[id_operacion]],tblEjecucion[id_operacion],tblEjecucion[precio],0))</f>
        <v/>
      </c>
      <c r="AG673" s="10">
        <f>IF(tblOrdenes[[#This Row],[orden]]="","",MAX(0,_xlfn.XLOOKUP(tblOrdenes[[#This Row],[id_operacion]],tblEjecucion[id_operacion],tblEjecucion[costo_plan_total],0)-tblOrdenes[[#This Row],[costo_servicio]]))</f>
        <v/>
      </c>
      <c r="AH673" s="10">
        <f>IF(tblOrdenes[[#This Row],[orden]]="","",tblOrdenes[[#This Row],[costo_servicio]]+tblOrdenes[[#This Row],[costo_materiales]])</f>
        <v/>
      </c>
      <c r="AI673" s="6" t="n"/>
      <c r="AJ673" s="6" t="n"/>
      <c r="AK673" s="6" t="n"/>
      <c r="AL673" s="3">
        <f>IF(tblOrdenes[[#This Row],[link_checklist]]="","",HYPERLINK(p_ruta_base_checklists&amp;tblOrdenes[[#This Row],[link_checklist]],"abrir"))</f>
        <v/>
      </c>
      <c r="AM673" s="6" t="n"/>
      <c r="AN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Row],[tipo_ot]]="","",_xlfn.XLOOKUP(tblOrdenes[[#This Row],[tipo_ot]],tblTiposOT[codigo],tblTiposOT[clasificacion],"sin_clasificar"))</f>
        <v/>
      </c>
      <c r="T674" s="3">
        <f>IF(tblOrdenes[[#This Row],[centro_costo]]="","",_xlfn.XLOOKUP(tblOrdenes[[#This Row],[centro_costo]],tblCECO[codigo],tblCECO[linea],"(sin catálogo)"))</f>
        <v/>
      </c>
      <c r="U674" s="3">
        <f>IF(tblOrdenes[[#This Row],[centro_costo]]="","",_xlfn.XLOOKUP(tblOrdenes[[#This Row],[centro_costo]],tblCECO[codigo],tblCECO[area],"(sin catálogo)"))</f>
        <v/>
      </c>
      <c r="V674" s="3">
        <f>IF(tblOrdenes[[#This Row],[centro_costo]]="","",_xlfn.XLOOKUP(tblOrdenes[[#This Row],[centro_costo]],tblCECO[codigo],tblCECO[coordinador],"(sin catálogo)"))</f>
        <v/>
      </c>
      <c r="W674" s="3">
        <f>IF(tblOrdenes[[#This Row],[puesto_trabajo]]="","",_xlfn.XLOOKUP(tblOrdenes[[#This Row],[puesto_trabajo]],tblPuestos[codigo],tblPuestos[especialidad],"(sin catálogo)"))</f>
        <v/>
      </c>
      <c r="X674" s="3">
        <f>IF(tblOrdenes[[#This Row],[cod_actividad]]="","",_xlfn.XLOOKUP(tblOrdenes[[#This Row],[cod_actividad]],tblActividades[codigo],tblActividades[descripcion],"(sin catálogo)"))</f>
        <v/>
      </c>
      <c r="Y674" s="12">
        <f>IF(tblOrdenes[[#This Row],[fecha_inicio]]="","",TODAY()-tblOrdenes[[#This Row],[fecha_inicio]])</f>
        <v/>
      </c>
      <c r="Z674" s="3">
        <f>IF(tblOrdenes[[#This Row],[backlog_dias]]="","",IF(tblOrdenes[[#This Row],[backlog_dias]]&lt;0,"FUTURO",IF(tblOrdenes[[#This Row],[backlog_dias]]&gt;p_dias_backlog_max,"BACKLOG","MES CORRIENTE")))</f>
        <v/>
      </c>
      <c r="AA674" s="3">
        <f>IF(tblOrdenes[[#This Row],[backlog_dias]]="",FALSE,AND(tblOrdenes[[#This Row],[backlog_dias]]&gt;p_dias_backlog_min,tblOrdenes[[#This Row],[backlog_dias]]&lt;=p_dias_backlog_max))</f>
        <v/>
      </c>
      <c r="AB674" s="6" t="n"/>
      <c r="AC6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4" s="10">
        <f>IF(tblOrdenes[[#This Row],[orden]]="","",_xlfn.XLOOKUP(tblOrdenes[[#This Row],[id_operacion]],tblEjecucion[id_operacion],tblEjecucion[precio],0))</f>
        <v/>
      </c>
      <c r="AG674" s="10">
        <f>IF(tblOrdenes[[#This Row],[orden]]="","",MAX(0,_xlfn.XLOOKUP(tblOrdenes[[#This Row],[id_operacion]],tblEjecucion[id_operacion],tblEjecucion[costo_plan_total],0)-tblOrdenes[[#This Row],[costo_servicio]]))</f>
        <v/>
      </c>
      <c r="AH674" s="10">
        <f>IF(tblOrdenes[[#This Row],[orden]]="","",tblOrdenes[[#This Row],[costo_servicio]]+tblOrdenes[[#This Row],[costo_materiales]])</f>
        <v/>
      </c>
      <c r="AI674" s="6" t="n"/>
      <c r="AJ674" s="6" t="n"/>
      <c r="AK674" s="6" t="n"/>
      <c r="AL674" s="3">
        <f>IF(tblOrdenes[[#This Row],[link_checklist]]="","",HYPERLINK(p_ruta_base_checklists&amp;tblOrdenes[[#This Row],[link_checklist]],"abrir"))</f>
        <v/>
      </c>
      <c r="AM674" s="6" t="n"/>
      <c r="AN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Row],[tipo_ot]]="","",_xlfn.XLOOKUP(tblOrdenes[[#This Row],[tipo_ot]],tblTiposOT[codigo],tblTiposOT[clasificacion],"sin_clasificar"))</f>
        <v/>
      </c>
      <c r="T675" s="3">
        <f>IF(tblOrdenes[[#This Row],[centro_costo]]="","",_xlfn.XLOOKUP(tblOrdenes[[#This Row],[centro_costo]],tblCECO[codigo],tblCECO[linea],"(sin catálogo)"))</f>
        <v/>
      </c>
      <c r="U675" s="3">
        <f>IF(tblOrdenes[[#This Row],[centro_costo]]="","",_xlfn.XLOOKUP(tblOrdenes[[#This Row],[centro_costo]],tblCECO[codigo],tblCECO[area],"(sin catálogo)"))</f>
        <v/>
      </c>
      <c r="V675" s="3">
        <f>IF(tblOrdenes[[#This Row],[centro_costo]]="","",_xlfn.XLOOKUP(tblOrdenes[[#This Row],[centro_costo]],tblCECO[codigo],tblCECO[coordinador],"(sin catálogo)"))</f>
        <v/>
      </c>
      <c r="W675" s="3">
        <f>IF(tblOrdenes[[#This Row],[puesto_trabajo]]="","",_xlfn.XLOOKUP(tblOrdenes[[#This Row],[puesto_trabajo]],tblPuestos[codigo],tblPuestos[especialidad],"(sin catálogo)"))</f>
        <v/>
      </c>
      <c r="X675" s="3">
        <f>IF(tblOrdenes[[#This Row],[cod_actividad]]="","",_xlfn.XLOOKUP(tblOrdenes[[#This Row],[cod_actividad]],tblActividades[codigo],tblActividades[descripcion],"(sin catálogo)"))</f>
        <v/>
      </c>
      <c r="Y675" s="12">
        <f>IF(tblOrdenes[[#This Row],[fecha_inicio]]="","",TODAY()-tblOrdenes[[#This Row],[fecha_inicio]])</f>
        <v/>
      </c>
      <c r="Z675" s="3">
        <f>IF(tblOrdenes[[#This Row],[backlog_dias]]="","",IF(tblOrdenes[[#This Row],[backlog_dias]]&lt;0,"FUTURO",IF(tblOrdenes[[#This Row],[backlog_dias]]&gt;p_dias_backlog_max,"BACKLOG","MES CORRIENTE")))</f>
        <v/>
      </c>
      <c r="AA675" s="3">
        <f>IF(tblOrdenes[[#This Row],[backlog_dias]]="",FALSE,AND(tblOrdenes[[#This Row],[backlog_dias]]&gt;p_dias_backlog_min,tblOrdenes[[#This Row],[backlog_dias]]&lt;=p_dias_backlog_max))</f>
        <v/>
      </c>
      <c r="AB675" s="6" t="n"/>
      <c r="AC6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5" s="10">
        <f>IF(tblOrdenes[[#This Row],[orden]]="","",_xlfn.XLOOKUP(tblOrdenes[[#This Row],[id_operacion]],tblEjecucion[id_operacion],tblEjecucion[precio],0))</f>
        <v/>
      </c>
      <c r="AG675" s="10">
        <f>IF(tblOrdenes[[#This Row],[orden]]="","",MAX(0,_xlfn.XLOOKUP(tblOrdenes[[#This Row],[id_operacion]],tblEjecucion[id_operacion],tblEjecucion[costo_plan_total],0)-tblOrdenes[[#This Row],[costo_servicio]]))</f>
        <v/>
      </c>
      <c r="AH675" s="10">
        <f>IF(tblOrdenes[[#This Row],[orden]]="","",tblOrdenes[[#This Row],[costo_servicio]]+tblOrdenes[[#This Row],[costo_materiales]])</f>
        <v/>
      </c>
      <c r="AI675" s="6" t="n"/>
      <c r="AJ675" s="6" t="n"/>
      <c r="AK675" s="6" t="n"/>
      <c r="AL675" s="3">
        <f>IF(tblOrdenes[[#This Row],[link_checklist]]="","",HYPERLINK(p_ruta_base_checklists&amp;tblOrdenes[[#This Row],[link_checklist]],"abrir"))</f>
        <v/>
      </c>
      <c r="AM675" s="6" t="n"/>
      <c r="AN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Row],[tipo_ot]]="","",_xlfn.XLOOKUP(tblOrdenes[[#This Row],[tipo_ot]],tblTiposOT[codigo],tblTiposOT[clasificacion],"sin_clasificar"))</f>
        <v/>
      </c>
      <c r="T676" s="3">
        <f>IF(tblOrdenes[[#This Row],[centro_costo]]="","",_xlfn.XLOOKUP(tblOrdenes[[#This Row],[centro_costo]],tblCECO[codigo],tblCECO[linea],"(sin catálogo)"))</f>
        <v/>
      </c>
      <c r="U676" s="3">
        <f>IF(tblOrdenes[[#This Row],[centro_costo]]="","",_xlfn.XLOOKUP(tblOrdenes[[#This Row],[centro_costo]],tblCECO[codigo],tblCECO[area],"(sin catálogo)"))</f>
        <v/>
      </c>
      <c r="V676" s="3">
        <f>IF(tblOrdenes[[#This Row],[centro_costo]]="","",_xlfn.XLOOKUP(tblOrdenes[[#This Row],[centro_costo]],tblCECO[codigo],tblCECO[coordinador],"(sin catálogo)"))</f>
        <v/>
      </c>
      <c r="W676" s="3">
        <f>IF(tblOrdenes[[#This Row],[puesto_trabajo]]="","",_xlfn.XLOOKUP(tblOrdenes[[#This Row],[puesto_trabajo]],tblPuestos[codigo],tblPuestos[especialidad],"(sin catálogo)"))</f>
        <v/>
      </c>
      <c r="X676" s="3">
        <f>IF(tblOrdenes[[#This Row],[cod_actividad]]="","",_xlfn.XLOOKUP(tblOrdenes[[#This Row],[cod_actividad]],tblActividades[codigo],tblActividades[descripcion],"(sin catálogo)"))</f>
        <v/>
      </c>
      <c r="Y676" s="12">
        <f>IF(tblOrdenes[[#This Row],[fecha_inicio]]="","",TODAY()-tblOrdenes[[#This Row],[fecha_inicio]])</f>
        <v/>
      </c>
      <c r="Z676" s="3">
        <f>IF(tblOrdenes[[#This Row],[backlog_dias]]="","",IF(tblOrdenes[[#This Row],[backlog_dias]]&lt;0,"FUTURO",IF(tblOrdenes[[#This Row],[backlog_dias]]&gt;p_dias_backlog_max,"BACKLOG","MES CORRIENTE")))</f>
        <v/>
      </c>
      <c r="AA676" s="3">
        <f>IF(tblOrdenes[[#This Row],[backlog_dias]]="",FALSE,AND(tblOrdenes[[#This Row],[backlog_dias]]&gt;p_dias_backlog_min,tblOrdenes[[#This Row],[backlog_dias]]&lt;=p_dias_backlog_max))</f>
        <v/>
      </c>
      <c r="AB676" s="6" t="n"/>
      <c r="AC6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6" s="10">
        <f>IF(tblOrdenes[[#This Row],[orden]]="","",_xlfn.XLOOKUP(tblOrdenes[[#This Row],[id_operacion]],tblEjecucion[id_operacion],tblEjecucion[precio],0))</f>
        <v/>
      </c>
      <c r="AG676" s="10">
        <f>IF(tblOrdenes[[#This Row],[orden]]="","",MAX(0,_xlfn.XLOOKUP(tblOrdenes[[#This Row],[id_operacion]],tblEjecucion[id_operacion],tblEjecucion[costo_plan_total],0)-tblOrdenes[[#This Row],[costo_servicio]]))</f>
        <v/>
      </c>
      <c r="AH676" s="10">
        <f>IF(tblOrdenes[[#This Row],[orden]]="","",tblOrdenes[[#This Row],[costo_servicio]]+tblOrdenes[[#This Row],[costo_materiales]])</f>
        <v/>
      </c>
      <c r="AI676" s="6" t="n"/>
      <c r="AJ676" s="6" t="n"/>
      <c r="AK676" s="6" t="n"/>
      <c r="AL676" s="3">
        <f>IF(tblOrdenes[[#This Row],[link_checklist]]="","",HYPERLINK(p_ruta_base_checklists&amp;tblOrdenes[[#This Row],[link_checklist]],"abrir"))</f>
        <v/>
      </c>
      <c r="AM676" s="6" t="n"/>
      <c r="AN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Row],[tipo_ot]]="","",_xlfn.XLOOKUP(tblOrdenes[[#This Row],[tipo_ot]],tblTiposOT[codigo],tblTiposOT[clasificacion],"sin_clasificar"))</f>
        <v/>
      </c>
      <c r="T677" s="3">
        <f>IF(tblOrdenes[[#This Row],[centro_costo]]="","",_xlfn.XLOOKUP(tblOrdenes[[#This Row],[centro_costo]],tblCECO[codigo],tblCECO[linea],"(sin catálogo)"))</f>
        <v/>
      </c>
      <c r="U677" s="3">
        <f>IF(tblOrdenes[[#This Row],[centro_costo]]="","",_xlfn.XLOOKUP(tblOrdenes[[#This Row],[centro_costo]],tblCECO[codigo],tblCECO[area],"(sin catálogo)"))</f>
        <v/>
      </c>
      <c r="V677" s="3">
        <f>IF(tblOrdenes[[#This Row],[centro_costo]]="","",_xlfn.XLOOKUP(tblOrdenes[[#This Row],[centro_costo]],tblCECO[codigo],tblCECO[coordinador],"(sin catálogo)"))</f>
        <v/>
      </c>
      <c r="W677" s="3">
        <f>IF(tblOrdenes[[#This Row],[puesto_trabajo]]="","",_xlfn.XLOOKUP(tblOrdenes[[#This Row],[puesto_trabajo]],tblPuestos[codigo],tblPuestos[especialidad],"(sin catálogo)"))</f>
        <v/>
      </c>
      <c r="X677" s="3">
        <f>IF(tblOrdenes[[#This Row],[cod_actividad]]="","",_xlfn.XLOOKUP(tblOrdenes[[#This Row],[cod_actividad]],tblActividades[codigo],tblActividades[descripcion],"(sin catálogo)"))</f>
        <v/>
      </c>
      <c r="Y677" s="12">
        <f>IF(tblOrdenes[[#This Row],[fecha_inicio]]="","",TODAY()-tblOrdenes[[#This Row],[fecha_inicio]])</f>
        <v/>
      </c>
      <c r="Z677" s="3">
        <f>IF(tblOrdenes[[#This Row],[backlog_dias]]="","",IF(tblOrdenes[[#This Row],[backlog_dias]]&lt;0,"FUTURO",IF(tblOrdenes[[#This Row],[backlog_dias]]&gt;p_dias_backlog_max,"BACKLOG","MES CORRIENTE")))</f>
        <v/>
      </c>
      <c r="AA677" s="3">
        <f>IF(tblOrdenes[[#This Row],[backlog_dias]]="",FALSE,AND(tblOrdenes[[#This Row],[backlog_dias]]&gt;p_dias_backlog_min,tblOrdenes[[#This Row],[backlog_dias]]&lt;=p_dias_backlog_max))</f>
        <v/>
      </c>
      <c r="AB677" s="6" t="n"/>
      <c r="AC6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7" s="10">
        <f>IF(tblOrdenes[[#This Row],[orden]]="","",_xlfn.XLOOKUP(tblOrdenes[[#This Row],[id_operacion]],tblEjecucion[id_operacion],tblEjecucion[precio],0))</f>
        <v/>
      </c>
      <c r="AG677" s="10">
        <f>IF(tblOrdenes[[#This Row],[orden]]="","",MAX(0,_xlfn.XLOOKUP(tblOrdenes[[#This Row],[id_operacion]],tblEjecucion[id_operacion],tblEjecucion[costo_plan_total],0)-tblOrdenes[[#This Row],[costo_servicio]]))</f>
        <v/>
      </c>
      <c r="AH677" s="10">
        <f>IF(tblOrdenes[[#This Row],[orden]]="","",tblOrdenes[[#This Row],[costo_servicio]]+tblOrdenes[[#This Row],[costo_materiales]])</f>
        <v/>
      </c>
      <c r="AI677" s="6" t="n"/>
      <c r="AJ677" s="6" t="n"/>
      <c r="AK677" s="6" t="n"/>
      <c r="AL677" s="3">
        <f>IF(tblOrdenes[[#This Row],[link_checklist]]="","",HYPERLINK(p_ruta_base_checklists&amp;tblOrdenes[[#This Row],[link_checklist]],"abrir"))</f>
        <v/>
      </c>
      <c r="AM677" s="6" t="n"/>
      <c r="AN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Row],[tipo_ot]]="","",_xlfn.XLOOKUP(tblOrdenes[[#This Row],[tipo_ot]],tblTiposOT[codigo],tblTiposOT[clasificacion],"sin_clasificar"))</f>
        <v/>
      </c>
      <c r="T678" s="3">
        <f>IF(tblOrdenes[[#This Row],[centro_costo]]="","",_xlfn.XLOOKUP(tblOrdenes[[#This Row],[centro_costo]],tblCECO[codigo],tblCECO[linea],"(sin catálogo)"))</f>
        <v/>
      </c>
      <c r="U678" s="3">
        <f>IF(tblOrdenes[[#This Row],[centro_costo]]="","",_xlfn.XLOOKUP(tblOrdenes[[#This Row],[centro_costo]],tblCECO[codigo],tblCECO[area],"(sin catálogo)"))</f>
        <v/>
      </c>
      <c r="V678" s="3">
        <f>IF(tblOrdenes[[#This Row],[centro_costo]]="","",_xlfn.XLOOKUP(tblOrdenes[[#This Row],[centro_costo]],tblCECO[codigo],tblCECO[coordinador],"(sin catálogo)"))</f>
        <v/>
      </c>
      <c r="W678" s="3">
        <f>IF(tblOrdenes[[#This Row],[puesto_trabajo]]="","",_xlfn.XLOOKUP(tblOrdenes[[#This Row],[puesto_trabajo]],tblPuestos[codigo],tblPuestos[especialidad],"(sin catálogo)"))</f>
        <v/>
      </c>
      <c r="X678" s="3">
        <f>IF(tblOrdenes[[#This Row],[cod_actividad]]="","",_xlfn.XLOOKUP(tblOrdenes[[#This Row],[cod_actividad]],tblActividades[codigo],tblActividades[descripcion],"(sin catálogo)"))</f>
        <v/>
      </c>
      <c r="Y678" s="12">
        <f>IF(tblOrdenes[[#This Row],[fecha_inicio]]="","",TODAY()-tblOrdenes[[#This Row],[fecha_inicio]])</f>
        <v/>
      </c>
      <c r="Z678" s="3">
        <f>IF(tblOrdenes[[#This Row],[backlog_dias]]="","",IF(tblOrdenes[[#This Row],[backlog_dias]]&lt;0,"FUTURO",IF(tblOrdenes[[#This Row],[backlog_dias]]&gt;p_dias_backlog_max,"BACKLOG","MES CORRIENTE")))</f>
        <v/>
      </c>
      <c r="AA678" s="3">
        <f>IF(tblOrdenes[[#This Row],[backlog_dias]]="",FALSE,AND(tblOrdenes[[#This Row],[backlog_dias]]&gt;p_dias_backlog_min,tblOrdenes[[#This Row],[backlog_dias]]&lt;=p_dias_backlog_max))</f>
        <v/>
      </c>
      <c r="AB678" s="6" t="n"/>
      <c r="AC6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8" s="10">
        <f>IF(tblOrdenes[[#This Row],[orden]]="","",_xlfn.XLOOKUP(tblOrdenes[[#This Row],[id_operacion]],tblEjecucion[id_operacion],tblEjecucion[precio],0))</f>
        <v/>
      </c>
      <c r="AG678" s="10">
        <f>IF(tblOrdenes[[#This Row],[orden]]="","",MAX(0,_xlfn.XLOOKUP(tblOrdenes[[#This Row],[id_operacion]],tblEjecucion[id_operacion],tblEjecucion[costo_plan_total],0)-tblOrdenes[[#This Row],[costo_servicio]]))</f>
        <v/>
      </c>
      <c r="AH678" s="10">
        <f>IF(tblOrdenes[[#This Row],[orden]]="","",tblOrdenes[[#This Row],[costo_servicio]]+tblOrdenes[[#This Row],[costo_materiales]])</f>
        <v/>
      </c>
      <c r="AI678" s="6" t="n"/>
      <c r="AJ678" s="6" t="n"/>
      <c r="AK678" s="6" t="n"/>
      <c r="AL678" s="3">
        <f>IF(tblOrdenes[[#This Row],[link_checklist]]="","",HYPERLINK(p_ruta_base_checklists&amp;tblOrdenes[[#This Row],[link_checklist]],"abrir"))</f>
        <v/>
      </c>
      <c r="AM678" s="6" t="n"/>
      <c r="AN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Row],[tipo_ot]]="","",_xlfn.XLOOKUP(tblOrdenes[[#This Row],[tipo_ot]],tblTiposOT[codigo],tblTiposOT[clasificacion],"sin_clasificar"))</f>
        <v/>
      </c>
      <c r="T679" s="3">
        <f>IF(tblOrdenes[[#This Row],[centro_costo]]="","",_xlfn.XLOOKUP(tblOrdenes[[#This Row],[centro_costo]],tblCECO[codigo],tblCECO[linea],"(sin catálogo)"))</f>
        <v/>
      </c>
      <c r="U679" s="3">
        <f>IF(tblOrdenes[[#This Row],[centro_costo]]="","",_xlfn.XLOOKUP(tblOrdenes[[#This Row],[centro_costo]],tblCECO[codigo],tblCECO[area],"(sin catálogo)"))</f>
        <v/>
      </c>
      <c r="V679" s="3">
        <f>IF(tblOrdenes[[#This Row],[centro_costo]]="","",_xlfn.XLOOKUP(tblOrdenes[[#This Row],[centro_costo]],tblCECO[codigo],tblCECO[coordinador],"(sin catálogo)"))</f>
        <v/>
      </c>
      <c r="W679" s="3">
        <f>IF(tblOrdenes[[#This Row],[puesto_trabajo]]="","",_xlfn.XLOOKUP(tblOrdenes[[#This Row],[puesto_trabajo]],tblPuestos[codigo],tblPuestos[especialidad],"(sin catálogo)"))</f>
        <v/>
      </c>
      <c r="X679" s="3">
        <f>IF(tblOrdenes[[#This Row],[cod_actividad]]="","",_xlfn.XLOOKUP(tblOrdenes[[#This Row],[cod_actividad]],tblActividades[codigo],tblActividades[descripcion],"(sin catálogo)"))</f>
        <v/>
      </c>
      <c r="Y679" s="12">
        <f>IF(tblOrdenes[[#This Row],[fecha_inicio]]="","",TODAY()-tblOrdenes[[#This Row],[fecha_inicio]])</f>
        <v/>
      </c>
      <c r="Z679" s="3">
        <f>IF(tblOrdenes[[#This Row],[backlog_dias]]="","",IF(tblOrdenes[[#This Row],[backlog_dias]]&lt;0,"FUTURO",IF(tblOrdenes[[#This Row],[backlog_dias]]&gt;p_dias_backlog_max,"BACKLOG","MES CORRIENTE")))</f>
        <v/>
      </c>
      <c r="AA679" s="3">
        <f>IF(tblOrdenes[[#This Row],[backlog_dias]]="",FALSE,AND(tblOrdenes[[#This Row],[backlog_dias]]&gt;p_dias_backlog_min,tblOrdenes[[#This Row],[backlog_dias]]&lt;=p_dias_backlog_max))</f>
        <v/>
      </c>
      <c r="AB679" s="6" t="n"/>
      <c r="AC6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9" s="10">
        <f>IF(tblOrdenes[[#This Row],[orden]]="","",_xlfn.XLOOKUP(tblOrdenes[[#This Row],[id_operacion]],tblEjecucion[id_operacion],tblEjecucion[precio],0))</f>
        <v/>
      </c>
      <c r="AG679" s="10">
        <f>IF(tblOrdenes[[#This Row],[orden]]="","",MAX(0,_xlfn.XLOOKUP(tblOrdenes[[#This Row],[id_operacion]],tblEjecucion[id_operacion],tblEjecucion[costo_plan_total],0)-tblOrdenes[[#This Row],[costo_servicio]]))</f>
        <v/>
      </c>
      <c r="AH679" s="10">
        <f>IF(tblOrdenes[[#This Row],[orden]]="","",tblOrdenes[[#This Row],[costo_servicio]]+tblOrdenes[[#This Row],[costo_materiales]])</f>
        <v/>
      </c>
      <c r="AI679" s="6" t="n"/>
      <c r="AJ679" s="6" t="n"/>
      <c r="AK679" s="6" t="n"/>
      <c r="AL679" s="3">
        <f>IF(tblOrdenes[[#This Row],[link_checklist]]="","",HYPERLINK(p_ruta_base_checklists&amp;tblOrdenes[[#This Row],[link_checklist]],"abrir"))</f>
        <v/>
      </c>
      <c r="AM679" s="6" t="n"/>
      <c r="AN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Row],[tipo_ot]]="","",_xlfn.XLOOKUP(tblOrdenes[[#This Row],[tipo_ot]],tblTiposOT[codigo],tblTiposOT[clasificacion],"sin_clasificar"))</f>
        <v/>
      </c>
      <c r="T680" s="3">
        <f>IF(tblOrdenes[[#This Row],[centro_costo]]="","",_xlfn.XLOOKUP(tblOrdenes[[#This Row],[centro_costo]],tblCECO[codigo],tblCECO[linea],"(sin catálogo)"))</f>
        <v/>
      </c>
      <c r="U680" s="3">
        <f>IF(tblOrdenes[[#This Row],[centro_costo]]="","",_xlfn.XLOOKUP(tblOrdenes[[#This Row],[centro_costo]],tblCECO[codigo],tblCECO[area],"(sin catálogo)"))</f>
        <v/>
      </c>
      <c r="V680" s="3">
        <f>IF(tblOrdenes[[#This Row],[centro_costo]]="","",_xlfn.XLOOKUP(tblOrdenes[[#This Row],[centro_costo]],tblCECO[codigo],tblCECO[coordinador],"(sin catálogo)"))</f>
        <v/>
      </c>
      <c r="W680" s="3">
        <f>IF(tblOrdenes[[#This Row],[puesto_trabajo]]="","",_xlfn.XLOOKUP(tblOrdenes[[#This Row],[puesto_trabajo]],tblPuestos[codigo],tblPuestos[especialidad],"(sin catálogo)"))</f>
        <v/>
      </c>
      <c r="X680" s="3">
        <f>IF(tblOrdenes[[#This Row],[cod_actividad]]="","",_xlfn.XLOOKUP(tblOrdenes[[#This Row],[cod_actividad]],tblActividades[codigo],tblActividades[descripcion],"(sin catálogo)"))</f>
        <v/>
      </c>
      <c r="Y680" s="12">
        <f>IF(tblOrdenes[[#This Row],[fecha_inicio]]="","",TODAY()-tblOrdenes[[#This Row],[fecha_inicio]])</f>
        <v/>
      </c>
      <c r="Z680" s="3">
        <f>IF(tblOrdenes[[#This Row],[backlog_dias]]="","",IF(tblOrdenes[[#This Row],[backlog_dias]]&lt;0,"FUTURO",IF(tblOrdenes[[#This Row],[backlog_dias]]&gt;p_dias_backlog_max,"BACKLOG","MES CORRIENTE")))</f>
        <v/>
      </c>
      <c r="AA680" s="3">
        <f>IF(tblOrdenes[[#This Row],[backlog_dias]]="",FALSE,AND(tblOrdenes[[#This Row],[backlog_dias]]&gt;p_dias_backlog_min,tblOrdenes[[#This Row],[backlog_dias]]&lt;=p_dias_backlog_max))</f>
        <v/>
      </c>
      <c r="AB680" s="6" t="n"/>
      <c r="AC6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0" s="10">
        <f>IF(tblOrdenes[[#This Row],[orden]]="","",_xlfn.XLOOKUP(tblOrdenes[[#This Row],[id_operacion]],tblEjecucion[id_operacion],tblEjecucion[precio],0))</f>
        <v/>
      </c>
      <c r="AG680" s="10">
        <f>IF(tblOrdenes[[#This Row],[orden]]="","",MAX(0,_xlfn.XLOOKUP(tblOrdenes[[#This Row],[id_operacion]],tblEjecucion[id_operacion],tblEjecucion[costo_plan_total],0)-tblOrdenes[[#This Row],[costo_servicio]]))</f>
        <v/>
      </c>
      <c r="AH680" s="10">
        <f>IF(tblOrdenes[[#This Row],[orden]]="","",tblOrdenes[[#This Row],[costo_servicio]]+tblOrdenes[[#This Row],[costo_materiales]])</f>
        <v/>
      </c>
      <c r="AI680" s="6" t="n"/>
      <c r="AJ680" s="6" t="n"/>
      <c r="AK680" s="6" t="n"/>
      <c r="AL680" s="3">
        <f>IF(tblOrdenes[[#This Row],[link_checklist]]="","",HYPERLINK(p_ruta_base_checklists&amp;tblOrdenes[[#This Row],[link_checklist]],"abrir"))</f>
        <v/>
      </c>
      <c r="AM680" s="6" t="n"/>
      <c r="AN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Row],[tipo_ot]]="","",_xlfn.XLOOKUP(tblOrdenes[[#This Row],[tipo_ot]],tblTiposOT[codigo],tblTiposOT[clasificacion],"sin_clasificar"))</f>
        <v/>
      </c>
      <c r="T681" s="3">
        <f>IF(tblOrdenes[[#This Row],[centro_costo]]="","",_xlfn.XLOOKUP(tblOrdenes[[#This Row],[centro_costo]],tblCECO[codigo],tblCECO[linea],"(sin catálogo)"))</f>
        <v/>
      </c>
      <c r="U681" s="3">
        <f>IF(tblOrdenes[[#This Row],[centro_costo]]="","",_xlfn.XLOOKUP(tblOrdenes[[#This Row],[centro_costo]],tblCECO[codigo],tblCECO[area],"(sin catálogo)"))</f>
        <v/>
      </c>
      <c r="V681" s="3">
        <f>IF(tblOrdenes[[#This Row],[centro_costo]]="","",_xlfn.XLOOKUP(tblOrdenes[[#This Row],[centro_costo]],tblCECO[codigo],tblCECO[coordinador],"(sin catálogo)"))</f>
        <v/>
      </c>
      <c r="W681" s="3">
        <f>IF(tblOrdenes[[#This Row],[puesto_trabajo]]="","",_xlfn.XLOOKUP(tblOrdenes[[#This Row],[puesto_trabajo]],tblPuestos[codigo],tblPuestos[especialidad],"(sin catálogo)"))</f>
        <v/>
      </c>
      <c r="X681" s="3">
        <f>IF(tblOrdenes[[#This Row],[cod_actividad]]="","",_xlfn.XLOOKUP(tblOrdenes[[#This Row],[cod_actividad]],tblActividades[codigo],tblActividades[descripcion],"(sin catálogo)"))</f>
        <v/>
      </c>
      <c r="Y681" s="12">
        <f>IF(tblOrdenes[[#This Row],[fecha_inicio]]="","",TODAY()-tblOrdenes[[#This Row],[fecha_inicio]])</f>
        <v/>
      </c>
      <c r="Z681" s="3">
        <f>IF(tblOrdenes[[#This Row],[backlog_dias]]="","",IF(tblOrdenes[[#This Row],[backlog_dias]]&lt;0,"FUTURO",IF(tblOrdenes[[#This Row],[backlog_dias]]&gt;p_dias_backlog_max,"BACKLOG","MES CORRIENTE")))</f>
        <v/>
      </c>
      <c r="AA681" s="3">
        <f>IF(tblOrdenes[[#This Row],[backlog_dias]]="",FALSE,AND(tblOrdenes[[#This Row],[backlog_dias]]&gt;p_dias_backlog_min,tblOrdenes[[#This Row],[backlog_dias]]&lt;=p_dias_backlog_max))</f>
        <v/>
      </c>
      <c r="AB681" s="6" t="n"/>
      <c r="AC6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1" s="10">
        <f>IF(tblOrdenes[[#This Row],[orden]]="","",_xlfn.XLOOKUP(tblOrdenes[[#This Row],[id_operacion]],tblEjecucion[id_operacion],tblEjecucion[precio],0))</f>
        <v/>
      </c>
      <c r="AG681" s="10">
        <f>IF(tblOrdenes[[#This Row],[orden]]="","",MAX(0,_xlfn.XLOOKUP(tblOrdenes[[#This Row],[id_operacion]],tblEjecucion[id_operacion],tblEjecucion[costo_plan_total],0)-tblOrdenes[[#This Row],[costo_servicio]]))</f>
        <v/>
      </c>
      <c r="AH681" s="10">
        <f>IF(tblOrdenes[[#This Row],[orden]]="","",tblOrdenes[[#This Row],[costo_servicio]]+tblOrdenes[[#This Row],[costo_materiales]])</f>
        <v/>
      </c>
      <c r="AI681" s="6" t="n"/>
      <c r="AJ681" s="6" t="n"/>
      <c r="AK681" s="6" t="n"/>
      <c r="AL681" s="3">
        <f>IF(tblOrdenes[[#This Row],[link_checklist]]="","",HYPERLINK(p_ruta_base_checklists&amp;tblOrdenes[[#This Row],[link_checklist]],"abrir"))</f>
        <v/>
      </c>
      <c r="AM681" s="6" t="n"/>
      <c r="AN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Row],[tipo_ot]]="","",_xlfn.XLOOKUP(tblOrdenes[[#This Row],[tipo_ot]],tblTiposOT[codigo],tblTiposOT[clasificacion],"sin_clasificar"))</f>
        <v/>
      </c>
      <c r="T682" s="3">
        <f>IF(tblOrdenes[[#This Row],[centro_costo]]="","",_xlfn.XLOOKUP(tblOrdenes[[#This Row],[centro_costo]],tblCECO[codigo],tblCECO[linea],"(sin catálogo)"))</f>
        <v/>
      </c>
      <c r="U682" s="3">
        <f>IF(tblOrdenes[[#This Row],[centro_costo]]="","",_xlfn.XLOOKUP(tblOrdenes[[#This Row],[centro_costo]],tblCECO[codigo],tblCECO[area],"(sin catálogo)"))</f>
        <v/>
      </c>
      <c r="V682" s="3">
        <f>IF(tblOrdenes[[#This Row],[centro_costo]]="","",_xlfn.XLOOKUP(tblOrdenes[[#This Row],[centro_costo]],tblCECO[codigo],tblCECO[coordinador],"(sin catálogo)"))</f>
        <v/>
      </c>
      <c r="W682" s="3">
        <f>IF(tblOrdenes[[#This Row],[puesto_trabajo]]="","",_xlfn.XLOOKUP(tblOrdenes[[#This Row],[puesto_trabajo]],tblPuestos[codigo],tblPuestos[especialidad],"(sin catálogo)"))</f>
        <v/>
      </c>
      <c r="X682" s="3">
        <f>IF(tblOrdenes[[#This Row],[cod_actividad]]="","",_xlfn.XLOOKUP(tblOrdenes[[#This Row],[cod_actividad]],tblActividades[codigo],tblActividades[descripcion],"(sin catálogo)"))</f>
        <v/>
      </c>
      <c r="Y682" s="12">
        <f>IF(tblOrdenes[[#This Row],[fecha_inicio]]="","",TODAY()-tblOrdenes[[#This Row],[fecha_inicio]])</f>
        <v/>
      </c>
      <c r="Z682" s="3">
        <f>IF(tblOrdenes[[#This Row],[backlog_dias]]="","",IF(tblOrdenes[[#This Row],[backlog_dias]]&lt;0,"FUTURO",IF(tblOrdenes[[#This Row],[backlog_dias]]&gt;p_dias_backlog_max,"BACKLOG","MES CORRIENTE")))</f>
        <v/>
      </c>
      <c r="AA682" s="3">
        <f>IF(tblOrdenes[[#This Row],[backlog_dias]]="",FALSE,AND(tblOrdenes[[#This Row],[backlog_dias]]&gt;p_dias_backlog_min,tblOrdenes[[#This Row],[backlog_dias]]&lt;=p_dias_backlog_max))</f>
        <v/>
      </c>
      <c r="AB682" s="6" t="n"/>
      <c r="AC6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2" s="10">
        <f>IF(tblOrdenes[[#This Row],[orden]]="","",_xlfn.XLOOKUP(tblOrdenes[[#This Row],[id_operacion]],tblEjecucion[id_operacion],tblEjecucion[precio],0))</f>
        <v/>
      </c>
      <c r="AG682" s="10">
        <f>IF(tblOrdenes[[#This Row],[orden]]="","",MAX(0,_xlfn.XLOOKUP(tblOrdenes[[#This Row],[id_operacion]],tblEjecucion[id_operacion],tblEjecucion[costo_plan_total],0)-tblOrdenes[[#This Row],[costo_servicio]]))</f>
        <v/>
      </c>
      <c r="AH682" s="10">
        <f>IF(tblOrdenes[[#This Row],[orden]]="","",tblOrdenes[[#This Row],[costo_servicio]]+tblOrdenes[[#This Row],[costo_materiales]])</f>
        <v/>
      </c>
      <c r="AI682" s="6" t="n"/>
      <c r="AJ682" s="6" t="n"/>
      <c r="AK682" s="6" t="n"/>
      <c r="AL682" s="3">
        <f>IF(tblOrdenes[[#This Row],[link_checklist]]="","",HYPERLINK(p_ruta_base_checklists&amp;tblOrdenes[[#This Row],[link_checklist]],"abrir"))</f>
        <v/>
      </c>
      <c r="AM682" s="6" t="n"/>
      <c r="AN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Row],[tipo_ot]]="","",_xlfn.XLOOKUP(tblOrdenes[[#This Row],[tipo_ot]],tblTiposOT[codigo],tblTiposOT[clasificacion],"sin_clasificar"))</f>
        <v/>
      </c>
      <c r="T683" s="3">
        <f>IF(tblOrdenes[[#This Row],[centro_costo]]="","",_xlfn.XLOOKUP(tblOrdenes[[#This Row],[centro_costo]],tblCECO[codigo],tblCECO[linea],"(sin catálogo)"))</f>
        <v/>
      </c>
      <c r="U683" s="3">
        <f>IF(tblOrdenes[[#This Row],[centro_costo]]="","",_xlfn.XLOOKUP(tblOrdenes[[#This Row],[centro_costo]],tblCECO[codigo],tblCECO[area],"(sin catálogo)"))</f>
        <v/>
      </c>
      <c r="V683" s="3">
        <f>IF(tblOrdenes[[#This Row],[centro_costo]]="","",_xlfn.XLOOKUP(tblOrdenes[[#This Row],[centro_costo]],tblCECO[codigo],tblCECO[coordinador],"(sin catálogo)"))</f>
        <v/>
      </c>
      <c r="W683" s="3">
        <f>IF(tblOrdenes[[#This Row],[puesto_trabajo]]="","",_xlfn.XLOOKUP(tblOrdenes[[#This Row],[puesto_trabajo]],tblPuestos[codigo],tblPuestos[especialidad],"(sin catálogo)"))</f>
        <v/>
      </c>
      <c r="X683" s="3">
        <f>IF(tblOrdenes[[#This Row],[cod_actividad]]="","",_xlfn.XLOOKUP(tblOrdenes[[#This Row],[cod_actividad]],tblActividades[codigo],tblActividades[descripcion],"(sin catálogo)"))</f>
        <v/>
      </c>
      <c r="Y683" s="12">
        <f>IF(tblOrdenes[[#This Row],[fecha_inicio]]="","",TODAY()-tblOrdenes[[#This Row],[fecha_inicio]])</f>
        <v/>
      </c>
      <c r="Z683" s="3">
        <f>IF(tblOrdenes[[#This Row],[backlog_dias]]="","",IF(tblOrdenes[[#This Row],[backlog_dias]]&lt;0,"FUTURO",IF(tblOrdenes[[#This Row],[backlog_dias]]&gt;p_dias_backlog_max,"BACKLOG","MES CORRIENTE")))</f>
        <v/>
      </c>
      <c r="AA683" s="3">
        <f>IF(tblOrdenes[[#This Row],[backlog_dias]]="",FALSE,AND(tblOrdenes[[#This Row],[backlog_dias]]&gt;p_dias_backlog_min,tblOrdenes[[#This Row],[backlog_dias]]&lt;=p_dias_backlog_max))</f>
        <v/>
      </c>
      <c r="AB683" s="6" t="n"/>
      <c r="AC6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3" s="10">
        <f>IF(tblOrdenes[[#This Row],[orden]]="","",_xlfn.XLOOKUP(tblOrdenes[[#This Row],[id_operacion]],tblEjecucion[id_operacion],tblEjecucion[precio],0))</f>
        <v/>
      </c>
      <c r="AG683" s="10">
        <f>IF(tblOrdenes[[#This Row],[orden]]="","",MAX(0,_xlfn.XLOOKUP(tblOrdenes[[#This Row],[id_operacion]],tblEjecucion[id_operacion],tblEjecucion[costo_plan_total],0)-tblOrdenes[[#This Row],[costo_servicio]]))</f>
        <v/>
      </c>
      <c r="AH683" s="10">
        <f>IF(tblOrdenes[[#This Row],[orden]]="","",tblOrdenes[[#This Row],[costo_servicio]]+tblOrdenes[[#This Row],[costo_materiales]])</f>
        <v/>
      </c>
      <c r="AI683" s="6" t="n"/>
      <c r="AJ683" s="6" t="n"/>
      <c r="AK683" s="6" t="n"/>
      <c r="AL683" s="3">
        <f>IF(tblOrdenes[[#This Row],[link_checklist]]="","",HYPERLINK(p_ruta_base_checklists&amp;tblOrdenes[[#This Row],[link_checklist]],"abrir"))</f>
        <v/>
      </c>
      <c r="AM683" s="6" t="n"/>
      <c r="AN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Row],[tipo_ot]]="","",_xlfn.XLOOKUP(tblOrdenes[[#This Row],[tipo_ot]],tblTiposOT[codigo],tblTiposOT[clasificacion],"sin_clasificar"))</f>
        <v/>
      </c>
      <c r="T684" s="3">
        <f>IF(tblOrdenes[[#This Row],[centro_costo]]="","",_xlfn.XLOOKUP(tblOrdenes[[#This Row],[centro_costo]],tblCECO[codigo],tblCECO[linea],"(sin catálogo)"))</f>
        <v/>
      </c>
      <c r="U684" s="3">
        <f>IF(tblOrdenes[[#This Row],[centro_costo]]="","",_xlfn.XLOOKUP(tblOrdenes[[#This Row],[centro_costo]],tblCECO[codigo],tblCECO[area],"(sin catálogo)"))</f>
        <v/>
      </c>
      <c r="V684" s="3">
        <f>IF(tblOrdenes[[#This Row],[centro_costo]]="","",_xlfn.XLOOKUP(tblOrdenes[[#This Row],[centro_costo]],tblCECO[codigo],tblCECO[coordinador],"(sin catálogo)"))</f>
        <v/>
      </c>
      <c r="W684" s="3">
        <f>IF(tblOrdenes[[#This Row],[puesto_trabajo]]="","",_xlfn.XLOOKUP(tblOrdenes[[#This Row],[puesto_trabajo]],tblPuestos[codigo],tblPuestos[especialidad],"(sin catálogo)"))</f>
        <v/>
      </c>
      <c r="X684" s="3">
        <f>IF(tblOrdenes[[#This Row],[cod_actividad]]="","",_xlfn.XLOOKUP(tblOrdenes[[#This Row],[cod_actividad]],tblActividades[codigo],tblActividades[descripcion],"(sin catálogo)"))</f>
        <v/>
      </c>
      <c r="Y684" s="12">
        <f>IF(tblOrdenes[[#This Row],[fecha_inicio]]="","",TODAY()-tblOrdenes[[#This Row],[fecha_inicio]])</f>
        <v/>
      </c>
      <c r="Z684" s="3">
        <f>IF(tblOrdenes[[#This Row],[backlog_dias]]="","",IF(tblOrdenes[[#This Row],[backlog_dias]]&lt;0,"FUTURO",IF(tblOrdenes[[#This Row],[backlog_dias]]&gt;p_dias_backlog_max,"BACKLOG","MES CORRIENTE")))</f>
        <v/>
      </c>
      <c r="AA684" s="3">
        <f>IF(tblOrdenes[[#This Row],[backlog_dias]]="",FALSE,AND(tblOrdenes[[#This Row],[backlog_dias]]&gt;p_dias_backlog_min,tblOrdenes[[#This Row],[backlog_dias]]&lt;=p_dias_backlog_max))</f>
        <v/>
      </c>
      <c r="AB684" s="6" t="n"/>
      <c r="AC6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4" s="10">
        <f>IF(tblOrdenes[[#This Row],[orden]]="","",_xlfn.XLOOKUP(tblOrdenes[[#This Row],[id_operacion]],tblEjecucion[id_operacion],tblEjecucion[precio],0))</f>
        <v/>
      </c>
      <c r="AG684" s="10">
        <f>IF(tblOrdenes[[#This Row],[orden]]="","",MAX(0,_xlfn.XLOOKUP(tblOrdenes[[#This Row],[id_operacion]],tblEjecucion[id_operacion],tblEjecucion[costo_plan_total],0)-tblOrdenes[[#This Row],[costo_servicio]]))</f>
        <v/>
      </c>
      <c r="AH684" s="10">
        <f>IF(tblOrdenes[[#This Row],[orden]]="","",tblOrdenes[[#This Row],[costo_servicio]]+tblOrdenes[[#This Row],[costo_materiales]])</f>
        <v/>
      </c>
      <c r="AI684" s="6" t="n"/>
      <c r="AJ684" s="6" t="n"/>
      <c r="AK684" s="6" t="n"/>
      <c r="AL684" s="3">
        <f>IF(tblOrdenes[[#This Row],[link_checklist]]="","",HYPERLINK(p_ruta_base_checklists&amp;tblOrdenes[[#This Row],[link_checklist]],"abrir"))</f>
        <v/>
      </c>
      <c r="AM684" s="6" t="n"/>
      <c r="AN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Row],[tipo_ot]]="","",_xlfn.XLOOKUP(tblOrdenes[[#This Row],[tipo_ot]],tblTiposOT[codigo],tblTiposOT[clasificacion],"sin_clasificar"))</f>
        <v/>
      </c>
      <c r="T685" s="3">
        <f>IF(tblOrdenes[[#This Row],[centro_costo]]="","",_xlfn.XLOOKUP(tblOrdenes[[#This Row],[centro_costo]],tblCECO[codigo],tblCECO[linea],"(sin catálogo)"))</f>
        <v/>
      </c>
      <c r="U685" s="3">
        <f>IF(tblOrdenes[[#This Row],[centro_costo]]="","",_xlfn.XLOOKUP(tblOrdenes[[#This Row],[centro_costo]],tblCECO[codigo],tblCECO[area],"(sin catálogo)"))</f>
        <v/>
      </c>
      <c r="V685" s="3">
        <f>IF(tblOrdenes[[#This Row],[centro_costo]]="","",_xlfn.XLOOKUP(tblOrdenes[[#This Row],[centro_costo]],tblCECO[codigo],tblCECO[coordinador],"(sin catálogo)"))</f>
        <v/>
      </c>
      <c r="W685" s="3">
        <f>IF(tblOrdenes[[#This Row],[puesto_trabajo]]="","",_xlfn.XLOOKUP(tblOrdenes[[#This Row],[puesto_trabajo]],tblPuestos[codigo],tblPuestos[especialidad],"(sin catálogo)"))</f>
        <v/>
      </c>
      <c r="X685" s="3">
        <f>IF(tblOrdenes[[#This Row],[cod_actividad]]="","",_xlfn.XLOOKUP(tblOrdenes[[#This Row],[cod_actividad]],tblActividades[codigo],tblActividades[descripcion],"(sin catálogo)"))</f>
        <v/>
      </c>
      <c r="Y685" s="12">
        <f>IF(tblOrdenes[[#This Row],[fecha_inicio]]="","",TODAY()-tblOrdenes[[#This Row],[fecha_inicio]])</f>
        <v/>
      </c>
      <c r="Z685" s="3">
        <f>IF(tblOrdenes[[#This Row],[backlog_dias]]="","",IF(tblOrdenes[[#This Row],[backlog_dias]]&lt;0,"FUTURO",IF(tblOrdenes[[#This Row],[backlog_dias]]&gt;p_dias_backlog_max,"BACKLOG","MES CORRIENTE")))</f>
        <v/>
      </c>
      <c r="AA685" s="3">
        <f>IF(tblOrdenes[[#This Row],[backlog_dias]]="",FALSE,AND(tblOrdenes[[#This Row],[backlog_dias]]&gt;p_dias_backlog_min,tblOrdenes[[#This Row],[backlog_dias]]&lt;=p_dias_backlog_max))</f>
        <v/>
      </c>
      <c r="AB685" s="6" t="n"/>
      <c r="AC6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5" s="10">
        <f>IF(tblOrdenes[[#This Row],[orden]]="","",_xlfn.XLOOKUP(tblOrdenes[[#This Row],[id_operacion]],tblEjecucion[id_operacion],tblEjecucion[precio],0))</f>
        <v/>
      </c>
      <c r="AG685" s="10">
        <f>IF(tblOrdenes[[#This Row],[orden]]="","",MAX(0,_xlfn.XLOOKUP(tblOrdenes[[#This Row],[id_operacion]],tblEjecucion[id_operacion],tblEjecucion[costo_plan_total],0)-tblOrdenes[[#This Row],[costo_servicio]]))</f>
        <v/>
      </c>
      <c r="AH685" s="10">
        <f>IF(tblOrdenes[[#This Row],[orden]]="","",tblOrdenes[[#This Row],[costo_servicio]]+tblOrdenes[[#This Row],[costo_materiales]])</f>
        <v/>
      </c>
      <c r="AI685" s="6" t="n"/>
      <c r="AJ685" s="6" t="n"/>
      <c r="AK685" s="6" t="n"/>
      <c r="AL685" s="3">
        <f>IF(tblOrdenes[[#This Row],[link_checklist]]="","",HYPERLINK(p_ruta_base_checklists&amp;tblOrdenes[[#This Row],[link_checklist]],"abrir"))</f>
        <v/>
      </c>
      <c r="AM685" s="6" t="n"/>
      <c r="AN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Row],[tipo_ot]]="","",_xlfn.XLOOKUP(tblOrdenes[[#This Row],[tipo_ot]],tblTiposOT[codigo],tblTiposOT[clasificacion],"sin_clasificar"))</f>
        <v/>
      </c>
      <c r="T686" s="3">
        <f>IF(tblOrdenes[[#This Row],[centro_costo]]="","",_xlfn.XLOOKUP(tblOrdenes[[#This Row],[centro_costo]],tblCECO[codigo],tblCECO[linea],"(sin catálogo)"))</f>
        <v/>
      </c>
      <c r="U686" s="3">
        <f>IF(tblOrdenes[[#This Row],[centro_costo]]="","",_xlfn.XLOOKUP(tblOrdenes[[#This Row],[centro_costo]],tblCECO[codigo],tblCECO[area],"(sin catálogo)"))</f>
        <v/>
      </c>
      <c r="V686" s="3">
        <f>IF(tblOrdenes[[#This Row],[centro_costo]]="","",_xlfn.XLOOKUP(tblOrdenes[[#This Row],[centro_costo]],tblCECO[codigo],tblCECO[coordinador],"(sin catálogo)"))</f>
        <v/>
      </c>
      <c r="W686" s="3">
        <f>IF(tblOrdenes[[#This Row],[puesto_trabajo]]="","",_xlfn.XLOOKUP(tblOrdenes[[#This Row],[puesto_trabajo]],tblPuestos[codigo],tblPuestos[especialidad],"(sin catálogo)"))</f>
        <v/>
      </c>
      <c r="X686" s="3">
        <f>IF(tblOrdenes[[#This Row],[cod_actividad]]="","",_xlfn.XLOOKUP(tblOrdenes[[#This Row],[cod_actividad]],tblActividades[codigo],tblActividades[descripcion],"(sin catálogo)"))</f>
        <v/>
      </c>
      <c r="Y686" s="12">
        <f>IF(tblOrdenes[[#This Row],[fecha_inicio]]="","",TODAY()-tblOrdenes[[#This Row],[fecha_inicio]])</f>
        <v/>
      </c>
      <c r="Z686" s="3">
        <f>IF(tblOrdenes[[#This Row],[backlog_dias]]="","",IF(tblOrdenes[[#This Row],[backlog_dias]]&lt;0,"FUTURO",IF(tblOrdenes[[#This Row],[backlog_dias]]&gt;p_dias_backlog_max,"BACKLOG","MES CORRIENTE")))</f>
        <v/>
      </c>
      <c r="AA686" s="3">
        <f>IF(tblOrdenes[[#This Row],[backlog_dias]]="",FALSE,AND(tblOrdenes[[#This Row],[backlog_dias]]&gt;p_dias_backlog_min,tblOrdenes[[#This Row],[backlog_dias]]&lt;=p_dias_backlog_max))</f>
        <v/>
      </c>
      <c r="AB686" s="6" t="n"/>
      <c r="AC6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6" s="10">
        <f>IF(tblOrdenes[[#This Row],[orden]]="","",_xlfn.XLOOKUP(tblOrdenes[[#This Row],[id_operacion]],tblEjecucion[id_operacion],tblEjecucion[precio],0))</f>
        <v/>
      </c>
      <c r="AG686" s="10">
        <f>IF(tblOrdenes[[#This Row],[orden]]="","",MAX(0,_xlfn.XLOOKUP(tblOrdenes[[#This Row],[id_operacion]],tblEjecucion[id_operacion],tblEjecucion[costo_plan_total],0)-tblOrdenes[[#This Row],[costo_servicio]]))</f>
        <v/>
      </c>
      <c r="AH686" s="10">
        <f>IF(tblOrdenes[[#This Row],[orden]]="","",tblOrdenes[[#This Row],[costo_servicio]]+tblOrdenes[[#This Row],[costo_materiales]])</f>
        <v/>
      </c>
      <c r="AI686" s="6" t="n"/>
      <c r="AJ686" s="6" t="n"/>
      <c r="AK686" s="6" t="n"/>
      <c r="AL686" s="3">
        <f>IF(tblOrdenes[[#This Row],[link_checklist]]="","",HYPERLINK(p_ruta_base_checklists&amp;tblOrdenes[[#This Row],[link_checklist]],"abrir"))</f>
        <v/>
      </c>
      <c r="AM686" s="6" t="n"/>
      <c r="AN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Row],[tipo_ot]]="","",_xlfn.XLOOKUP(tblOrdenes[[#This Row],[tipo_ot]],tblTiposOT[codigo],tblTiposOT[clasificacion],"sin_clasificar"))</f>
        <v/>
      </c>
      <c r="T687" s="3">
        <f>IF(tblOrdenes[[#This Row],[centro_costo]]="","",_xlfn.XLOOKUP(tblOrdenes[[#This Row],[centro_costo]],tblCECO[codigo],tblCECO[linea],"(sin catálogo)"))</f>
        <v/>
      </c>
      <c r="U687" s="3">
        <f>IF(tblOrdenes[[#This Row],[centro_costo]]="","",_xlfn.XLOOKUP(tblOrdenes[[#This Row],[centro_costo]],tblCECO[codigo],tblCECO[area],"(sin catálogo)"))</f>
        <v/>
      </c>
      <c r="V687" s="3">
        <f>IF(tblOrdenes[[#This Row],[centro_costo]]="","",_xlfn.XLOOKUP(tblOrdenes[[#This Row],[centro_costo]],tblCECO[codigo],tblCECO[coordinador],"(sin catálogo)"))</f>
        <v/>
      </c>
      <c r="W687" s="3">
        <f>IF(tblOrdenes[[#This Row],[puesto_trabajo]]="","",_xlfn.XLOOKUP(tblOrdenes[[#This Row],[puesto_trabajo]],tblPuestos[codigo],tblPuestos[especialidad],"(sin catálogo)"))</f>
        <v/>
      </c>
      <c r="X687" s="3">
        <f>IF(tblOrdenes[[#This Row],[cod_actividad]]="","",_xlfn.XLOOKUP(tblOrdenes[[#This Row],[cod_actividad]],tblActividades[codigo],tblActividades[descripcion],"(sin catálogo)"))</f>
        <v/>
      </c>
      <c r="Y687" s="12">
        <f>IF(tblOrdenes[[#This Row],[fecha_inicio]]="","",TODAY()-tblOrdenes[[#This Row],[fecha_inicio]])</f>
        <v/>
      </c>
      <c r="Z687" s="3">
        <f>IF(tblOrdenes[[#This Row],[backlog_dias]]="","",IF(tblOrdenes[[#This Row],[backlog_dias]]&lt;0,"FUTURO",IF(tblOrdenes[[#This Row],[backlog_dias]]&gt;p_dias_backlog_max,"BACKLOG","MES CORRIENTE")))</f>
        <v/>
      </c>
      <c r="AA687" s="3">
        <f>IF(tblOrdenes[[#This Row],[backlog_dias]]="",FALSE,AND(tblOrdenes[[#This Row],[backlog_dias]]&gt;p_dias_backlog_min,tblOrdenes[[#This Row],[backlog_dias]]&lt;=p_dias_backlog_max))</f>
        <v/>
      </c>
      <c r="AB687" s="6" t="n"/>
      <c r="AC6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7" s="10">
        <f>IF(tblOrdenes[[#This Row],[orden]]="","",_xlfn.XLOOKUP(tblOrdenes[[#This Row],[id_operacion]],tblEjecucion[id_operacion],tblEjecucion[precio],0))</f>
        <v/>
      </c>
      <c r="AG687" s="10">
        <f>IF(tblOrdenes[[#This Row],[orden]]="","",MAX(0,_xlfn.XLOOKUP(tblOrdenes[[#This Row],[id_operacion]],tblEjecucion[id_operacion],tblEjecucion[costo_plan_total],0)-tblOrdenes[[#This Row],[costo_servicio]]))</f>
        <v/>
      </c>
      <c r="AH687" s="10">
        <f>IF(tblOrdenes[[#This Row],[orden]]="","",tblOrdenes[[#This Row],[costo_servicio]]+tblOrdenes[[#This Row],[costo_materiales]])</f>
        <v/>
      </c>
      <c r="AI687" s="6" t="n"/>
      <c r="AJ687" s="6" t="n"/>
      <c r="AK687" s="6" t="n"/>
      <c r="AL687" s="3">
        <f>IF(tblOrdenes[[#This Row],[link_checklist]]="","",HYPERLINK(p_ruta_base_checklists&amp;tblOrdenes[[#This Row],[link_checklist]],"abrir"))</f>
        <v/>
      </c>
      <c r="AM687" s="6" t="n"/>
      <c r="AN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Row],[tipo_ot]]="","",_xlfn.XLOOKUP(tblOrdenes[[#This Row],[tipo_ot]],tblTiposOT[codigo],tblTiposOT[clasificacion],"sin_clasificar"))</f>
        <v/>
      </c>
      <c r="T688" s="3">
        <f>IF(tblOrdenes[[#This Row],[centro_costo]]="","",_xlfn.XLOOKUP(tblOrdenes[[#This Row],[centro_costo]],tblCECO[codigo],tblCECO[linea],"(sin catálogo)"))</f>
        <v/>
      </c>
      <c r="U688" s="3">
        <f>IF(tblOrdenes[[#This Row],[centro_costo]]="","",_xlfn.XLOOKUP(tblOrdenes[[#This Row],[centro_costo]],tblCECO[codigo],tblCECO[area],"(sin catálogo)"))</f>
        <v/>
      </c>
      <c r="V688" s="3">
        <f>IF(tblOrdenes[[#This Row],[centro_costo]]="","",_xlfn.XLOOKUP(tblOrdenes[[#This Row],[centro_costo]],tblCECO[codigo],tblCECO[coordinador],"(sin catálogo)"))</f>
        <v/>
      </c>
      <c r="W688" s="3">
        <f>IF(tblOrdenes[[#This Row],[puesto_trabajo]]="","",_xlfn.XLOOKUP(tblOrdenes[[#This Row],[puesto_trabajo]],tblPuestos[codigo],tblPuestos[especialidad],"(sin catálogo)"))</f>
        <v/>
      </c>
      <c r="X688" s="3">
        <f>IF(tblOrdenes[[#This Row],[cod_actividad]]="","",_xlfn.XLOOKUP(tblOrdenes[[#This Row],[cod_actividad]],tblActividades[codigo],tblActividades[descripcion],"(sin catálogo)"))</f>
        <v/>
      </c>
      <c r="Y688" s="12">
        <f>IF(tblOrdenes[[#This Row],[fecha_inicio]]="","",TODAY()-tblOrdenes[[#This Row],[fecha_inicio]])</f>
        <v/>
      </c>
      <c r="Z688" s="3">
        <f>IF(tblOrdenes[[#This Row],[backlog_dias]]="","",IF(tblOrdenes[[#This Row],[backlog_dias]]&lt;0,"FUTURO",IF(tblOrdenes[[#This Row],[backlog_dias]]&gt;p_dias_backlog_max,"BACKLOG","MES CORRIENTE")))</f>
        <v/>
      </c>
      <c r="AA688" s="3">
        <f>IF(tblOrdenes[[#This Row],[backlog_dias]]="",FALSE,AND(tblOrdenes[[#This Row],[backlog_dias]]&gt;p_dias_backlog_min,tblOrdenes[[#This Row],[backlog_dias]]&lt;=p_dias_backlog_max))</f>
        <v/>
      </c>
      <c r="AB688" s="6" t="n"/>
      <c r="AC6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8" s="10">
        <f>IF(tblOrdenes[[#This Row],[orden]]="","",_xlfn.XLOOKUP(tblOrdenes[[#This Row],[id_operacion]],tblEjecucion[id_operacion],tblEjecucion[precio],0))</f>
        <v/>
      </c>
      <c r="AG688" s="10">
        <f>IF(tblOrdenes[[#This Row],[orden]]="","",MAX(0,_xlfn.XLOOKUP(tblOrdenes[[#This Row],[id_operacion]],tblEjecucion[id_operacion],tblEjecucion[costo_plan_total],0)-tblOrdenes[[#This Row],[costo_servicio]]))</f>
        <v/>
      </c>
      <c r="AH688" s="10">
        <f>IF(tblOrdenes[[#This Row],[orden]]="","",tblOrdenes[[#This Row],[costo_servicio]]+tblOrdenes[[#This Row],[costo_materiales]])</f>
        <v/>
      </c>
      <c r="AI688" s="6" t="n"/>
      <c r="AJ688" s="6" t="n"/>
      <c r="AK688" s="6" t="n"/>
      <c r="AL688" s="3">
        <f>IF(tblOrdenes[[#This Row],[link_checklist]]="","",HYPERLINK(p_ruta_base_checklists&amp;tblOrdenes[[#This Row],[link_checklist]],"abrir"))</f>
        <v/>
      </c>
      <c r="AM688" s="6" t="n"/>
      <c r="AN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Row],[tipo_ot]]="","",_xlfn.XLOOKUP(tblOrdenes[[#This Row],[tipo_ot]],tblTiposOT[codigo],tblTiposOT[clasificacion],"sin_clasificar"))</f>
        <v/>
      </c>
      <c r="T689" s="3">
        <f>IF(tblOrdenes[[#This Row],[centro_costo]]="","",_xlfn.XLOOKUP(tblOrdenes[[#This Row],[centro_costo]],tblCECO[codigo],tblCECO[linea],"(sin catálogo)"))</f>
        <v/>
      </c>
      <c r="U689" s="3">
        <f>IF(tblOrdenes[[#This Row],[centro_costo]]="","",_xlfn.XLOOKUP(tblOrdenes[[#This Row],[centro_costo]],tblCECO[codigo],tblCECO[area],"(sin catálogo)"))</f>
        <v/>
      </c>
      <c r="V689" s="3">
        <f>IF(tblOrdenes[[#This Row],[centro_costo]]="","",_xlfn.XLOOKUP(tblOrdenes[[#This Row],[centro_costo]],tblCECO[codigo],tblCECO[coordinador],"(sin catálogo)"))</f>
        <v/>
      </c>
      <c r="W689" s="3">
        <f>IF(tblOrdenes[[#This Row],[puesto_trabajo]]="","",_xlfn.XLOOKUP(tblOrdenes[[#This Row],[puesto_trabajo]],tblPuestos[codigo],tblPuestos[especialidad],"(sin catálogo)"))</f>
        <v/>
      </c>
      <c r="X689" s="3">
        <f>IF(tblOrdenes[[#This Row],[cod_actividad]]="","",_xlfn.XLOOKUP(tblOrdenes[[#This Row],[cod_actividad]],tblActividades[codigo],tblActividades[descripcion],"(sin catálogo)"))</f>
        <v/>
      </c>
      <c r="Y689" s="12">
        <f>IF(tblOrdenes[[#This Row],[fecha_inicio]]="","",TODAY()-tblOrdenes[[#This Row],[fecha_inicio]])</f>
        <v/>
      </c>
      <c r="Z689" s="3">
        <f>IF(tblOrdenes[[#This Row],[backlog_dias]]="","",IF(tblOrdenes[[#This Row],[backlog_dias]]&lt;0,"FUTURO",IF(tblOrdenes[[#This Row],[backlog_dias]]&gt;p_dias_backlog_max,"BACKLOG","MES CORRIENTE")))</f>
        <v/>
      </c>
      <c r="AA689" s="3">
        <f>IF(tblOrdenes[[#This Row],[backlog_dias]]="",FALSE,AND(tblOrdenes[[#This Row],[backlog_dias]]&gt;p_dias_backlog_min,tblOrdenes[[#This Row],[backlog_dias]]&lt;=p_dias_backlog_max))</f>
        <v/>
      </c>
      <c r="AB689" s="6" t="n"/>
      <c r="AC6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9" s="10">
        <f>IF(tblOrdenes[[#This Row],[orden]]="","",_xlfn.XLOOKUP(tblOrdenes[[#This Row],[id_operacion]],tblEjecucion[id_operacion],tblEjecucion[precio],0))</f>
        <v/>
      </c>
      <c r="AG689" s="10">
        <f>IF(tblOrdenes[[#This Row],[orden]]="","",MAX(0,_xlfn.XLOOKUP(tblOrdenes[[#This Row],[id_operacion]],tblEjecucion[id_operacion],tblEjecucion[costo_plan_total],0)-tblOrdenes[[#This Row],[costo_servicio]]))</f>
        <v/>
      </c>
      <c r="AH689" s="10">
        <f>IF(tblOrdenes[[#This Row],[orden]]="","",tblOrdenes[[#This Row],[costo_servicio]]+tblOrdenes[[#This Row],[costo_materiales]])</f>
        <v/>
      </c>
      <c r="AI689" s="6" t="n"/>
      <c r="AJ689" s="6" t="n"/>
      <c r="AK689" s="6" t="n"/>
      <c r="AL689" s="3">
        <f>IF(tblOrdenes[[#This Row],[link_checklist]]="","",HYPERLINK(p_ruta_base_checklists&amp;tblOrdenes[[#This Row],[link_checklist]],"abrir"))</f>
        <v/>
      </c>
      <c r="AM689" s="6" t="n"/>
      <c r="AN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Row],[tipo_ot]]="","",_xlfn.XLOOKUP(tblOrdenes[[#This Row],[tipo_ot]],tblTiposOT[codigo],tblTiposOT[clasificacion],"sin_clasificar"))</f>
        <v/>
      </c>
      <c r="T690" s="3">
        <f>IF(tblOrdenes[[#This Row],[centro_costo]]="","",_xlfn.XLOOKUP(tblOrdenes[[#This Row],[centro_costo]],tblCECO[codigo],tblCECO[linea],"(sin catálogo)"))</f>
        <v/>
      </c>
      <c r="U690" s="3">
        <f>IF(tblOrdenes[[#This Row],[centro_costo]]="","",_xlfn.XLOOKUP(tblOrdenes[[#This Row],[centro_costo]],tblCECO[codigo],tblCECO[area],"(sin catálogo)"))</f>
        <v/>
      </c>
      <c r="V690" s="3">
        <f>IF(tblOrdenes[[#This Row],[centro_costo]]="","",_xlfn.XLOOKUP(tblOrdenes[[#This Row],[centro_costo]],tblCECO[codigo],tblCECO[coordinador],"(sin catálogo)"))</f>
        <v/>
      </c>
      <c r="W690" s="3">
        <f>IF(tblOrdenes[[#This Row],[puesto_trabajo]]="","",_xlfn.XLOOKUP(tblOrdenes[[#This Row],[puesto_trabajo]],tblPuestos[codigo],tblPuestos[especialidad],"(sin catálogo)"))</f>
        <v/>
      </c>
      <c r="X690" s="3">
        <f>IF(tblOrdenes[[#This Row],[cod_actividad]]="","",_xlfn.XLOOKUP(tblOrdenes[[#This Row],[cod_actividad]],tblActividades[codigo],tblActividades[descripcion],"(sin catálogo)"))</f>
        <v/>
      </c>
      <c r="Y690" s="12">
        <f>IF(tblOrdenes[[#This Row],[fecha_inicio]]="","",TODAY()-tblOrdenes[[#This Row],[fecha_inicio]])</f>
        <v/>
      </c>
      <c r="Z690" s="3">
        <f>IF(tblOrdenes[[#This Row],[backlog_dias]]="","",IF(tblOrdenes[[#This Row],[backlog_dias]]&lt;0,"FUTURO",IF(tblOrdenes[[#This Row],[backlog_dias]]&gt;p_dias_backlog_max,"BACKLOG","MES CORRIENTE")))</f>
        <v/>
      </c>
      <c r="AA690" s="3">
        <f>IF(tblOrdenes[[#This Row],[backlog_dias]]="",FALSE,AND(tblOrdenes[[#This Row],[backlog_dias]]&gt;p_dias_backlog_min,tblOrdenes[[#This Row],[backlog_dias]]&lt;=p_dias_backlog_max))</f>
        <v/>
      </c>
      <c r="AB690" s="6" t="n"/>
      <c r="AC6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0" s="10">
        <f>IF(tblOrdenes[[#This Row],[orden]]="","",_xlfn.XLOOKUP(tblOrdenes[[#This Row],[id_operacion]],tblEjecucion[id_operacion],tblEjecucion[precio],0))</f>
        <v/>
      </c>
      <c r="AG690" s="10">
        <f>IF(tblOrdenes[[#This Row],[orden]]="","",MAX(0,_xlfn.XLOOKUP(tblOrdenes[[#This Row],[id_operacion]],tblEjecucion[id_operacion],tblEjecucion[costo_plan_total],0)-tblOrdenes[[#This Row],[costo_servicio]]))</f>
        <v/>
      </c>
      <c r="AH690" s="10">
        <f>IF(tblOrdenes[[#This Row],[orden]]="","",tblOrdenes[[#This Row],[costo_servicio]]+tblOrdenes[[#This Row],[costo_materiales]])</f>
        <v/>
      </c>
      <c r="AI690" s="6" t="n"/>
      <c r="AJ690" s="6" t="n"/>
      <c r="AK690" s="6" t="n"/>
      <c r="AL690" s="3">
        <f>IF(tblOrdenes[[#This Row],[link_checklist]]="","",HYPERLINK(p_ruta_base_checklists&amp;tblOrdenes[[#This Row],[link_checklist]],"abrir"))</f>
        <v/>
      </c>
      <c r="AM690" s="6" t="n"/>
      <c r="AN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Row],[tipo_ot]]="","",_xlfn.XLOOKUP(tblOrdenes[[#This Row],[tipo_ot]],tblTiposOT[codigo],tblTiposOT[clasificacion],"sin_clasificar"))</f>
        <v/>
      </c>
      <c r="T691" s="3">
        <f>IF(tblOrdenes[[#This Row],[centro_costo]]="","",_xlfn.XLOOKUP(tblOrdenes[[#This Row],[centro_costo]],tblCECO[codigo],tblCECO[linea],"(sin catálogo)"))</f>
        <v/>
      </c>
      <c r="U691" s="3">
        <f>IF(tblOrdenes[[#This Row],[centro_costo]]="","",_xlfn.XLOOKUP(tblOrdenes[[#This Row],[centro_costo]],tblCECO[codigo],tblCECO[area],"(sin catálogo)"))</f>
        <v/>
      </c>
      <c r="V691" s="3">
        <f>IF(tblOrdenes[[#This Row],[centro_costo]]="","",_xlfn.XLOOKUP(tblOrdenes[[#This Row],[centro_costo]],tblCECO[codigo],tblCECO[coordinador],"(sin catálogo)"))</f>
        <v/>
      </c>
      <c r="W691" s="3">
        <f>IF(tblOrdenes[[#This Row],[puesto_trabajo]]="","",_xlfn.XLOOKUP(tblOrdenes[[#This Row],[puesto_trabajo]],tblPuestos[codigo],tblPuestos[especialidad],"(sin catálogo)"))</f>
        <v/>
      </c>
      <c r="X691" s="3">
        <f>IF(tblOrdenes[[#This Row],[cod_actividad]]="","",_xlfn.XLOOKUP(tblOrdenes[[#This Row],[cod_actividad]],tblActividades[codigo],tblActividades[descripcion],"(sin catálogo)"))</f>
        <v/>
      </c>
      <c r="Y691" s="12">
        <f>IF(tblOrdenes[[#This Row],[fecha_inicio]]="","",TODAY()-tblOrdenes[[#This Row],[fecha_inicio]])</f>
        <v/>
      </c>
      <c r="Z691" s="3">
        <f>IF(tblOrdenes[[#This Row],[backlog_dias]]="","",IF(tblOrdenes[[#This Row],[backlog_dias]]&lt;0,"FUTURO",IF(tblOrdenes[[#This Row],[backlog_dias]]&gt;p_dias_backlog_max,"BACKLOG","MES CORRIENTE")))</f>
        <v/>
      </c>
      <c r="AA691" s="3">
        <f>IF(tblOrdenes[[#This Row],[backlog_dias]]="",FALSE,AND(tblOrdenes[[#This Row],[backlog_dias]]&gt;p_dias_backlog_min,tblOrdenes[[#This Row],[backlog_dias]]&lt;=p_dias_backlog_max))</f>
        <v/>
      </c>
      <c r="AB691" s="6" t="n"/>
      <c r="AC6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1" s="10">
        <f>IF(tblOrdenes[[#This Row],[orden]]="","",_xlfn.XLOOKUP(tblOrdenes[[#This Row],[id_operacion]],tblEjecucion[id_operacion],tblEjecucion[precio],0))</f>
        <v/>
      </c>
      <c r="AG691" s="10">
        <f>IF(tblOrdenes[[#This Row],[orden]]="","",MAX(0,_xlfn.XLOOKUP(tblOrdenes[[#This Row],[id_operacion]],tblEjecucion[id_operacion],tblEjecucion[costo_plan_total],0)-tblOrdenes[[#This Row],[costo_servicio]]))</f>
        <v/>
      </c>
      <c r="AH691" s="10">
        <f>IF(tblOrdenes[[#This Row],[orden]]="","",tblOrdenes[[#This Row],[costo_servicio]]+tblOrdenes[[#This Row],[costo_materiales]])</f>
        <v/>
      </c>
      <c r="AI691" s="6" t="n"/>
      <c r="AJ691" s="6" t="n"/>
      <c r="AK691" s="6" t="n"/>
      <c r="AL691" s="3">
        <f>IF(tblOrdenes[[#This Row],[link_checklist]]="","",HYPERLINK(p_ruta_base_checklists&amp;tblOrdenes[[#This Row],[link_checklist]],"abrir"))</f>
        <v/>
      </c>
      <c r="AM691" s="6" t="n"/>
      <c r="AN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Row],[tipo_ot]]="","",_xlfn.XLOOKUP(tblOrdenes[[#This Row],[tipo_ot]],tblTiposOT[codigo],tblTiposOT[clasificacion],"sin_clasificar"))</f>
        <v/>
      </c>
      <c r="T692" s="3">
        <f>IF(tblOrdenes[[#This Row],[centro_costo]]="","",_xlfn.XLOOKUP(tblOrdenes[[#This Row],[centro_costo]],tblCECO[codigo],tblCECO[linea],"(sin catálogo)"))</f>
        <v/>
      </c>
      <c r="U692" s="3">
        <f>IF(tblOrdenes[[#This Row],[centro_costo]]="","",_xlfn.XLOOKUP(tblOrdenes[[#This Row],[centro_costo]],tblCECO[codigo],tblCECO[area],"(sin catálogo)"))</f>
        <v/>
      </c>
      <c r="V692" s="3">
        <f>IF(tblOrdenes[[#This Row],[centro_costo]]="","",_xlfn.XLOOKUP(tblOrdenes[[#This Row],[centro_costo]],tblCECO[codigo],tblCECO[coordinador],"(sin catálogo)"))</f>
        <v/>
      </c>
      <c r="W692" s="3">
        <f>IF(tblOrdenes[[#This Row],[puesto_trabajo]]="","",_xlfn.XLOOKUP(tblOrdenes[[#This Row],[puesto_trabajo]],tblPuestos[codigo],tblPuestos[especialidad],"(sin catálogo)"))</f>
        <v/>
      </c>
      <c r="X692" s="3">
        <f>IF(tblOrdenes[[#This Row],[cod_actividad]]="","",_xlfn.XLOOKUP(tblOrdenes[[#This Row],[cod_actividad]],tblActividades[codigo],tblActividades[descripcion],"(sin catálogo)"))</f>
        <v/>
      </c>
      <c r="Y692" s="12">
        <f>IF(tblOrdenes[[#This Row],[fecha_inicio]]="","",TODAY()-tblOrdenes[[#This Row],[fecha_inicio]])</f>
        <v/>
      </c>
      <c r="Z692" s="3">
        <f>IF(tblOrdenes[[#This Row],[backlog_dias]]="","",IF(tblOrdenes[[#This Row],[backlog_dias]]&lt;0,"FUTURO",IF(tblOrdenes[[#This Row],[backlog_dias]]&gt;p_dias_backlog_max,"BACKLOG","MES CORRIENTE")))</f>
        <v/>
      </c>
      <c r="AA692" s="3">
        <f>IF(tblOrdenes[[#This Row],[backlog_dias]]="",FALSE,AND(tblOrdenes[[#This Row],[backlog_dias]]&gt;p_dias_backlog_min,tblOrdenes[[#This Row],[backlog_dias]]&lt;=p_dias_backlog_max))</f>
        <v/>
      </c>
      <c r="AB692" s="6" t="n"/>
      <c r="AC6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2" s="10">
        <f>IF(tblOrdenes[[#This Row],[orden]]="","",_xlfn.XLOOKUP(tblOrdenes[[#This Row],[id_operacion]],tblEjecucion[id_operacion],tblEjecucion[precio],0))</f>
        <v/>
      </c>
      <c r="AG692" s="10">
        <f>IF(tblOrdenes[[#This Row],[orden]]="","",MAX(0,_xlfn.XLOOKUP(tblOrdenes[[#This Row],[id_operacion]],tblEjecucion[id_operacion],tblEjecucion[costo_plan_total],0)-tblOrdenes[[#This Row],[costo_servicio]]))</f>
        <v/>
      </c>
      <c r="AH692" s="10">
        <f>IF(tblOrdenes[[#This Row],[orden]]="","",tblOrdenes[[#This Row],[costo_servicio]]+tblOrdenes[[#This Row],[costo_materiales]])</f>
        <v/>
      </c>
      <c r="AI692" s="6" t="n"/>
      <c r="AJ692" s="6" t="n"/>
      <c r="AK692" s="6" t="n"/>
      <c r="AL692" s="3">
        <f>IF(tblOrdenes[[#This Row],[link_checklist]]="","",HYPERLINK(p_ruta_base_checklists&amp;tblOrdenes[[#This Row],[link_checklist]],"abrir"))</f>
        <v/>
      </c>
      <c r="AM692" s="6" t="n"/>
      <c r="AN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Row],[tipo_ot]]="","",_xlfn.XLOOKUP(tblOrdenes[[#This Row],[tipo_ot]],tblTiposOT[codigo],tblTiposOT[clasificacion],"sin_clasificar"))</f>
        <v/>
      </c>
      <c r="T693" s="3">
        <f>IF(tblOrdenes[[#This Row],[centro_costo]]="","",_xlfn.XLOOKUP(tblOrdenes[[#This Row],[centro_costo]],tblCECO[codigo],tblCECO[linea],"(sin catálogo)"))</f>
        <v/>
      </c>
      <c r="U693" s="3">
        <f>IF(tblOrdenes[[#This Row],[centro_costo]]="","",_xlfn.XLOOKUP(tblOrdenes[[#This Row],[centro_costo]],tblCECO[codigo],tblCECO[area],"(sin catálogo)"))</f>
        <v/>
      </c>
      <c r="V693" s="3">
        <f>IF(tblOrdenes[[#This Row],[centro_costo]]="","",_xlfn.XLOOKUP(tblOrdenes[[#This Row],[centro_costo]],tblCECO[codigo],tblCECO[coordinador],"(sin catálogo)"))</f>
        <v/>
      </c>
      <c r="W693" s="3">
        <f>IF(tblOrdenes[[#This Row],[puesto_trabajo]]="","",_xlfn.XLOOKUP(tblOrdenes[[#This Row],[puesto_trabajo]],tblPuestos[codigo],tblPuestos[especialidad],"(sin catálogo)"))</f>
        <v/>
      </c>
      <c r="X693" s="3">
        <f>IF(tblOrdenes[[#This Row],[cod_actividad]]="","",_xlfn.XLOOKUP(tblOrdenes[[#This Row],[cod_actividad]],tblActividades[codigo],tblActividades[descripcion],"(sin catálogo)"))</f>
        <v/>
      </c>
      <c r="Y693" s="12">
        <f>IF(tblOrdenes[[#This Row],[fecha_inicio]]="","",TODAY()-tblOrdenes[[#This Row],[fecha_inicio]])</f>
        <v/>
      </c>
      <c r="Z693" s="3">
        <f>IF(tblOrdenes[[#This Row],[backlog_dias]]="","",IF(tblOrdenes[[#This Row],[backlog_dias]]&lt;0,"FUTURO",IF(tblOrdenes[[#This Row],[backlog_dias]]&gt;p_dias_backlog_max,"BACKLOG","MES CORRIENTE")))</f>
        <v/>
      </c>
      <c r="AA693" s="3">
        <f>IF(tblOrdenes[[#This Row],[backlog_dias]]="",FALSE,AND(tblOrdenes[[#This Row],[backlog_dias]]&gt;p_dias_backlog_min,tblOrdenes[[#This Row],[backlog_dias]]&lt;=p_dias_backlog_max))</f>
        <v/>
      </c>
      <c r="AB693" s="6" t="n"/>
      <c r="AC6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3" s="10">
        <f>IF(tblOrdenes[[#This Row],[orden]]="","",_xlfn.XLOOKUP(tblOrdenes[[#This Row],[id_operacion]],tblEjecucion[id_operacion],tblEjecucion[precio],0))</f>
        <v/>
      </c>
      <c r="AG693" s="10">
        <f>IF(tblOrdenes[[#This Row],[orden]]="","",MAX(0,_xlfn.XLOOKUP(tblOrdenes[[#This Row],[id_operacion]],tblEjecucion[id_operacion],tblEjecucion[costo_plan_total],0)-tblOrdenes[[#This Row],[costo_servicio]]))</f>
        <v/>
      </c>
      <c r="AH693" s="10">
        <f>IF(tblOrdenes[[#This Row],[orden]]="","",tblOrdenes[[#This Row],[costo_servicio]]+tblOrdenes[[#This Row],[costo_materiales]])</f>
        <v/>
      </c>
      <c r="AI693" s="6" t="n"/>
      <c r="AJ693" s="6" t="n"/>
      <c r="AK693" s="6" t="n"/>
      <c r="AL693" s="3">
        <f>IF(tblOrdenes[[#This Row],[link_checklist]]="","",HYPERLINK(p_ruta_base_checklists&amp;tblOrdenes[[#This Row],[link_checklist]],"abrir"))</f>
        <v/>
      </c>
      <c r="AM693" s="6" t="n"/>
      <c r="AN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Row],[tipo_ot]]="","",_xlfn.XLOOKUP(tblOrdenes[[#This Row],[tipo_ot]],tblTiposOT[codigo],tblTiposOT[clasificacion],"sin_clasificar"))</f>
        <v/>
      </c>
      <c r="T694" s="3">
        <f>IF(tblOrdenes[[#This Row],[centro_costo]]="","",_xlfn.XLOOKUP(tblOrdenes[[#This Row],[centro_costo]],tblCECO[codigo],tblCECO[linea],"(sin catálogo)"))</f>
        <v/>
      </c>
      <c r="U694" s="3">
        <f>IF(tblOrdenes[[#This Row],[centro_costo]]="","",_xlfn.XLOOKUP(tblOrdenes[[#This Row],[centro_costo]],tblCECO[codigo],tblCECO[area],"(sin catálogo)"))</f>
        <v/>
      </c>
      <c r="V694" s="3">
        <f>IF(tblOrdenes[[#This Row],[centro_costo]]="","",_xlfn.XLOOKUP(tblOrdenes[[#This Row],[centro_costo]],tblCECO[codigo],tblCECO[coordinador],"(sin catálogo)"))</f>
        <v/>
      </c>
      <c r="W694" s="3">
        <f>IF(tblOrdenes[[#This Row],[puesto_trabajo]]="","",_xlfn.XLOOKUP(tblOrdenes[[#This Row],[puesto_trabajo]],tblPuestos[codigo],tblPuestos[especialidad],"(sin catálogo)"))</f>
        <v/>
      </c>
      <c r="X694" s="3">
        <f>IF(tblOrdenes[[#This Row],[cod_actividad]]="","",_xlfn.XLOOKUP(tblOrdenes[[#This Row],[cod_actividad]],tblActividades[codigo],tblActividades[descripcion],"(sin catálogo)"))</f>
        <v/>
      </c>
      <c r="Y694" s="12">
        <f>IF(tblOrdenes[[#This Row],[fecha_inicio]]="","",TODAY()-tblOrdenes[[#This Row],[fecha_inicio]])</f>
        <v/>
      </c>
      <c r="Z694" s="3">
        <f>IF(tblOrdenes[[#This Row],[backlog_dias]]="","",IF(tblOrdenes[[#This Row],[backlog_dias]]&lt;0,"FUTURO",IF(tblOrdenes[[#This Row],[backlog_dias]]&gt;p_dias_backlog_max,"BACKLOG","MES CORRIENTE")))</f>
        <v/>
      </c>
      <c r="AA694" s="3">
        <f>IF(tblOrdenes[[#This Row],[backlog_dias]]="",FALSE,AND(tblOrdenes[[#This Row],[backlog_dias]]&gt;p_dias_backlog_min,tblOrdenes[[#This Row],[backlog_dias]]&lt;=p_dias_backlog_max))</f>
        <v/>
      </c>
      <c r="AB694" s="6" t="n"/>
      <c r="AC6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4" s="10">
        <f>IF(tblOrdenes[[#This Row],[orden]]="","",_xlfn.XLOOKUP(tblOrdenes[[#This Row],[id_operacion]],tblEjecucion[id_operacion],tblEjecucion[precio],0))</f>
        <v/>
      </c>
      <c r="AG694" s="10">
        <f>IF(tblOrdenes[[#This Row],[orden]]="","",MAX(0,_xlfn.XLOOKUP(tblOrdenes[[#This Row],[id_operacion]],tblEjecucion[id_operacion],tblEjecucion[costo_plan_total],0)-tblOrdenes[[#This Row],[costo_servicio]]))</f>
        <v/>
      </c>
      <c r="AH694" s="10">
        <f>IF(tblOrdenes[[#This Row],[orden]]="","",tblOrdenes[[#This Row],[costo_servicio]]+tblOrdenes[[#This Row],[costo_materiales]])</f>
        <v/>
      </c>
      <c r="AI694" s="6" t="n"/>
      <c r="AJ694" s="6" t="n"/>
      <c r="AK694" s="6" t="n"/>
      <c r="AL694" s="3">
        <f>IF(tblOrdenes[[#This Row],[link_checklist]]="","",HYPERLINK(p_ruta_base_checklists&amp;tblOrdenes[[#This Row],[link_checklist]],"abrir"))</f>
        <v/>
      </c>
      <c r="AM694" s="6" t="n"/>
      <c r="AN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Row],[tipo_ot]]="","",_xlfn.XLOOKUP(tblOrdenes[[#This Row],[tipo_ot]],tblTiposOT[codigo],tblTiposOT[clasificacion],"sin_clasificar"))</f>
        <v/>
      </c>
      <c r="T695" s="3">
        <f>IF(tblOrdenes[[#This Row],[centro_costo]]="","",_xlfn.XLOOKUP(tblOrdenes[[#This Row],[centro_costo]],tblCECO[codigo],tblCECO[linea],"(sin catálogo)"))</f>
        <v/>
      </c>
      <c r="U695" s="3">
        <f>IF(tblOrdenes[[#This Row],[centro_costo]]="","",_xlfn.XLOOKUP(tblOrdenes[[#This Row],[centro_costo]],tblCECO[codigo],tblCECO[area],"(sin catálogo)"))</f>
        <v/>
      </c>
      <c r="V695" s="3">
        <f>IF(tblOrdenes[[#This Row],[centro_costo]]="","",_xlfn.XLOOKUP(tblOrdenes[[#This Row],[centro_costo]],tblCECO[codigo],tblCECO[coordinador],"(sin catálogo)"))</f>
        <v/>
      </c>
      <c r="W695" s="3">
        <f>IF(tblOrdenes[[#This Row],[puesto_trabajo]]="","",_xlfn.XLOOKUP(tblOrdenes[[#This Row],[puesto_trabajo]],tblPuestos[codigo],tblPuestos[especialidad],"(sin catálogo)"))</f>
        <v/>
      </c>
      <c r="X695" s="3">
        <f>IF(tblOrdenes[[#This Row],[cod_actividad]]="","",_xlfn.XLOOKUP(tblOrdenes[[#This Row],[cod_actividad]],tblActividades[codigo],tblActividades[descripcion],"(sin catálogo)"))</f>
        <v/>
      </c>
      <c r="Y695" s="12">
        <f>IF(tblOrdenes[[#This Row],[fecha_inicio]]="","",TODAY()-tblOrdenes[[#This Row],[fecha_inicio]])</f>
        <v/>
      </c>
      <c r="Z695" s="3">
        <f>IF(tblOrdenes[[#This Row],[backlog_dias]]="","",IF(tblOrdenes[[#This Row],[backlog_dias]]&lt;0,"FUTURO",IF(tblOrdenes[[#This Row],[backlog_dias]]&gt;p_dias_backlog_max,"BACKLOG","MES CORRIENTE")))</f>
        <v/>
      </c>
      <c r="AA695" s="3">
        <f>IF(tblOrdenes[[#This Row],[backlog_dias]]="",FALSE,AND(tblOrdenes[[#This Row],[backlog_dias]]&gt;p_dias_backlog_min,tblOrdenes[[#This Row],[backlog_dias]]&lt;=p_dias_backlog_max))</f>
        <v/>
      </c>
      <c r="AB695" s="6" t="n"/>
      <c r="AC6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5" s="10">
        <f>IF(tblOrdenes[[#This Row],[orden]]="","",_xlfn.XLOOKUP(tblOrdenes[[#This Row],[id_operacion]],tblEjecucion[id_operacion],tblEjecucion[precio],0))</f>
        <v/>
      </c>
      <c r="AG695" s="10">
        <f>IF(tblOrdenes[[#This Row],[orden]]="","",MAX(0,_xlfn.XLOOKUP(tblOrdenes[[#This Row],[id_operacion]],tblEjecucion[id_operacion],tblEjecucion[costo_plan_total],0)-tblOrdenes[[#This Row],[costo_servicio]]))</f>
        <v/>
      </c>
      <c r="AH695" s="10">
        <f>IF(tblOrdenes[[#This Row],[orden]]="","",tblOrdenes[[#This Row],[costo_servicio]]+tblOrdenes[[#This Row],[costo_materiales]])</f>
        <v/>
      </c>
      <c r="AI695" s="6" t="n"/>
      <c r="AJ695" s="6" t="n"/>
      <c r="AK695" s="6" t="n"/>
      <c r="AL695" s="3">
        <f>IF(tblOrdenes[[#This Row],[link_checklist]]="","",HYPERLINK(p_ruta_base_checklists&amp;tblOrdenes[[#This Row],[link_checklist]],"abrir"))</f>
        <v/>
      </c>
      <c r="AM695" s="6" t="n"/>
      <c r="AN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Row],[tipo_ot]]="","",_xlfn.XLOOKUP(tblOrdenes[[#This Row],[tipo_ot]],tblTiposOT[codigo],tblTiposOT[clasificacion],"sin_clasificar"))</f>
        <v/>
      </c>
      <c r="T696" s="3">
        <f>IF(tblOrdenes[[#This Row],[centro_costo]]="","",_xlfn.XLOOKUP(tblOrdenes[[#This Row],[centro_costo]],tblCECO[codigo],tblCECO[linea],"(sin catálogo)"))</f>
        <v/>
      </c>
      <c r="U696" s="3">
        <f>IF(tblOrdenes[[#This Row],[centro_costo]]="","",_xlfn.XLOOKUP(tblOrdenes[[#This Row],[centro_costo]],tblCECO[codigo],tblCECO[area],"(sin catálogo)"))</f>
        <v/>
      </c>
      <c r="V696" s="3">
        <f>IF(tblOrdenes[[#This Row],[centro_costo]]="","",_xlfn.XLOOKUP(tblOrdenes[[#This Row],[centro_costo]],tblCECO[codigo],tblCECO[coordinador],"(sin catálogo)"))</f>
        <v/>
      </c>
      <c r="W696" s="3">
        <f>IF(tblOrdenes[[#This Row],[puesto_trabajo]]="","",_xlfn.XLOOKUP(tblOrdenes[[#This Row],[puesto_trabajo]],tblPuestos[codigo],tblPuestos[especialidad],"(sin catálogo)"))</f>
        <v/>
      </c>
      <c r="X696" s="3">
        <f>IF(tblOrdenes[[#This Row],[cod_actividad]]="","",_xlfn.XLOOKUP(tblOrdenes[[#This Row],[cod_actividad]],tblActividades[codigo],tblActividades[descripcion],"(sin catálogo)"))</f>
        <v/>
      </c>
      <c r="Y696" s="12">
        <f>IF(tblOrdenes[[#This Row],[fecha_inicio]]="","",TODAY()-tblOrdenes[[#This Row],[fecha_inicio]])</f>
        <v/>
      </c>
      <c r="Z696" s="3">
        <f>IF(tblOrdenes[[#This Row],[backlog_dias]]="","",IF(tblOrdenes[[#This Row],[backlog_dias]]&lt;0,"FUTURO",IF(tblOrdenes[[#This Row],[backlog_dias]]&gt;p_dias_backlog_max,"BACKLOG","MES CORRIENTE")))</f>
        <v/>
      </c>
      <c r="AA696" s="3">
        <f>IF(tblOrdenes[[#This Row],[backlog_dias]]="",FALSE,AND(tblOrdenes[[#This Row],[backlog_dias]]&gt;p_dias_backlog_min,tblOrdenes[[#This Row],[backlog_dias]]&lt;=p_dias_backlog_max))</f>
        <v/>
      </c>
      <c r="AB696" s="6" t="n"/>
      <c r="AC6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6" s="10">
        <f>IF(tblOrdenes[[#This Row],[orden]]="","",_xlfn.XLOOKUP(tblOrdenes[[#This Row],[id_operacion]],tblEjecucion[id_operacion],tblEjecucion[precio],0))</f>
        <v/>
      </c>
      <c r="AG696" s="10">
        <f>IF(tblOrdenes[[#This Row],[orden]]="","",MAX(0,_xlfn.XLOOKUP(tblOrdenes[[#This Row],[id_operacion]],tblEjecucion[id_operacion],tblEjecucion[costo_plan_total],0)-tblOrdenes[[#This Row],[costo_servicio]]))</f>
        <v/>
      </c>
      <c r="AH696" s="10">
        <f>IF(tblOrdenes[[#This Row],[orden]]="","",tblOrdenes[[#This Row],[costo_servicio]]+tblOrdenes[[#This Row],[costo_materiales]])</f>
        <v/>
      </c>
      <c r="AI696" s="6" t="n"/>
      <c r="AJ696" s="6" t="n"/>
      <c r="AK696" s="6" t="n"/>
      <c r="AL696" s="3">
        <f>IF(tblOrdenes[[#This Row],[link_checklist]]="","",HYPERLINK(p_ruta_base_checklists&amp;tblOrdenes[[#This Row],[link_checklist]],"abrir"))</f>
        <v/>
      </c>
      <c r="AM696" s="6" t="n"/>
      <c r="AN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Row],[tipo_ot]]="","",_xlfn.XLOOKUP(tblOrdenes[[#This Row],[tipo_ot]],tblTiposOT[codigo],tblTiposOT[clasificacion],"sin_clasificar"))</f>
        <v/>
      </c>
      <c r="T697" s="3">
        <f>IF(tblOrdenes[[#This Row],[centro_costo]]="","",_xlfn.XLOOKUP(tblOrdenes[[#This Row],[centro_costo]],tblCECO[codigo],tblCECO[linea],"(sin catálogo)"))</f>
        <v/>
      </c>
      <c r="U697" s="3">
        <f>IF(tblOrdenes[[#This Row],[centro_costo]]="","",_xlfn.XLOOKUP(tblOrdenes[[#This Row],[centro_costo]],tblCECO[codigo],tblCECO[area],"(sin catálogo)"))</f>
        <v/>
      </c>
      <c r="V697" s="3">
        <f>IF(tblOrdenes[[#This Row],[centro_costo]]="","",_xlfn.XLOOKUP(tblOrdenes[[#This Row],[centro_costo]],tblCECO[codigo],tblCECO[coordinador],"(sin catálogo)"))</f>
        <v/>
      </c>
      <c r="W697" s="3">
        <f>IF(tblOrdenes[[#This Row],[puesto_trabajo]]="","",_xlfn.XLOOKUP(tblOrdenes[[#This Row],[puesto_trabajo]],tblPuestos[codigo],tblPuestos[especialidad],"(sin catálogo)"))</f>
        <v/>
      </c>
      <c r="X697" s="3">
        <f>IF(tblOrdenes[[#This Row],[cod_actividad]]="","",_xlfn.XLOOKUP(tblOrdenes[[#This Row],[cod_actividad]],tblActividades[codigo],tblActividades[descripcion],"(sin catálogo)"))</f>
        <v/>
      </c>
      <c r="Y697" s="12">
        <f>IF(tblOrdenes[[#This Row],[fecha_inicio]]="","",TODAY()-tblOrdenes[[#This Row],[fecha_inicio]])</f>
        <v/>
      </c>
      <c r="Z697" s="3">
        <f>IF(tblOrdenes[[#This Row],[backlog_dias]]="","",IF(tblOrdenes[[#This Row],[backlog_dias]]&lt;0,"FUTURO",IF(tblOrdenes[[#This Row],[backlog_dias]]&gt;p_dias_backlog_max,"BACKLOG","MES CORRIENTE")))</f>
        <v/>
      </c>
      <c r="AA697" s="3">
        <f>IF(tblOrdenes[[#This Row],[backlog_dias]]="",FALSE,AND(tblOrdenes[[#This Row],[backlog_dias]]&gt;p_dias_backlog_min,tblOrdenes[[#This Row],[backlog_dias]]&lt;=p_dias_backlog_max))</f>
        <v/>
      </c>
      <c r="AB697" s="6" t="n"/>
      <c r="AC6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7" s="10">
        <f>IF(tblOrdenes[[#This Row],[orden]]="","",_xlfn.XLOOKUP(tblOrdenes[[#This Row],[id_operacion]],tblEjecucion[id_operacion],tblEjecucion[precio],0))</f>
        <v/>
      </c>
      <c r="AG697" s="10">
        <f>IF(tblOrdenes[[#This Row],[orden]]="","",MAX(0,_xlfn.XLOOKUP(tblOrdenes[[#This Row],[id_operacion]],tblEjecucion[id_operacion],tblEjecucion[costo_plan_total],0)-tblOrdenes[[#This Row],[costo_servicio]]))</f>
        <v/>
      </c>
      <c r="AH697" s="10">
        <f>IF(tblOrdenes[[#This Row],[orden]]="","",tblOrdenes[[#This Row],[costo_servicio]]+tblOrdenes[[#This Row],[costo_materiales]])</f>
        <v/>
      </c>
      <c r="AI697" s="6" t="n"/>
      <c r="AJ697" s="6" t="n"/>
      <c r="AK697" s="6" t="n"/>
      <c r="AL697" s="3">
        <f>IF(tblOrdenes[[#This Row],[link_checklist]]="","",HYPERLINK(p_ruta_base_checklists&amp;tblOrdenes[[#This Row],[link_checklist]],"abrir"))</f>
        <v/>
      </c>
      <c r="AM697" s="6" t="n"/>
      <c r="AN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Row],[tipo_ot]]="","",_xlfn.XLOOKUP(tblOrdenes[[#This Row],[tipo_ot]],tblTiposOT[codigo],tblTiposOT[clasificacion],"sin_clasificar"))</f>
        <v/>
      </c>
      <c r="T698" s="3">
        <f>IF(tblOrdenes[[#This Row],[centro_costo]]="","",_xlfn.XLOOKUP(tblOrdenes[[#This Row],[centro_costo]],tblCECO[codigo],tblCECO[linea],"(sin catálogo)"))</f>
        <v/>
      </c>
      <c r="U698" s="3">
        <f>IF(tblOrdenes[[#This Row],[centro_costo]]="","",_xlfn.XLOOKUP(tblOrdenes[[#This Row],[centro_costo]],tblCECO[codigo],tblCECO[area],"(sin catálogo)"))</f>
        <v/>
      </c>
      <c r="V698" s="3">
        <f>IF(tblOrdenes[[#This Row],[centro_costo]]="","",_xlfn.XLOOKUP(tblOrdenes[[#This Row],[centro_costo]],tblCECO[codigo],tblCECO[coordinador],"(sin catálogo)"))</f>
        <v/>
      </c>
      <c r="W698" s="3">
        <f>IF(tblOrdenes[[#This Row],[puesto_trabajo]]="","",_xlfn.XLOOKUP(tblOrdenes[[#This Row],[puesto_trabajo]],tblPuestos[codigo],tblPuestos[especialidad],"(sin catálogo)"))</f>
        <v/>
      </c>
      <c r="X698" s="3">
        <f>IF(tblOrdenes[[#This Row],[cod_actividad]]="","",_xlfn.XLOOKUP(tblOrdenes[[#This Row],[cod_actividad]],tblActividades[codigo],tblActividades[descripcion],"(sin catálogo)"))</f>
        <v/>
      </c>
      <c r="Y698" s="12">
        <f>IF(tblOrdenes[[#This Row],[fecha_inicio]]="","",TODAY()-tblOrdenes[[#This Row],[fecha_inicio]])</f>
        <v/>
      </c>
      <c r="Z698" s="3">
        <f>IF(tblOrdenes[[#This Row],[backlog_dias]]="","",IF(tblOrdenes[[#This Row],[backlog_dias]]&lt;0,"FUTURO",IF(tblOrdenes[[#This Row],[backlog_dias]]&gt;p_dias_backlog_max,"BACKLOG","MES CORRIENTE")))</f>
        <v/>
      </c>
      <c r="AA698" s="3">
        <f>IF(tblOrdenes[[#This Row],[backlog_dias]]="",FALSE,AND(tblOrdenes[[#This Row],[backlog_dias]]&gt;p_dias_backlog_min,tblOrdenes[[#This Row],[backlog_dias]]&lt;=p_dias_backlog_max))</f>
        <v/>
      </c>
      <c r="AB698" s="6" t="n"/>
      <c r="AC6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8" s="10">
        <f>IF(tblOrdenes[[#This Row],[orden]]="","",_xlfn.XLOOKUP(tblOrdenes[[#This Row],[id_operacion]],tblEjecucion[id_operacion],tblEjecucion[precio],0))</f>
        <v/>
      </c>
      <c r="AG698" s="10">
        <f>IF(tblOrdenes[[#This Row],[orden]]="","",MAX(0,_xlfn.XLOOKUP(tblOrdenes[[#This Row],[id_operacion]],tblEjecucion[id_operacion],tblEjecucion[costo_plan_total],0)-tblOrdenes[[#This Row],[costo_servicio]]))</f>
        <v/>
      </c>
      <c r="AH698" s="10">
        <f>IF(tblOrdenes[[#This Row],[orden]]="","",tblOrdenes[[#This Row],[costo_servicio]]+tblOrdenes[[#This Row],[costo_materiales]])</f>
        <v/>
      </c>
      <c r="AI698" s="6" t="n"/>
      <c r="AJ698" s="6" t="n"/>
      <c r="AK698" s="6" t="n"/>
      <c r="AL698" s="3">
        <f>IF(tblOrdenes[[#This Row],[link_checklist]]="","",HYPERLINK(p_ruta_base_checklists&amp;tblOrdenes[[#This Row],[link_checklist]],"abrir"))</f>
        <v/>
      </c>
      <c r="AM698" s="6" t="n"/>
      <c r="AN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Row],[tipo_ot]]="","",_xlfn.XLOOKUP(tblOrdenes[[#This Row],[tipo_ot]],tblTiposOT[codigo],tblTiposOT[clasificacion],"sin_clasificar"))</f>
        <v/>
      </c>
      <c r="T699" s="3">
        <f>IF(tblOrdenes[[#This Row],[centro_costo]]="","",_xlfn.XLOOKUP(tblOrdenes[[#This Row],[centro_costo]],tblCECO[codigo],tblCECO[linea],"(sin catálogo)"))</f>
        <v/>
      </c>
      <c r="U699" s="3">
        <f>IF(tblOrdenes[[#This Row],[centro_costo]]="","",_xlfn.XLOOKUP(tblOrdenes[[#This Row],[centro_costo]],tblCECO[codigo],tblCECO[area],"(sin catálogo)"))</f>
        <v/>
      </c>
      <c r="V699" s="3">
        <f>IF(tblOrdenes[[#This Row],[centro_costo]]="","",_xlfn.XLOOKUP(tblOrdenes[[#This Row],[centro_costo]],tblCECO[codigo],tblCECO[coordinador],"(sin catálogo)"))</f>
        <v/>
      </c>
      <c r="W699" s="3">
        <f>IF(tblOrdenes[[#This Row],[puesto_trabajo]]="","",_xlfn.XLOOKUP(tblOrdenes[[#This Row],[puesto_trabajo]],tblPuestos[codigo],tblPuestos[especialidad],"(sin catálogo)"))</f>
        <v/>
      </c>
      <c r="X699" s="3">
        <f>IF(tblOrdenes[[#This Row],[cod_actividad]]="","",_xlfn.XLOOKUP(tblOrdenes[[#This Row],[cod_actividad]],tblActividades[codigo],tblActividades[descripcion],"(sin catálogo)"))</f>
        <v/>
      </c>
      <c r="Y699" s="12">
        <f>IF(tblOrdenes[[#This Row],[fecha_inicio]]="","",TODAY()-tblOrdenes[[#This Row],[fecha_inicio]])</f>
        <v/>
      </c>
      <c r="Z699" s="3">
        <f>IF(tblOrdenes[[#This Row],[backlog_dias]]="","",IF(tblOrdenes[[#This Row],[backlog_dias]]&lt;0,"FUTURO",IF(tblOrdenes[[#This Row],[backlog_dias]]&gt;p_dias_backlog_max,"BACKLOG","MES CORRIENTE")))</f>
        <v/>
      </c>
      <c r="AA699" s="3">
        <f>IF(tblOrdenes[[#This Row],[backlog_dias]]="",FALSE,AND(tblOrdenes[[#This Row],[backlog_dias]]&gt;p_dias_backlog_min,tblOrdenes[[#This Row],[backlog_dias]]&lt;=p_dias_backlog_max))</f>
        <v/>
      </c>
      <c r="AB699" s="6" t="n"/>
      <c r="AC6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9" s="10">
        <f>IF(tblOrdenes[[#This Row],[orden]]="","",_xlfn.XLOOKUP(tblOrdenes[[#This Row],[id_operacion]],tblEjecucion[id_operacion],tblEjecucion[precio],0))</f>
        <v/>
      </c>
      <c r="AG699" s="10">
        <f>IF(tblOrdenes[[#This Row],[orden]]="","",MAX(0,_xlfn.XLOOKUP(tblOrdenes[[#This Row],[id_operacion]],tblEjecucion[id_operacion],tblEjecucion[costo_plan_total],0)-tblOrdenes[[#This Row],[costo_servicio]]))</f>
        <v/>
      </c>
      <c r="AH699" s="10">
        <f>IF(tblOrdenes[[#This Row],[orden]]="","",tblOrdenes[[#This Row],[costo_servicio]]+tblOrdenes[[#This Row],[costo_materiales]])</f>
        <v/>
      </c>
      <c r="AI699" s="6" t="n"/>
      <c r="AJ699" s="6" t="n"/>
      <c r="AK699" s="6" t="n"/>
      <c r="AL699" s="3">
        <f>IF(tblOrdenes[[#This Row],[link_checklist]]="","",HYPERLINK(p_ruta_base_checklists&amp;tblOrdenes[[#This Row],[link_checklist]],"abrir"))</f>
        <v/>
      </c>
      <c r="AM699" s="6" t="n"/>
      <c r="AN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Row],[tipo_ot]]="","",_xlfn.XLOOKUP(tblOrdenes[[#This Row],[tipo_ot]],tblTiposOT[codigo],tblTiposOT[clasificacion],"sin_clasificar"))</f>
        <v/>
      </c>
      <c r="T700" s="3">
        <f>IF(tblOrdenes[[#This Row],[centro_costo]]="","",_xlfn.XLOOKUP(tblOrdenes[[#This Row],[centro_costo]],tblCECO[codigo],tblCECO[linea],"(sin catálogo)"))</f>
        <v/>
      </c>
      <c r="U700" s="3">
        <f>IF(tblOrdenes[[#This Row],[centro_costo]]="","",_xlfn.XLOOKUP(tblOrdenes[[#This Row],[centro_costo]],tblCECO[codigo],tblCECO[area],"(sin catálogo)"))</f>
        <v/>
      </c>
      <c r="V700" s="3">
        <f>IF(tblOrdenes[[#This Row],[centro_costo]]="","",_xlfn.XLOOKUP(tblOrdenes[[#This Row],[centro_costo]],tblCECO[codigo],tblCECO[coordinador],"(sin catálogo)"))</f>
        <v/>
      </c>
      <c r="W700" s="3">
        <f>IF(tblOrdenes[[#This Row],[puesto_trabajo]]="","",_xlfn.XLOOKUP(tblOrdenes[[#This Row],[puesto_trabajo]],tblPuestos[codigo],tblPuestos[especialidad],"(sin catálogo)"))</f>
        <v/>
      </c>
      <c r="X700" s="3">
        <f>IF(tblOrdenes[[#This Row],[cod_actividad]]="","",_xlfn.XLOOKUP(tblOrdenes[[#This Row],[cod_actividad]],tblActividades[codigo],tblActividades[descripcion],"(sin catálogo)"))</f>
        <v/>
      </c>
      <c r="Y700" s="12">
        <f>IF(tblOrdenes[[#This Row],[fecha_inicio]]="","",TODAY()-tblOrdenes[[#This Row],[fecha_inicio]])</f>
        <v/>
      </c>
      <c r="Z700" s="3">
        <f>IF(tblOrdenes[[#This Row],[backlog_dias]]="","",IF(tblOrdenes[[#This Row],[backlog_dias]]&lt;0,"FUTURO",IF(tblOrdenes[[#This Row],[backlog_dias]]&gt;p_dias_backlog_max,"BACKLOG","MES CORRIENTE")))</f>
        <v/>
      </c>
      <c r="AA700" s="3">
        <f>IF(tblOrdenes[[#This Row],[backlog_dias]]="",FALSE,AND(tblOrdenes[[#This Row],[backlog_dias]]&gt;p_dias_backlog_min,tblOrdenes[[#This Row],[backlog_dias]]&lt;=p_dias_backlog_max))</f>
        <v/>
      </c>
      <c r="AB700" s="6" t="n"/>
      <c r="AC7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0" s="10">
        <f>IF(tblOrdenes[[#This Row],[orden]]="","",_xlfn.XLOOKUP(tblOrdenes[[#This Row],[id_operacion]],tblEjecucion[id_operacion],tblEjecucion[precio],0))</f>
        <v/>
      </c>
      <c r="AG700" s="10">
        <f>IF(tblOrdenes[[#This Row],[orden]]="","",MAX(0,_xlfn.XLOOKUP(tblOrdenes[[#This Row],[id_operacion]],tblEjecucion[id_operacion],tblEjecucion[costo_plan_total],0)-tblOrdenes[[#This Row],[costo_servicio]]))</f>
        <v/>
      </c>
      <c r="AH700" s="10">
        <f>IF(tblOrdenes[[#This Row],[orden]]="","",tblOrdenes[[#This Row],[costo_servicio]]+tblOrdenes[[#This Row],[costo_materiales]])</f>
        <v/>
      </c>
      <c r="AI700" s="6" t="n"/>
      <c r="AJ700" s="6" t="n"/>
      <c r="AK700" s="6" t="n"/>
      <c r="AL700" s="3">
        <f>IF(tblOrdenes[[#This Row],[link_checklist]]="","",HYPERLINK(p_ruta_base_checklists&amp;tblOrdenes[[#This Row],[link_checklist]],"abrir"))</f>
        <v/>
      </c>
      <c r="AM700" s="6" t="n"/>
      <c r="AN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Row],[tipo_ot]]="","",_xlfn.XLOOKUP(tblOrdenes[[#This Row],[tipo_ot]],tblTiposOT[codigo],tblTiposOT[clasificacion],"sin_clasificar"))</f>
        <v/>
      </c>
      <c r="T701" s="3">
        <f>IF(tblOrdenes[[#This Row],[centro_costo]]="","",_xlfn.XLOOKUP(tblOrdenes[[#This Row],[centro_costo]],tblCECO[codigo],tblCECO[linea],"(sin catálogo)"))</f>
        <v/>
      </c>
      <c r="U701" s="3">
        <f>IF(tblOrdenes[[#This Row],[centro_costo]]="","",_xlfn.XLOOKUP(tblOrdenes[[#This Row],[centro_costo]],tblCECO[codigo],tblCECO[area],"(sin catálogo)"))</f>
        <v/>
      </c>
      <c r="V701" s="3">
        <f>IF(tblOrdenes[[#This Row],[centro_costo]]="","",_xlfn.XLOOKUP(tblOrdenes[[#This Row],[centro_costo]],tblCECO[codigo],tblCECO[coordinador],"(sin catálogo)"))</f>
        <v/>
      </c>
      <c r="W701" s="3">
        <f>IF(tblOrdenes[[#This Row],[puesto_trabajo]]="","",_xlfn.XLOOKUP(tblOrdenes[[#This Row],[puesto_trabajo]],tblPuestos[codigo],tblPuestos[especialidad],"(sin catálogo)"))</f>
        <v/>
      </c>
      <c r="X701" s="3">
        <f>IF(tblOrdenes[[#This Row],[cod_actividad]]="","",_xlfn.XLOOKUP(tblOrdenes[[#This Row],[cod_actividad]],tblActividades[codigo],tblActividades[descripcion],"(sin catálogo)"))</f>
        <v/>
      </c>
      <c r="Y701" s="12">
        <f>IF(tblOrdenes[[#This Row],[fecha_inicio]]="","",TODAY()-tblOrdenes[[#This Row],[fecha_inicio]])</f>
        <v/>
      </c>
      <c r="Z701" s="3">
        <f>IF(tblOrdenes[[#This Row],[backlog_dias]]="","",IF(tblOrdenes[[#This Row],[backlog_dias]]&lt;0,"FUTURO",IF(tblOrdenes[[#This Row],[backlog_dias]]&gt;p_dias_backlog_max,"BACKLOG","MES CORRIENTE")))</f>
        <v/>
      </c>
      <c r="AA701" s="3">
        <f>IF(tblOrdenes[[#This Row],[backlog_dias]]="",FALSE,AND(tblOrdenes[[#This Row],[backlog_dias]]&gt;p_dias_backlog_min,tblOrdenes[[#This Row],[backlog_dias]]&lt;=p_dias_backlog_max))</f>
        <v/>
      </c>
      <c r="AB701" s="6" t="n"/>
      <c r="AC7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1" s="10">
        <f>IF(tblOrdenes[[#This Row],[orden]]="","",_xlfn.XLOOKUP(tblOrdenes[[#This Row],[id_operacion]],tblEjecucion[id_operacion],tblEjecucion[precio],0))</f>
        <v/>
      </c>
      <c r="AG701" s="10">
        <f>IF(tblOrdenes[[#This Row],[orden]]="","",MAX(0,_xlfn.XLOOKUP(tblOrdenes[[#This Row],[id_operacion]],tblEjecucion[id_operacion],tblEjecucion[costo_plan_total],0)-tblOrdenes[[#This Row],[costo_servicio]]))</f>
        <v/>
      </c>
      <c r="AH701" s="10">
        <f>IF(tblOrdenes[[#This Row],[orden]]="","",tblOrdenes[[#This Row],[costo_servicio]]+tblOrdenes[[#This Row],[costo_materiales]])</f>
        <v/>
      </c>
      <c r="AI701" s="6" t="n"/>
      <c r="AJ701" s="6" t="n"/>
      <c r="AK701" s="6" t="n"/>
      <c r="AL701" s="3">
        <f>IF(tblOrdenes[[#This Row],[link_checklist]]="","",HYPERLINK(p_ruta_base_checklists&amp;tblOrdenes[[#This Row],[link_checklist]],"abrir"))</f>
        <v/>
      </c>
      <c r="AM701" s="6" t="n"/>
      <c r="AN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Row],[tipo_ot]]="","",_xlfn.XLOOKUP(tblOrdenes[[#This Row],[tipo_ot]],tblTiposOT[codigo],tblTiposOT[clasificacion],"sin_clasificar"))</f>
        <v/>
      </c>
      <c r="T702" s="3">
        <f>IF(tblOrdenes[[#This Row],[centro_costo]]="","",_xlfn.XLOOKUP(tblOrdenes[[#This Row],[centro_costo]],tblCECO[codigo],tblCECO[linea],"(sin catálogo)"))</f>
        <v/>
      </c>
      <c r="U702" s="3">
        <f>IF(tblOrdenes[[#This Row],[centro_costo]]="","",_xlfn.XLOOKUP(tblOrdenes[[#This Row],[centro_costo]],tblCECO[codigo],tblCECO[area],"(sin catálogo)"))</f>
        <v/>
      </c>
      <c r="V702" s="3">
        <f>IF(tblOrdenes[[#This Row],[centro_costo]]="","",_xlfn.XLOOKUP(tblOrdenes[[#This Row],[centro_costo]],tblCECO[codigo],tblCECO[coordinador],"(sin catálogo)"))</f>
        <v/>
      </c>
      <c r="W702" s="3">
        <f>IF(tblOrdenes[[#This Row],[puesto_trabajo]]="","",_xlfn.XLOOKUP(tblOrdenes[[#This Row],[puesto_trabajo]],tblPuestos[codigo],tblPuestos[especialidad],"(sin catálogo)"))</f>
        <v/>
      </c>
      <c r="X702" s="3">
        <f>IF(tblOrdenes[[#This Row],[cod_actividad]]="","",_xlfn.XLOOKUP(tblOrdenes[[#This Row],[cod_actividad]],tblActividades[codigo],tblActividades[descripcion],"(sin catálogo)"))</f>
        <v/>
      </c>
      <c r="Y702" s="12">
        <f>IF(tblOrdenes[[#This Row],[fecha_inicio]]="","",TODAY()-tblOrdenes[[#This Row],[fecha_inicio]])</f>
        <v/>
      </c>
      <c r="Z702" s="3">
        <f>IF(tblOrdenes[[#This Row],[backlog_dias]]="","",IF(tblOrdenes[[#This Row],[backlog_dias]]&lt;0,"FUTURO",IF(tblOrdenes[[#This Row],[backlog_dias]]&gt;p_dias_backlog_max,"BACKLOG","MES CORRIENTE")))</f>
        <v/>
      </c>
      <c r="AA702" s="3">
        <f>IF(tblOrdenes[[#This Row],[backlog_dias]]="",FALSE,AND(tblOrdenes[[#This Row],[backlog_dias]]&gt;p_dias_backlog_min,tblOrdenes[[#This Row],[backlog_dias]]&lt;=p_dias_backlog_max))</f>
        <v/>
      </c>
      <c r="AB702" s="6" t="n"/>
      <c r="AC7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2" s="10">
        <f>IF(tblOrdenes[[#This Row],[orden]]="","",_xlfn.XLOOKUP(tblOrdenes[[#This Row],[id_operacion]],tblEjecucion[id_operacion],tblEjecucion[precio],0))</f>
        <v/>
      </c>
      <c r="AG702" s="10">
        <f>IF(tblOrdenes[[#This Row],[orden]]="","",MAX(0,_xlfn.XLOOKUP(tblOrdenes[[#This Row],[id_operacion]],tblEjecucion[id_operacion],tblEjecucion[costo_plan_total],0)-tblOrdenes[[#This Row],[costo_servicio]]))</f>
        <v/>
      </c>
      <c r="AH702" s="10">
        <f>IF(tblOrdenes[[#This Row],[orden]]="","",tblOrdenes[[#This Row],[costo_servicio]]+tblOrdenes[[#This Row],[costo_materiales]])</f>
        <v/>
      </c>
      <c r="AI702" s="6" t="n"/>
      <c r="AJ702" s="6" t="n"/>
      <c r="AK702" s="6" t="n"/>
      <c r="AL702" s="3">
        <f>IF(tblOrdenes[[#This Row],[link_checklist]]="","",HYPERLINK(p_ruta_base_checklists&amp;tblOrdenes[[#This Row],[link_checklist]],"abrir"))</f>
        <v/>
      </c>
      <c r="AM702" s="6" t="n"/>
      <c r="AN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Row],[tipo_ot]]="","",_xlfn.XLOOKUP(tblOrdenes[[#This Row],[tipo_ot]],tblTiposOT[codigo],tblTiposOT[clasificacion],"sin_clasificar"))</f>
        <v/>
      </c>
      <c r="T703" s="3">
        <f>IF(tblOrdenes[[#This Row],[centro_costo]]="","",_xlfn.XLOOKUP(tblOrdenes[[#This Row],[centro_costo]],tblCECO[codigo],tblCECO[linea],"(sin catálogo)"))</f>
        <v/>
      </c>
      <c r="U703" s="3">
        <f>IF(tblOrdenes[[#This Row],[centro_costo]]="","",_xlfn.XLOOKUP(tblOrdenes[[#This Row],[centro_costo]],tblCECO[codigo],tblCECO[area],"(sin catálogo)"))</f>
        <v/>
      </c>
      <c r="V703" s="3">
        <f>IF(tblOrdenes[[#This Row],[centro_costo]]="","",_xlfn.XLOOKUP(tblOrdenes[[#This Row],[centro_costo]],tblCECO[codigo],tblCECO[coordinador],"(sin catálogo)"))</f>
        <v/>
      </c>
      <c r="W703" s="3">
        <f>IF(tblOrdenes[[#This Row],[puesto_trabajo]]="","",_xlfn.XLOOKUP(tblOrdenes[[#This Row],[puesto_trabajo]],tblPuestos[codigo],tblPuestos[especialidad],"(sin catálogo)"))</f>
        <v/>
      </c>
      <c r="X703" s="3">
        <f>IF(tblOrdenes[[#This Row],[cod_actividad]]="","",_xlfn.XLOOKUP(tblOrdenes[[#This Row],[cod_actividad]],tblActividades[codigo],tblActividades[descripcion],"(sin catálogo)"))</f>
        <v/>
      </c>
      <c r="Y703" s="12">
        <f>IF(tblOrdenes[[#This Row],[fecha_inicio]]="","",TODAY()-tblOrdenes[[#This Row],[fecha_inicio]])</f>
        <v/>
      </c>
      <c r="Z703" s="3">
        <f>IF(tblOrdenes[[#This Row],[backlog_dias]]="","",IF(tblOrdenes[[#This Row],[backlog_dias]]&lt;0,"FUTURO",IF(tblOrdenes[[#This Row],[backlog_dias]]&gt;p_dias_backlog_max,"BACKLOG","MES CORRIENTE")))</f>
        <v/>
      </c>
      <c r="AA703" s="3">
        <f>IF(tblOrdenes[[#This Row],[backlog_dias]]="",FALSE,AND(tblOrdenes[[#This Row],[backlog_dias]]&gt;p_dias_backlog_min,tblOrdenes[[#This Row],[backlog_dias]]&lt;=p_dias_backlog_max))</f>
        <v/>
      </c>
      <c r="AB703" s="6" t="n"/>
      <c r="AC7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3" s="10">
        <f>IF(tblOrdenes[[#This Row],[orden]]="","",_xlfn.XLOOKUP(tblOrdenes[[#This Row],[id_operacion]],tblEjecucion[id_operacion],tblEjecucion[precio],0))</f>
        <v/>
      </c>
      <c r="AG703" s="10">
        <f>IF(tblOrdenes[[#This Row],[orden]]="","",MAX(0,_xlfn.XLOOKUP(tblOrdenes[[#This Row],[id_operacion]],tblEjecucion[id_operacion],tblEjecucion[costo_plan_total],0)-tblOrdenes[[#This Row],[costo_servicio]]))</f>
        <v/>
      </c>
      <c r="AH703" s="10">
        <f>IF(tblOrdenes[[#This Row],[orden]]="","",tblOrdenes[[#This Row],[costo_servicio]]+tblOrdenes[[#This Row],[costo_materiales]])</f>
        <v/>
      </c>
      <c r="AI703" s="6" t="n"/>
      <c r="AJ703" s="6" t="n"/>
      <c r="AK703" s="6" t="n"/>
      <c r="AL703" s="3">
        <f>IF(tblOrdenes[[#This Row],[link_checklist]]="","",HYPERLINK(p_ruta_base_checklists&amp;tblOrdenes[[#This Row],[link_checklist]],"abrir"))</f>
        <v/>
      </c>
      <c r="AM703" s="6" t="n"/>
      <c r="AN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Row],[tipo_ot]]="","",_xlfn.XLOOKUP(tblOrdenes[[#This Row],[tipo_ot]],tblTiposOT[codigo],tblTiposOT[clasificacion],"sin_clasificar"))</f>
        <v/>
      </c>
      <c r="T704" s="3">
        <f>IF(tblOrdenes[[#This Row],[centro_costo]]="","",_xlfn.XLOOKUP(tblOrdenes[[#This Row],[centro_costo]],tblCECO[codigo],tblCECO[linea],"(sin catálogo)"))</f>
        <v/>
      </c>
      <c r="U704" s="3">
        <f>IF(tblOrdenes[[#This Row],[centro_costo]]="","",_xlfn.XLOOKUP(tblOrdenes[[#This Row],[centro_costo]],tblCECO[codigo],tblCECO[area],"(sin catálogo)"))</f>
        <v/>
      </c>
      <c r="V704" s="3">
        <f>IF(tblOrdenes[[#This Row],[centro_costo]]="","",_xlfn.XLOOKUP(tblOrdenes[[#This Row],[centro_costo]],tblCECO[codigo],tblCECO[coordinador],"(sin catálogo)"))</f>
        <v/>
      </c>
      <c r="W704" s="3">
        <f>IF(tblOrdenes[[#This Row],[puesto_trabajo]]="","",_xlfn.XLOOKUP(tblOrdenes[[#This Row],[puesto_trabajo]],tblPuestos[codigo],tblPuestos[especialidad],"(sin catálogo)"))</f>
        <v/>
      </c>
      <c r="X704" s="3">
        <f>IF(tblOrdenes[[#This Row],[cod_actividad]]="","",_xlfn.XLOOKUP(tblOrdenes[[#This Row],[cod_actividad]],tblActividades[codigo],tblActividades[descripcion],"(sin catálogo)"))</f>
        <v/>
      </c>
      <c r="Y704" s="12">
        <f>IF(tblOrdenes[[#This Row],[fecha_inicio]]="","",TODAY()-tblOrdenes[[#This Row],[fecha_inicio]])</f>
        <v/>
      </c>
      <c r="Z704" s="3">
        <f>IF(tblOrdenes[[#This Row],[backlog_dias]]="","",IF(tblOrdenes[[#This Row],[backlog_dias]]&lt;0,"FUTURO",IF(tblOrdenes[[#This Row],[backlog_dias]]&gt;p_dias_backlog_max,"BACKLOG","MES CORRIENTE")))</f>
        <v/>
      </c>
      <c r="AA704" s="3">
        <f>IF(tblOrdenes[[#This Row],[backlog_dias]]="",FALSE,AND(tblOrdenes[[#This Row],[backlog_dias]]&gt;p_dias_backlog_min,tblOrdenes[[#This Row],[backlog_dias]]&lt;=p_dias_backlog_max))</f>
        <v/>
      </c>
      <c r="AB704" s="6" t="n"/>
      <c r="AC7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4" s="10">
        <f>IF(tblOrdenes[[#This Row],[orden]]="","",_xlfn.XLOOKUP(tblOrdenes[[#This Row],[id_operacion]],tblEjecucion[id_operacion],tblEjecucion[precio],0))</f>
        <v/>
      </c>
      <c r="AG704" s="10">
        <f>IF(tblOrdenes[[#This Row],[orden]]="","",MAX(0,_xlfn.XLOOKUP(tblOrdenes[[#This Row],[id_operacion]],tblEjecucion[id_operacion],tblEjecucion[costo_plan_total],0)-tblOrdenes[[#This Row],[costo_servicio]]))</f>
        <v/>
      </c>
      <c r="AH704" s="10">
        <f>IF(tblOrdenes[[#This Row],[orden]]="","",tblOrdenes[[#This Row],[costo_servicio]]+tblOrdenes[[#This Row],[costo_materiales]])</f>
        <v/>
      </c>
      <c r="AI704" s="6" t="n"/>
      <c r="AJ704" s="6" t="n"/>
      <c r="AK704" s="6" t="n"/>
      <c r="AL704" s="3">
        <f>IF(tblOrdenes[[#This Row],[link_checklist]]="","",HYPERLINK(p_ruta_base_checklists&amp;tblOrdenes[[#This Row],[link_checklist]],"abrir"))</f>
        <v/>
      </c>
      <c r="AM704" s="6" t="n"/>
      <c r="AN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Row],[tipo_ot]]="","",_xlfn.XLOOKUP(tblOrdenes[[#This Row],[tipo_ot]],tblTiposOT[codigo],tblTiposOT[clasificacion],"sin_clasificar"))</f>
        <v/>
      </c>
      <c r="T705" s="3">
        <f>IF(tblOrdenes[[#This Row],[centro_costo]]="","",_xlfn.XLOOKUP(tblOrdenes[[#This Row],[centro_costo]],tblCECO[codigo],tblCECO[linea],"(sin catálogo)"))</f>
        <v/>
      </c>
      <c r="U705" s="3">
        <f>IF(tblOrdenes[[#This Row],[centro_costo]]="","",_xlfn.XLOOKUP(tblOrdenes[[#This Row],[centro_costo]],tblCECO[codigo],tblCECO[area],"(sin catálogo)"))</f>
        <v/>
      </c>
      <c r="V705" s="3">
        <f>IF(tblOrdenes[[#This Row],[centro_costo]]="","",_xlfn.XLOOKUP(tblOrdenes[[#This Row],[centro_costo]],tblCECO[codigo],tblCECO[coordinador],"(sin catálogo)"))</f>
        <v/>
      </c>
      <c r="W705" s="3">
        <f>IF(tblOrdenes[[#This Row],[puesto_trabajo]]="","",_xlfn.XLOOKUP(tblOrdenes[[#This Row],[puesto_trabajo]],tblPuestos[codigo],tblPuestos[especialidad],"(sin catálogo)"))</f>
        <v/>
      </c>
      <c r="X705" s="3">
        <f>IF(tblOrdenes[[#This Row],[cod_actividad]]="","",_xlfn.XLOOKUP(tblOrdenes[[#This Row],[cod_actividad]],tblActividades[codigo],tblActividades[descripcion],"(sin catálogo)"))</f>
        <v/>
      </c>
      <c r="Y705" s="12">
        <f>IF(tblOrdenes[[#This Row],[fecha_inicio]]="","",TODAY()-tblOrdenes[[#This Row],[fecha_inicio]])</f>
        <v/>
      </c>
      <c r="Z705" s="3">
        <f>IF(tblOrdenes[[#This Row],[backlog_dias]]="","",IF(tblOrdenes[[#This Row],[backlog_dias]]&lt;0,"FUTURO",IF(tblOrdenes[[#This Row],[backlog_dias]]&gt;p_dias_backlog_max,"BACKLOG","MES CORRIENTE")))</f>
        <v/>
      </c>
      <c r="AA705" s="3">
        <f>IF(tblOrdenes[[#This Row],[backlog_dias]]="",FALSE,AND(tblOrdenes[[#This Row],[backlog_dias]]&gt;p_dias_backlog_min,tblOrdenes[[#This Row],[backlog_dias]]&lt;=p_dias_backlog_max))</f>
        <v/>
      </c>
      <c r="AB705" s="6" t="n"/>
      <c r="AC7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5" s="10">
        <f>IF(tblOrdenes[[#This Row],[orden]]="","",_xlfn.XLOOKUP(tblOrdenes[[#This Row],[id_operacion]],tblEjecucion[id_operacion],tblEjecucion[precio],0))</f>
        <v/>
      </c>
      <c r="AG705" s="10">
        <f>IF(tblOrdenes[[#This Row],[orden]]="","",MAX(0,_xlfn.XLOOKUP(tblOrdenes[[#This Row],[id_operacion]],tblEjecucion[id_operacion],tblEjecucion[costo_plan_total],0)-tblOrdenes[[#This Row],[costo_servicio]]))</f>
        <v/>
      </c>
      <c r="AH705" s="10">
        <f>IF(tblOrdenes[[#This Row],[orden]]="","",tblOrdenes[[#This Row],[costo_servicio]]+tblOrdenes[[#This Row],[costo_materiales]])</f>
        <v/>
      </c>
      <c r="AI705" s="6" t="n"/>
      <c r="AJ705" s="6" t="n"/>
      <c r="AK705" s="6" t="n"/>
      <c r="AL705" s="3">
        <f>IF(tblOrdenes[[#This Row],[link_checklist]]="","",HYPERLINK(p_ruta_base_checklists&amp;tblOrdenes[[#This Row],[link_checklist]],"abrir"))</f>
        <v/>
      </c>
      <c r="AM705" s="6" t="n"/>
      <c r="AN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Row],[tipo_ot]]="","",_xlfn.XLOOKUP(tblOrdenes[[#This Row],[tipo_ot]],tblTiposOT[codigo],tblTiposOT[clasificacion],"sin_clasificar"))</f>
        <v/>
      </c>
      <c r="T706" s="3">
        <f>IF(tblOrdenes[[#This Row],[centro_costo]]="","",_xlfn.XLOOKUP(tblOrdenes[[#This Row],[centro_costo]],tblCECO[codigo],tblCECO[linea],"(sin catálogo)"))</f>
        <v/>
      </c>
      <c r="U706" s="3">
        <f>IF(tblOrdenes[[#This Row],[centro_costo]]="","",_xlfn.XLOOKUP(tblOrdenes[[#This Row],[centro_costo]],tblCECO[codigo],tblCECO[area],"(sin catálogo)"))</f>
        <v/>
      </c>
      <c r="V706" s="3">
        <f>IF(tblOrdenes[[#This Row],[centro_costo]]="","",_xlfn.XLOOKUP(tblOrdenes[[#This Row],[centro_costo]],tblCECO[codigo],tblCECO[coordinador],"(sin catálogo)"))</f>
        <v/>
      </c>
      <c r="W706" s="3">
        <f>IF(tblOrdenes[[#This Row],[puesto_trabajo]]="","",_xlfn.XLOOKUP(tblOrdenes[[#This Row],[puesto_trabajo]],tblPuestos[codigo],tblPuestos[especialidad],"(sin catálogo)"))</f>
        <v/>
      </c>
      <c r="X706" s="3">
        <f>IF(tblOrdenes[[#This Row],[cod_actividad]]="","",_xlfn.XLOOKUP(tblOrdenes[[#This Row],[cod_actividad]],tblActividades[codigo],tblActividades[descripcion],"(sin catálogo)"))</f>
        <v/>
      </c>
      <c r="Y706" s="12">
        <f>IF(tblOrdenes[[#This Row],[fecha_inicio]]="","",TODAY()-tblOrdenes[[#This Row],[fecha_inicio]])</f>
        <v/>
      </c>
      <c r="Z706" s="3">
        <f>IF(tblOrdenes[[#This Row],[backlog_dias]]="","",IF(tblOrdenes[[#This Row],[backlog_dias]]&lt;0,"FUTURO",IF(tblOrdenes[[#This Row],[backlog_dias]]&gt;p_dias_backlog_max,"BACKLOG","MES CORRIENTE")))</f>
        <v/>
      </c>
      <c r="AA706" s="3">
        <f>IF(tblOrdenes[[#This Row],[backlog_dias]]="",FALSE,AND(tblOrdenes[[#This Row],[backlog_dias]]&gt;p_dias_backlog_min,tblOrdenes[[#This Row],[backlog_dias]]&lt;=p_dias_backlog_max))</f>
        <v/>
      </c>
      <c r="AB706" s="6" t="n"/>
      <c r="AC7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6" s="10">
        <f>IF(tblOrdenes[[#This Row],[orden]]="","",_xlfn.XLOOKUP(tblOrdenes[[#This Row],[id_operacion]],tblEjecucion[id_operacion],tblEjecucion[precio],0))</f>
        <v/>
      </c>
      <c r="AG706" s="10">
        <f>IF(tblOrdenes[[#This Row],[orden]]="","",MAX(0,_xlfn.XLOOKUP(tblOrdenes[[#This Row],[id_operacion]],tblEjecucion[id_operacion],tblEjecucion[costo_plan_total],0)-tblOrdenes[[#This Row],[costo_servicio]]))</f>
        <v/>
      </c>
      <c r="AH706" s="10">
        <f>IF(tblOrdenes[[#This Row],[orden]]="","",tblOrdenes[[#This Row],[costo_servicio]]+tblOrdenes[[#This Row],[costo_materiales]])</f>
        <v/>
      </c>
      <c r="AI706" s="6" t="n"/>
      <c r="AJ706" s="6" t="n"/>
      <c r="AK706" s="6" t="n"/>
      <c r="AL706" s="3">
        <f>IF(tblOrdenes[[#This Row],[link_checklist]]="","",HYPERLINK(p_ruta_base_checklists&amp;tblOrdenes[[#This Row],[link_checklist]],"abrir"))</f>
        <v/>
      </c>
      <c r="AM706" s="6" t="n"/>
      <c r="AN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Row],[tipo_ot]]="","",_xlfn.XLOOKUP(tblOrdenes[[#This Row],[tipo_ot]],tblTiposOT[codigo],tblTiposOT[clasificacion],"sin_clasificar"))</f>
        <v/>
      </c>
      <c r="T707" s="3">
        <f>IF(tblOrdenes[[#This Row],[centro_costo]]="","",_xlfn.XLOOKUP(tblOrdenes[[#This Row],[centro_costo]],tblCECO[codigo],tblCECO[linea],"(sin catálogo)"))</f>
        <v/>
      </c>
      <c r="U707" s="3">
        <f>IF(tblOrdenes[[#This Row],[centro_costo]]="","",_xlfn.XLOOKUP(tblOrdenes[[#This Row],[centro_costo]],tblCECO[codigo],tblCECO[area],"(sin catálogo)"))</f>
        <v/>
      </c>
      <c r="V707" s="3">
        <f>IF(tblOrdenes[[#This Row],[centro_costo]]="","",_xlfn.XLOOKUP(tblOrdenes[[#This Row],[centro_costo]],tblCECO[codigo],tblCECO[coordinador],"(sin catálogo)"))</f>
        <v/>
      </c>
      <c r="W707" s="3">
        <f>IF(tblOrdenes[[#This Row],[puesto_trabajo]]="","",_xlfn.XLOOKUP(tblOrdenes[[#This Row],[puesto_trabajo]],tblPuestos[codigo],tblPuestos[especialidad],"(sin catálogo)"))</f>
        <v/>
      </c>
      <c r="X707" s="3">
        <f>IF(tblOrdenes[[#This Row],[cod_actividad]]="","",_xlfn.XLOOKUP(tblOrdenes[[#This Row],[cod_actividad]],tblActividades[codigo],tblActividades[descripcion],"(sin catálogo)"))</f>
        <v/>
      </c>
      <c r="Y707" s="12">
        <f>IF(tblOrdenes[[#This Row],[fecha_inicio]]="","",TODAY()-tblOrdenes[[#This Row],[fecha_inicio]])</f>
        <v/>
      </c>
      <c r="Z707" s="3">
        <f>IF(tblOrdenes[[#This Row],[backlog_dias]]="","",IF(tblOrdenes[[#This Row],[backlog_dias]]&lt;0,"FUTURO",IF(tblOrdenes[[#This Row],[backlog_dias]]&gt;p_dias_backlog_max,"BACKLOG","MES CORRIENTE")))</f>
        <v/>
      </c>
      <c r="AA707" s="3">
        <f>IF(tblOrdenes[[#This Row],[backlog_dias]]="",FALSE,AND(tblOrdenes[[#This Row],[backlog_dias]]&gt;p_dias_backlog_min,tblOrdenes[[#This Row],[backlog_dias]]&lt;=p_dias_backlog_max))</f>
        <v/>
      </c>
      <c r="AB707" s="6" t="n"/>
      <c r="AC7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7" s="10">
        <f>IF(tblOrdenes[[#This Row],[orden]]="","",_xlfn.XLOOKUP(tblOrdenes[[#This Row],[id_operacion]],tblEjecucion[id_operacion],tblEjecucion[precio],0))</f>
        <v/>
      </c>
      <c r="AG707" s="10">
        <f>IF(tblOrdenes[[#This Row],[orden]]="","",MAX(0,_xlfn.XLOOKUP(tblOrdenes[[#This Row],[id_operacion]],tblEjecucion[id_operacion],tblEjecucion[costo_plan_total],0)-tblOrdenes[[#This Row],[costo_servicio]]))</f>
        <v/>
      </c>
      <c r="AH707" s="10">
        <f>IF(tblOrdenes[[#This Row],[orden]]="","",tblOrdenes[[#This Row],[costo_servicio]]+tblOrdenes[[#This Row],[costo_materiales]])</f>
        <v/>
      </c>
      <c r="AI707" s="6" t="n"/>
      <c r="AJ707" s="6" t="n"/>
      <c r="AK707" s="6" t="n"/>
      <c r="AL707" s="3">
        <f>IF(tblOrdenes[[#This Row],[link_checklist]]="","",HYPERLINK(p_ruta_base_checklists&amp;tblOrdenes[[#This Row],[link_checklist]],"abrir"))</f>
        <v/>
      </c>
      <c r="AM707" s="6" t="n"/>
      <c r="AN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Row],[tipo_ot]]="","",_xlfn.XLOOKUP(tblOrdenes[[#This Row],[tipo_ot]],tblTiposOT[codigo],tblTiposOT[clasificacion],"sin_clasificar"))</f>
        <v/>
      </c>
      <c r="T708" s="3">
        <f>IF(tblOrdenes[[#This Row],[centro_costo]]="","",_xlfn.XLOOKUP(tblOrdenes[[#This Row],[centro_costo]],tblCECO[codigo],tblCECO[linea],"(sin catálogo)"))</f>
        <v/>
      </c>
      <c r="U708" s="3">
        <f>IF(tblOrdenes[[#This Row],[centro_costo]]="","",_xlfn.XLOOKUP(tblOrdenes[[#This Row],[centro_costo]],tblCECO[codigo],tblCECO[area],"(sin catálogo)"))</f>
        <v/>
      </c>
      <c r="V708" s="3">
        <f>IF(tblOrdenes[[#This Row],[centro_costo]]="","",_xlfn.XLOOKUP(tblOrdenes[[#This Row],[centro_costo]],tblCECO[codigo],tblCECO[coordinador],"(sin catálogo)"))</f>
        <v/>
      </c>
      <c r="W708" s="3">
        <f>IF(tblOrdenes[[#This Row],[puesto_trabajo]]="","",_xlfn.XLOOKUP(tblOrdenes[[#This Row],[puesto_trabajo]],tblPuestos[codigo],tblPuestos[especialidad],"(sin catálogo)"))</f>
        <v/>
      </c>
      <c r="X708" s="3">
        <f>IF(tblOrdenes[[#This Row],[cod_actividad]]="","",_xlfn.XLOOKUP(tblOrdenes[[#This Row],[cod_actividad]],tblActividades[codigo],tblActividades[descripcion],"(sin catálogo)"))</f>
        <v/>
      </c>
      <c r="Y708" s="12">
        <f>IF(tblOrdenes[[#This Row],[fecha_inicio]]="","",TODAY()-tblOrdenes[[#This Row],[fecha_inicio]])</f>
        <v/>
      </c>
      <c r="Z708" s="3">
        <f>IF(tblOrdenes[[#This Row],[backlog_dias]]="","",IF(tblOrdenes[[#This Row],[backlog_dias]]&lt;0,"FUTURO",IF(tblOrdenes[[#This Row],[backlog_dias]]&gt;p_dias_backlog_max,"BACKLOG","MES CORRIENTE")))</f>
        <v/>
      </c>
      <c r="AA708" s="3">
        <f>IF(tblOrdenes[[#This Row],[backlog_dias]]="",FALSE,AND(tblOrdenes[[#This Row],[backlog_dias]]&gt;p_dias_backlog_min,tblOrdenes[[#This Row],[backlog_dias]]&lt;=p_dias_backlog_max))</f>
        <v/>
      </c>
      <c r="AB708" s="6" t="n"/>
      <c r="AC7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8" s="10">
        <f>IF(tblOrdenes[[#This Row],[orden]]="","",_xlfn.XLOOKUP(tblOrdenes[[#This Row],[id_operacion]],tblEjecucion[id_operacion],tblEjecucion[precio],0))</f>
        <v/>
      </c>
      <c r="AG708" s="10">
        <f>IF(tblOrdenes[[#This Row],[orden]]="","",MAX(0,_xlfn.XLOOKUP(tblOrdenes[[#This Row],[id_operacion]],tblEjecucion[id_operacion],tblEjecucion[costo_plan_total],0)-tblOrdenes[[#This Row],[costo_servicio]]))</f>
        <v/>
      </c>
      <c r="AH708" s="10">
        <f>IF(tblOrdenes[[#This Row],[orden]]="","",tblOrdenes[[#This Row],[costo_servicio]]+tblOrdenes[[#This Row],[costo_materiales]])</f>
        <v/>
      </c>
      <c r="AI708" s="6" t="n"/>
      <c r="AJ708" s="6" t="n"/>
      <c r="AK708" s="6" t="n"/>
      <c r="AL708" s="3">
        <f>IF(tblOrdenes[[#This Row],[link_checklist]]="","",HYPERLINK(p_ruta_base_checklists&amp;tblOrdenes[[#This Row],[link_checklist]],"abrir"))</f>
        <v/>
      </c>
      <c r="AM708" s="6" t="n"/>
      <c r="AN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Row],[tipo_ot]]="","",_xlfn.XLOOKUP(tblOrdenes[[#This Row],[tipo_ot]],tblTiposOT[codigo],tblTiposOT[clasificacion],"sin_clasificar"))</f>
        <v/>
      </c>
      <c r="T709" s="3">
        <f>IF(tblOrdenes[[#This Row],[centro_costo]]="","",_xlfn.XLOOKUP(tblOrdenes[[#This Row],[centro_costo]],tblCECO[codigo],tblCECO[linea],"(sin catálogo)"))</f>
        <v/>
      </c>
      <c r="U709" s="3">
        <f>IF(tblOrdenes[[#This Row],[centro_costo]]="","",_xlfn.XLOOKUP(tblOrdenes[[#This Row],[centro_costo]],tblCECO[codigo],tblCECO[area],"(sin catálogo)"))</f>
        <v/>
      </c>
      <c r="V709" s="3">
        <f>IF(tblOrdenes[[#This Row],[centro_costo]]="","",_xlfn.XLOOKUP(tblOrdenes[[#This Row],[centro_costo]],tblCECO[codigo],tblCECO[coordinador],"(sin catálogo)"))</f>
        <v/>
      </c>
      <c r="W709" s="3">
        <f>IF(tblOrdenes[[#This Row],[puesto_trabajo]]="","",_xlfn.XLOOKUP(tblOrdenes[[#This Row],[puesto_trabajo]],tblPuestos[codigo],tblPuestos[especialidad],"(sin catálogo)"))</f>
        <v/>
      </c>
      <c r="X709" s="3">
        <f>IF(tblOrdenes[[#This Row],[cod_actividad]]="","",_xlfn.XLOOKUP(tblOrdenes[[#This Row],[cod_actividad]],tblActividades[codigo],tblActividades[descripcion],"(sin catálogo)"))</f>
        <v/>
      </c>
      <c r="Y709" s="12">
        <f>IF(tblOrdenes[[#This Row],[fecha_inicio]]="","",TODAY()-tblOrdenes[[#This Row],[fecha_inicio]])</f>
        <v/>
      </c>
      <c r="Z709" s="3">
        <f>IF(tblOrdenes[[#This Row],[backlog_dias]]="","",IF(tblOrdenes[[#This Row],[backlog_dias]]&lt;0,"FUTURO",IF(tblOrdenes[[#This Row],[backlog_dias]]&gt;p_dias_backlog_max,"BACKLOG","MES CORRIENTE")))</f>
        <v/>
      </c>
      <c r="AA709" s="3">
        <f>IF(tblOrdenes[[#This Row],[backlog_dias]]="",FALSE,AND(tblOrdenes[[#This Row],[backlog_dias]]&gt;p_dias_backlog_min,tblOrdenes[[#This Row],[backlog_dias]]&lt;=p_dias_backlog_max))</f>
        <v/>
      </c>
      <c r="AB709" s="6" t="n"/>
      <c r="AC7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9" s="10">
        <f>IF(tblOrdenes[[#This Row],[orden]]="","",_xlfn.XLOOKUP(tblOrdenes[[#This Row],[id_operacion]],tblEjecucion[id_operacion],tblEjecucion[precio],0))</f>
        <v/>
      </c>
      <c r="AG709" s="10">
        <f>IF(tblOrdenes[[#This Row],[orden]]="","",MAX(0,_xlfn.XLOOKUP(tblOrdenes[[#This Row],[id_operacion]],tblEjecucion[id_operacion],tblEjecucion[costo_plan_total],0)-tblOrdenes[[#This Row],[costo_servicio]]))</f>
        <v/>
      </c>
      <c r="AH709" s="10">
        <f>IF(tblOrdenes[[#This Row],[orden]]="","",tblOrdenes[[#This Row],[costo_servicio]]+tblOrdenes[[#This Row],[costo_materiales]])</f>
        <v/>
      </c>
      <c r="AI709" s="6" t="n"/>
      <c r="AJ709" s="6" t="n"/>
      <c r="AK709" s="6" t="n"/>
      <c r="AL709" s="3">
        <f>IF(tblOrdenes[[#This Row],[link_checklist]]="","",HYPERLINK(p_ruta_base_checklists&amp;tblOrdenes[[#This Row],[link_checklist]],"abrir"))</f>
        <v/>
      </c>
      <c r="AM709" s="6" t="n"/>
      <c r="AN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Row],[tipo_ot]]="","",_xlfn.XLOOKUP(tblOrdenes[[#This Row],[tipo_ot]],tblTiposOT[codigo],tblTiposOT[clasificacion],"sin_clasificar"))</f>
        <v/>
      </c>
      <c r="T710" s="3">
        <f>IF(tblOrdenes[[#This Row],[centro_costo]]="","",_xlfn.XLOOKUP(tblOrdenes[[#This Row],[centro_costo]],tblCECO[codigo],tblCECO[linea],"(sin catálogo)"))</f>
        <v/>
      </c>
      <c r="U710" s="3">
        <f>IF(tblOrdenes[[#This Row],[centro_costo]]="","",_xlfn.XLOOKUP(tblOrdenes[[#This Row],[centro_costo]],tblCECO[codigo],tblCECO[area],"(sin catálogo)"))</f>
        <v/>
      </c>
      <c r="V710" s="3">
        <f>IF(tblOrdenes[[#This Row],[centro_costo]]="","",_xlfn.XLOOKUP(tblOrdenes[[#This Row],[centro_costo]],tblCECO[codigo],tblCECO[coordinador],"(sin catálogo)"))</f>
        <v/>
      </c>
      <c r="W710" s="3">
        <f>IF(tblOrdenes[[#This Row],[puesto_trabajo]]="","",_xlfn.XLOOKUP(tblOrdenes[[#This Row],[puesto_trabajo]],tblPuestos[codigo],tblPuestos[especialidad],"(sin catálogo)"))</f>
        <v/>
      </c>
      <c r="X710" s="3">
        <f>IF(tblOrdenes[[#This Row],[cod_actividad]]="","",_xlfn.XLOOKUP(tblOrdenes[[#This Row],[cod_actividad]],tblActividades[codigo],tblActividades[descripcion],"(sin catálogo)"))</f>
        <v/>
      </c>
      <c r="Y710" s="12">
        <f>IF(tblOrdenes[[#This Row],[fecha_inicio]]="","",TODAY()-tblOrdenes[[#This Row],[fecha_inicio]])</f>
        <v/>
      </c>
      <c r="Z710" s="3">
        <f>IF(tblOrdenes[[#This Row],[backlog_dias]]="","",IF(tblOrdenes[[#This Row],[backlog_dias]]&lt;0,"FUTURO",IF(tblOrdenes[[#This Row],[backlog_dias]]&gt;p_dias_backlog_max,"BACKLOG","MES CORRIENTE")))</f>
        <v/>
      </c>
      <c r="AA710" s="3">
        <f>IF(tblOrdenes[[#This Row],[backlog_dias]]="",FALSE,AND(tblOrdenes[[#This Row],[backlog_dias]]&gt;p_dias_backlog_min,tblOrdenes[[#This Row],[backlog_dias]]&lt;=p_dias_backlog_max))</f>
        <v/>
      </c>
      <c r="AB710" s="6" t="n"/>
      <c r="AC7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0" s="10">
        <f>IF(tblOrdenes[[#This Row],[orden]]="","",_xlfn.XLOOKUP(tblOrdenes[[#This Row],[id_operacion]],tblEjecucion[id_operacion],tblEjecucion[precio],0))</f>
        <v/>
      </c>
      <c r="AG710" s="10">
        <f>IF(tblOrdenes[[#This Row],[orden]]="","",MAX(0,_xlfn.XLOOKUP(tblOrdenes[[#This Row],[id_operacion]],tblEjecucion[id_operacion],tblEjecucion[costo_plan_total],0)-tblOrdenes[[#This Row],[costo_servicio]]))</f>
        <v/>
      </c>
      <c r="AH710" s="10">
        <f>IF(tblOrdenes[[#This Row],[orden]]="","",tblOrdenes[[#This Row],[costo_servicio]]+tblOrdenes[[#This Row],[costo_materiales]])</f>
        <v/>
      </c>
      <c r="AI710" s="6" t="n"/>
      <c r="AJ710" s="6" t="n"/>
      <c r="AK710" s="6" t="n"/>
      <c r="AL710" s="3">
        <f>IF(tblOrdenes[[#This Row],[link_checklist]]="","",HYPERLINK(p_ruta_base_checklists&amp;tblOrdenes[[#This Row],[link_checklist]],"abrir"))</f>
        <v/>
      </c>
      <c r="AM710" s="6" t="n"/>
      <c r="AN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Row],[tipo_ot]]="","",_xlfn.XLOOKUP(tblOrdenes[[#This Row],[tipo_ot]],tblTiposOT[codigo],tblTiposOT[clasificacion],"sin_clasificar"))</f>
        <v/>
      </c>
      <c r="T711" s="3">
        <f>IF(tblOrdenes[[#This Row],[centro_costo]]="","",_xlfn.XLOOKUP(tblOrdenes[[#This Row],[centro_costo]],tblCECO[codigo],tblCECO[linea],"(sin catálogo)"))</f>
        <v/>
      </c>
      <c r="U711" s="3">
        <f>IF(tblOrdenes[[#This Row],[centro_costo]]="","",_xlfn.XLOOKUP(tblOrdenes[[#This Row],[centro_costo]],tblCECO[codigo],tblCECO[area],"(sin catálogo)"))</f>
        <v/>
      </c>
      <c r="V711" s="3">
        <f>IF(tblOrdenes[[#This Row],[centro_costo]]="","",_xlfn.XLOOKUP(tblOrdenes[[#This Row],[centro_costo]],tblCECO[codigo],tblCECO[coordinador],"(sin catálogo)"))</f>
        <v/>
      </c>
      <c r="W711" s="3">
        <f>IF(tblOrdenes[[#This Row],[puesto_trabajo]]="","",_xlfn.XLOOKUP(tblOrdenes[[#This Row],[puesto_trabajo]],tblPuestos[codigo],tblPuestos[especialidad],"(sin catálogo)"))</f>
        <v/>
      </c>
      <c r="X711" s="3">
        <f>IF(tblOrdenes[[#This Row],[cod_actividad]]="","",_xlfn.XLOOKUP(tblOrdenes[[#This Row],[cod_actividad]],tblActividades[codigo],tblActividades[descripcion],"(sin catálogo)"))</f>
        <v/>
      </c>
      <c r="Y711" s="12">
        <f>IF(tblOrdenes[[#This Row],[fecha_inicio]]="","",TODAY()-tblOrdenes[[#This Row],[fecha_inicio]])</f>
        <v/>
      </c>
      <c r="Z711" s="3">
        <f>IF(tblOrdenes[[#This Row],[backlog_dias]]="","",IF(tblOrdenes[[#This Row],[backlog_dias]]&lt;0,"FUTURO",IF(tblOrdenes[[#This Row],[backlog_dias]]&gt;p_dias_backlog_max,"BACKLOG","MES CORRIENTE")))</f>
        <v/>
      </c>
      <c r="AA711" s="3">
        <f>IF(tblOrdenes[[#This Row],[backlog_dias]]="",FALSE,AND(tblOrdenes[[#This Row],[backlog_dias]]&gt;p_dias_backlog_min,tblOrdenes[[#This Row],[backlog_dias]]&lt;=p_dias_backlog_max))</f>
        <v/>
      </c>
      <c r="AB711" s="6" t="n"/>
      <c r="AC7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1" s="10">
        <f>IF(tblOrdenes[[#This Row],[orden]]="","",_xlfn.XLOOKUP(tblOrdenes[[#This Row],[id_operacion]],tblEjecucion[id_operacion],tblEjecucion[precio],0))</f>
        <v/>
      </c>
      <c r="AG711" s="10">
        <f>IF(tblOrdenes[[#This Row],[orden]]="","",MAX(0,_xlfn.XLOOKUP(tblOrdenes[[#This Row],[id_operacion]],tblEjecucion[id_operacion],tblEjecucion[costo_plan_total],0)-tblOrdenes[[#This Row],[costo_servicio]]))</f>
        <v/>
      </c>
      <c r="AH711" s="10">
        <f>IF(tblOrdenes[[#This Row],[orden]]="","",tblOrdenes[[#This Row],[costo_servicio]]+tblOrdenes[[#This Row],[costo_materiales]])</f>
        <v/>
      </c>
      <c r="AI711" s="6" t="n"/>
      <c r="AJ711" s="6" t="n"/>
      <c r="AK711" s="6" t="n"/>
      <c r="AL711" s="3">
        <f>IF(tblOrdenes[[#This Row],[link_checklist]]="","",HYPERLINK(p_ruta_base_checklists&amp;tblOrdenes[[#This Row],[link_checklist]],"abrir"))</f>
        <v/>
      </c>
      <c r="AM711" s="6" t="n"/>
      <c r="AN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Row],[tipo_ot]]="","",_xlfn.XLOOKUP(tblOrdenes[[#This Row],[tipo_ot]],tblTiposOT[codigo],tblTiposOT[clasificacion],"sin_clasificar"))</f>
        <v/>
      </c>
      <c r="T712" s="3">
        <f>IF(tblOrdenes[[#This Row],[centro_costo]]="","",_xlfn.XLOOKUP(tblOrdenes[[#This Row],[centro_costo]],tblCECO[codigo],tblCECO[linea],"(sin catálogo)"))</f>
        <v/>
      </c>
      <c r="U712" s="3">
        <f>IF(tblOrdenes[[#This Row],[centro_costo]]="","",_xlfn.XLOOKUP(tblOrdenes[[#This Row],[centro_costo]],tblCECO[codigo],tblCECO[area],"(sin catálogo)"))</f>
        <v/>
      </c>
      <c r="V712" s="3">
        <f>IF(tblOrdenes[[#This Row],[centro_costo]]="","",_xlfn.XLOOKUP(tblOrdenes[[#This Row],[centro_costo]],tblCECO[codigo],tblCECO[coordinador],"(sin catálogo)"))</f>
        <v/>
      </c>
      <c r="W712" s="3">
        <f>IF(tblOrdenes[[#This Row],[puesto_trabajo]]="","",_xlfn.XLOOKUP(tblOrdenes[[#This Row],[puesto_trabajo]],tblPuestos[codigo],tblPuestos[especialidad],"(sin catálogo)"))</f>
        <v/>
      </c>
      <c r="X712" s="3">
        <f>IF(tblOrdenes[[#This Row],[cod_actividad]]="","",_xlfn.XLOOKUP(tblOrdenes[[#This Row],[cod_actividad]],tblActividades[codigo],tblActividades[descripcion],"(sin catálogo)"))</f>
        <v/>
      </c>
      <c r="Y712" s="12">
        <f>IF(tblOrdenes[[#This Row],[fecha_inicio]]="","",TODAY()-tblOrdenes[[#This Row],[fecha_inicio]])</f>
        <v/>
      </c>
      <c r="Z712" s="3">
        <f>IF(tblOrdenes[[#This Row],[backlog_dias]]="","",IF(tblOrdenes[[#This Row],[backlog_dias]]&lt;0,"FUTURO",IF(tblOrdenes[[#This Row],[backlog_dias]]&gt;p_dias_backlog_max,"BACKLOG","MES CORRIENTE")))</f>
        <v/>
      </c>
      <c r="AA712" s="3">
        <f>IF(tblOrdenes[[#This Row],[backlog_dias]]="",FALSE,AND(tblOrdenes[[#This Row],[backlog_dias]]&gt;p_dias_backlog_min,tblOrdenes[[#This Row],[backlog_dias]]&lt;=p_dias_backlog_max))</f>
        <v/>
      </c>
      <c r="AB712" s="6" t="n"/>
      <c r="AC7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2" s="10">
        <f>IF(tblOrdenes[[#This Row],[orden]]="","",_xlfn.XLOOKUP(tblOrdenes[[#This Row],[id_operacion]],tblEjecucion[id_operacion],tblEjecucion[precio],0))</f>
        <v/>
      </c>
      <c r="AG712" s="10">
        <f>IF(tblOrdenes[[#This Row],[orden]]="","",MAX(0,_xlfn.XLOOKUP(tblOrdenes[[#This Row],[id_operacion]],tblEjecucion[id_operacion],tblEjecucion[costo_plan_total],0)-tblOrdenes[[#This Row],[costo_servicio]]))</f>
        <v/>
      </c>
      <c r="AH712" s="10">
        <f>IF(tblOrdenes[[#This Row],[orden]]="","",tblOrdenes[[#This Row],[costo_servicio]]+tblOrdenes[[#This Row],[costo_materiales]])</f>
        <v/>
      </c>
      <c r="AI712" s="6" t="n"/>
      <c r="AJ712" s="6" t="n"/>
      <c r="AK712" s="6" t="n"/>
      <c r="AL712" s="3">
        <f>IF(tblOrdenes[[#This Row],[link_checklist]]="","",HYPERLINK(p_ruta_base_checklists&amp;tblOrdenes[[#This Row],[link_checklist]],"abrir"))</f>
        <v/>
      </c>
      <c r="AM712" s="6" t="n"/>
      <c r="AN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Row],[tipo_ot]]="","",_xlfn.XLOOKUP(tblOrdenes[[#This Row],[tipo_ot]],tblTiposOT[codigo],tblTiposOT[clasificacion],"sin_clasificar"))</f>
        <v/>
      </c>
      <c r="T713" s="3">
        <f>IF(tblOrdenes[[#This Row],[centro_costo]]="","",_xlfn.XLOOKUP(tblOrdenes[[#This Row],[centro_costo]],tblCECO[codigo],tblCECO[linea],"(sin catálogo)"))</f>
        <v/>
      </c>
      <c r="U713" s="3">
        <f>IF(tblOrdenes[[#This Row],[centro_costo]]="","",_xlfn.XLOOKUP(tblOrdenes[[#This Row],[centro_costo]],tblCECO[codigo],tblCECO[area],"(sin catálogo)"))</f>
        <v/>
      </c>
      <c r="V713" s="3">
        <f>IF(tblOrdenes[[#This Row],[centro_costo]]="","",_xlfn.XLOOKUP(tblOrdenes[[#This Row],[centro_costo]],tblCECO[codigo],tblCECO[coordinador],"(sin catálogo)"))</f>
        <v/>
      </c>
      <c r="W713" s="3">
        <f>IF(tblOrdenes[[#This Row],[puesto_trabajo]]="","",_xlfn.XLOOKUP(tblOrdenes[[#This Row],[puesto_trabajo]],tblPuestos[codigo],tblPuestos[especialidad],"(sin catálogo)"))</f>
        <v/>
      </c>
      <c r="X713" s="3">
        <f>IF(tblOrdenes[[#This Row],[cod_actividad]]="","",_xlfn.XLOOKUP(tblOrdenes[[#This Row],[cod_actividad]],tblActividades[codigo],tblActividades[descripcion],"(sin catálogo)"))</f>
        <v/>
      </c>
      <c r="Y713" s="12">
        <f>IF(tblOrdenes[[#This Row],[fecha_inicio]]="","",TODAY()-tblOrdenes[[#This Row],[fecha_inicio]])</f>
        <v/>
      </c>
      <c r="Z713" s="3">
        <f>IF(tblOrdenes[[#This Row],[backlog_dias]]="","",IF(tblOrdenes[[#This Row],[backlog_dias]]&lt;0,"FUTURO",IF(tblOrdenes[[#This Row],[backlog_dias]]&gt;p_dias_backlog_max,"BACKLOG","MES CORRIENTE")))</f>
        <v/>
      </c>
      <c r="AA713" s="3">
        <f>IF(tblOrdenes[[#This Row],[backlog_dias]]="",FALSE,AND(tblOrdenes[[#This Row],[backlog_dias]]&gt;p_dias_backlog_min,tblOrdenes[[#This Row],[backlog_dias]]&lt;=p_dias_backlog_max))</f>
        <v/>
      </c>
      <c r="AB713" s="6" t="n"/>
      <c r="AC7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3" s="10">
        <f>IF(tblOrdenes[[#This Row],[orden]]="","",_xlfn.XLOOKUP(tblOrdenes[[#This Row],[id_operacion]],tblEjecucion[id_operacion],tblEjecucion[precio],0))</f>
        <v/>
      </c>
      <c r="AG713" s="10">
        <f>IF(tblOrdenes[[#This Row],[orden]]="","",MAX(0,_xlfn.XLOOKUP(tblOrdenes[[#This Row],[id_operacion]],tblEjecucion[id_operacion],tblEjecucion[costo_plan_total],0)-tblOrdenes[[#This Row],[costo_servicio]]))</f>
        <v/>
      </c>
      <c r="AH713" s="10">
        <f>IF(tblOrdenes[[#This Row],[orden]]="","",tblOrdenes[[#This Row],[costo_servicio]]+tblOrdenes[[#This Row],[costo_materiales]])</f>
        <v/>
      </c>
      <c r="AI713" s="6" t="n"/>
      <c r="AJ713" s="6" t="n"/>
      <c r="AK713" s="6" t="n"/>
      <c r="AL713" s="3">
        <f>IF(tblOrdenes[[#This Row],[link_checklist]]="","",HYPERLINK(p_ruta_base_checklists&amp;tblOrdenes[[#This Row],[link_checklist]],"abrir"))</f>
        <v/>
      </c>
      <c r="AM713" s="6" t="n"/>
      <c r="AN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Row],[tipo_ot]]="","",_xlfn.XLOOKUP(tblOrdenes[[#This Row],[tipo_ot]],tblTiposOT[codigo],tblTiposOT[clasificacion],"sin_clasificar"))</f>
        <v/>
      </c>
      <c r="T714" s="3">
        <f>IF(tblOrdenes[[#This Row],[centro_costo]]="","",_xlfn.XLOOKUP(tblOrdenes[[#This Row],[centro_costo]],tblCECO[codigo],tblCECO[linea],"(sin catálogo)"))</f>
        <v/>
      </c>
      <c r="U714" s="3">
        <f>IF(tblOrdenes[[#This Row],[centro_costo]]="","",_xlfn.XLOOKUP(tblOrdenes[[#This Row],[centro_costo]],tblCECO[codigo],tblCECO[area],"(sin catálogo)"))</f>
        <v/>
      </c>
      <c r="V714" s="3">
        <f>IF(tblOrdenes[[#This Row],[centro_costo]]="","",_xlfn.XLOOKUP(tblOrdenes[[#This Row],[centro_costo]],tblCECO[codigo],tblCECO[coordinador],"(sin catálogo)"))</f>
        <v/>
      </c>
      <c r="W714" s="3">
        <f>IF(tblOrdenes[[#This Row],[puesto_trabajo]]="","",_xlfn.XLOOKUP(tblOrdenes[[#This Row],[puesto_trabajo]],tblPuestos[codigo],tblPuestos[especialidad],"(sin catálogo)"))</f>
        <v/>
      </c>
      <c r="X714" s="3">
        <f>IF(tblOrdenes[[#This Row],[cod_actividad]]="","",_xlfn.XLOOKUP(tblOrdenes[[#This Row],[cod_actividad]],tblActividades[codigo],tblActividades[descripcion],"(sin catálogo)"))</f>
        <v/>
      </c>
      <c r="Y714" s="12">
        <f>IF(tblOrdenes[[#This Row],[fecha_inicio]]="","",TODAY()-tblOrdenes[[#This Row],[fecha_inicio]])</f>
        <v/>
      </c>
      <c r="Z714" s="3">
        <f>IF(tblOrdenes[[#This Row],[backlog_dias]]="","",IF(tblOrdenes[[#This Row],[backlog_dias]]&lt;0,"FUTURO",IF(tblOrdenes[[#This Row],[backlog_dias]]&gt;p_dias_backlog_max,"BACKLOG","MES CORRIENTE")))</f>
        <v/>
      </c>
      <c r="AA714" s="3">
        <f>IF(tblOrdenes[[#This Row],[backlog_dias]]="",FALSE,AND(tblOrdenes[[#This Row],[backlog_dias]]&gt;p_dias_backlog_min,tblOrdenes[[#This Row],[backlog_dias]]&lt;=p_dias_backlog_max))</f>
        <v/>
      </c>
      <c r="AB714" s="6" t="n"/>
      <c r="AC7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4" s="10">
        <f>IF(tblOrdenes[[#This Row],[orden]]="","",_xlfn.XLOOKUP(tblOrdenes[[#This Row],[id_operacion]],tblEjecucion[id_operacion],tblEjecucion[precio],0))</f>
        <v/>
      </c>
      <c r="AG714" s="10">
        <f>IF(tblOrdenes[[#This Row],[orden]]="","",MAX(0,_xlfn.XLOOKUP(tblOrdenes[[#This Row],[id_operacion]],tblEjecucion[id_operacion],tblEjecucion[costo_plan_total],0)-tblOrdenes[[#This Row],[costo_servicio]]))</f>
        <v/>
      </c>
      <c r="AH714" s="10">
        <f>IF(tblOrdenes[[#This Row],[orden]]="","",tblOrdenes[[#This Row],[costo_servicio]]+tblOrdenes[[#This Row],[costo_materiales]])</f>
        <v/>
      </c>
      <c r="AI714" s="6" t="n"/>
      <c r="AJ714" s="6" t="n"/>
      <c r="AK714" s="6" t="n"/>
      <c r="AL714" s="3">
        <f>IF(tblOrdenes[[#This Row],[link_checklist]]="","",HYPERLINK(p_ruta_base_checklists&amp;tblOrdenes[[#This Row],[link_checklist]],"abrir"))</f>
        <v/>
      </c>
      <c r="AM714" s="6" t="n"/>
      <c r="AN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Row],[tipo_ot]]="","",_xlfn.XLOOKUP(tblOrdenes[[#This Row],[tipo_ot]],tblTiposOT[codigo],tblTiposOT[clasificacion],"sin_clasificar"))</f>
        <v/>
      </c>
      <c r="T715" s="3">
        <f>IF(tblOrdenes[[#This Row],[centro_costo]]="","",_xlfn.XLOOKUP(tblOrdenes[[#This Row],[centro_costo]],tblCECO[codigo],tblCECO[linea],"(sin catálogo)"))</f>
        <v/>
      </c>
      <c r="U715" s="3">
        <f>IF(tblOrdenes[[#This Row],[centro_costo]]="","",_xlfn.XLOOKUP(tblOrdenes[[#This Row],[centro_costo]],tblCECO[codigo],tblCECO[area],"(sin catálogo)"))</f>
        <v/>
      </c>
      <c r="V715" s="3">
        <f>IF(tblOrdenes[[#This Row],[centro_costo]]="","",_xlfn.XLOOKUP(tblOrdenes[[#This Row],[centro_costo]],tblCECO[codigo],tblCECO[coordinador],"(sin catálogo)"))</f>
        <v/>
      </c>
      <c r="W715" s="3">
        <f>IF(tblOrdenes[[#This Row],[puesto_trabajo]]="","",_xlfn.XLOOKUP(tblOrdenes[[#This Row],[puesto_trabajo]],tblPuestos[codigo],tblPuestos[especialidad],"(sin catálogo)"))</f>
        <v/>
      </c>
      <c r="X715" s="3">
        <f>IF(tblOrdenes[[#This Row],[cod_actividad]]="","",_xlfn.XLOOKUP(tblOrdenes[[#This Row],[cod_actividad]],tblActividades[codigo],tblActividades[descripcion],"(sin catálogo)"))</f>
        <v/>
      </c>
      <c r="Y715" s="12">
        <f>IF(tblOrdenes[[#This Row],[fecha_inicio]]="","",TODAY()-tblOrdenes[[#This Row],[fecha_inicio]])</f>
        <v/>
      </c>
      <c r="Z715" s="3">
        <f>IF(tblOrdenes[[#This Row],[backlog_dias]]="","",IF(tblOrdenes[[#This Row],[backlog_dias]]&lt;0,"FUTURO",IF(tblOrdenes[[#This Row],[backlog_dias]]&gt;p_dias_backlog_max,"BACKLOG","MES CORRIENTE")))</f>
        <v/>
      </c>
      <c r="AA715" s="3">
        <f>IF(tblOrdenes[[#This Row],[backlog_dias]]="",FALSE,AND(tblOrdenes[[#This Row],[backlog_dias]]&gt;p_dias_backlog_min,tblOrdenes[[#This Row],[backlog_dias]]&lt;=p_dias_backlog_max))</f>
        <v/>
      </c>
      <c r="AB715" s="6" t="n"/>
      <c r="AC7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5" s="10">
        <f>IF(tblOrdenes[[#This Row],[orden]]="","",_xlfn.XLOOKUP(tblOrdenes[[#This Row],[id_operacion]],tblEjecucion[id_operacion],tblEjecucion[precio],0))</f>
        <v/>
      </c>
      <c r="AG715" s="10">
        <f>IF(tblOrdenes[[#This Row],[orden]]="","",MAX(0,_xlfn.XLOOKUP(tblOrdenes[[#This Row],[id_operacion]],tblEjecucion[id_operacion],tblEjecucion[costo_plan_total],0)-tblOrdenes[[#This Row],[costo_servicio]]))</f>
        <v/>
      </c>
      <c r="AH715" s="10">
        <f>IF(tblOrdenes[[#This Row],[orden]]="","",tblOrdenes[[#This Row],[costo_servicio]]+tblOrdenes[[#This Row],[costo_materiales]])</f>
        <v/>
      </c>
      <c r="AI715" s="6" t="n"/>
      <c r="AJ715" s="6" t="n"/>
      <c r="AK715" s="6" t="n"/>
      <c r="AL715" s="3">
        <f>IF(tblOrdenes[[#This Row],[link_checklist]]="","",HYPERLINK(p_ruta_base_checklists&amp;tblOrdenes[[#This Row],[link_checklist]],"abrir"))</f>
        <v/>
      </c>
      <c r="AM715" s="6" t="n"/>
      <c r="AN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Row],[tipo_ot]]="","",_xlfn.XLOOKUP(tblOrdenes[[#This Row],[tipo_ot]],tblTiposOT[codigo],tblTiposOT[clasificacion],"sin_clasificar"))</f>
        <v/>
      </c>
      <c r="T716" s="3">
        <f>IF(tblOrdenes[[#This Row],[centro_costo]]="","",_xlfn.XLOOKUP(tblOrdenes[[#This Row],[centro_costo]],tblCECO[codigo],tblCECO[linea],"(sin catálogo)"))</f>
        <v/>
      </c>
      <c r="U716" s="3">
        <f>IF(tblOrdenes[[#This Row],[centro_costo]]="","",_xlfn.XLOOKUP(tblOrdenes[[#This Row],[centro_costo]],tblCECO[codigo],tblCECO[area],"(sin catálogo)"))</f>
        <v/>
      </c>
      <c r="V716" s="3">
        <f>IF(tblOrdenes[[#This Row],[centro_costo]]="","",_xlfn.XLOOKUP(tblOrdenes[[#This Row],[centro_costo]],tblCECO[codigo],tblCECO[coordinador],"(sin catálogo)"))</f>
        <v/>
      </c>
      <c r="W716" s="3">
        <f>IF(tblOrdenes[[#This Row],[puesto_trabajo]]="","",_xlfn.XLOOKUP(tblOrdenes[[#This Row],[puesto_trabajo]],tblPuestos[codigo],tblPuestos[especialidad],"(sin catálogo)"))</f>
        <v/>
      </c>
      <c r="X716" s="3">
        <f>IF(tblOrdenes[[#This Row],[cod_actividad]]="","",_xlfn.XLOOKUP(tblOrdenes[[#This Row],[cod_actividad]],tblActividades[codigo],tblActividades[descripcion],"(sin catálogo)"))</f>
        <v/>
      </c>
      <c r="Y716" s="12">
        <f>IF(tblOrdenes[[#This Row],[fecha_inicio]]="","",TODAY()-tblOrdenes[[#This Row],[fecha_inicio]])</f>
        <v/>
      </c>
      <c r="Z716" s="3">
        <f>IF(tblOrdenes[[#This Row],[backlog_dias]]="","",IF(tblOrdenes[[#This Row],[backlog_dias]]&lt;0,"FUTURO",IF(tblOrdenes[[#This Row],[backlog_dias]]&gt;p_dias_backlog_max,"BACKLOG","MES CORRIENTE")))</f>
        <v/>
      </c>
      <c r="AA716" s="3">
        <f>IF(tblOrdenes[[#This Row],[backlog_dias]]="",FALSE,AND(tblOrdenes[[#This Row],[backlog_dias]]&gt;p_dias_backlog_min,tblOrdenes[[#This Row],[backlog_dias]]&lt;=p_dias_backlog_max))</f>
        <v/>
      </c>
      <c r="AB716" s="6" t="n"/>
      <c r="AC7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6" s="10">
        <f>IF(tblOrdenes[[#This Row],[orden]]="","",_xlfn.XLOOKUP(tblOrdenes[[#This Row],[id_operacion]],tblEjecucion[id_operacion],tblEjecucion[precio],0))</f>
        <v/>
      </c>
      <c r="AG716" s="10">
        <f>IF(tblOrdenes[[#This Row],[orden]]="","",MAX(0,_xlfn.XLOOKUP(tblOrdenes[[#This Row],[id_operacion]],tblEjecucion[id_operacion],tblEjecucion[costo_plan_total],0)-tblOrdenes[[#This Row],[costo_servicio]]))</f>
        <v/>
      </c>
      <c r="AH716" s="10">
        <f>IF(tblOrdenes[[#This Row],[orden]]="","",tblOrdenes[[#This Row],[costo_servicio]]+tblOrdenes[[#This Row],[costo_materiales]])</f>
        <v/>
      </c>
      <c r="AI716" s="6" t="n"/>
      <c r="AJ716" s="6" t="n"/>
      <c r="AK716" s="6" t="n"/>
      <c r="AL716" s="3">
        <f>IF(tblOrdenes[[#This Row],[link_checklist]]="","",HYPERLINK(p_ruta_base_checklists&amp;tblOrdenes[[#This Row],[link_checklist]],"abrir"))</f>
        <v/>
      </c>
      <c r="AM716" s="6" t="n"/>
      <c r="AN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Row],[tipo_ot]]="","",_xlfn.XLOOKUP(tblOrdenes[[#This Row],[tipo_ot]],tblTiposOT[codigo],tblTiposOT[clasificacion],"sin_clasificar"))</f>
        <v/>
      </c>
      <c r="T717" s="3">
        <f>IF(tblOrdenes[[#This Row],[centro_costo]]="","",_xlfn.XLOOKUP(tblOrdenes[[#This Row],[centro_costo]],tblCECO[codigo],tblCECO[linea],"(sin catálogo)"))</f>
        <v/>
      </c>
      <c r="U717" s="3">
        <f>IF(tblOrdenes[[#This Row],[centro_costo]]="","",_xlfn.XLOOKUP(tblOrdenes[[#This Row],[centro_costo]],tblCECO[codigo],tblCECO[area],"(sin catálogo)"))</f>
        <v/>
      </c>
      <c r="V717" s="3">
        <f>IF(tblOrdenes[[#This Row],[centro_costo]]="","",_xlfn.XLOOKUP(tblOrdenes[[#This Row],[centro_costo]],tblCECO[codigo],tblCECO[coordinador],"(sin catálogo)"))</f>
        <v/>
      </c>
      <c r="W717" s="3">
        <f>IF(tblOrdenes[[#This Row],[puesto_trabajo]]="","",_xlfn.XLOOKUP(tblOrdenes[[#This Row],[puesto_trabajo]],tblPuestos[codigo],tblPuestos[especialidad],"(sin catálogo)"))</f>
        <v/>
      </c>
      <c r="X717" s="3">
        <f>IF(tblOrdenes[[#This Row],[cod_actividad]]="","",_xlfn.XLOOKUP(tblOrdenes[[#This Row],[cod_actividad]],tblActividades[codigo],tblActividades[descripcion],"(sin catálogo)"))</f>
        <v/>
      </c>
      <c r="Y717" s="12">
        <f>IF(tblOrdenes[[#This Row],[fecha_inicio]]="","",TODAY()-tblOrdenes[[#This Row],[fecha_inicio]])</f>
        <v/>
      </c>
      <c r="Z717" s="3">
        <f>IF(tblOrdenes[[#This Row],[backlog_dias]]="","",IF(tblOrdenes[[#This Row],[backlog_dias]]&lt;0,"FUTURO",IF(tblOrdenes[[#This Row],[backlog_dias]]&gt;p_dias_backlog_max,"BACKLOG","MES CORRIENTE")))</f>
        <v/>
      </c>
      <c r="AA717" s="3">
        <f>IF(tblOrdenes[[#This Row],[backlog_dias]]="",FALSE,AND(tblOrdenes[[#This Row],[backlog_dias]]&gt;p_dias_backlog_min,tblOrdenes[[#This Row],[backlog_dias]]&lt;=p_dias_backlog_max))</f>
        <v/>
      </c>
      <c r="AB717" s="6" t="n"/>
      <c r="AC7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7" s="10">
        <f>IF(tblOrdenes[[#This Row],[orden]]="","",_xlfn.XLOOKUP(tblOrdenes[[#This Row],[id_operacion]],tblEjecucion[id_operacion],tblEjecucion[precio],0))</f>
        <v/>
      </c>
      <c r="AG717" s="10">
        <f>IF(tblOrdenes[[#This Row],[orden]]="","",MAX(0,_xlfn.XLOOKUP(tblOrdenes[[#This Row],[id_operacion]],tblEjecucion[id_operacion],tblEjecucion[costo_plan_total],0)-tblOrdenes[[#This Row],[costo_servicio]]))</f>
        <v/>
      </c>
      <c r="AH717" s="10">
        <f>IF(tblOrdenes[[#This Row],[orden]]="","",tblOrdenes[[#This Row],[costo_servicio]]+tblOrdenes[[#This Row],[costo_materiales]])</f>
        <v/>
      </c>
      <c r="AI717" s="6" t="n"/>
      <c r="AJ717" s="6" t="n"/>
      <c r="AK717" s="6" t="n"/>
      <c r="AL717" s="3">
        <f>IF(tblOrdenes[[#This Row],[link_checklist]]="","",HYPERLINK(p_ruta_base_checklists&amp;tblOrdenes[[#This Row],[link_checklist]],"abrir"))</f>
        <v/>
      </c>
      <c r="AM717" s="6" t="n"/>
      <c r="AN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Row],[tipo_ot]]="","",_xlfn.XLOOKUP(tblOrdenes[[#This Row],[tipo_ot]],tblTiposOT[codigo],tblTiposOT[clasificacion],"sin_clasificar"))</f>
        <v/>
      </c>
      <c r="T718" s="3">
        <f>IF(tblOrdenes[[#This Row],[centro_costo]]="","",_xlfn.XLOOKUP(tblOrdenes[[#This Row],[centro_costo]],tblCECO[codigo],tblCECO[linea],"(sin catálogo)"))</f>
        <v/>
      </c>
      <c r="U718" s="3">
        <f>IF(tblOrdenes[[#This Row],[centro_costo]]="","",_xlfn.XLOOKUP(tblOrdenes[[#This Row],[centro_costo]],tblCECO[codigo],tblCECO[area],"(sin catálogo)"))</f>
        <v/>
      </c>
      <c r="V718" s="3">
        <f>IF(tblOrdenes[[#This Row],[centro_costo]]="","",_xlfn.XLOOKUP(tblOrdenes[[#This Row],[centro_costo]],tblCECO[codigo],tblCECO[coordinador],"(sin catálogo)"))</f>
        <v/>
      </c>
      <c r="W718" s="3">
        <f>IF(tblOrdenes[[#This Row],[puesto_trabajo]]="","",_xlfn.XLOOKUP(tblOrdenes[[#This Row],[puesto_trabajo]],tblPuestos[codigo],tblPuestos[especialidad],"(sin catálogo)"))</f>
        <v/>
      </c>
      <c r="X718" s="3">
        <f>IF(tblOrdenes[[#This Row],[cod_actividad]]="","",_xlfn.XLOOKUP(tblOrdenes[[#This Row],[cod_actividad]],tblActividades[codigo],tblActividades[descripcion],"(sin catálogo)"))</f>
        <v/>
      </c>
      <c r="Y718" s="12">
        <f>IF(tblOrdenes[[#This Row],[fecha_inicio]]="","",TODAY()-tblOrdenes[[#This Row],[fecha_inicio]])</f>
        <v/>
      </c>
      <c r="Z718" s="3">
        <f>IF(tblOrdenes[[#This Row],[backlog_dias]]="","",IF(tblOrdenes[[#This Row],[backlog_dias]]&lt;0,"FUTURO",IF(tblOrdenes[[#This Row],[backlog_dias]]&gt;p_dias_backlog_max,"BACKLOG","MES CORRIENTE")))</f>
        <v/>
      </c>
      <c r="AA718" s="3">
        <f>IF(tblOrdenes[[#This Row],[backlog_dias]]="",FALSE,AND(tblOrdenes[[#This Row],[backlog_dias]]&gt;p_dias_backlog_min,tblOrdenes[[#This Row],[backlog_dias]]&lt;=p_dias_backlog_max))</f>
        <v/>
      </c>
      <c r="AB718" s="6" t="n"/>
      <c r="AC7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8" s="10">
        <f>IF(tblOrdenes[[#This Row],[orden]]="","",_xlfn.XLOOKUP(tblOrdenes[[#This Row],[id_operacion]],tblEjecucion[id_operacion],tblEjecucion[precio],0))</f>
        <v/>
      </c>
      <c r="AG718" s="10">
        <f>IF(tblOrdenes[[#This Row],[orden]]="","",MAX(0,_xlfn.XLOOKUP(tblOrdenes[[#This Row],[id_operacion]],tblEjecucion[id_operacion],tblEjecucion[costo_plan_total],0)-tblOrdenes[[#This Row],[costo_servicio]]))</f>
        <v/>
      </c>
      <c r="AH718" s="10">
        <f>IF(tblOrdenes[[#This Row],[orden]]="","",tblOrdenes[[#This Row],[costo_servicio]]+tblOrdenes[[#This Row],[costo_materiales]])</f>
        <v/>
      </c>
      <c r="AI718" s="6" t="n"/>
      <c r="AJ718" s="6" t="n"/>
      <c r="AK718" s="6" t="n"/>
      <c r="AL718" s="3">
        <f>IF(tblOrdenes[[#This Row],[link_checklist]]="","",HYPERLINK(p_ruta_base_checklists&amp;tblOrdenes[[#This Row],[link_checklist]],"abrir"))</f>
        <v/>
      </c>
      <c r="AM718" s="6" t="n"/>
      <c r="AN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Row],[tipo_ot]]="","",_xlfn.XLOOKUP(tblOrdenes[[#This Row],[tipo_ot]],tblTiposOT[codigo],tblTiposOT[clasificacion],"sin_clasificar"))</f>
        <v/>
      </c>
      <c r="T719" s="3">
        <f>IF(tblOrdenes[[#This Row],[centro_costo]]="","",_xlfn.XLOOKUP(tblOrdenes[[#This Row],[centro_costo]],tblCECO[codigo],tblCECO[linea],"(sin catálogo)"))</f>
        <v/>
      </c>
      <c r="U719" s="3">
        <f>IF(tblOrdenes[[#This Row],[centro_costo]]="","",_xlfn.XLOOKUP(tblOrdenes[[#This Row],[centro_costo]],tblCECO[codigo],tblCECO[area],"(sin catálogo)"))</f>
        <v/>
      </c>
      <c r="V719" s="3">
        <f>IF(tblOrdenes[[#This Row],[centro_costo]]="","",_xlfn.XLOOKUP(tblOrdenes[[#This Row],[centro_costo]],tblCECO[codigo],tblCECO[coordinador],"(sin catálogo)"))</f>
        <v/>
      </c>
      <c r="W719" s="3">
        <f>IF(tblOrdenes[[#This Row],[puesto_trabajo]]="","",_xlfn.XLOOKUP(tblOrdenes[[#This Row],[puesto_trabajo]],tblPuestos[codigo],tblPuestos[especialidad],"(sin catálogo)"))</f>
        <v/>
      </c>
      <c r="X719" s="3">
        <f>IF(tblOrdenes[[#This Row],[cod_actividad]]="","",_xlfn.XLOOKUP(tblOrdenes[[#This Row],[cod_actividad]],tblActividades[codigo],tblActividades[descripcion],"(sin catálogo)"))</f>
        <v/>
      </c>
      <c r="Y719" s="12">
        <f>IF(tblOrdenes[[#This Row],[fecha_inicio]]="","",TODAY()-tblOrdenes[[#This Row],[fecha_inicio]])</f>
        <v/>
      </c>
      <c r="Z719" s="3">
        <f>IF(tblOrdenes[[#This Row],[backlog_dias]]="","",IF(tblOrdenes[[#This Row],[backlog_dias]]&lt;0,"FUTURO",IF(tblOrdenes[[#This Row],[backlog_dias]]&gt;p_dias_backlog_max,"BACKLOG","MES CORRIENTE")))</f>
        <v/>
      </c>
      <c r="AA719" s="3">
        <f>IF(tblOrdenes[[#This Row],[backlog_dias]]="",FALSE,AND(tblOrdenes[[#This Row],[backlog_dias]]&gt;p_dias_backlog_min,tblOrdenes[[#This Row],[backlog_dias]]&lt;=p_dias_backlog_max))</f>
        <v/>
      </c>
      <c r="AB719" s="6" t="n"/>
      <c r="AC7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9" s="10">
        <f>IF(tblOrdenes[[#This Row],[orden]]="","",_xlfn.XLOOKUP(tblOrdenes[[#This Row],[id_operacion]],tblEjecucion[id_operacion],tblEjecucion[precio],0))</f>
        <v/>
      </c>
      <c r="AG719" s="10">
        <f>IF(tblOrdenes[[#This Row],[orden]]="","",MAX(0,_xlfn.XLOOKUP(tblOrdenes[[#This Row],[id_operacion]],tblEjecucion[id_operacion],tblEjecucion[costo_plan_total],0)-tblOrdenes[[#This Row],[costo_servicio]]))</f>
        <v/>
      </c>
      <c r="AH719" s="10">
        <f>IF(tblOrdenes[[#This Row],[orden]]="","",tblOrdenes[[#This Row],[costo_servicio]]+tblOrdenes[[#This Row],[costo_materiales]])</f>
        <v/>
      </c>
      <c r="AI719" s="6" t="n"/>
      <c r="AJ719" s="6" t="n"/>
      <c r="AK719" s="6" t="n"/>
      <c r="AL719" s="3">
        <f>IF(tblOrdenes[[#This Row],[link_checklist]]="","",HYPERLINK(p_ruta_base_checklists&amp;tblOrdenes[[#This Row],[link_checklist]],"abrir"))</f>
        <v/>
      </c>
      <c r="AM719" s="6" t="n"/>
      <c r="AN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Row],[tipo_ot]]="","",_xlfn.XLOOKUP(tblOrdenes[[#This Row],[tipo_ot]],tblTiposOT[codigo],tblTiposOT[clasificacion],"sin_clasificar"))</f>
        <v/>
      </c>
      <c r="T720" s="3">
        <f>IF(tblOrdenes[[#This Row],[centro_costo]]="","",_xlfn.XLOOKUP(tblOrdenes[[#This Row],[centro_costo]],tblCECO[codigo],tblCECO[linea],"(sin catálogo)"))</f>
        <v/>
      </c>
      <c r="U720" s="3">
        <f>IF(tblOrdenes[[#This Row],[centro_costo]]="","",_xlfn.XLOOKUP(tblOrdenes[[#This Row],[centro_costo]],tblCECO[codigo],tblCECO[area],"(sin catálogo)"))</f>
        <v/>
      </c>
      <c r="V720" s="3">
        <f>IF(tblOrdenes[[#This Row],[centro_costo]]="","",_xlfn.XLOOKUP(tblOrdenes[[#This Row],[centro_costo]],tblCECO[codigo],tblCECO[coordinador],"(sin catálogo)"))</f>
        <v/>
      </c>
      <c r="W720" s="3">
        <f>IF(tblOrdenes[[#This Row],[puesto_trabajo]]="","",_xlfn.XLOOKUP(tblOrdenes[[#This Row],[puesto_trabajo]],tblPuestos[codigo],tblPuestos[especialidad],"(sin catálogo)"))</f>
        <v/>
      </c>
      <c r="X720" s="3">
        <f>IF(tblOrdenes[[#This Row],[cod_actividad]]="","",_xlfn.XLOOKUP(tblOrdenes[[#This Row],[cod_actividad]],tblActividades[codigo],tblActividades[descripcion],"(sin catálogo)"))</f>
        <v/>
      </c>
      <c r="Y720" s="12">
        <f>IF(tblOrdenes[[#This Row],[fecha_inicio]]="","",TODAY()-tblOrdenes[[#This Row],[fecha_inicio]])</f>
        <v/>
      </c>
      <c r="Z720" s="3">
        <f>IF(tblOrdenes[[#This Row],[backlog_dias]]="","",IF(tblOrdenes[[#This Row],[backlog_dias]]&lt;0,"FUTURO",IF(tblOrdenes[[#This Row],[backlog_dias]]&gt;p_dias_backlog_max,"BACKLOG","MES CORRIENTE")))</f>
        <v/>
      </c>
      <c r="AA720" s="3">
        <f>IF(tblOrdenes[[#This Row],[backlog_dias]]="",FALSE,AND(tblOrdenes[[#This Row],[backlog_dias]]&gt;p_dias_backlog_min,tblOrdenes[[#This Row],[backlog_dias]]&lt;=p_dias_backlog_max))</f>
        <v/>
      </c>
      <c r="AB720" s="6" t="n"/>
      <c r="AC7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0" s="10">
        <f>IF(tblOrdenes[[#This Row],[orden]]="","",_xlfn.XLOOKUP(tblOrdenes[[#This Row],[id_operacion]],tblEjecucion[id_operacion],tblEjecucion[precio],0))</f>
        <v/>
      </c>
      <c r="AG720" s="10">
        <f>IF(tblOrdenes[[#This Row],[orden]]="","",MAX(0,_xlfn.XLOOKUP(tblOrdenes[[#This Row],[id_operacion]],tblEjecucion[id_operacion],tblEjecucion[costo_plan_total],0)-tblOrdenes[[#This Row],[costo_servicio]]))</f>
        <v/>
      </c>
      <c r="AH720" s="10">
        <f>IF(tblOrdenes[[#This Row],[orden]]="","",tblOrdenes[[#This Row],[costo_servicio]]+tblOrdenes[[#This Row],[costo_materiales]])</f>
        <v/>
      </c>
      <c r="AI720" s="6" t="n"/>
      <c r="AJ720" s="6" t="n"/>
      <c r="AK720" s="6" t="n"/>
      <c r="AL720" s="3">
        <f>IF(tblOrdenes[[#This Row],[link_checklist]]="","",HYPERLINK(p_ruta_base_checklists&amp;tblOrdenes[[#This Row],[link_checklist]],"abrir"))</f>
        <v/>
      </c>
      <c r="AM720" s="6" t="n"/>
      <c r="AN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Row],[tipo_ot]]="","",_xlfn.XLOOKUP(tblOrdenes[[#This Row],[tipo_ot]],tblTiposOT[codigo],tblTiposOT[clasificacion],"sin_clasificar"))</f>
        <v/>
      </c>
      <c r="T721" s="3">
        <f>IF(tblOrdenes[[#This Row],[centro_costo]]="","",_xlfn.XLOOKUP(tblOrdenes[[#This Row],[centro_costo]],tblCECO[codigo],tblCECO[linea],"(sin catálogo)"))</f>
        <v/>
      </c>
      <c r="U721" s="3">
        <f>IF(tblOrdenes[[#This Row],[centro_costo]]="","",_xlfn.XLOOKUP(tblOrdenes[[#This Row],[centro_costo]],tblCECO[codigo],tblCECO[area],"(sin catálogo)"))</f>
        <v/>
      </c>
      <c r="V721" s="3">
        <f>IF(tblOrdenes[[#This Row],[centro_costo]]="","",_xlfn.XLOOKUP(tblOrdenes[[#This Row],[centro_costo]],tblCECO[codigo],tblCECO[coordinador],"(sin catálogo)"))</f>
        <v/>
      </c>
      <c r="W721" s="3">
        <f>IF(tblOrdenes[[#This Row],[puesto_trabajo]]="","",_xlfn.XLOOKUP(tblOrdenes[[#This Row],[puesto_trabajo]],tblPuestos[codigo],tblPuestos[especialidad],"(sin catálogo)"))</f>
        <v/>
      </c>
      <c r="X721" s="3">
        <f>IF(tblOrdenes[[#This Row],[cod_actividad]]="","",_xlfn.XLOOKUP(tblOrdenes[[#This Row],[cod_actividad]],tblActividades[codigo],tblActividades[descripcion],"(sin catálogo)"))</f>
        <v/>
      </c>
      <c r="Y721" s="12">
        <f>IF(tblOrdenes[[#This Row],[fecha_inicio]]="","",TODAY()-tblOrdenes[[#This Row],[fecha_inicio]])</f>
        <v/>
      </c>
      <c r="Z721" s="3">
        <f>IF(tblOrdenes[[#This Row],[backlog_dias]]="","",IF(tblOrdenes[[#This Row],[backlog_dias]]&lt;0,"FUTURO",IF(tblOrdenes[[#This Row],[backlog_dias]]&gt;p_dias_backlog_max,"BACKLOG","MES CORRIENTE")))</f>
        <v/>
      </c>
      <c r="AA721" s="3">
        <f>IF(tblOrdenes[[#This Row],[backlog_dias]]="",FALSE,AND(tblOrdenes[[#This Row],[backlog_dias]]&gt;p_dias_backlog_min,tblOrdenes[[#This Row],[backlog_dias]]&lt;=p_dias_backlog_max))</f>
        <v/>
      </c>
      <c r="AB721" s="6" t="n"/>
      <c r="AC7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1" s="10">
        <f>IF(tblOrdenes[[#This Row],[orden]]="","",_xlfn.XLOOKUP(tblOrdenes[[#This Row],[id_operacion]],tblEjecucion[id_operacion],tblEjecucion[precio],0))</f>
        <v/>
      </c>
      <c r="AG721" s="10">
        <f>IF(tblOrdenes[[#This Row],[orden]]="","",MAX(0,_xlfn.XLOOKUP(tblOrdenes[[#This Row],[id_operacion]],tblEjecucion[id_operacion],tblEjecucion[costo_plan_total],0)-tblOrdenes[[#This Row],[costo_servicio]]))</f>
        <v/>
      </c>
      <c r="AH721" s="10">
        <f>IF(tblOrdenes[[#This Row],[orden]]="","",tblOrdenes[[#This Row],[costo_servicio]]+tblOrdenes[[#This Row],[costo_materiales]])</f>
        <v/>
      </c>
      <c r="AI721" s="6" t="n"/>
      <c r="AJ721" s="6" t="n"/>
      <c r="AK721" s="6" t="n"/>
      <c r="AL721" s="3">
        <f>IF(tblOrdenes[[#This Row],[link_checklist]]="","",HYPERLINK(p_ruta_base_checklists&amp;tblOrdenes[[#This Row],[link_checklist]],"abrir"))</f>
        <v/>
      </c>
      <c r="AM721" s="6" t="n"/>
      <c r="AN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Row],[tipo_ot]]="","",_xlfn.XLOOKUP(tblOrdenes[[#This Row],[tipo_ot]],tblTiposOT[codigo],tblTiposOT[clasificacion],"sin_clasificar"))</f>
        <v/>
      </c>
      <c r="T722" s="3">
        <f>IF(tblOrdenes[[#This Row],[centro_costo]]="","",_xlfn.XLOOKUP(tblOrdenes[[#This Row],[centro_costo]],tblCECO[codigo],tblCECO[linea],"(sin catálogo)"))</f>
        <v/>
      </c>
      <c r="U722" s="3">
        <f>IF(tblOrdenes[[#This Row],[centro_costo]]="","",_xlfn.XLOOKUP(tblOrdenes[[#This Row],[centro_costo]],tblCECO[codigo],tblCECO[area],"(sin catálogo)"))</f>
        <v/>
      </c>
      <c r="V722" s="3">
        <f>IF(tblOrdenes[[#This Row],[centro_costo]]="","",_xlfn.XLOOKUP(tblOrdenes[[#This Row],[centro_costo]],tblCECO[codigo],tblCECO[coordinador],"(sin catálogo)"))</f>
        <v/>
      </c>
      <c r="W722" s="3">
        <f>IF(tblOrdenes[[#This Row],[puesto_trabajo]]="","",_xlfn.XLOOKUP(tblOrdenes[[#This Row],[puesto_trabajo]],tblPuestos[codigo],tblPuestos[especialidad],"(sin catálogo)"))</f>
        <v/>
      </c>
      <c r="X722" s="3">
        <f>IF(tblOrdenes[[#This Row],[cod_actividad]]="","",_xlfn.XLOOKUP(tblOrdenes[[#This Row],[cod_actividad]],tblActividades[codigo],tblActividades[descripcion],"(sin catálogo)"))</f>
        <v/>
      </c>
      <c r="Y722" s="12">
        <f>IF(tblOrdenes[[#This Row],[fecha_inicio]]="","",TODAY()-tblOrdenes[[#This Row],[fecha_inicio]])</f>
        <v/>
      </c>
      <c r="Z722" s="3">
        <f>IF(tblOrdenes[[#This Row],[backlog_dias]]="","",IF(tblOrdenes[[#This Row],[backlog_dias]]&lt;0,"FUTURO",IF(tblOrdenes[[#This Row],[backlog_dias]]&gt;p_dias_backlog_max,"BACKLOG","MES CORRIENTE")))</f>
        <v/>
      </c>
      <c r="AA722" s="3">
        <f>IF(tblOrdenes[[#This Row],[backlog_dias]]="",FALSE,AND(tblOrdenes[[#This Row],[backlog_dias]]&gt;p_dias_backlog_min,tblOrdenes[[#This Row],[backlog_dias]]&lt;=p_dias_backlog_max))</f>
        <v/>
      </c>
      <c r="AB722" s="6" t="n"/>
      <c r="AC7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2" s="10">
        <f>IF(tblOrdenes[[#This Row],[orden]]="","",_xlfn.XLOOKUP(tblOrdenes[[#This Row],[id_operacion]],tblEjecucion[id_operacion],tblEjecucion[precio],0))</f>
        <v/>
      </c>
      <c r="AG722" s="10">
        <f>IF(tblOrdenes[[#This Row],[orden]]="","",MAX(0,_xlfn.XLOOKUP(tblOrdenes[[#This Row],[id_operacion]],tblEjecucion[id_operacion],tblEjecucion[costo_plan_total],0)-tblOrdenes[[#This Row],[costo_servicio]]))</f>
        <v/>
      </c>
      <c r="AH722" s="10">
        <f>IF(tblOrdenes[[#This Row],[orden]]="","",tblOrdenes[[#This Row],[costo_servicio]]+tblOrdenes[[#This Row],[costo_materiales]])</f>
        <v/>
      </c>
      <c r="AI722" s="6" t="n"/>
      <c r="AJ722" s="6" t="n"/>
      <c r="AK722" s="6" t="n"/>
      <c r="AL722" s="3">
        <f>IF(tblOrdenes[[#This Row],[link_checklist]]="","",HYPERLINK(p_ruta_base_checklists&amp;tblOrdenes[[#This Row],[link_checklist]],"abrir"))</f>
        <v/>
      </c>
      <c r="AM722" s="6" t="n"/>
      <c r="AN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Row],[tipo_ot]]="","",_xlfn.XLOOKUP(tblOrdenes[[#This Row],[tipo_ot]],tblTiposOT[codigo],tblTiposOT[clasificacion],"sin_clasificar"))</f>
        <v/>
      </c>
      <c r="T723" s="3">
        <f>IF(tblOrdenes[[#This Row],[centro_costo]]="","",_xlfn.XLOOKUP(tblOrdenes[[#This Row],[centro_costo]],tblCECO[codigo],tblCECO[linea],"(sin catálogo)"))</f>
        <v/>
      </c>
      <c r="U723" s="3">
        <f>IF(tblOrdenes[[#This Row],[centro_costo]]="","",_xlfn.XLOOKUP(tblOrdenes[[#This Row],[centro_costo]],tblCECO[codigo],tblCECO[area],"(sin catálogo)"))</f>
        <v/>
      </c>
      <c r="V723" s="3">
        <f>IF(tblOrdenes[[#This Row],[centro_costo]]="","",_xlfn.XLOOKUP(tblOrdenes[[#This Row],[centro_costo]],tblCECO[codigo],tblCECO[coordinador],"(sin catálogo)"))</f>
        <v/>
      </c>
      <c r="W723" s="3">
        <f>IF(tblOrdenes[[#This Row],[puesto_trabajo]]="","",_xlfn.XLOOKUP(tblOrdenes[[#This Row],[puesto_trabajo]],tblPuestos[codigo],tblPuestos[especialidad],"(sin catálogo)"))</f>
        <v/>
      </c>
      <c r="X723" s="3">
        <f>IF(tblOrdenes[[#This Row],[cod_actividad]]="","",_xlfn.XLOOKUP(tblOrdenes[[#This Row],[cod_actividad]],tblActividades[codigo],tblActividades[descripcion],"(sin catálogo)"))</f>
        <v/>
      </c>
      <c r="Y723" s="12">
        <f>IF(tblOrdenes[[#This Row],[fecha_inicio]]="","",TODAY()-tblOrdenes[[#This Row],[fecha_inicio]])</f>
        <v/>
      </c>
      <c r="Z723" s="3">
        <f>IF(tblOrdenes[[#This Row],[backlog_dias]]="","",IF(tblOrdenes[[#This Row],[backlog_dias]]&lt;0,"FUTURO",IF(tblOrdenes[[#This Row],[backlog_dias]]&gt;p_dias_backlog_max,"BACKLOG","MES CORRIENTE")))</f>
        <v/>
      </c>
      <c r="AA723" s="3">
        <f>IF(tblOrdenes[[#This Row],[backlog_dias]]="",FALSE,AND(tblOrdenes[[#This Row],[backlog_dias]]&gt;p_dias_backlog_min,tblOrdenes[[#This Row],[backlog_dias]]&lt;=p_dias_backlog_max))</f>
        <v/>
      </c>
      <c r="AB723" s="6" t="n"/>
      <c r="AC7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3" s="10">
        <f>IF(tblOrdenes[[#This Row],[orden]]="","",_xlfn.XLOOKUP(tblOrdenes[[#This Row],[id_operacion]],tblEjecucion[id_operacion],tblEjecucion[precio],0))</f>
        <v/>
      </c>
      <c r="AG723" s="10">
        <f>IF(tblOrdenes[[#This Row],[orden]]="","",MAX(0,_xlfn.XLOOKUP(tblOrdenes[[#This Row],[id_operacion]],tblEjecucion[id_operacion],tblEjecucion[costo_plan_total],0)-tblOrdenes[[#This Row],[costo_servicio]]))</f>
        <v/>
      </c>
      <c r="AH723" s="10">
        <f>IF(tblOrdenes[[#This Row],[orden]]="","",tblOrdenes[[#This Row],[costo_servicio]]+tblOrdenes[[#This Row],[costo_materiales]])</f>
        <v/>
      </c>
      <c r="AI723" s="6" t="n"/>
      <c r="AJ723" s="6" t="n"/>
      <c r="AK723" s="6" t="n"/>
      <c r="AL723" s="3">
        <f>IF(tblOrdenes[[#This Row],[link_checklist]]="","",HYPERLINK(p_ruta_base_checklists&amp;tblOrdenes[[#This Row],[link_checklist]],"abrir"))</f>
        <v/>
      </c>
      <c r="AM723" s="6" t="n"/>
      <c r="AN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Row],[tipo_ot]]="","",_xlfn.XLOOKUP(tblOrdenes[[#This Row],[tipo_ot]],tblTiposOT[codigo],tblTiposOT[clasificacion],"sin_clasificar"))</f>
        <v/>
      </c>
      <c r="T724" s="3">
        <f>IF(tblOrdenes[[#This Row],[centro_costo]]="","",_xlfn.XLOOKUP(tblOrdenes[[#This Row],[centro_costo]],tblCECO[codigo],tblCECO[linea],"(sin catálogo)"))</f>
        <v/>
      </c>
      <c r="U724" s="3">
        <f>IF(tblOrdenes[[#This Row],[centro_costo]]="","",_xlfn.XLOOKUP(tblOrdenes[[#This Row],[centro_costo]],tblCECO[codigo],tblCECO[area],"(sin catálogo)"))</f>
        <v/>
      </c>
      <c r="V724" s="3">
        <f>IF(tblOrdenes[[#This Row],[centro_costo]]="","",_xlfn.XLOOKUP(tblOrdenes[[#This Row],[centro_costo]],tblCECO[codigo],tblCECO[coordinador],"(sin catálogo)"))</f>
        <v/>
      </c>
      <c r="W724" s="3">
        <f>IF(tblOrdenes[[#This Row],[puesto_trabajo]]="","",_xlfn.XLOOKUP(tblOrdenes[[#This Row],[puesto_trabajo]],tblPuestos[codigo],tblPuestos[especialidad],"(sin catálogo)"))</f>
        <v/>
      </c>
      <c r="X724" s="3">
        <f>IF(tblOrdenes[[#This Row],[cod_actividad]]="","",_xlfn.XLOOKUP(tblOrdenes[[#This Row],[cod_actividad]],tblActividades[codigo],tblActividades[descripcion],"(sin catálogo)"))</f>
        <v/>
      </c>
      <c r="Y724" s="12">
        <f>IF(tblOrdenes[[#This Row],[fecha_inicio]]="","",TODAY()-tblOrdenes[[#This Row],[fecha_inicio]])</f>
        <v/>
      </c>
      <c r="Z724" s="3">
        <f>IF(tblOrdenes[[#This Row],[backlog_dias]]="","",IF(tblOrdenes[[#This Row],[backlog_dias]]&lt;0,"FUTURO",IF(tblOrdenes[[#This Row],[backlog_dias]]&gt;p_dias_backlog_max,"BACKLOG","MES CORRIENTE")))</f>
        <v/>
      </c>
      <c r="AA724" s="3">
        <f>IF(tblOrdenes[[#This Row],[backlog_dias]]="",FALSE,AND(tblOrdenes[[#This Row],[backlog_dias]]&gt;p_dias_backlog_min,tblOrdenes[[#This Row],[backlog_dias]]&lt;=p_dias_backlog_max))</f>
        <v/>
      </c>
      <c r="AB724" s="6" t="n"/>
      <c r="AC7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4" s="10">
        <f>IF(tblOrdenes[[#This Row],[orden]]="","",_xlfn.XLOOKUP(tblOrdenes[[#This Row],[id_operacion]],tblEjecucion[id_operacion],tblEjecucion[precio],0))</f>
        <v/>
      </c>
      <c r="AG724" s="10">
        <f>IF(tblOrdenes[[#This Row],[orden]]="","",MAX(0,_xlfn.XLOOKUP(tblOrdenes[[#This Row],[id_operacion]],tblEjecucion[id_operacion],tblEjecucion[costo_plan_total],0)-tblOrdenes[[#This Row],[costo_servicio]]))</f>
        <v/>
      </c>
      <c r="AH724" s="10">
        <f>IF(tblOrdenes[[#This Row],[orden]]="","",tblOrdenes[[#This Row],[costo_servicio]]+tblOrdenes[[#This Row],[costo_materiales]])</f>
        <v/>
      </c>
      <c r="AI724" s="6" t="n"/>
      <c r="AJ724" s="6" t="n"/>
      <c r="AK724" s="6" t="n"/>
      <c r="AL724" s="3">
        <f>IF(tblOrdenes[[#This Row],[link_checklist]]="","",HYPERLINK(p_ruta_base_checklists&amp;tblOrdenes[[#This Row],[link_checklist]],"abrir"))</f>
        <v/>
      </c>
      <c r="AM724" s="6" t="n"/>
      <c r="AN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Row],[tipo_ot]]="","",_xlfn.XLOOKUP(tblOrdenes[[#This Row],[tipo_ot]],tblTiposOT[codigo],tblTiposOT[clasificacion],"sin_clasificar"))</f>
        <v/>
      </c>
      <c r="T725" s="3">
        <f>IF(tblOrdenes[[#This Row],[centro_costo]]="","",_xlfn.XLOOKUP(tblOrdenes[[#This Row],[centro_costo]],tblCECO[codigo],tblCECO[linea],"(sin catálogo)"))</f>
        <v/>
      </c>
      <c r="U725" s="3">
        <f>IF(tblOrdenes[[#This Row],[centro_costo]]="","",_xlfn.XLOOKUP(tblOrdenes[[#This Row],[centro_costo]],tblCECO[codigo],tblCECO[area],"(sin catálogo)"))</f>
        <v/>
      </c>
      <c r="V725" s="3">
        <f>IF(tblOrdenes[[#This Row],[centro_costo]]="","",_xlfn.XLOOKUP(tblOrdenes[[#This Row],[centro_costo]],tblCECO[codigo],tblCECO[coordinador],"(sin catálogo)"))</f>
        <v/>
      </c>
      <c r="W725" s="3">
        <f>IF(tblOrdenes[[#This Row],[puesto_trabajo]]="","",_xlfn.XLOOKUP(tblOrdenes[[#This Row],[puesto_trabajo]],tblPuestos[codigo],tblPuestos[especialidad],"(sin catálogo)"))</f>
        <v/>
      </c>
      <c r="X725" s="3">
        <f>IF(tblOrdenes[[#This Row],[cod_actividad]]="","",_xlfn.XLOOKUP(tblOrdenes[[#This Row],[cod_actividad]],tblActividades[codigo],tblActividades[descripcion],"(sin catálogo)"))</f>
        <v/>
      </c>
      <c r="Y725" s="12">
        <f>IF(tblOrdenes[[#This Row],[fecha_inicio]]="","",TODAY()-tblOrdenes[[#This Row],[fecha_inicio]])</f>
        <v/>
      </c>
      <c r="Z725" s="3">
        <f>IF(tblOrdenes[[#This Row],[backlog_dias]]="","",IF(tblOrdenes[[#This Row],[backlog_dias]]&lt;0,"FUTURO",IF(tblOrdenes[[#This Row],[backlog_dias]]&gt;p_dias_backlog_max,"BACKLOG","MES CORRIENTE")))</f>
        <v/>
      </c>
      <c r="AA725" s="3">
        <f>IF(tblOrdenes[[#This Row],[backlog_dias]]="",FALSE,AND(tblOrdenes[[#This Row],[backlog_dias]]&gt;p_dias_backlog_min,tblOrdenes[[#This Row],[backlog_dias]]&lt;=p_dias_backlog_max))</f>
        <v/>
      </c>
      <c r="AB725" s="6" t="n"/>
      <c r="AC7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5" s="10">
        <f>IF(tblOrdenes[[#This Row],[orden]]="","",_xlfn.XLOOKUP(tblOrdenes[[#This Row],[id_operacion]],tblEjecucion[id_operacion],tblEjecucion[precio],0))</f>
        <v/>
      </c>
      <c r="AG725" s="10">
        <f>IF(tblOrdenes[[#This Row],[orden]]="","",MAX(0,_xlfn.XLOOKUP(tblOrdenes[[#This Row],[id_operacion]],tblEjecucion[id_operacion],tblEjecucion[costo_plan_total],0)-tblOrdenes[[#This Row],[costo_servicio]]))</f>
        <v/>
      </c>
      <c r="AH725" s="10">
        <f>IF(tblOrdenes[[#This Row],[orden]]="","",tblOrdenes[[#This Row],[costo_servicio]]+tblOrdenes[[#This Row],[costo_materiales]])</f>
        <v/>
      </c>
      <c r="AI725" s="6" t="n"/>
      <c r="AJ725" s="6" t="n"/>
      <c r="AK725" s="6" t="n"/>
      <c r="AL725" s="3">
        <f>IF(tblOrdenes[[#This Row],[link_checklist]]="","",HYPERLINK(p_ruta_base_checklists&amp;tblOrdenes[[#This Row],[link_checklist]],"abrir"))</f>
        <v/>
      </c>
      <c r="AM725" s="6" t="n"/>
      <c r="AN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Row],[tipo_ot]]="","",_xlfn.XLOOKUP(tblOrdenes[[#This Row],[tipo_ot]],tblTiposOT[codigo],tblTiposOT[clasificacion],"sin_clasificar"))</f>
        <v/>
      </c>
      <c r="T726" s="3">
        <f>IF(tblOrdenes[[#This Row],[centro_costo]]="","",_xlfn.XLOOKUP(tblOrdenes[[#This Row],[centro_costo]],tblCECO[codigo],tblCECO[linea],"(sin catálogo)"))</f>
        <v/>
      </c>
      <c r="U726" s="3">
        <f>IF(tblOrdenes[[#This Row],[centro_costo]]="","",_xlfn.XLOOKUP(tblOrdenes[[#This Row],[centro_costo]],tblCECO[codigo],tblCECO[area],"(sin catálogo)"))</f>
        <v/>
      </c>
      <c r="V726" s="3">
        <f>IF(tblOrdenes[[#This Row],[centro_costo]]="","",_xlfn.XLOOKUP(tblOrdenes[[#This Row],[centro_costo]],tblCECO[codigo],tblCECO[coordinador],"(sin catálogo)"))</f>
        <v/>
      </c>
      <c r="W726" s="3">
        <f>IF(tblOrdenes[[#This Row],[puesto_trabajo]]="","",_xlfn.XLOOKUP(tblOrdenes[[#This Row],[puesto_trabajo]],tblPuestos[codigo],tblPuestos[especialidad],"(sin catálogo)"))</f>
        <v/>
      </c>
      <c r="X726" s="3">
        <f>IF(tblOrdenes[[#This Row],[cod_actividad]]="","",_xlfn.XLOOKUP(tblOrdenes[[#This Row],[cod_actividad]],tblActividades[codigo],tblActividades[descripcion],"(sin catálogo)"))</f>
        <v/>
      </c>
      <c r="Y726" s="12">
        <f>IF(tblOrdenes[[#This Row],[fecha_inicio]]="","",TODAY()-tblOrdenes[[#This Row],[fecha_inicio]])</f>
        <v/>
      </c>
      <c r="Z726" s="3">
        <f>IF(tblOrdenes[[#This Row],[backlog_dias]]="","",IF(tblOrdenes[[#This Row],[backlog_dias]]&lt;0,"FUTURO",IF(tblOrdenes[[#This Row],[backlog_dias]]&gt;p_dias_backlog_max,"BACKLOG","MES CORRIENTE")))</f>
        <v/>
      </c>
      <c r="AA726" s="3">
        <f>IF(tblOrdenes[[#This Row],[backlog_dias]]="",FALSE,AND(tblOrdenes[[#This Row],[backlog_dias]]&gt;p_dias_backlog_min,tblOrdenes[[#This Row],[backlog_dias]]&lt;=p_dias_backlog_max))</f>
        <v/>
      </c>
      <c r="AB726" s="6" t="n"/>
      <c r="AC7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6" s="10">
        <f>IF(tblOrdenes[[#This Row],[orden]]="","",_xlfn.XLOOKUP(tblOrdenes[[#This Row],[id_operacion]],tblEjecucion[id_operacion],tblEjecucion[precio],0))</f>
        <v/>
      </c>
      <c r="AG726" s="10">
        <f>IF(tblOrdenes[[#This Row],[orden]]="","",MAX(0,_xlfn.XLOOKUP(tblOrdenes[[#This Row],[id_operacion]],tblEjecucion[id_operacion],tblEjecucion[costo_plan_total],0)-tblOrdenes[[#This Row],[costo_servicio]]))</f>
        <v/>
      </c>
      <c r="AH726" s="10">
        <f>IF(tblOrdenes[[#This Row],[orden]]="","",tblOrdenes[[#This Row],[costo_servicio]]+tblOrdenes[[#This Row],[costo_materiales]])</f>
        <v/>
      </c>
      <c r="AI726" s="6" t="n"/>
      <c r="AJ726" s="6" t="n"/>
      <c r="AK726" s="6" t="n"/>
      <c r="AL726" s="3">
        <f>IF(tblOrdenes[[#This Row],[link_checklist]]="","",HYPERLINK(p_ruta_base_checklists&amp;tblOrdenes[[#This Row],[link_checklist]],"abrir"))</f>
        <v/>
      </c>
      <c r="AM726" s="6" t="n"/>
      <c r="AN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Row],[tipo_ot]]="","",_xlfn.XLOOKUP(tblOrdenes[[#This Row],[tipo_ot]],tblTiposOT[codigo],tblTiposOT[clasificacion],"sin_clasificar"))</f>
        <v/>
      </c>
      <c r="T727" s="3">
        <f>IF(tblOrdenes[[#This Row],[centro_costo]]="","",_xlfn.XLOOKUP(tblOrdenes[[#This Row],[centro_costo]],tblCECO[codigo],tblCECO[linea],"(sin catálogo)"))</f>
        <v/>
      </c>
      <c r="U727" s="3">
        <f>IF(tblOrdenes[[#This Row],[centro_costo]]="","",_xlfn.XLOOKUP(tblOrdenes[[#This Row],[centro_costo]],tblCECO[codigo],tblCECO[area],"(sin catálogo)"))</f>
        <v/>
      </c>
      <c r="V727" s="3">
        <f>IF(tblOrdenes[[#This Row],[centro_costo]]="","",_xlfn.XLOOKUP(tblOrdenes[[#This Row],[centro_costo]],tblCECO[codigo],tblCECO[coordinador],"(sin catálogo)"))</f>
        <v/>
      </c>
      <c r="W727" s="3">
        <f>IF(tblOrdenes[[#This Row],[puesto_trabajo]]="","",_xlfn.XLOOKUP(tblOrdenes[[#This Row],[puesto_trabajo]],tblPuestos[codigo],tblPuestos[especialidad],"(sin catálogo)"))</f>
        <v/>
      </c>
      <c r="X727" s="3">
        <f>IF(tblOrdenes[[#This Row],[cod_actividad]]="","",_xlfn.XLOOKUP(tblOrdenes[[#This Row],[cod_actividad]],tblActividades[codigo],tblActividades[descripcion],"(sin catálogo)"))</f>
        <v/>
      </c>
      <c r="Y727" s="12">
        <f>IF(tblOrdenes[[#This Row],[fecha_inicio]]="","",TODAY()-tblOrdenes[[#This Row],[fecha_inicio]])</f>
        <v/>
      </c>
      <c r="Z727" s="3">
        <f>IF(tblOrdenes[[#This Row],[backlog_dias]]="","",IF(tblOrdenes[[#This Row],[backlog_dias]]&lt;0,"FUTURO",IF(tblOrdenes[[#This Row],[backlog_dias]]&gt;p_dias_backlog_max,"BACKLOG","MES CORRIENTE")))</f>
        <v/>
      </c>
      <c r="AA727" s="3">
        <f>IF(tblOrdenes[[#This Row],[backlog_dias]]="",FALSE,AND(tblOrdenes[[#This Row],[backlog_dias]]&gt;p_dias_backlog_min,tblOrdenes[[#This Row],[backlog_dias]]&lt;=p_dias_backlog_max))</f>
        <v/>
      </c>
      <c r="AB727" s="6" t="n"/>
      <c r="AC7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7" s="10">
        <f>IF(tblOrdenes[[#This Row],[orden]]="","",_xlfn.XLOOKUP(tblOrdenes[[#This Row],[id_operacion]],tblEjecucion[id_operacion],tblEjecucion[precio],0))</f>
        <v/>
      </c>
      <c r="AG727" s="10">
        <f>IF(tblOrdenes[[#This Row],[orden]]="","",MAX(0,_xlfn.XLOOKUP(tblOrdenes[[#This Row],[id_operacion]],tblEjecucion[id_operacion],tblEjecucion[costo_plan_total],0)-tblOrdenes[[#This Row],[costo_servicio]]))</f>
        <v/>
      </c>
      <c r="AH727" s="10">
        <f>IF(tblOrdenes[[#This Row],[orden]]="","",tblOrdenes[[#This Row],[costo_servicio]]+tblOrdenes[[#This Row],[costo_materiales]])</f>
        <v/>
      </c>
      <c r="AI727" s="6" t="n"/>
      <c r="AJ727" s="6" t="n"/>
      <c r="AK727" s="6" t="n"/>
      <c r="AL727" s="3">
        <f>IF(tblOrdenes[[#This Row],[link_checklist]]="","",HYPERLINK(p_ruta_base_checklists&amp;tblOrdenes[[#This Row],[link_checklist]],"abrir"))</f>
        <v/>
      </c>
      <c r="AM727" s="6" t="n"/>
      <c r="AN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Row],[tipo_ot]]="","",_xlfn.XLOOKUP(tblOrdenes[[#This Row],[tipo_ot]],tblTiposOT[codigo],tblTiposOT[clasificacion],"sin_clasificar"))</f>
        <v/>
      </c>
      <c r="T728" s="3">
        <f>IF(tblOrdenes[[#This Row],[centro_costo]]="","",_xlfn.XLOOKUP(tblOrdenes[[#This Row],[centro_costo]],tblCECO[codigo],tblCECO[linea],"(sin catálogo)"))</f>
        <v/>
      </c>
      <c r="U728" s="3">
        <f>IF(tblOrdenes[[#This Row],[centro_costo]]="","",_xlfn.XLOOKUP(tblOrdenes[[#This Row],[centro_costo]],tblCECO[codigo],tblCECO[area],"(sin catálogo)"))</f>
        <v/>
      </c>
      <c r="V728" s="3">
        <f>IF(tblOrdenes[[#This Row],[centro_costo]]="","",_xlfn.XLOOKUP(tblOrdenes[[#This Row],[centro_costo]],tblCECO[codigo],tblCECO[coordinador],"(sin catálogo)"))</f>
        <v/>
      </c>
      <c r="W728" s="3">
        <f>IF(tblOrdenes[[#This Row],[puesto_trabajo]]="","",_xlfn.XLOOKUP(tblOrdenes[[#This Row],[puesto_trabajo]],tblPuestos[codigo],tblPuestos[especialidad],"(sin catálogo)"))</f>
        <v/>
      </c>
      <c r="X728" s="3">
        <f>IF(tblOrdenes[[#This Row],[cod_actividad]]="","",_xlfn.XLOOKUP(tblOrdenes[[#This Row],[cod_actividad]],tblActividades[codigo],tblActividades[descripcion],"(sin catálogo)"))</f>
        <v/>
      </c>
      <c r="Y728" s="12">
        <f>IF(tblOrdenes[[#This Row],[fecha_inicio]]="","",TODAY()-tblOrdenes[[#This Row],[fecha_inicio]])</f>
        <v/>
      </c>
      <c r="Z728" s="3">
        <f>IF(tblOrdenes[[#This Row],[backlog_dias]]="","",IF(tblOrdenes[[#This Row],[backlog_dias]]&lt;0,"FUTURO",IF(tblOrdenes[[#This Row],[backlog_dias]]&gt;p_dias_backlog_max,"BACKLOG","MES CORRIENTE")))</f>
        <v/>
      </c>
      <c r="AA728" s="3">
        <f>IF(tblOrdenes[[#This Row],[backlog_dias]]="",FALSE,AND(tblOrdenes[[#This Row],[backlog_dias]]&gt;p_dias_backlog_min,tblOrdenes[[#This Row],[backlog_dias]]&lt;=p_dias_backlog_max))</f>
        <v/>
      </c>
      <c r="AB728" s="6" t="n"/>
      <c r="AC7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8" s="10">
        <f>IF(tblOrdenes[[#This Row],[orden]]="","",_xlfn.XLOOKUP(tblOrdenes[[#This Row],[id_operacion]],tblEjecucion[id_operacion],tblEjecucion[precio],0))</f>
        <v/>
      </c>
      <c r="AG728" s="10">
        <f>IF(tblOrdenes[[#This Row],[orden]]="","",MAX(0,_xlfn.XLOOKUP(tblOrdenes[[#This Row],[id_operacion]],tblEjecucion[id_operacion],tblEjecucion[costo_plan_total],0)-tblOrdenes[[#This Row],[costo_servicio]]))</f>
        <v/>
      </c>
      <c r="AH728" s="10">
        <f>IF(tblOrdenes[[#This Row],[orden]]="","",tblOrdenes[[#This Row],[costo_servicio]]+tblOrdenes[[#This Row],[costo_materiales]])</f>
        <v/>
      </c>
      <c r="AI728" s="6" t="n"/>
      <c r="AJ728" s="6" t="n"/>
      <c r="AK728" s="6" t="n"/>
      <c r="AL728" s="3">
        <f>IF(tblOrdenes[[#This Row],[link_checklist]]="","",HYPERLINK(p_ruta_base_checklists&amp;tblOrdenes[[#This Row],[link_checklist]],"abrir"))</f>
        <v/>
      </c>
      <c r="AM728" s="6" t="n"/>
      <c r="AN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Row],[tipo_ot]]="","",_xlfn.XLOOKUP(tblOrdenes[[#This Row],[tipo_ot]],tblTiposOT[codigo],tblTiposOT[clasificacion],"sin_clasificar"))</f>
        <v/>
      </c>
      <c r="T729" s="3">
        <f>IF(tblOrdenes[[#This Row],[centro_costo]]="","",_xlfn.XLOOKUP(tblOrdenes[[#This Row],[centro_costo]],tblCECO[codigo],tblCECO[linea],"(sin catálogo)"))</f>
        <v/>
      </c>
      <c r="U729" s="3">
        <f>IF(tblOrdenes[[#This Row],[centro_costo]]="","",_xlfn.XLOOKUP(tblOrdenes[[#This Row],[centro_costo]],tblCECO[codigo],tblCECO[area],"(sin catálogo)"))</f>
        <v/>
      </c>
      <c r="V729" s="3">
        <f>IF(tblOrdenes[[#This Row],[centro_costo]]="","",_xlfn.XLOOKUP(tblOrdenes[[#This Row],[centro_costo]],tblCECO[codigo],tblCECO[coordinador],"(sin catálogo)"))</f>
        <v/>
      </c>
      <c r="W729" s="3">
        <f>IF(tblOrdenes[[#This Row],[puesto_trabajo]]="","",_xlfn.XLOOKUP(tblOrdenes[[#This Row],[puesto_trabajo]],tblPuestos[codigo],tblPuestos[especialidad],"(sin catálogo)"))</f>
        <v/>
      </c>
      <c r="X729" s="3">
        <f>IF(tblOrdenes[[#This Row],[cod_actividad]]="","",_xlfn.XLOOKUP(tblOrdenes[[#This Row],[cod_actividad]],tblActividades[codigo],tblActividades[descripcion],"(sin catálogo)"))</f>
        <v/>
      </c>
      <c r="Y729" s="12">
        <f>IF(tblOrdenes[[#This Row],[fecha_inicio]]="","",TODAY()-tblOrdenes[[#This Row],[fecha_inicio]])</f>
        <v/>
      </c>
      <c r="Z729" s="3">
        <f>IF(tblOrdenes[[#This Row],[backlog_dias]]="","",IF(tblOrdenes[[#This Row],[backlog_dias]]&lt;0,"FUTURO",IF(tblOrdenes[[#This Row],[backlog_dias]]&gt;p_dias_backlog_max,"BACKLOG","MES CORRIENTE")))</f>
        <v/>
      </c>
      <c r="AA729" s="3">
        <f>IF(tblOrdenes[[#This Row],[backlog_dias]]="",FALSE,AND(tblOrdenes[[#This Row],[backlog_dias]]&gt;p_dias_backlog_min,tblOrdenes[[#This Row],[backlog_dias]]&lt;=p_dias_backlog_max))</f>
        <v/>
      </c>
      <c r="AB729" s="6" t="n"/>
      <c r="AC7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9" s="10">
        <f>IF(tblOrdenes[[#This Row],[orden]]="","",_xlfn.XLOOKUP(tblOrdenes[[#This Row],[id_operacion]],tblEjecucion[id_operacion],tblEjecucion[precio],0))</f>
        <v/>
      </c>
      <c r="AG729" s="10">
        <f>IF(tblOrdenes[[#This Row],[orden]]="","",MAX(0,_xlfn.XLOOKUP(tblOrdenes[[#This Row],[id_operacion]],tblEjecucion[id_operacion],tblEjecucion[costo_plan_total],0)-tblOrdenes[[#This Row],[costo_servicio]]))</f>
        <v/>
      </c>
      <c r="AH729" s="10">
        <f>IF(tblOrdenes[[#This Row],[orden]]="","",tblOrdenes[[#This Row],[costo_servicio]]+tblOrdenes[[#This Row],[costo_materiales]])</f>
        <v/>
      </c>
      <c r="AI729" s="6" t="n"/>
      <c r="AJ729" s="6" t="n"/>
      <c r="AK729" s="6" t="n"/>
      <c r="AL729" s="3">
        <f>IF(tblOrdenes[[#This Row],[link_checklist]]="","",HYPERLINK(p_ruta_base_checklists&amp;tblOrdenes[[#This Row],[link_checklist]],"abrir"))</f>
        <v/>
      </c>
      <c r="AM729" s="6" t="n"/>
      <c r="AN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Row],[tipo_ot]]="","",_xlfn.XLOOKUP(tblOrdenes[[#This Row],[tipo_ot]],tblTiposOT[codigo],tblTiposOT[clasificacion],"sin_clasificar"))</f>
        <v/>
      </c>
      <c r="T730" s="3">
        <f>IF(tblOrdenes[[#This Row],[centro_costo]]="","",_xlfn.XLOOKUP(tblOrdenes[[#This Row],[centro_costo]],tblCECO[codigo],tblCECO[linea],"(sin catálogo)"))</f>
        <v/>
      </c>
      <c r="U730" s="3">
        <f>IF(tblOrdenes[[#This Row],[centro_costo]]="","",_xlfn.XLOOKUP(tblOrdenes[[#This Row],[centro_costo]],tblCECO[codigo],tblCECO[area],"(sin catálogo)"))</f>
        <v/>
      </c>
      <c r="V730" s="3">
        <f>IF(tblOrdenes[[#This Row],[centro_costo]]="","",_xlfn.XLOOKUP(tblOrdenes[[#This Row],[centro_costo]],tblCECO[codigo],tblCECO[coordinador],"(sin catálogo)"))</f>
        <v/>
      </c>
      <c r="W730" s="3">
        <f>IF(tblOrdenes[[#This Row],[puesto_trabajo]]="","",_xlfn.XLOOKUP(tblOrdenes[[#This Row],[puesto_trabajo]],tblPuestos[codigo],tblPuestos[especialidad],"(sin catálogo)"))</f>
        <v/>
      </c>
      <c r="X730" s="3">
        <f>IF(tblOrdenes[[#This Row],[cod_actividad]]="","",_xlfn.XLOOKUP(tblOrdenes[[#This Row],[cod_actividad]],tblActividades[codigo],tblActividades[descripcion],"(sin catálogo)"))</f>
        <v/>
      </c>
      <c r="Y730" s="12">
        <f>IF(tblOrdenes[[#This Row],[fecha_inicio]]="","",TODAY()-tblOrdenes[[#This Row],[fecha_inicio]])</f>
        <v/>
      </c>
      <c r="Z730" s="3">
        <f>IF(tblOrdenes[[#This Row],[backlog_dias]]="","",IF(tblOrdenes[[#This Row],[backlog_dias]]&lt;0,"FUTURO",IF(tblOrdenes[[#This Row],[backlog_dias]]&gt;p_dias_backlog_max,"BACKLOG","MES CORRIENTE")))</f>
        <v/>
      </c>
      <c r="AA730" s="3">
        <f>IF(tblOrdenes[[#This Row],[backlog_dias]]="",FALSE,AND(tblOrdenes[[#This Row],[backlog_dias]]&gt;p_dias_backlog_min,tblOrdenes[[#This Row],[backlog_dias]]&lt;=p_dias_backlog_max))</f>
        <v/>
      </c>
      <c r="AB730" s="6" t="n"/>
      <c r="AC7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0" s="10">
        <f>IF(tblOrdenes[[#This Row],[orden]]="","",_xlfn.XLOOKUP(tblOrdenes[[#This Row],[id_operacion]],tblEjecucion[id_operacion],tblEjecucion[precio],0))</f>
        <v/>
      </c>
      <c r="AG730" s="10">
        <f>IF(tblOrdenes[[#This Row],[orden]]="","",MAX(0,_xlfn.XLOOKUP(tblOrdenes[[#This Row],[id_operacion]],tblEjecucion[id_operacion],tblEjecucion[costo_plan_total],0)-tblOrdenes[[#This Row],[costo_servicio]]))</f>
        <v/>
      </c>
      <c r="AH730" s="10">
        <f>IF(tblOrdenes[[#This Row],[orden]]="","",tblOrdenes[[#This Row],[costo_servicio]]+tblOrdenes[[#This Row],[costo_materiales]])</f>
        <v/>
      </c>
      <c r="AI730" s="6" t="n"/>
      <c r="AJ730" s="6" t="n"/>
      <c r="AK730" s="6" t="n"/>
      <c r="AL730" s="3">
        <f>IF(tblOrdenes[[#This Row],[link_checklist]]="","",HYPERLINK(p_ruta_base_checklists&amp;tblOrdenes[[#This Row],[link_checklist]],"abrir"))</f>
        <v/>
      </c>
      <c r="AM730" s="6" t="n"/>
      <c r="AN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Row],[tipo_ot]]="","",_xlfn.XLOOKUP(tblOrdenes[[#This Row],[tipo_ot]],tblTiposOT[codigo],tblTiposOT[clasificacion],"sin_clasificar"))</f>
        <v/>
      </c>
      <c r="T731" s="3">
        <f>IF(tblOrdenes[[#This Row],[centro_costo]]="","",_xlfn.XLOOKUP(tblOrdenes[[#This Row],[centro_costo]],tblCECO[codigo],tblCECO[linea],"(sin catálogo)"))</f>
        <v/>
      </c>
      <c r="U731" s="3">
        <f>IF(tblOrdenes[[#This Row],[centro_costo]]="","",_xlfn.XLOOKUP(tblOrdenes[[#This Row],[centro_costo]],tblCECO[codigo],tblCECO[area],"(sin catálogo)"))</f>
        <v/>
      </c>
      <c r="V731" s="3">
        <f>IF(tblOrdenes[[#This Row],[centro_costo]]="","",_xlfn.XLOOKUP(tblOrdenes[[#This Row],[centro_costo]],tblCECO[codigo],tblCECO[coordinador],"(sin catálogo)"))</f>
        <v/>
      </c>
      <c r="W731" s="3">
        <f>IF(tblOrdenes[[#This Row],[puesto_trabajo]]="","",_xlfn.XLOOKUP(tblOrdenes[[#This Row],[puesto_trabajo]],tblPuestos[codigo],tblPuestos[especialidad],"(sin catálogo)"))</f>
        <v/>
      </c>
      <c r="X731" s="3">
        <f>IF(tblOrdenes[[#This Row],[cod_actividad]]="","",_xlfn.XLOOKUP(tblOrdenes[[#This Row],[cod_actividad]],tblActividades[codigo],tblActividades[descripcion],"(sin catálogo)"))</f>
        <v/>
      </c>
      <c r="Y731" s="12">
        <f>IF(tblOrdenes[[#This Row],[fecha_inicio]]="","",TODAY()-tblOrdenes[[#This Row],[fecha_inicio]])</f>
        <v/>
      </c>
      <c r="Z731" s="3">
        <f>IF(tblOrdenes[[#This Row],[backlog_dias]]="","",IF(tblOrdenes[[#This Row],[backlog_dias]]&lt;0,"FUTURO",IF(tblOrdenes[[#This Row],[backlog_dias]]&gt;p_dias_backlog_max,"BACKLOG","MES CORRIENTE")))</f>
        <v/>
      </c>
      <c r="AA731" s="3">
        <f>IF(tblOrdenes[[#This Row],[backlog_dias]]="",FALSE,AND(tblOrdenes[[#This Row],[backlog_dias]]&gt;p_dias_backlog_min,tblOrdenes[[#This Row],[backlog_dias]]&lt;=p_dias_backlog_max))</f>
        <v/>
      </c>
      <c r="AB731" s="6" t="n"/>
      <c r="AC7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1" s="10">
        <f>IF(tblOrdenes[[#This Row],[orden]]="","",_xlfn.XLOOKUP(tblOrdenes[[#This Row],[id_operacion]],tblEjecucion[id_operacion],tblEjecucion[precio],0))</f>
        <v/>
      </c>
      <c r="AG731" s="10">
        <f>IF(tblOrdenes[[#This Row],[orden]]="","",MAX(0,_xlfn.XLOOKUP(tblOrdenes[[#This Row],[id_operacion]],tblEjecucion[id_operacion],tblEjecucion[costo_plan_total],0)-tblOrdenes[[#This Row],[costo_servicio]]))</f>
        <v/>
      </c>
      <c r="AH731" s="10">
        <f>IF(tblOrdenes[[#This Row],[orden]]="","",tblOrdenes[[#This Row],[costo_servicio]]+tblOrdenes[[#This Row],[costo_materiales]])</f>
        <v/>
      </c>
      <c r="AI731" s="6" t="n"/>
      <c r="AJ731" s="6" t="n"/>
      <c r="AK731" s="6" t="n"/>
      <c r="AL731" s="3">
        <f>IF(tblOrdenes[[#This Row],[link_checklist]]="","",HYPERLINK(p_ruta_base_checklists&amp;tblOrdenes[[#This Row],[link_checklist]],"abrir"))</f>
        <v/>
      </c>
      <c r="AM731" s="6" t="n"/>
      <c r="AN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Row],[tipo_ot]]="","",_xlfn.XLOOKUP(tblOrdenes[[#This Row],[tipo_ot]],tblTiposOT[codigo],tblTiposOT[clasificacion],"sin_clasificar"))</f>
        <v/>
      </c>
      <c r="T732" s="3">
        <f>IF(tblOrdenes[[#This Row],[centro_costo]]="","",_xlfn.XLOOKUP(tblOrdenes[[#This Row],[centro_costo]],tblCECO[codigo],tblCECO[linea],"(sin catálogo)"))</f>
        <v/>
      </c>
      <c r="U732" s="3">
        <f>IF(tblOrdenes[[#This Row],[centro_costo]]="","",_xlfn.XLOOKUP(tblOrdenes[[#This Row],[centro_costo]],tblCECO[codigo],tblCECO[area],"(sin catálogo)"))</f>
        <v/>
      </c>
      <c r="V732" s="3">
        <f>IF(tblOrdenes[[#This Row],[centro_costo]]="","",_xlfn.XLOOKUP(tblOrdenes[[#This Row],[centro_costo]],tblCECO[codigo],tblCECO[coordinador],"(sin catálogo)"))</f>
        <v/>
      </c>
      <c r="W732" s="3">
        <f>IF(tblOrdenes[[#This Row],[puesto_trabajo]]="","",_xlfn.XLOOKUP(tblOrdenes[[#This Row],[puesto_trabajo]],tblPuestos[codigo],tblPuestos[especialidad],"(sin catálogo)"))</f>
        <v/>
      </c>
      <c r="X732" s="3">
        <f>IF(tblOrdenes[[#This Row],[cod_actividad]]="","",_xlfn.XLOOKUP(tblOrdenes[[#This Row],[cod_actividad]],tblActividades[codigo],tblActividades[descripcion],"(sin catálogo)"))</f>
        <v/>
      </c>
      <c r="Y732" s="12">
        <f>IF(tblOrdenes[[#This Row],[fecha_inicio]]="","",TODAY()-tblOrdenes[[#This Row],[fecha_inicio]])</f>
        <v/>
      </c>
      <c r="Z732" s="3">
        <f>IF(tblOrdenes[[#This Row],[backlog_dias]]="","",IF(tblOrdenes[[#This Row],[backlog_dias]]&lt;0,"FUTURO",IF(tblOrdenes[[#This Row],[backlog_dias]]&gt;p_dias_backlog_max,"BACKLOG","MES CORRIENTE")))</f>
        <v/>
      </c>
      <c r="AA732" s="3">
        <f>IF(tblOrdenes[[#This Row],[backlog_dias]]="",FALSE,AND(tblOrdenes[[#This Row],[backlog_dias]]&gt;p_dias_backlog_min,tblOrdenes[[#This Row],[backlog_dias]]&lt;=p_dias_backlog_max))</f>
        <v/>
      </c>
      <c r="AB732" s="6" t="n"/>
      <c r="AC7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2" s="10">
        <f>IF(tblOrdenes[[#This Row],[orden]]="","",_xlfn.XLOOKUP(tblOrdenes[[#This Row],[id_operacion]],tblEjecucion[id_operacion],tblEjecucion[precio],0))</f>
        <v/>
      </c>
      <c r="AG732" s="10">
        <f>IF(tblOrdenes[[#This Row],[orden]]="","",MAX(0,_xlfn.XLOOKUP(tblOrdenes[[#This Row],[id_operacion]],tblEjecucion[id_operacion],tblEjecucion[costo_plan_total],0)-tblOrdenes[[#This Row],[costo_servicio]]))</f>
        <v/>
      </c>
      <c r="AH732" s="10">
        <f>IF(tblOrdenes[[#This Row],[orden]]="","",tblOrdenes[[#This Row],[costo_servicio]]+tblOrdenes[[#This Row],[costo_materiales]])</f>
        <v/>
      </c>
      <c r="AI732" s="6" t="n"/>
      <c r="AJ732" s="6" t="n"/>
      <c r="AK732" s="6" t="n"/>
      <c r="AL732" s="3">
        <f>IF(tblOrdenes[[#This Row],[link_checklist]]="","",HYPERLINK(p_ruta_base_checklists&amp;tblOrdenes[[#This Row],[link_checklist]],"abrir"))</f>
        <v/>
      </c>
      <c r="AM732" s="6" t="n"/>
      <c r="AN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Row],[tipo_ot]]="","",_xlfn.XLOOKUP(tblOrdenes[[#This Row],[tipo_ot]],tblTiposOT[codigo],tblTiposOT[clasificacion],"sin_clasificar"))</f>
        <v/>
      </c>
      <c r="T733" s="3">
        <f>IF(tblOrdenes[[#This Row],[centro_costo]]="","",_xlfn.XLOOKUP(tblOrdenes[[#This Row],[centro_costo]],tblCECO[codigo],tblCECO[linea],"(sin catálogo)"))</f>
        <v/>
      </c>
      <c r="U733" s="3">
        <f>IF(tblOrdenes[[#This Row],[centro_costo]]="","",_xlfn.XLOOKUP(tblOrdenes[[#This Row],[centro_costo]],tblCECO[codigo],tblCECO[area],"(sin catálogo)"))</f>
        <v/>
      </c>
      <c r="V733" s="3">
        <f>IF(tblOrdenes[[#This Row],[centro_costo]]="","",_xlfn.XLOOKUP(tblOrdenes[[#This Row],[centro_costo]],tblCECO[codigo],tblCECO[coordinador],"(sin catálogo)"))</f>
        <v/>
      </c>
      <c r="W733" s="3">
        <f>IF(tblOrdenes[[#This Row],[puesto_trabajo]]="","",_xlfn.XLOOKUP(tblOrdenes[[#This Row],[puesto_trabajo]],tblPuestos[codigo],tblPuestos[especialidad],"(sin catálogo)"))</f>
        <v/>
      </c>
      <c r="X733" s="3">
        <f>IF(tblOrdenes[[#This Row],[cod_actividad]]="","",_xlfn.XLOOKUP(tblOrdenes[[#This Row],[cod_actividad]],tblActividades[codigo],tblActividades[descripcion],"(sin catálogo)"))</f>
        <v/>
      </c>
      <c r="Y733" s="12">
        <f>IF(tblOrdenes[[#This Row],[fecha_inicio]]="","",TODAY()-tblOrdenes[[#This Row],[fecha_inicio]])</f>
        <v/>
      </c>
      <c r="Z733" s="3">
        <f>IF(tblOrdenes[[#This Row],[backlog_dias]]="","",IF(tblOrdenes[[#This Row],[backlog_dias]]&lt;0,"FUTURO",IF(tblOrdenes[[#This Row],[backlog_dias]]&gt;p_dias_backlog_max,"BACKLOG","MES CORRIENTE")))</f>
        <v/>
      </c>
      <c r="AA733" s="3">
        <f>IF(tblOrdenes[[#This Row],[backlog_dias]]="",FALSE,AND(tblOrdenes[[#This Row],[backlog_dias]]&gt;p_dias_backlog_min,tblOrdenes[[#This Row],[backlog_dias]]&lt;=p_dias_backlog_max))</f>
        <v/>
      </c>
      <c r="AB733" s="6" t="n"/>
      <c r="AC7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3" s="10">
        <f>IF(tblOrdenes[[#This Row],[orden]]="","",_xlfn.XLOOKUP(tblOrdenes[[#This Row],[id_operacion]],tblEjecucion[id_operacion],tblEjecucion[precio],0))</f>
        <v/>
      </c>
      <c r="AG733" s="10">
        <f>IF(tblOrdenes[[#This Row],[orden]]="","",MAX(0,_xlfn.XLOOKUP(tblOrdenes[[#This Row],[id_operacion]],tblEjecucion[id_operacion],tblEjecucion[costo_plan_total],0)-tblOrdenes[[#This Row],[costo_servicio]]))</f>
        <v/>
      </c>
      <c r="AH733" s="10">
        <f>IF(tblOrdenes[[#This Row],[orden]]="","",tblOrdenes[[#This Row],[costo_servicio]]+tblOrdenes[[#This Row],[costo_materiales]])</f>
        <v/>
      </c>
      <c r="AI733" s="6" t="n"/>
      <c r="AJ733" s="6" t="n"/>
      <c r="AK733" s="6" t="n"/>
      <c r="AL733" s="3">
        <f>IF(tblOrdenes[[#This Row],[link_checklist]]="","",HYPERLINK(p_ruta_base_checklists&amp;tblOrdenes[[#This Row],[link_checklist]],"abrir"))</f>
        <v/>
      </c>
      <c r="AM733" s="6" t="n"/>
      <c r="AN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Row],[tipo_ot]]="","",_xlfn.XLOOKUP(tblOrdenes[[#This Row],[tipo_ot]],tblTiposOT[codigo],tblTiposOT[clasificacion],"sin_clasificar"))</f>
        <v/>
      </c>
      <c r="T734" s="3">
        <f>IF(tblOrdenes[[#This Row],[centro_costo]]="","",_xlfn.XLOOKUP(tblOrdenes[[#This Row],[centro_costo]],tblCECO[codigo],tblCECO[linea],"(sin catálogo)"))</f>
        <v/>
      </c>
      <c r="U734" s="3">
        <f>IF(tblOrdenes[[#This Row],[centro_costo]]="","",_xlfn.XLOOKUP(tblOrdenes[[#This Row],[centro_costo]],tblCECO[codigo],tblCECO[area],"(sin catálogo)"))</f>
        <v/>
      </c>
      <c r="V734" s="3">
        <f>IF(tblOrdenes[[#This Row],[centro_costo]]="","",_xlfn.XLOOKUP(tblOrdenes[[#This Row],[centro_costo]],tblCECO[codigo],tblCECO[coordinador],"(sin catálogo)"))</f>
        <v/>
      </c>
      <c r="W734" s="3">
        <f>IF(tblOrdenes[[#This Row],[puesto_trabajo]]="","",_xlfn.XLOOKUP(tblOrdenes[[#This Row],[puesto_trabajo]],tblPuestos[codigo],tblPuestos[especialidad],"(sin catálogo)"))</f>
        <v/>
      </c>
      <c r="X734" s="3">
        <f>IF(tblOrdenes[[#This Row],[cod_actividad]]="","",_xlfn.XLOOKUP(tblOrdenes[[#This Row],[cod_actividad]],tblActividades[codigo],tblActividades[descripcion],"(sin catálogo)"))</f>
        <v/>
      </c>
      <c r="Y734" s="12">
        <f>IF(tblOrdenes[[#This Row],[fecha_inicio]]="","",TODAY()-tblOrdenes[[#This Row],[fecha_inicio]])</f>
        <v/>
      </c>
      <c r="Z734" s="3">
        <f>IF(tblOrdenes[[#This Row],[backlog_dias]]="","",IF(tblOrdenes[[#This Row],[backlog_dias]]&lt;0,"FUTURO",IF(tblOrdenes[[#This Row],[backlog_dias]]&gt;p_dias_backlog_max,"BACKLOG","MES CORRIENTE")))</f>
        <v/>
      </c>
      <c r="AA734" s="3">
        <f>IF(tblOrdenes[[#This Row],[backlog_dias]]="",FALSE,AND(tblOrdenes[[#This Row],[backlog_dias]]&gt;p_dias_backlog_min,tblOrdenes[[#This Row],[backlog_dias]]&lt;=p_dias_backlog_max))</f>
        <v/>
      </c>
      <c r="AB734" s="6" t="n"/>
      <c r="AC7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4" s="10">
        <f>IF(tblOrdenes[[#This Row],[orden]]="","",_xlfn.XLOOKUP(tblOrdenes[[#This Row],[id_operacion]],tblEjecucion[id_operacion],tblEjecucion[precio],0))</f>
        <v/>
      </c>
      <c r="AG734" s="10">
        <f>IF(tblOrdenes[[#This Row],[orden]]="","",MAX(0,_xlfn.XLOOKUP(tblOrdenes[[#This Row],[id_operacion]],tblEjecucion[id_operacion],tblEjecucion[costo_plan_total],0)-tblOrdenes[[#This Row],[costo_servicio]]))</f>
        <v/>
      </c>
      <c r="AH734" s="10">
        <f>IF(tblOrdenes[[#This Row],[orden]]="","",tblOrdenes[[#This Row],[costo_servicio]]+tblOrdenes[[#This Row],[costo_materiales]])</f>
        <v/>
      </c>
      <c r="AI734" s="6" t="n"/>
      <c r="AJ734" s="6" t="n"/>
      <c r="AK734" s="6" t="n"/>
      <c r="AL734" s="3">
        <f>IF(tblOrdenes[[#This Row],[link_checklist]]="","",HYPERLINK(p_ruta_base_checklists&amp;tblOrdenes[[#This Row],[link_checklist]],"abrir"))</f>
        <v/>
      </c>
      <c r="AM734" s="6" t="n"/>
      <c r="AN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Row],[tipo_ot]]="","",_xlfn.XLOOKUP(tblOrdenes[[#This Row],[tipo_ot]],tblTiposOT[codigo],tblTiposOT[clasificacion],"sin_clasificar"))</f>
        <v/>
      </c>
      <c r="T735" s="3">
        <f>IF(tblOrdenes[[#This Row],[centro_costo]]="","",_xlfn.XLOOKUP(tblOrdenes[[#This Row],[centro_costo]],tblCECO[codigo],tblCECO[linea],"(sin catálogo)"))</f>
        <v/>
      </c>
      <c r="U735" s="3">
        <f>IF(tblOrdenes[[#This Row],[centro_costo]]="","",_xlfn.XLOOKUP(tblOrdenes[[#This Row],[centro_costo]],tblCECO[codigo],tblCECO[area],"(sin catálogo)"))</f>
        <v/>
      </c>
      <c r="V735" s="3">
        <f>IF(tblOrdenes[[#This Row],[centro_costo]]="","",_xlfn.XLOOKUP(tblOrdenes[[#This Row],[centro_costo]],tblCECO[codigo],tblCECO[coordinador],"(sin catálogo)"))</f>
        <v/>
      </c>
      <c r="W735" s="3">
        <f>IF(tblOrdenes[[#This Row],[puesto_trabajo]]="","",_xlfn.XLOOKUP(tblOrdenes[[#This Row],[puesto_trabajo]],tblPuestos[codigo],tblPuestos[especialidad],"(sin catálogo)"))</f>
        <v/>
      </c>
      <c r="X735" s="3">
        <f>IF(tblOrdenes[[#This Row],[cod_actividad]]="","",_xlfn.XLOOKUP(tblOrdenes[[#This Row],[cod_actividad]],tblActividades[codigo],tblActividades[descripcion],"(sin catálogo)"))</f>
        <v/>
      </c>
      <c r="Y735" s="12">
        <f>IF(tblOrdenes[[#This Row],[fecha_inicio]]="","",TODAY()-tblOrdenes[[#This Row],[fecha_inicio]])</f>
        <v/>
      </c>
      <c r="Z735" s="3">
        <f>IF(tblOrdenes[[#This Row],[backlog_dias]]="","",IF(tblOrdenes[[#This Row],[backlog_dias]]&lt;0,"FUTURO",IF(tblOrdenes[[#This Row],[backlog_dias]]&gt;p_dias_backlog_max,"BACKLOG","MES CORRIENTE")))</f>
        <v/>
      </c>
      <c r="AA735" s="3">
        <f>IF(tblOrdenes[[#This Row],[backlog_dias]]="",FALSE,AND(tblOrdenes[[#This Row],[backlog_dias]]&gt;p_dias_backlog_min,tblOrdenes[[#This Row],[backlog_dias]]&lt;=p_dias_backlog_max))</f>
        <v/>
      </c>
      <c r="AB735" s="6" t="n"/>
      <c r="AC7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5" s="10">
        <f>IF(tblOrdenes[[#This Row],[orden]]="","",_xlfn.XLOOKUP(tblOrdenes[[#This Row],[id_operacion]],tblEjecucion[id_operacion],tblEjecucion[precio],0))</f>
        <v/>
      </c>
      <c r="AG735" s="10">
        <f>IF(tblOrdenes[[#This Row],[orden]]="","",MAX(0,_xlfn.XLOOKUP(tblOrdenes[[#This Row],[id_operacion]],tblEjecucion[id_operacion],tblEjecucion[costo_plan_total],0)-tblOrdenes[[#This Row],[costo_servicio]]))</f>
        <v/>
      </c>
      <c r="AH735" s="10">
        <f>IF(tblOrdenes[[#This Row],[orden]]="","",tblOrdenes[[#This Row],[costo_servicio]]+tblOrdenes[[#This Row],[costo_materiales]])</f>
        <v/>
      </c>
      <c r="AI735" s="6" t="n"/>
      <c r="AJ735" s="6" t="n"/>
      <c r="AK735" s="6" t="n"/>
      <c r="AL735" s="3">
        <f>IF(tblOrdenes[[#This Row],[link_checklist]]="","",HYPERLINK(p_ruta_base_checklists&amp;tblOrdenes[[#This Row],[link_checklist]],"abrir"))</f>
        <v/>
      </c>
      <c r="AM735" s="6" t="n"/>
      <c r="AN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Row],[tipo_ot]]="","",_xlfn.XLOOKUP(tblOrdenes[[#This Row],[tipo_ot]],tblTiposOT[codigo],tblTiposOT[clasificacion],"sin_clasificar"))</f>
        <v/>
      </c>
      <c r="T736" s="3">
        <f>IF(tblOrdenes[[#This Row],[centro_costo]]="","",_xlfn.XLOOKUP(tblOrdenes[[#This Row],[centro_costo]],tblCECO[codigo],tblCECO[linea],"(sin catálogo)"))</f>
        <v/>
      </c>
      <c r="U736" s="3">
        <f>IF(tblOrdenes[[#This Row],[centro_costo]]="","",_xlfn.XLOOKUP(tblOrdenes[[#This Row],[centro_costo]],tblCECO[codigo],tblCECO[area],"(sin catálogo)"))</f>
        <v/>
      </c>
      <c r="V736" s="3">
        <f>IF(tblOrdenes[[#This Row],[centro_costo]]="","",_xlfn.XLOOKUP(tblOrdenes[[#This Row],[centro_costo]],tblCECO[codigo],tblCECO[coordinador],"(sin catálogo)"))</f>
        <v/>
      </c>
      <c r="W736" s="3">
        <f>IF(tblOrdenes[[#This Row],[puesto_trabajo]]="","",_xlfn.XLOOKUP(tblOrdenes[[#This Row],[puesto_trabajo]],tblPuestos[codigo],tblPuestos[especialidad],"(sin catálogo)"))</f>
        <v/>
      </c>
      <c r="X736" s="3">
        <f>IF(tblOrdenes[[#This Row],[cod_actividad]]="","",_xlfn.XLOOKUP(tblOrdenes[[#This Row],[cod_actividad]],tblActividades[codigo],tblActividades[descripcion],"(sin catálogo)"))</f>
        <v/>
      </c>
      <c r="Y736" s="12">
        <f>IF(tblOrdenes[[#This Row],[fecha_inicio]]="","",TODAY()-tblOrdenes[[#This Row],[fecha_inicio]])</f>
        <v/>
      </c>
      <c r="Z736" s="3">
        <f>IF(tblOrdenes[[#This Row],[backlog_dias]]="","",IF(tblOrdenes[[#This Row],[backlog_dias]]&lt;0,"FUTURO",IF(tblOrdenes[[#This Row],[backlog_dias]]&gt;p_dias_backlog_max,"BACKLOG","MES CORRIENTE")))</f>
        <v/>
      </c>
      <c r="AA736" s="3">
        <f>IF(tblOrdenes[[#This Row],[backlog_dias]]="",FALSE,AND(tblOrdenes[[#This Row],[backlog_dias]]&gt;p_dias_backlog_min,tblOrdenes[[#This Row],[backlog_dias]]&lt;=p_dias_backlog_max))</f>
        <v/>
      </c>
      <c r="AB736" s="6" t="n"/>
      <c r="AC7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6" s="10">
        <f>IF(tblOrdenes[[#This Row],[orden]]="","",_xlfn.XLOOKUP(tblOrdenes[[#This Row],[id_operacion]],tblEjecucion[id_operacion],tblEjecucion[precio],0))</f>
        <v/>
      </c>
      <c r="AG736" s="10">
        <f>IF(tblOrdenes[[#This Row],[orden]]="","",MAX(0,_xlfn.XLOOKUP(tblOrdenes[[#This Row],[id_operacion]],tblEjecucion[id_operacion],tblEjecucion[costo_plan_total],0)-tblOrdenes[[#This Row],[costo_servicio]]))</f>
        <v/>
      </c>
      <c r="AH736" s="10">
        <f>IF(tblOrdenes[[#This Row],[orden]]="","",tblOrdenes[[#This Row],[costo_servicio]]+tblOrdenes[[#This Row],[costo_materiales]])</f>
        <v/>
      </c>
      <c r="AI736" s="6" t="n"/>
      <c r="AJ736" s="6" t="n"/>
      <c r="AK736" s="6" t="n"/>
      <c r="AL736" s="3">
        <f>IF(tblOrdenes[[#This Row],[link_checklist]]="","",HYPERLINK(p_ruta_base_checklists&amp;tblOrdenes[[#This Row],[link_checklist]],"abrir"))</f>
        <v/>
      </c>
      <c r="AM736" s="6" t="n"/>
      <c r="AN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Row],[tipo_ot]]="","",_xlfn.XLOOKUP(tblOrdenes[[#This Row],[tipo_ot]],tblTiposOT[codigo],tblTiposOT[clasificacion],"sin_clasificar"))</f>
        <v/>
      </c>
      <c r="T737" s="3">
        <f>IF(tblOrdenes[[#This Row],[centro_costo]]="","",_xlfn.XLOOKUP(tblOrdenes[[#This Row],[centro_costo]],tblCECO[codigo],tblCECO[linea],"(sin catálogo)"))</f>
        <v/>
      </c>
      <c r="U737" s="3">
        <f>IF(tblOrdenes[[#This Row],[centro_costo]]="","",_xlfn.XLOOKUP(tblOrdenes[[#This Row],[centro_costo]],tblCECO[codigo],tblCECO[area],"(sin catálogo)"))</f>
        <v/>
      </c>
      <c r="V737" s="3">
        <f>IF(tblOrdenes[[#This Row],[centro_costo]]="","",_xlfn.XLOOKUP(tblOrdenes[[#This Row],[centro_costo]],tblCECO[codigo],tblCECO[coordinador],"(sin catálogo)"))</f>
        <v/>
      </c>
      <c r="W737" s="3">
        <f>IF(tblOrdenes[[#This Row],[puesto_trabajo]]="","",_xlfn.XLOOKUP(tblOrdenes[[#This Row],[puesto_trabajo]],tblPuestos[codigo],tblPuestos[especialidad],"(sin catálogo)"))</f>
        <v/>
      </c>
      <c r="X737" s="3">
        <f>IF(tblOrdenes[[#This Row],[cod_actividad]]="","",_xlfn.XLOOKUP(tblOrdenes[[#This Row],[cod_actividad]],tblActividades[codigo],tblActividades[descripcion],"(sin catálogo)"))</f>
        <v/>
      </c>
      <c r="Y737" s="12">
        <f>IF(tblOrdenes[[#This Row],[fecha_inicio]]="","",TODAY()-tblOrdenes[[#This Row],[fecha_inicio]])</f>
        <v/>
      </c>
      <c r="Z737" s="3">
        <f>IF(tblOrdenes[[#This Row],[backlog_dias]]="","",IF(tblOrdenes[[#This Row],[backlog_dias]]&lt;0,"FUTURO",IF(tblOrdenes[[#This Row],[backlog_dias]]&gt;p_dias_backlog_max,"BACKLOG","MES CORRIENTE")))</f>
        <v/>
      </c>
      <c r="AA737" s="3">
        <f>IF(tblOrdenes[[#This Row],[backlog_dias]]="",FALSE,AND(tblOrdenes[[#This Row],[backlog_dias]]&gt;p_dias_backlog_min,tblOrdenes[[#This Row],[backlog_dias]]&lt;=p_dias_backlog_max))</f>
        <v/>
      </c>
      <c r="AB737" s="6" t="n"/>
      <c r="AC7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7" s="10">
        <f>IF(tblOrdenes[[#This Row],[orden]]="","",_xlfn.XLOOKUP(tblOrdenes[[#This Row],[id_operacion]],tblEjecucion[id_operacion],tblEjecucion[precio],0))</f>
        <v/>
      </c>
      <c r="AG737" s="10">
        <f>IF(tblOrdenes[[#This Row],[orden]]="","",MAX(0,_xlfn.XLOOKUP(tblOrdenes[[#This Row],[id_operacion]],tblEjecucion[id_operacion],tblEjecucion[costo_plan_total],0)-tblOrdenes[[#This Row],[costo_servicio]]))</f>
        <v/>
      </c>
      <c r="AH737" s="10">
        <f>IF(tblOrdenes[[#This Row],[orden]]="","",tblOrdenes[[#This Row],[costo_servicio]]+tblOrdenes[[#This Row],[costo_materiales]])</f>
        <v/>
      </c>
      <c r="AI737" s="6" t="n"/>
      <c r="AJ737" s="6" t="n"/>
      <c r="AK737" s="6" t="n"/>
      <c r="AL737" s="3">
        <f>IF(tblOrdenes[[#This Row],[link_checklist]]="","",HYPERLINK(p_ruta_base_checklists&amp;tblOrdenes[[#This Row],[link_checklist]],"abrir"))</f>
        <v/>
      </c>
      <c r="AM737" s="6" t="n"/>
      <c r="AN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Row],[tipo_ot]]="","",_xlfn.XLOOKUP(tblOrdenes[[#This Row],[tipo_ot]],tblTiposOT[codigo],tblTiposOT[clasificacion],"sin_clasificar"))</f>
        <v/>
      </c>
      <c r="T738" s="3">
        <f>IF(tblOrdenes[[#This Row],[centro_costo]]="","",_xlfn.XLOOKUP(tblOrdenes[[#This Row],[centro_costo]],tblCECO[codigo],tblCECO[linea],"(sin catálogo)"))</f>
        <v/>
      </c>
      <c r="U738" s="3">
        <f>IF(tblOrdenes[[#This Row],[centro_costo]]="","",_xlfn.XLOOKUP(tblOrdenes[[#This Row],[centro_costo]],tblCECO[codigo],tblCECO[area],"(sin catálogo)"))</f>
        <v/>
      </c>
      <c r="V738" s="3">
        <f>IF(tblOrdenes[[#This Row],[centro_costo]]="","",_xlfn.XLOOKUP(tblOrdenes[[#This Row],[centro_costo]],tblCECO[codigo],tblCECO[coordinador],"(sin catálogo)"))</f>
        <v/>
      </c>
      <c r="W738" s="3">
        <f>IF(tblOrdenes[[#This Row],[puesto_trabajo]]="","",_xlfn.XLOOKUP(tblOrdenes[[#This Row],[puesto_trabajo]],tblPuestos[codigo],tblPuestos[especialidad],"(sin catálogo)"))</f>
        <v/>
      </c>
      <c r="X738" s="3">
        <f>IF(tblOrdenes[[#This Row],[cod_actividad]]="","",_xlfn.XLOOKUP(tblOrdenes[[#This Row],[cod_actividad]],tblActividades[codigo],tblActividades[descripcion],"(sin catálogo)"))</f>
        <v/>
      </c>
      <c r="Y738" s="12">
        <f>IF(tblOrdenes[[#This Row],[fecha_inicio]]="","",TODAY()-tblOrdenes[[#This Row],[fecha_inicio]])</f>
        <v/>
      </c>
      <c r="Z738" s="3">
        <f>IF(tblOrdenes[[#This Row],[backlog_dias]]="","",IF(tblOrdenes[[#This Row],[backlog_dias]]&lt;0,"FUTURO",IF(tblOrdenes[[#This Row],[backlog_dias]]&gt;p_dias_backlog_max,"BACKLOG","MES CORRIENTE")))</f>
        <v/>
      </c>
      <c r="AA738" s="3">
        <f>IF(tblOrdenes[[#This Row],[backlog_dias]]="",FALSE,AND(tblOrdenes[[#This Row],[backlog_dias]]&gt;p_dias_backlog_min,tblOrdenes[[#This Row],[backlog_dias]]&lt;=p_dias_backlog_max))</f>
        <v/>
      </c>
      <c r="AB738" s="6" t="n"/>
      <c r="AC7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8" s="10">
        <f>IF(tblOrdenes[[#This Row],[orden]]="","",_xlfn.XLOOKUP(tblOrdenes[[#This Row],[id_operacion]],tblEjecucion[id_operacion],tblEjecucion[precio],0))</f>
        <v/>
      </c>
      <c r="AG738" s="10">
        <f>IF(tblOrdenes[[#This Row],[orden]]="","",MAX(0,_xlfn.XLOOKUP(tblOrdenes[[#This Row],[id_operacion]],tblEjecucion[id_operacion],tblEjecucion[costo_plan_total],0)-tblOrdenes[[#This Row],[costo_servicio]]))</f>
        <v/>
      </c>
      <c r="AH738" s="10">
        <f>IF(tblOrdenes[[#This Row],[orden]]="","",tblOrdenes[[#This Row],[costo_servicio]]+tblOrdenes[[#This Row],[costo_materiales]])</f>
        <v/>
      </c>
      <c r="AI738" s="6" t="n"/>
      <c r="AJ738" s="6" t="n"/>
      <c r="AK738" s="6" t="n"/>
      <c r="AL738" s="3">
        <f>IF(tblOrdenes[[#This Row],[link_checklist]]="","",HYPERLINK(p_ruta_base_checklists&amp;tblOrdenes[[#This Row],[link_checklist]],"abrir"))</f>
        <v/>
      </c>
      <c r="AM738" s="6" t="n"/>
      <c r="AN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Row],[tipo_ot]]="","",_xlfn.XLOOKUP(tblOrdenes[[#This Row],[tipo_ot]],tblTiposOT[codigo],tblTiposOT[clasificacion],"sin_clasificar"))</f>
        <v/>
      </c>
      <c r="T739" s="3">
        <f>IF(tblOrdenes[[#This Row],[centro_costo]]="","",_xlfn.XLOOKUP(tblOrdenes[[#This Row],[centro_costo]],tblCECO[codigo],tblCECO[linea],"(sin catálogo)"))</f>
        <v/>
      </c>
      <c r="U739" s="3">
        <f>IF(tblOrdenes[[#This Row],[centro_costo]]="","",_xlfn.XLOOKUP(tblOrdenes[[#This Row],[centro_costo]],tblCECO[codigo],tblCECO[area],"(sin catálogo)"))</f>
        <v/>
      </c>
      <c r="V739" s="3">
        <f>IF(tblOrdenes[[#This Row],[centro_costo]]="","",_xlfn.XLOOKUP(tblOrdenes[[#This Row],[centro_costo]],tblCECO[codigo],tblCECO[coordinador],"(sin catálogo)"))</f>
        <v/>
      </c>
      <c r="W739" s="3">
        <f>IF(tblOrdenes[[#This Row],[puesto_trabajo]]="","",_xlfn.XLOOKUP(tblOrdenes[[#This Row],[puesto_trabajo]],tblPuestos[codigo],tblPuestos[especialidad],"(sin catálogo)"))</f>
        <v/>
      </c>
      <c r="X739" s="3">
        <f>IF(tblOrdenes[[#This Row],[cod_actividad]]="","",_xlfn.XLOOKUP(tblOrdenes[[#This Row],[cod_actividad]],tblActividades[codigo],tblActividades[descripcion],"(sin catálogo)"))</f>
        <v/>
      </c>
      <c r="Y739" s="12">
        <f>IF(tblOrdenes[[#This Row],[fecha_inicio]]="","",TODAY()-tblOrdenes[[#This Row],[fecha_inicio]])</f>
        <v/>
      </c>
      <c r="Z739" s="3">
        <f>IF(tblOrdenes[[#This Row],[backlog_dias]]="","",IF(tblOrdenes[[#This Row],[backlog_dias]]&lt;0,"FUTURO",IF(tblOrdenes[[#This Row],[backlog_dias]]&gt;p_dias_backlog_max,"BACKLOG","MES CORRIENTE")))</f>
        <v/>
      </c>
      <c r="AA739" s="3">
        <f>IF(tblOrdenes[[#This Row],[backlog_dias]]="",FALSE,AND(tblOrdenes[[#This Row],[backlog_dias]]&gt;p_dias_backlog_min,tblOrdenes[[#This Row],[backlog_dias]]&lt;=p_dias_backlog_max))</f>
        <v/>
      </c>
      <c r="AB739" s="6" t="n"/>
      <c r="AC7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9" s="10">
        <f>IF(tblOrdenes[[#This Row],[orden]]="","",_xlfn.XLOOKUP(tblOrdenes[[#This Row],[id_operacion]],tblEjecucion[id_operacion],tblEjecucion[precio],0))</f>
        <v/>
      </c>
      <c r="AG739" s="10">
        <f>IF(tblOrdenes[[#This Row],[orden]]="","",MAX(0,_xlfn.XLOOKUP(tblOrdenes[[#This Row],[id_operacion]],tblEjecucion[id_operacion],tblEjecucion[costo_plan_total],0)-tblOrdenes[[#This Row],[costo_servicio]]))</f>
        <v/>
      </c>
      <c r="AH739" s="10">
        <f>IF(tblOrdenes[[#This Row],[orden]]="","",tblOrdenes[[#This Row],[costo_servicio]]+tblOrdenes[[#This Row],[costo_materiales]])</f>
        <v/>
      </c>
      <c r="AI739" s="6" t="n"/>
      <c r="AJ739" s="6" t="n"/>
      <c r="AK739" s="6" t="n"/>
      <c r="AL739" s="3">
        <f>IF(tblOrdenes[[#This Row],[link_checklist]]="","",HYPERLINK(p_ruta_base_checklists&amp;tblOrdenes[[#This Row],[link_checklist]],"abrir"))</f>
        <v/>
      </c>
      <c r="AM739" s="6" t="n"/>
      <c r="AN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Row],[tipo_ot]]="","",_xlfn.XLOOKUP(tblOrdenes[[#This Row],[tipo_ot]],tblTiposOT[codigo],tblTiposOT[clasificacion],"sin_clasificar"))</f>
        <v/>
      </c>
      <c r="T740" s="3">
        <f>IF(tblOrdenes[[#This Row],[centro_costo]]="","",_xlfn.XLOOKUP(tblOrdenes[[#This Row],[centro_costo]],tblCECO[codigo],tblCECO[linea],"(sin catálogo)"))</f>
        <v/>
      </c>
      <c r="U740" s="3">
        <f>IF(tblOrdenes[[#This Row],[centro_costo]]="","",_xlfn.XLOOKUP(tblOrdenes[[#This Row],[centro_costo]],tblCECO[codigo],tblCECO[area],"(sin catálogo)"))</f>
        <v/>
      </c>
      <c r="V740" s="3">
        <f>IF(tblOrdenes[[#This Row],[centro_costo]]="","",_xlfn.XLOOKUP(tblOrdenes[[#This Row],[centro_costo]],tblCECO[codigo],tblCECO[coordinador],"(sin catálogo)"))</f>
        <v/>
      </c>
      <c r="W740" s="3">
        <f>IF(tblOrdenes[[#This Row],[puesto_trabajo]]="","",_xlfn.XLOOKUP(tblOrdenes[[#This Row],[puesto_trabajo]],tblPuestos[codigo],tblPuestos[especialidad],"(sin catálogo)"))</f>
        <v/>
      </c>
      <c r="X740" s="3">
        <f>IF(tblOrdenes[[#This Row],[cod_actividad]]="","",_xlfn.XLOOKUP(tblOrdenes[[#This Row],[cod_actividad]],tblActividades[codigo],tblActividades[descripcion],"(sin catálogo)"))</f>
        <v/>
      </c>
      <c r="Y740" s="12">
        <f>IF(tblOrdenes[[#This Row],[fecha_inicio]]="","",TODAY()-tblOrdenes[[#This Row],[fecha_inicio]])</f>
        <v/>
      </c>
      <c r="Z740" s="3">
        <f>IF(tblOrdenes[[#This Row],[backlog_dias]]="","",IF(tblOrdenes[[#This Row],[backlog_dias]]&lt;0,"FUTURO",IF(tblOrdenes[[#This Row],[backlog_dias]]&gt;p_dias_backlog_max,"BACKLOG","MES CORRIENTE")))</f>
        <v/>
      </c>
      <c r="AA740" s="3">
        <f>IF(tblOrdenes[[#This Row],[backlog_dias]]="",FALSE,AND(tblOrdenes[[#This Row],[backlog_dias]]&gt;p_dias_backlog_min,tblOrdenes[[#This Row],[backlog_dias]]&lt;=p_dias_backlog_max))</f>
        <v/>
      </c>
      <c r="AB740" s="6" t="n"/>
      <c r="AC7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0" s="10">
        <f>IF(tblOrdenes[[#This Row],[orden]]="","",_xlfn.XLOOKUP(tblOrdenes[[#This Row],[id_operacion]],tblEjecucion[id_operacion],tblEjecucion[precio],0))</f>
        <v/>
      </c>
      <c r="AG740" s="10">
        <f>IF(tblOrdenes[[#This Row],[orden]]="","",MAX(0,_xlfn.XLOOKUP(tblOrdenes[[#This Row],[id_operacion]],tblEjecucion[id_operacion],tblEjecucion[costo_plan_total],0)-tblOrdenes[[#This Row],[costo_servicio]]))</f>
        <v/>
      </c>
      <c r="AH740" s="10">
        <f>IF(tblOrdenes[[#This Row],[orden]]="","",tblOrdenes[[#This Row],[costo_servicio]]+tblOrdenes[[#This Row],[costo_materiales]])</f>
        <v/>
      </c>
      <c r="AI740" s="6" t="n"/>
      <c r="AJ740" s="6" t="n"/>
      <c r="AK740" s="6" t="n"/>
      <c r="AL740" s="3">
        <f>IF(tblOrdenes[[#This Row],[link_checklist]]="","",HYPERLINK(p_ruta_base_checklists&amp;tblOrdenes[[#This Row],[link_checklist]],"abrir"))</f>
        <v/>
      </c>
      <c r="AM740" s="6" t="n"/>
      <c r="AN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Row],[tipo_ot]]="","",_xlfn.XLOOKUP(tblOrdenes[[#This Row],[tipo_ot]],tblTiposOT[codigo],tblTiposOT[clasificacion],"sin_clasificar"))</f>
        <v/>
      </c>
      <c r="T741" s="3">
        <f>IF(tblOrdenes[[#This Row],[centro_costo]]="","",_xlfn.XLOOKUP(tblOrdenes[[#This Row],[centro_costo]],tblCECO[codigo],tblCECO[linea],"(sin catálogo)"))</f>
        <v/>
      </c>
      <c r="U741" s="3">
        <f>IF(tblOrdenes[[#This Row],[centro_costo]]="","",_xlfn.XLOOKUP(tblOrdenes[[#This Row],[centro_costo]],tblCECO[codigo],tblCECO[area],"(sin catálogo)"))</f>
        <v/>
      </c>
      <c r="V741" s="3">
        <f>IF(tblOrdenes[[#This Row],[centro_costo]]="","",_xlfn.XLOOKUP(tblOrdenes[[#This Row],[centro_costo]],tblCECO[codigo],tblCECO[coordinador],"(sin catálogo)"))</f>
        <v/>
      </c>
      <c r="W741" s="3">
        <f>IF(tblOrdenes[[#This Row],[puesto_trabajo]]="","",_xlfn.XLOOKUP(tblOrdenes[[#This Row],[puesto_trabajo]],tblPuestos[codigo],tblPuestos[especialidad],"(sin catálogo)"))</f>
        <v/>
      </c>
      <c r="X741" s="3">
        <f>IF(tblOrdenes[[#This Row],[cod_actividad]]="","",_xlfn.XLOOKUP(tblOrdenes[[#This Row],[cod_actividad]],tblActividades[codigo],tblActividades[descripcion],"(sin catálogo)"))</f>
        <v/>
      </c>
      <c r="Y741" s="12">
        <f>IF(tblOrdenes[[#This Row],[fecha_inicio]]="","",TODAY()-tblOrdenes[[#This Row],[fecha_inicio]])</f>
        <v/>
      </c>
      <c r="Z741" s="3">
        <f>IF(tblOrdenes[[#This Row],[backlog_dias]]="","",IF(tblOrdenes[[#This Row],[backlog_dias]]&lt;0,"FUTURO",IF(tblOrdenes[[#This Row],[backlog_dias]]&gt;p_dias_backlog_max,"BACKLOG","MES CORRIENTE")))</f>
        <v/>
      </c>
      <c r="AA741" s="3">
        <f>IF(tblOrdenes[[#This Row],[backlog_dias]]="",FALSE,AND(tblOrdenes[[#This Row],[backlog_dias]]&gt;p_dias_backlog_min,tblOrdenes[[#This Row],[backlog_dias]]&lt;=p_dias_backlog_max))</f>
        <v/>
      </c>
      <c r="AB741" s="6" t="n"/>
      <c r="AC7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1" s="10">
        <f>IF(tblOrdenes[[#This Row],[orden]]="","",_xlfn.XLOOKUP(tblOrdenes[[#This Row],[id_operacion]],tblEjecucion[id_operacion],tblEjecucion[precio],0))</f>
        <v/>
      </c>
      <c r="AG741" s="10">
        <f>IF(tblOrdenes[[#This Row],[orden]]="","",MAX(0,_xlfn.XLOOKUP(tblOrdenes[[#This Row],[id_operacion]],tblEjecucion[id_operacion],tblEjecucion[costo_plan_total],0)-tblOrdenes[[#This Row],[costo_servicio]]))</f>
        <v/>
      </c>
      <c r="AH741" s="10">
        <f>IF(tblOrdenes[[#This Row],[orden]]="","",tblOrdenes[[#This Row],[costo_servicio]]+tblOrdenes[[#This Row],[costo_materiales]])</f>
        <v/>
      </c>
      <c r="AI741" s="6" t="n"/>
      <c r="AJ741" s="6" t="n"/>
      <c r="AK741" s="6" t="n"/>
      <c r="AL741" s="3">
        <f>IF(tblOrdenes[[#This Row],[link_checklist]]="","",HYPERLINK(p_ruta_base_checklists&amp;tblOrdenes[[#This Row],[link_checklist]],"abrir"))</f>
        <v/>
      </c>
      <c r="AM741" s="6" t="n"/>
      <c r="AN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Row],[tipo_ot]]="","",_xlfn.XLOOKUP(tblOrdenes[[#This Row],[tipo_ot]],tblTiposOT[codigo],tblTiposOT[clasificacion],"sin_clasificar"))</f>
        <v/>
      </c>
      <c r="T742" s="3">
        <f>IF(tblOrdenes[[#This Row],[centro_costo]]="","",_xlfn.XLOOKUP(tblOrdenes[[#This Row],[centro_costo]],tblCECO[codigo],tblCECO[linea],"(sin catálogo)"))</f>
        <v/>
      </c>
      <c r="U742" s="3">
        <f>IF(tblOrdenes[[#This Row],[centro_costo]]="","",_xlfn.XLOOKUP(tblOrdenes[[#This Row],[centro_costo]],tblCECO[codigo],tblCECO[area],"(sin catálogo)"))</f>
        <v/>
      </c>
      <c r="V742" s="3">
        <f>IF(tblOrdenes[[#This Row],[centro_costo]]="","",_xlfn.XLOOKUP(tblOrdenes[[#This Row],[centro_costo]],tblCECO[codigo],tblCECO[coordinador],"(sin catálogo)"))</f>
        <v/>
      </c>
      <c r="W742" s="3">
        <f>IF(tblOrdenes[[#This Row],[puesto_trabajo]]="","",_xlfn.XLOOKUP(tblOrdenes[[#This Row],[puesto_trabajo]],tblPuestos[codigo],tblPuestos[especialidad],"(sin catálogo)"))</f>
        <v/>
      </c>
      <c r="X742" s="3">
        <f>IF(tblOrdenes[[#This Row],[cod_actividad]]="","",_xlfn.XLOOKUP(tblOrdenes[[#This Row],[cod_actividad]],tblActividades[codigo],tblActividades[descripcion],"(sin catálogo)"))</f>
        <v/>
      </c>
      <c r="Y742" s="12">
        <f>IF(tblOrdenes[[#This Row],[fecha_inicio]]="","",TODAY()-tblOrdenes[[#This Row],[fecha_inicio]])</f>
        <v/>
      </c>
      <c r="Z742" s="3">
        <f>IF(tblOrdenes[[#This Row],[backlog_dias]]="","",IF(tblOrdenes[[#This Row],[backlog_dias]]&lt;0,"FUTURO",IF(tblOrdenes[[#This Row],[backlog_dias]]&gt;p_dias_backlog_max,"BACKLOG","MES CORRIENTE")))</f>
        <v/>
      </c>
      <c r="AA742" s="3">
        <f>IF(tblOrdenes[[#This Row],[backlog_dias]]="",FALSE,AND(tblOrdenes[[#This Row],[backlog_dias]]&gt;p_dias_backlog_min,tblOrdenes[[#This Row],[backlog_dias]]&lt;=p_dias_backlog_max))</f>
        <v/>
      </c>
      <c r="AB742" s="6" t="n"/>
      <c r="AC7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2" s="10">
        <f>IF(tblOrdenes[[#This Row],[orden]]="","",_xlfn.XLOOKUP(tblOrdenes[[#This Row],[id_operacion]],tblEjecucion[id_operacion],tblEjecucion[precio],0))</f>
        <v/>
      </c>
      <c r="AG742" s="10">
        <f>IF(tblOrdenes[[#This Row],[orden]]="","",MAX(0,_xlfn.XLOOKUP(tblOrdenes[[#This Row],[id_operacion]],tblEjecucion[id_operacion],tblEjecucion[costo_plan_total],0)-tblOrdenes[[#This Row],[costo_servicio]]))</f>
        <v/>
      </c>
      <c r="AH742" s="10">
        <f>IF(tblOrdenes[[#This Row],[orden]]="","",tblOrdenes[[#This Row],[costo_servicio]]+tblOrdenes[[#This Row],[costo_materiales]])</f>
        <v/>
      </c>
      <c r="AI742" s="6" t="n"/>
      <c r="AJ742" s="6" t="n"/>
      <c r="AK742" s="6" t="n"/>
      <c r="AL742" s="3">
        <f>IF(tblOrdenes[[#This Row],[link_checklist]]="","",HYPERLINK(p_ruta_base_checklists&amp;tblOrdenes[[#This Row],[link_checklist]],"abrir"))</f>
        <v/>
      </c>
      <c r="AM742" s="6" t="n"/>
      <c r="AN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Row],[tipo_ot]]="","",_xlfn.XLOOKUP(tblOrdenes[[#This Row],[tipo_ot]],tblTiposOT[codigo],tblTiposOT[clasificacion],"sin_clasificar"))</f>
        <v/>
      </c>
      <c r="T743" s="3">
        <f>IF(tblOrdenes[[#This Row],[centro_costo]]="","",_xlfn.XLOOKUP(tblOrdenes[[#This Row],[centro_costo]],tblCECO[codigo],tblCECO[linea],"(sin catálogo)"))</f>
        <v/>
      </c>
      <c r="U743" s="3">
        <f>IF(tblOrdenes[[#This Row],[centro_costo]]="","",_xlfn.XLOOKUP(tblOrdenes[[#This Row],[centro_costo]],tblCECO[codigo],tblCECO[area],"(sin catálogo)"))</f>
        <v/>
      </c>
      <c r="V743" s="3">
        <f>IF(tblOrdenes[[#This Row],[centro_costo]]="","",_xlfn.XLOOKUP(tblOrdenes[[#This Row],[centro_costo]],tblCECO[codigo],tblCECO[coordinador],"(sin catálogo)"))</f>
        <v/>
      </c>
      <c r="W743" s="3">
        <f>IF(tblOrdenes[[#This Row],[puesto_trabajo]]="","",_xlfn.XLOOKUP(tblOrdenes[[#This Row],[puesto_trabajo]],tblPuestos[codigo],tblPuestos[especialidad],"(sin catálogo)"))</f>
        <v/>
      </c>
      <c r="X743" s="3">
        <f>IF(tblOrdenes[[#This Row],[cod_actividad]]="","",_xlfn.XLOOKUP(tblOrdenes[[#This Row],[cod_actividad]],tblActividades[codigo],tblActividades[descripcion],"(sin catálogo)"))</f>
        <v/>
      </c>
      <c r="Y743" s="12">
        <f>IF(tblOrdenes[[#This Row],[fecha_inicio]]="","",TODAY()-tblOrdenes[[#This Row],[fecha_inicio]])</f>
        <v/>
      </c>
      <c r="Z743" s="3">
        <f>IF(tblOrdenes[[#This Row],[backlog_dias]]="","",IF(tblOrdenes[[#This Row],[backlog_dias]]&lt;0,"FUTURO",IF(tblOrdenes[[#This Row],[backlog_dias]]&gt;p_dias_backlog_max,"BACKLOG","MES CORRIENTE")))</f>
        <v/>
      </c>
      <c r="AA743" s="3">
        <f>IF(tblOrdenes[[#This Row],[backlog_dias]]="",FALSE,AND(tblOrdenes[[#This Row],[backlog_dias]]&gt;p_dias_backlog_min,tblOrdenes[[#This Row],[backlog_dias]]&lt;=p_dias_backlog_max))</f>
        <v/>
      </c>
      <c r="AB743" s="6" t="n"/>
      <c r="AC7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3" s="10">
        <f>IF(tblOrdenes[[#This Row],[orden]]="","",_xlfn.XLOOKUP(tblOrdenes[[#This Row],[id_operacion]],tblEjecucion[id_operacion],tblEjecucion[precio],0))</f>
        <v/>
      </c>
      <c r="AG743" s="10">
        <f>IF(tblOrdenes[[#This Row],[orden]]="","",MAX(0,_xlfn.XLOOKUP(tblOrdenes[[#This Row],[id_operacion]],tblEjecucion[id_operacion],tblEjecucion[costo_plan_total],0)-tblOrdenes[[#This Row],[costo_servicio]]))</f>
        <v/>
      </c>
      <c r="AH743" s="10">
        <f>IF(tblOrdenes[[#This Row],[orden]]="","",tblOrdenes[[#This Row],[costo_servicio]]+tblOrdenes[[#This Row],[costo_materiales]])</f>
        <v/>
      </c>
      <c r="AI743" s="6" t="n"/>
      <c r="AJ743" s="6" t="n"/>
      <c r="AK743" s="6" t="n"/>
      <c r="AL743" s="3">
        <f>IF(tblOrdenes[[#This Row],[link_checklist]]="","",HYPERLINK(p_ruta_base_checklists&amp;tblOrdenes[[#This Row],[link_checklist]],"abrir"))</f>
        <v/>
      </c>
      <c r="AM743" s="6" t="n"/>
      <c r="AN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Row],[tipo_ot]]="","",_xlfn.XLOOKUP(tblOrdenes[[#This Row],[tipo_ot]],tblTiposOT[codigo],tblTiposOT[clasificacion],"sin_clasificar"))</f>
        <v/>
      </c>
      <c r="T744" s="3">
        <f>IF(tblOrdenes[[#This Row],[centro_costo]]="","",_xlfn.XLOOKUP(tblOrdenes[[#This Row],[centro_costo]],tblCECO[codigo],tblCECO[linea],"(sin catálogo)"))</f>
        <v/>
      </c>
      <c r="U744" s="3">
        <f>IF(tblOrdenes[[#This Row],[centro_costo]]="","",_xlfn.XLOOKUP(tblOrdenes[[#This Row],[centro_costo]],tblCECO[codigo],tblCECO[area],"(sin catálogo)"))</f>
        <v/>
      </c>
      <c r="V744" s="3">
        <f>IF(tblOrdenes[[#This Row],[centro_costo]]="","",_xlfn.XLOOKUP(tblOrdenes[[#This Row],[centro_costo]],tblCECO[codigo],tblCECO[coordinador],"(sin catálogo)"))</f>
        <v/>
      </c>
      <c r="W744" s="3">
        <f>IF(tblOrdenes[[#This Row],[puesto_trabajo]]="","",_xlfn.XLOOKUP(tblOrdenes[[#This Row],[puesto_trabajo]],tblPuestos[codigo],tblPuestos[especialidad],"(sin catálogo)"))</f>
        <v/>
      </c>
      <c r="X744" s="3">
        <f>IF(tblOrdenes[[#This Row],[cod_actividad]]="","",_xlfn.XLOOKUP(tblOrdenes[[#This Row],[cod_actividad]],tblActividades[codigo],tblActividades[descripcion],"(sin catálogo)"))</f>
        <v/>
      </c>
      <c r="Y744" s="12">
        <f>IF(tblOrdenes[[#This Row],[fecha_inicio]]="","",TODAY()-tblOrdenes[[#This Row],[fecha_inicio]])</f>
        <v/>
      </c>
      <c r="Z744" s="3">
        <f>IF(tblOrdenes[[#This Row],[backlog_dias]]="","",IF(tblOrdenes[[#This Row],[backlog_dias]]&lt;0,"FUTURO",IF(tblOrdenes[[#This Row],[backlog_dias]]&gt;p_dias_backlog_max,"BACKLOG","MES CORRIENTE")))</f>
        <v/>
      </c>
      <c r="AA744" s="3">
        <f>IF(tblOrdenes[[#This Row],[backlog_dias]]="",FALSE,AND(tblOrdenes[[#This Row],[backlog_dias]]&gt;p_dias_backlog_min,tblOrdenes[[#This Row],[backlog_dias]]&lt;=p_dias_backlog_max))</f>
        <v/>
      </c>
      <c r="AB744" s="6" t="n"/>
      <c r="AC7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4" s="10">
        <f>IF(tblOrdenes[[#This Row],[orden]]="","",_xlfn.XLOOKUP(tblOrdenes[[#This Row],[id_operacion]],tblEjecucion[id_operacion],tblEjecucion[precio],0))</f>
        <v/>
      </c>
      <c r="AG744" s="10">
        <f>IF(tblOrdenes[[#This Row],[orden]]="","",MAX(0,_xlfn.XLOOKUP(tblOrdenes[[#This Row],[id_operacion]],tblEjecucion[id_operacion],tblEjecucion[costo_plan_total],0)-tblOrdenes[[#This Row],[costo_servicio]]))</f>
        <v/>
      </c>
      <c r="AH744" s="10">
        <f>IF(tblOrdenes[[#This Row],[orden]]="","",tblOrdenes[[#This Row],[costo_servicio]]+tblOrdenes[[#This Row],[costo_materiales]])</f>
        <v/>
      </c>
      <c r="AI744" s="6" t="n"/>
      <c r="AJ744" s="6" t="n"/>
      <c r="AK744" s="6" t="n"/>
      <c r="AL744" s="3">
        <f>IF(tblOrdenes[[#This Row],[link_checklist]]="","",HYPERLINK(p_ruta_base_checklists&amp;tblOrdenes[[#This Row],[link_checklist]],"abrir"))</f>
        <v/>
      </c>
      <c r="AM744" s="6" t="n"/>
      <c r="AN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Row],[tipo_ot]]="","",_xlfn.XLOOKUP(tblOrdenes[[#This Row],[tipo_ot]],tblTiposOT[codigo],tblTiposOT[clasificacion],"sin_clasificar"))</f>
        <v/>
      </c>
      <c r="T745" s="3">
        <f>IF(tblOrdenes[[#This Row],[centro_costo]]="","",_xlfn.XLOOKUP(tblOrdenes[[#This Row],[centro_costo]],tblCECO[codigo],tblCECO[linea],"(sin catálogo)"))</f>
        <v/>
      </c>
      <c r="U745" s="3">
        <f>IF(tblOrdenes[[#This Row],[centro_costo]]="","",_xlfn.XLOOKUP(tblOrdenes[[#This Row],[centro_costo]],tblCECO[codigo],tblCECO[area],"(sin catálogo)"))</f>
        <v/>
      </c>
      <c r="V745" s="3">
        <f>IF(tblOrdenes[[#This Row],[centro_costo]]="","",_xlfn.XLOOKUP(tblOrdenes[[#This Row],[centro_costo]],tblCECO[codigo],tblCECO[coordinador],"(sin catálogo)"))</f>
        <v/>
      </c>
      <c r="W745" s="3">
        <f>IF(tblOrdenes[[#This Row],[puesto_trabajo]]="","",_xlfn.XLOOKUP(tblOrdenes[[#This Row],[puesto_trabajo]],tblPuestos[codigo],tblPuestos[especialidad],"(sin catálogo)"))</f>
        <v/>
      </c>
      <c r="X745" s="3">
        <f>IF(tblOrdenes[[#This Row],[cod_actividad]]="","",_xlfn.XLOOKUP(tblOrdenes[[#This Row],[cod_actividad]],tblActividades[codigo],tblActividades[descripcion],"(sin catálogo)"))</f>
        <v/>
      </c>
      <c r="Y745" s="12">
        <f>IF(tblOrdenes[[#This Row],[fecha_inicio]]="","",TODAY()-tblOrdenes[[#This Row],[fecha_inicio]])</f>
        <v/>
      </c>
      <c r="Z745" s="3">
        <f>IF(tblOrdenes[[#This Row],[backlog_dias]]="","",IF(tblOrdenes[[#This Row],[backlog_dias]]&lt;0,"FUTURO",IF(tblOrdenes[[#This Row],[backlog_dias]]&gt;p_dias_backlog_max,"BACKLOG","MES CORRIENTE")))</f>
        <v/>
      </c>
      <c r="AA745" s="3">
        <f>IF(tblOrdenes[[#This Row],[backlog_dias]]="",FALSE,AND(tblOrdenes[[#This Row],[backlog_dias]]&gt;p_dias_backlog_min,tblOrdenes[[#This Row],[backlog_dias]]&lt;=p_dias_backlog_max))</f>
        <v/>
      </c>
      <c r="AB745" s="6" t="n"/>
      <c r="AC7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5" s="10">
        <f>IF(tblOrdenes[[#This Row],[orden]]="","",_xlfn.XLOOKUP(tblOrdenes[[#This Row],[id_operacion]],tblEjecucion[id_operacion],tblEjecucion[precio],0))</f>
        <v/>
      </c>
      <c r="AG745" s="10">
        <f>IF(tblOrdenes[[#This Row],[orden]]="","",MAX(0,_xlfn.XLOOKUP(tblOrdenes[[#This Row],[id_operacion]],tblEjecucion[id_operacion],tblEjecucion[costo_plan_total],0)-tblOrdenes[[#This Row],[costo_servicio]]))</f>
        <v/>
      </c>
      <c r="AH745" s="10">
        <f>IF(tblOrdenes[[#This Row],[orden]]="","",tblOrdenes[[#This Row],[costo_servicio]]+tblOrdenes[[#This Row],[costo_materiales]])</f>
        <v/>
      </c>
      <c r="AI745" s="6" t="n"/>
      <c r="AJ745" s="6" t="n"/>
      <c r="AK745" s="6" t="n"/>
      <c r="AL745" s="3">
        <f>IF(tblOrdenes[[#This Row],[link_checklist]]="","",HYPERLINK(p_ruta_base_checklists&amp;tblOrdenes[[#This Row],[link_checklist]],"abrir"))</f>
        <v/>
      </c>
      <c r="AM745" s="6" t="n"/>
      <c r="AN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Row],[tipo_ot]]="","",_xlfn.XLOOKUP(tblOrdenes[[#This Row],[tipo_ot]],tblTiposOT[codigo],tblTiposOT[clasificacion],"sin_clasificar"))</f>
        <v/>
      </c>
      <c r="T746" s="3">
        <f>IF(tblOrdenes[[#This Row],[centro_costo]]="","",_xlfn.XLOOKUP(tblOrdenes[[#This Row],[centro_costo]],tblCECO[codigo],tblCECO[linea],"(sin catálogo)"))</f>
        <v/>
      </c>
      <c r="U746" s="3">
        <f>IF(tblOrdenes[[#This Row],[centro_costo]]="","",_xlfn.XLOOKUP(tblOrdenes[[#This Row],[centro_costo]],tblCECO[codigo],tblCECO[area],"(sin catálogo)"))</f>
        <v/>
      </c>
      <c r="V746" s="3">
        <f>IF(tblOrdenes[[#This Row],[centro_costo]]="","",_xlfn.XLOOKUP(tblOrdenes[[#This Row],[centro_costo]],tblCECO[codigo],tblCECO[coordinador],"(sin catálogo)"))</f>
        <v/>
      </c>
      <c r="W746" s="3">
        <f>IF(tblOrdenes[[#This Row],[puesto_trabajo]]="","",_xlfn.XLOOKUP(tblOrdenes[[#This Row],[puesto_trabajo]],tblPuestos[codigo],tblPuestos[especialidad],"(sin catálogo)"))</f>
        <v/>
      </c>
      <c r="X746" s="3">
        <f>IF(tblOrdenes[[#This Row],[cod_actividad]]="","",_xlfn.XLOOKUP(tblOrdenes[[#This Row],[cod_actividad]],tblActividades[codigo],tblActividades[descripcion],"(sin catálogo)"))</f>
        <v/>
      </c>
      <c r="Y746" s="12">
        <f>IF(tblOrdenes[[#This Row],[fecha_inicio]]="","",TODAY()-tblOrdenes[[#This Row],[fecha_inicio]])</f>
        <v/>
      </c>
      <c r="Z746" s="3">
        <f>IF(tblOrdenes[[#This Row],[backlog_dias]]="","",IF(tblOrdenes[[#This Row],[backlog_dias]]&lt;0,"FUTURO",IF(tblOrdenes[[#This Row],[backlog_dias]]&gt;p_dias_backlog_max,"BACKLOG","MES CORRIENTE")))</f>
        <v/>
      </c>
      <c r="AA746" s="3">
        <f>IF(tblOrdenes[[#This Row],[backlog_dias]]="",FALSE,AND(tblOrdenes[[#This Row],[backlog_dias]]&gt;p_dias_backlog_min,tblOrdenes[[#This Row],[backlog_dias]]&lt;=p_dias_backlog_max))</f>
        <v/>
      </c>
      <c r="AB746" s="6" t="n"/>
      <c r="AC7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6" s="10">
        <f>IF(tblOrdenes[[#This Row],[orden]]="","",_xlfn.XLOOKUP(tblOrdenes[[#This Row],[id_operacion]],tblEjecucion[id_operacion],tblEjecucion[precio],0))</f>
        <v/>
      </c>
      <c r="AG746" s="10">
        <f>IF(tblOrdenes[[#This Row],[orden]]="","",MAX(0,_xlfn.XLOOKUP(tblOrdenes[[#This Row],[id_operacion]],tblEjecucion[id_operacion],tblEjecucion[costo_plan_total],0)-tblOrdenes[[#This Row],[costo_servicio]]))</f>
        <v/>
      </c>
      <c r="AH746" s="10">
        <f>IF(tblOrdenes[[#This Row],[orden]]="","",tblOrdenes[[#This Row],[costo_servicio]]+tblOrdenes[[#This Row],[costo_materiales]])</f>
        <v/>
      </c>
      <c r="AI746" s="6" t="n"/>
      <c r="AJ746" s="6" t="n"/>
      <c r="AK746" s="6" t="n"/>
      <c r="AL746" s="3">
        <f>IF(tblOrdenes[[#This Row],[link_checklist]]="","",HYPERLINK(p_ruta_base_checklists&amp;tblOrdenes[[#This Row],[link_checklist]],"abrir"))</f>
        <v/>
      </c>
      <c r="AM746" s="6" t="n"/>
      <c r="AN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Row],[tipo_ot]]="","",_xlfn.XLOOKUP(tblOrdenes[[#This Row],[tipo_ot]],tblTiposOT[codigo],tblTiposOT[clasificacion],"sin_clasificar"))</f>
        <v/>
      </c>
      <c r="T747" s="3">
        <f>IF(tblOrdenes[[#This Row],[centro_costo]]="","",_xlfn.XLOOKUP(tblOrdenes[[#This Row],[centro_costo]],tblCECO[codigo],tblCECO[linea],"(sin catálogo)"))</f>
        <v/>
      </c>
      <c r="U747" s="3">
        <f>IF(tblOrdenes[[#This Row],[centro_costo]]="","",_xlfn.XLOOKUP(tblOrdenes[[#This Row],[centro_costo]],tblCECO[codigo],tblCECO[area],"(sin catálogo)"))</f>
        <v/>
      </c>
      <c r="V747" s="3">
        <f>IF(tblOrdenes[[#This Row],[centro_costo]]="","",_xlfn.XLOOKUP(tblOrdenes[[#This Row],[centro_costo]],tblCECO[codigo],tblCECO[coordinador],"(sin catálogo)"))</f>
        <v/>
      </c>
      <c r="W747" s="3">
        <f>IF(tblOrdenes[[#This Row],[puesto_trabajo]]="","",_xlfn.XLOOKUP(tblOrdenes[[#This Row],[puesto_trabajo]],tblPuestos[codigo],tblPuestos[especialidad],"(sin catálogo)"))</f>
        <v/>
      </c>
      <c r="X747" s="3">
        <f>IF(tblOrdenes[[#This Row],[cod_actividad]]="","",_xlfn.XLOOKUP(tblOrdenes[[#This Row],[cod_actividad]],tblActividades[codigo],tblActividades[descripcion],"(sin catálogo)"))</f>
        <v/>
      </c>
      <c r="Y747" s="12">
        <f>IF(tblOrdenes[[#This Row],[fecha_inicio]]="","",TODAY()-tblOrdenes[[#This Row],[fecha_inicio]])</f>
        <v/>
      </c>
      <c r="Z747" s="3">
        <f>IF(tblOrdenes[[#This Row],[backlog_dias]]="","",IF(tblOrdenes[[#This Row],[backlog_dias]]&lt;0,"FUTURO",IF(tblOrdenes[[#This Row],[backlog_dias]]&gt;p_dias_backlog_max,"BACKLOG","MES CORRIENTE")))</f>
        <v/>
      </c>
      <c r="AA747" s="3">
        <f>IF(tblOrdenes[[#This Row],[backlog_dias]]="",FALSE,AND(tblOrdenes[[#This Row],[backlog_dias]]&gt;p_dias_backlog_min,tblOrdenes[[#This Row],[backlog_dias]]&lt;=p_dias_backlog_max))</f>
        <v/>
      </c>
      <c r="AB747" s="6" t="n"/>
      <c r="AC7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7" s="10">
        <f>IF(tblOrdenes[[#This Row],[orden]]="","",_xlfn.XLOOKUP(tblOrdenes[[#This Row],[id_operacion]],tblEjecucion[id_operacion],tblEjecucion[precio],0))</f>
        <v/>
      </c>
      <c r="AG747" s="10">
        <f>IF(tblOrdenes[[#This Row],[orden]]="","",MAX(0,_xlfn.XLOOKUP(tblOrdenes[[#This Row],[id_operacion]],tblEjecucion[id_operacion],tblEjecucion[costo_plan_total],0)-tblOrdenes[[#This Row],[costo_servicio]]))</f>
        <v/>
      </c>
      <c r="AH747" s="10">
        <f>IF(tblOrdenes[[#This Row],[orden]]="","",tblOrdenes[[#This Row],[costo_servicio]]+tblOrdenes[[#This Row],[costo_materiales]])</f>
        <v/>
      </c>
      <c r="AI747" s="6" t="n"/>
      <c r="AJ747" s="6" t="n"/>
      <c r="AK747" s="6" t="n"/>
      <c r="AL747" s="3">
        <f>IF(tblOrdenes[[#This Row],[link_checklist]]="","",HYPERLINK(p_ruta_base_checklists&amp;tblOrdenes[[#This Row],[link_checklist]],"abrir"))</f>
        <v/>
      </c>
      <c r="AM747" s="6" t="n"/>
      <c r="AN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Row],[tipo_ot]]="","",_xlfn.XLOOKUP(tblOrdenes[[#This Row],[tipo_ot]],tblTiposOT[codigo],tblTiposOT[clasificacion],"sin_clasificar"))</f>
        <v/>
      </c>
      <c r="T748" s="3">
        <f>IF(tblOrdenes[[#This Row],[centro_costo]]="","",_xlfn.XLOOKUP(tblOrdenes[[#This Row],[centro_costo]],tblCECO[codigo],tblCECO[linea],"(sin catálogo)"))</f>
        <v/>
      </c>
      <c r="U748" s="3">
        <f>IF(tblOrdenes[[#This Row],[centro_costo]]="","",_xlfn.XLOOKUP(tblOrdenes[[#This Row],[centro_costo]],tblCECO[codigo],tblCECO[area],"(sin catálogo)"))</f>
        <v/>
      </c>
      <c r="V748" s="3">
        <f>IF(tblOrdenes[[#This Row],[centro_costo]]="","",_xlfn.XLOOKUP(tblOrdenes[[#This Row],[centro_costo]],tblCECO[codigo],tblCECO[coordinador],"(sin catálogo)"))</f>
        <v/>
      </c>
      <c r="W748" s="3">
        <f>IF(tblOrdenes[[#This Row],[puesto_trabajo]]="","",_xlfn.XLOOKUP(tblOrdenes[[#This Row],[puesto_trabajo]],tblPuestos[codigo],tblPuestos[especialidad],"(sin catálogo)"))</f>
        <v/>
      </c>
      <c r="X748" s="3">
        <f>IF(tblOrdenes[[#This Row],[cod_actividad]]="","",_xlfn.XLOOKUP(tblOrdenes[[#This Row],[cod_actividad]],tblActividades[codigo],tblActividades[descripcion],"(sin catálogo)"))</f>
        <v/>
      </c>
      <c r="Y748" s="12">
        <f>IF(tblOrdenes[[#This Row],[fecha_inicio]]="","",TODAY()-tblOrdenes[[#This Row],[fecha_inicio]])</f>
        <v/>
      </c>
      <c r="Z748" s="3">
        <f>IF(tblOrdenes[[#This Row],[backlog_dias]]="","",IF(tblOrdenes[[#This Row],[backlog_dias]]&lt;0,"FUTURO",IF(tblOrdenes[[#This Row],[backlog_dias]]&gt;p_dias_backlog_max,"BACKLOG","MES CORRIENTE")))</f>
        <v/>
      </c>
      <c r="AA748" s="3">
        <f>IF(tblOrdenes[[#This Row],[backlog_dias]]="",FALSE,AND(tblOrdenes[[#This Row],[backlog_dias]]&gt;p_dias_backlog_min,tblOrdenes[[#This Row],[backlog_dias]]&lt;=p_dias_backlog_max))</f>
        <v/>
      </c>
      <c r="AB748" s="6" t="n"/>
      <c r="AC7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8" s="10">
        <f>IF(tblOrdenes[[#This Row],[orden]]="","",_xlfn.XLOOKUP(tblOrdenes[[#This Row],[id_operacion]],tblEjecucion[id_operacion],tblEjecucion[precio],0))</f>
        <v/>
      </c>
      <c r="AG748" s="10">
        <f>IF(tblOrdenes[[#This Row],[orden]]="","",MAX(0,_xlfn.XLOOKUP(tblOrdenes[[#This Row],[id_operacion]],tblEjecucion[id_operacion],tblEjecucion[costo_plan_total],0)-tblOrdenes[[#This Row],[costo_servicio]]))</f>
        <v/>
      </c>
      <c r="AH748" s="10">
        <f>IF(tblOrdenes[[#This Row],[orden]]="","",tblOrdenes[[#This Row],[costo_servicio]]+tblOrdenes[[#This Row],[costo_materiales]])</f>
        <v/>
      </c>
      <c r="AI748" s="6" t="n"/>
      <c r="AJ748" s="6" t="n"/>
      <c r="AK748" s="6" t="n"/>
      <c r="AL748" s="3">
        <f>IF(tblOrdenes[[#This Row],[link_checklist]]="","",HYPERLINK(p_ruta_base_checklists&amp;tblOrdenes[[#This Row],[link_checklist]],"abrir"))</f>
        <v/>
      </c>
      <c r="AM748" s="6" t="n"/>
      <c r="AN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Row],[tipo_ot]]="","",_xlfn.XLOOKUP(tblOrdenes[[#This Row],[tipo_ot]],tblTiposOT[codigo],tblTiposOT[clasificacion],"sin_clasificar"))</f>
        <v/>
      </c>
      <c r="T749" s="3">
        <f>IF(tblOrdenes[[#This Row],[centro_costo]]="","",_xlfn.XLOOKUP(tblOrdenes[[#This Row],[centro_costo]],tblCECO[codigo],tblCECO[linea],"(sin catálogo)"))</f>
        <v/>
      </c>
      <c r="U749" s="3">
        <f>IF(tblOrdenes[[#This Row],[centro_costo]]="","",_xlfn.XLOOKUP(tblOrdenes[[#This Row],[centro_costo]],tblCECO[codigo],tblCECO[area],"(sin catálogo)"))</f>
        <v/>
      </c>
      <c r="V749" s="3">
        <f>IF(tblOrdenes[[#This Row],[centro_costo]]="","",_xlfn.XLOOKUP(tblOrdenes[[#This Row],[centro_costo]],tblCECO[codigo],tblCECO[coordinador],"(sin catálogo)"))</f>
        <v/>
      </c>
      <c r="W749" s="3">
        <f>IF(tblOrdenes[[#This Row],[puesto_trabajo]]="","",_xlfn.XLOOKUP(tblOrdenes[[#This Row],[puesto_trabajo]],tblPuestos[codigo],tblPuestos[especialidad],"(sin catálogo)"))</f>
        <v/>
      </c>
      <c r="X749" s="3">
        <f>IF(tblOrdenes[[#This Row],[cod_actividad]]="","",_xlfn.XLOOKUP(tblOrdenes[[#This Row],[cod_actividad]],tblActividades[codigo],tblActividades[descripcion],"(sin catálogo)"))</f>
        <v/>
      </c>
      <c r="Y749" s="12">
        <f>IF(tblOrdenes[[#This Row],[fecha_inicio]]="","",TODAY()-tblOrdenes[[#This Row],[fecha_inicio]])</f>
        <v/>
      </c>
      <c r="Z749" s="3">
        <f>IF(tblOrdenes[[#This Row],[backlog_dias]]="","",IF(tblOrdenes[[#This Row],[backlog_dias]]&lt;0,"FUTURO",IF(tblOrdenes[[#This Row],[backlog_dias]]&gt;p_dias_backlog_max,"BACKLOG","MES CORRIENTE")))</f>
        <v/>
      </c>
      <c r="AA749" s="3">
        <f>IF(tblOrdenes[[#This Row],[backlog_dias]]="",FALSE,AND(tblOrdenes[[#This Row],[backlog_dias]]&gt;p_dias_backlog_min,tblOrdenes[[#This Row],[backlog_dias]]&lt;=p_dias_backlog_max))</f>
        <v/>
      </c>
      <c r="AB749" s="6" t="n"/>
      <c r="AC7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9" s="10">
        <f>IF(tblOrdenes[[#This Row],[orden]]="","",_xlfn.XLOOKUP(tblOrdenes[[#This Row],[id_operacion]],tblEjecucion[id_operacion],tblEjecucion[precio],0))</f>
        <v/>
      </c>
      <c r="AG749" s="10">
        <f>IF(tblOrdenes[[#This Row],[orden]]="","",MAX(0,_xlfn.XLOOKUP(tblOrdenes[[#This Row],[id_operacion]],tblEjecucion[id_operacion],tblEjecucion[costo_plan_total],0)-tblOrdenes[[#This Row],[costo_servicio]]))</f>
        <v/>
      </c>
      <c r="AH749" s="10">
        <f>IF(tblOrdenes[[#This Row],[orden]]="","",tblOrdenes[[#This Row],[costo_servicio]]+tblOrdenes[[#This Row],[costo_materiales]])</f>
        <v/>
      </c>
      <c r="AI749" s="6" t="n"/>
      <c r="AJ749" s="6" t="n"/>
      <c r="AK749" s="6" t="n"/>
      <c r="AL749" s="3">
        <f>IF(tblOrdenes[[#This Row],[link_checklist]]="","",HYPERLINK(p_ruta_base_checklists&amp;tblOrdenes[[#This Row],[link_checklist]],"abrir"))</f>
        <v/>
      </c>
      <c r="AM749" s="6" t="n"/>
      <c r="AN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Row],[tipo_ot]]="","",_xlfn.XLOOKUP(tblOrdenes[[#This Row],[tipo_ot]],tblTiposOT[codigo],tblTiposOT[clasificacion],"sin_clasificar"))</f>
        <v/>
      </c>
      <c r="T750" s="3">
        <f>IF(tblOrdenes[[#This Row],[centro_costo]]="","",_xlfn.XLOOKUP(tblOrdenes[[#This Row],[centro_costo]],tblCECO[codigo],tblCECO[linea],"(sin catálogo)"))</f>
        <v/>
      </c>
      <c r="U750" s="3">
        <f>IF(tblOrdenes[[#This Row],[centro_costo]]="","",_xlfn.XLOOKUP(tblOrdenes[[#This Row],[centro_costo]],tblCECO[codigo],tblCECO[area],"(sin catálogo)"))</f>
        <v/>
      </c>
      <c r="V750" s="3">
        <f>IF(tblOrdenes[[#This Row],[centro_costo]]="","",_xlfn.XLOOKUP(tblOrdenes[[#This Row],[centro_costo]],tblCECO[codigo],tblCECO[coordinador],"(sin catálogo)"))</f>
        <v/>
      </c>
      <c r="W750" s="3">
        <f>IF(tblOrdenes[[#This Row],[puesto_trabajo]]="","",_xlfn.XLOOKUP(tblOrdenes[[#This Row],[puesto_trabajo]],tblPuestos[codigo],tblPuestos[especialidad],"(sin catálogo)"))</f>
        <v/>
      </c>
      <c r="X750" s="3">
        <f>IF(tblOrdenes[[#This Row],[cod_actividad]]="","",_xlfn.XLOOKUP(tblOrdenes[[#This Row],[cod_actividad]],tblActividades[codigo],tblActividades[descripcion],"(sin catálogo)"))</f>
        <v/>
      </c>
      <c r="Y750" s="12">
        <f>IF(tblOrdenes[[#This Row],[fecha_inicio]]="","",TODAY()-tblOrdenes[[#This Row],[fecha_inicio]])</f>
        <v/>
      </c>
      <c r="Z750" s="3">
        <f>IF(tblOrdenes[[#This Row],[backlog_dias]]="","",IF(tblOrdenes[[#This Row],[backlog_dias]]&lt;0,"FUTURO",IF(tblOrdenes[[#This Row],[backlog_dias]]&gt;p_dias_backlog_max,"BACKLOG","MES CORRIENTE")))</f>
        <v/>
      </c>
      <c r="AA750" s="3">
        <f>IF(tblOrdenes[[#This Row],[backlog_dias]]="",FALSE,AND(tblOrdenes[[#This Row],[backlog_dias]]&gt;p_dias_backlog_min,tblOrdenes[[#This Row],[backlog_dias]]&lt;=p_dias_backlog_max))</f>
        <v/>
      </c>
      <c r="AB750" s="6" t="n"/>
      <c r="AC7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0" s="10">
        <f>IF(tblOrdenes[[#This Row],[orden]]="","",_xlfn.XLOOKUP(tblOrdenes[[#This Row],[id_operacion]],tblEjecucion[id_operacion],tblEjecucion[precio],0))</f>
        <v/>
      </c>
      <c r="AG750" s="10">
        <f>IF(tblOrdenes[[#This Row],[orden]]="","",MAX(0,_xlfn.XLOOKUP(tblOrdenes[[#This Row],[id_operacion]],tblEjecucion[id_operacion],tblEjecucion[costo_plan_total],0)-tblOrdenes[[#This Row],[costo_servicio]]))</f>
        <v/>
      </c>
      <c r="AH750" s="10">
        <f>IF(tblOrdenes[[#This Row],[orden]]="","",tblOrdenes[[#This Row],[costo_servicio]]+tblOrdenes[[#This Row],[costo_materiales]])</f>
        <v/>
      </c>
      <c r="AI750" s="6" t="n"/>
      <c r="AJ750" s="6" t="n"/>
      <c r="AK750" s="6" t="n"/>
      <c r="AL750" s="3">
        <f>IF(tblOrdenes[[#This Row],[link_checklist]]="","",HYPERLINK(p_ruta_base_checklists&amp;tblOrdenes[[#This Row],[link_checklist]],"abrir"))</f>
        <v/>
      </c>
      <c r="AM750" s="6" t="n"/>
      <c r="AN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Row],[tipo_ot]]="","",_xlfn.XLOOKUP(tblOrdenes[[#This Row],[tipo_ot]],tblTiposOT[codigo],tblTiposOT[clasificacion],"sin_clasificar"))</f>
        <v/>
      </c>
      <c r="T751" s="3">
        <f>IF(tblOrdenes[[#This Row],[centro_costo]]="","",_xlfn.XLOOKUP(tblOrdenes[[#This Row],[centro_costo]],tblCECO[codigo],tblCECO[linea],"(sin catálogo)"))</f>
        <v/>
      </c>
      <c r="U751" s="3">
        <f>IF(tblOrdenes[[#This Row],[centro_costo]]="","",_xlfn.XLOOKUP(tblOrdenes[[#This Row],[centro_costo]],tblCECO[codigo],tblCECO[area],"(sin catálogo)"))</f>
        <v/>
      </c>
      <c r="V751" s="3">
        <f>IF(tblOrdenes[[#This Row],[centro_costo]]="","",_xlfn.XLOOKUP(tblOrdenes[[#This Row],[centro_costo]],tblCECO[codigo],tblCECO[coordinador],"(sin catálogo)"))</f>
        <v/>
      </c>
      <c r="W751" s="3">
        <f>IF(tblOrdenes[[#This Row],[puesto_trabajo]]="","",_xlfn.XLOOKUP(tblOrdenes[[#This Row],[puesto_trabajo]],tblPuestos[codigo],tblPuestos[especialidad],"(sin catálogo)"))</f>
        <v/>
      </c>
      <c r="X751" s="3">
        <f>IF(tblOrdenes[[#This Row],[cod_actividad]]="","",_xlfn.XLOOKUP(tblOrdenes[[#This Row],[cod_actividad]],tblActividades[codigo],tblActividades[descripcion],"(sin catálogo)"))</f>
        <v/>
      </c>
      <c r="Y751" s="12">
        <f>IF(tblOrdenes[[#This Row],[fecha_inicio]]="","",TODAY()-tblOrdenes[[#This Row],[fecha_inicio]])</f>
        <v/>
      </c>
      <c r="Z751" s="3">
        <f>IF(tblOrdenes[[#This Row],[backlog_dias]]="","",IF(tblOrdenes[[#This Row],[backlog_dias]]&lt;0,"FUTURO",IF(tblOrdenes[[#This Row],[backlog_dias]]&gt;p_dias_backlog_max,"BACKLOG","MES CORRIENTE")))</f>
        <v/>
      </c>
      <c r="AA751" s="3">
        <f>IF(tblOrdenes[[#This Row],[backlog_dias]]="",FALSE,AND(tblOrdenes[[#This Row],[backlog_dias]]&gt;p_dias_backlog_min,tblOrdenes[[#This Row],[backlog_dias]]&lt;=p_dias_backlog_max))</f>
        <v/>
      </c>
      <c r="AB751" s="6" t="n"/>
      <c r="AC7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1" s="10">
        <f>IF(tblOrdenes[[#This Row],[orden]]="","",_xlfn.XLOOKUP(tblOrdenes[[#This Row],[id_operacion]],tblEjecucion[id_operacion],tblEjecucion[precio],0))</f>
        <v/>
      </c>
      <c r="AG751" s="10">
        <f>IF(tblOrdenes[[#This Row],[orden]]="","",MAX(0,_xlfn.XLOOKUP(tblOrdenes[[#This Row],[id_operacion]],tblEjecucion[id_operacion],tblEjecucion[costo_plan_total],0)-tblOrdenes[[#This Row],[costo_servicio]]))</f>
        <v/>
      </c>
      <c r="AH751" s="10">
        <f>IF(tblOrdenes[[#This Row],[orden]]="","",tblOrdenes[[#This Row],[costo_servicio]]+tblOrdenes[[#This Row],[costo_materiales]])</f>
        <v/>
      </c>
      <c r="AI751" s="6" t="n"/>
      <c r="AJ751" s="6" t="n"/>
      <c r="AK751" s="6" t="n"/>
      <c r="AL751" s="3">
        <f>IF(tblOrdenes[[#This Row],[link_checklist]]="","",HYPERLINK(p_ruta_base_checklists&amp;tblOrdenes[[#This Row],[link_checklist]],"abrir"))</f>
        <v/>
      </c>
      <c r="AM751" s="6" t="n"/>
      <c r="AN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Row],[tipo_ot]]="","",_xlfn.XLOOKUP(tblOrdenes[[#This Row],[tipo_ot]],tblTiposOT[codigo],tblTiposOT[clasificacion],"sin_clasificar"))</f>
        <v/>
      </c>
      <c r="T752" s="3">
        <f>IF(tblOrdenes[[#This Row],[centro_costo]]="","",_xlfn.XLOOKUP(tblOrdenes[[#This Row],[centro_costo]],tblCECO[codigo],tblCECO[linea],"(sin catálogo)"))</f>
        <v/>
      </c>
      <c r="U752" s="3">
        <f>IF(tblOrdenes[[#This Row],[centro_costo]]="","",_xlfn.XLOOKUP(tblOrdenes[[#This Row],[centro_costo]],tblCECO[codigo],tblCECO[area],"(sin catálogo)"))</f>
        <v/>
      </c>
      <c r="V752" s="3">
        <f>IF(tblOrdenes[[#This Row],[centro_costo]]="","",_xlfn.XLOOKUP(tblOrdenes[[#This Row],[centro_costo]],tblCECO[codigo],tblCECO[coordinador],"(sin catálogo)"))</f>
        <v/>
      </c>
      <c r="W752" s="3">
        <f>IF(tblOrdenes[[#This Row],[puesto_trabajo]]="","",_xlfn.XLOOKUP(tblOrdenes[[#This Row],[puesto_trabajo]],tblPuestos[codigo],tblPuestos[especialidad],"(sin catálogo)"))</f>
        <v/>
      </c>
      <c r="X752" s="3">
        <f>IF(tblOrdenes[[#This Row],[cod_actividad]]="","",_xlfn.XLOOKUP(tblOrdenes[[#This Row],[cod_actividad]],tblActividades[codigo],tblActividades[descripcion],"(sin catálogo)"))</f>
        <v/>
      </c>
      <c r="Y752" s="12">
        <f>IF(tblOrdenes[[#This Row],[fecha_inicio]]="","",TODAY()-tblOrdenes[[#This Row],[fecha_inicio]])</f>
        <v/>
      </c>
      <c r="Z752" s="3">
        <f>IF(tblOrdenes[[#This Row],[backlog_dias]]="","",IF(tblOrdenes[[#This Row],[backlog_dias]]&lt;0,"FUTURO",IF(tblOrdenes[[#This Row],[backlog_dias]]&gt;p_dias_backlog_max,"BACKLOG","MES CORRIENTE")))</f>
        <v/>
      </c>
      <c r="AA752" s="3">
        <f>IF(tblOrdenes[[#This Row],[backlog_dias]]="",FALSE,AND(tblOrdenes[[#This Row],[backlog_dias]]&gt;p_dias_backlog_min,tblOrdenes[[#This Row],[backlog_dias]]&lt;=p_dias_backlog_max))</f>
        <v/>
      </c>
      <c r="AB752" s="6" t="n"/>
      <c r="AC7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2" s="10">
        <f>IF(tblOrdenes[[#This Row],[orden]]="","",_xlfn.XLOOKUP(tblOrdenes[[#This Row],[id_operacion]],tblEjecucion[id_operacion],tblEjecucion[precio],0))</f>
        <v/>
      </c>
      <c r="AG752" s="10">
        <f>IF(tblOrdenes[[#This Row],[orden]]="","",MAX(0,_xlfn.XLOOKUP(tblOrdenes[[#This Row],[id_operacion]],tblEjecucion[id_operacion],tblEjecucion[costo_plan_total],0)-tblOrdenes[[#This Row],[costo_servicio]]))</f>
        <v/>
      </c>
      <c r="AH752" s="10">
        <f>IF(tblOrdenes[[#This Row],[orden]]="","",tblOrdenes[[#This Row],[costo_servicio]]+tblOrdenes[[#This Row],[costo_materiales]])</f>
        <v/>
      </c>
      <c r="AI752" s="6" t="n"/>
      <c r="AJ752" s="6" t="n"/>
      <c r="AK752" s="6" t="n"/>
      <c r="AL752" s="3">
        <f>IF(tblOrdenes[[#This Row],[link_checklist]]="","",HYPERLINK(p_ruta_base_checklists&amp;tblOrdenes[[#This Row],[link_checklist]],"abrir"))</f>
        <v/>
      </c>
      <c r="AM752" s="6" t="n"/>
      <c r="AN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Row],[tipo_ot]]="","",_xlfn.XLOOKUP(tblOrdenes[[#This Row],[tipo_ot]],tblTiposOT[codigo],tblTiposOT[clasificacion],"sin_clasificar"))</f>
        <v/>
      </c>
      <c r="T753" s="3">
        <f>IF(tblOrdenes[[#This Row],[centro_costo]]="","",_xlfn.XLOOKUP(tblOrdenes[[#This Row],[centro_costo]],tblCECO[codigo],tblCECO[linea],"(sin catálogo)"))</f>
        <v/>
      </c>
      <c r="U753" s="3">
        <f>IF(tblOrdenes[[#This Row],[centro_costo]]="","",_xlfn.XLOOKUP(tblOrdenes[[#This Row],[centro_costo]],tblCECO[codigo],tblCECO[area],"(sin catálogo)"))</f>
        <v/>
      </c>
      <c r="V753" s="3">
        <f>IF(tblOrdenes[[#This Row],[centro_costo]]="","",_xlfn.XLOOKUP(tblOrdenes[[#This Row],[centro_costo]],tblCECO[codigo],tblCECO[coordinador],"(sin catálogo)"))</f>
        <v/>
      </c>
      <c r="W753" s="3">
        <f>IF(tblOrdenes[[#This Row],[puesto_trabajo]]="","",_xlfn.XLOOKUP(tblOrdenes[[#This Row],[puesto_trabajo]],tblPuestos[codigo],tblPuestos[especialidad],"(sin catálogo)"))</f>
        <v/>
      </c>
      <c r="X753" s="3">
        <f>IF(tblOrdenes[[#This Row],[cod_actividad]]="","",_xlfn.XLOOKUP(tblOrdenes[[#This Row],[cod_actividad]],tblActividades[codigo],tblActividades[descripcion],"(sin catálogo)"))</f>
        <v/>
      </c>
      <c r="Y753" s="12">
        <f>IF(tblOrdenes[[#This Row],[fecha_inicio]]="","",TODAY()-tblOrdenes[[#This Row],[fecha_inicio]])</f>
        <v/>
      </c>
      <c r="Z753" s="3">
        <f>IF(tblOrdenes[[#This Row],[backlog_dias]]="","",IF(tblOrdenes[[#This Row],[backlog_dias]]&lt;0,"FUTURO",IF(tblOrdenes[[#This Row],[backlog_dias]]&gt;p_dias_backlog_max,"BACKLOG","MES CORRIENTE")))</f>
        <v/>
      </c>
      <c r="AA753" s="3">
        <f>IF(tblOrdenes[[#This Row],[backlog_dias]]="",FALSE,AND(tblOrdenes[[#This Row],[backlog_dias]]&gt;p_dias_backlog_min,tblOrdenes[[#This Row],[backlog_dias]]&lt;=p_dias_backlog_max))</f>
        <v/>
      </c>
      <c r="AB753" s="6" t="n"/>
      <c r="AC7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3" s="10">
        <f>IF(tblOrdenes[[#This Row],[orden]]="","",_xlfn.XLOOKUP(tblOrdenes[[#This Row],[id_operacion]],tblEjecucion[id_operacion],tblEjecucion[precio],0))</f>
        <v/>
      </c>
      <c r="AG753" s="10">
        <f>IF(tblOrdenes[[#This Row],[orden]]="","",MAX(0,_xlfn.XLOOKUP(tblOrdenes[[#This Row],[id_operacion]],tblEjecucion[id_operacion],tblEjecucion[costo_plan_total],0)-tblOrdenes[[#This Row],[costo_servicio]]))</f>
        <v/>
      </c>
      <c r="AH753" s="10">
        <f>IF(tblOrdenes[[#This Row],[orden]]="","",tblOrdenes[[#This Row],[costo_servicio]]+tblOrdenes[[#This Row],[costo_materiales]])</f>
        <v/>
      </c>
      <c r="AI753" s="6" t="n"/>
      <c r="AJ753" s="6" t="n"/>
      <c r="AK753" s="6" t="n"/>
      <c r="AL753" s="3">
        <f>IF(tblOrdenes[[#This Row],[link_checklist]]="","",HYPERLINK(p_ruta_base_checklists&amp;tblOrdenes[[#This Row],[link_checklist]],"abrir"))</f>
        <v/>
      </c>
      <c r="AM753" s="6" t="n"/>
      <c r="AN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Row],[tipo_ot]]="","",_xlfn.XLOOKUP(tblOrdenes[[#This Row],[tipo_ot]],tblTiposOT[codigo],tblTiposOT[clasificacion],"sin_clasificar"))</f>
        <v/>
      </c>
      <c r="T754" s="3">
        <f>IF(tblOrdenes[[#This Row],[centro_costo]]="","",_xlfn.XLOOKUP(tblOrdenes[[#This Row],[centro_costo]],tblCECO[codigo],tblCECO[linea],"(sin catálogo)"))</f>
        <v/>
      </c>
      <c r="U754" s="3">
        <f>IF(tblOrdenes[[#This Row],[centro_costo]]="","",_xlfn.XLOOKUP(tblOrdenes[[#This Row],[centro_costo]],tblCECO[codigo],tblCECO[area],"(sin catálogo)"))</f>
        <v/>
      </c>
      <c r="V754" s="3">
        <f>IF(tblOrdenes[[#This Row],[centro_costo]]="","",_xlfn.XLOOKUP(tblOrdenes[[#This Row],[centro_costo]],tblCECO[codigo],tblCECO[coordinador],"(sin catálogo)"))</f>
        <v/>
      </c>
      <c r="W754" s="3">
        <f>IF(tblOrdenes[[#This Row],[puesto_trabajo]]="","",_xlfn.XLOOKUP(tblOrdenes[[#This Row],[puesto_trabajo]],tblPuestos[codigo],tblPuestos[especialidad],"(sin catálogo)"))</f>
        <v/>
      </c>
      <c r="X754" s="3">
        <f>IF(tblOrdenes[[#This Row],[cod_actividad]]="","",_xlfn.XLOOKUP(tblOrdenes[[#This Row],[cod_actividad]],tblActividades[codigo],tblActividades[descripcion],"(sin catálogo)"))</f>
        <v/>
      </c>
      <c r="Y754" s="12">
        <f>IF(tblOrdenes[[#This Row],[fecha_inicio]]="","",TODAY()-tblOrdenes[[#This Row],[fecha_inicio]])</f>
        <v/>
      </c>
      <c r="Z754" s="3">
        <f>IF(tblOrdenes[[#This Row],[backlog_dias]]="","",IF(tblOrdenes[[#This Row],[backlog_dias]]&lt;0,"FUTURO",IF(tblOrdenes[[#This Row],[backlog_dias]]&gt;p_dias_backlog_max,"BACKLOG","MES CORRIENTE")))</f>
        <v/>
      </c>
      <c r="AA754" s="3">
        <f>IF(tblOrdenes[[#This Row],[backlog_dias]]="",FALSE,AND(tblOrdenes[[#This Row],[backlog_dias]]&gt;p_dias_backlog_min,tblOrdenes[[#This Row],[backlog_dias]]&lt;=p_dias_backlog_max))</f>
        <v/>
      </c>
      <c r="AB754" s="6" t="n"/>
      <c r="AC7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4" s="10">
        <f>IF(tblOrdenes[[#This Row],[orden]]="","",_xlfn.XLOOKUP(tblOrdenes[[#This Row],[id_operacion]],tblEjecucion[id_operacion],tblEjecucion[precio],0))</f>
        <v/>
      </c>
      <c r="AG754" s="10">
        <f>IF(tblOrdenes[[#This Row],[orden]]="","",MAX(0,_xlfn.XLOOKUP(tblOrdenes[[#This Row],[id_operacion]],tblEjecucion[id_operacion],tblEjecucion[costo_plan_total],0)-tblOrdenes[[#This Row],[costo_servicio]]))</f>
        <v/>
      </c>
      <c r="AH754" s="10">
        <f>IF(tblOrdenes[[#This Row],[orden]]="","",tblOrdenes[[#This Row],[costo_servicio]]+tblOrdenes[[#This Row],[costo_materiales]])</f>
        <v/>
      </c>
      <c r="AI754" s="6" t="n"/>
      <c r="AJ754" s="6" t="n"/>
      <c r="AK754" s="6" t="n"/>
      <c r="AL754" s="3">
        <f>IF(tblOrdenes[[#This Row],[link_checklist]]="","",HYPERLINK(p_ruta_base_checklists&amp;tblOrdenes[[#This Row],[link_checklist]],"abrir"))</f>
        <v/>
      </c>
      <c r="AM754" s="6" t="n"/>
      <c r="AN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Row],[tipo_ot]]="","",_xlfn.XLOOKUP(tblOrdenes[[#This Row],[tipo_ot]],tblTiposOT[codigo],tblTiposOT[clasificacion],"sin_clasificar"))</f>
        <v/>
      </c>
      <c r="T755" s="3">
        <f>IF(tblOrdenes[[#This Row],[centro_costo]]="","",_xlfn.XLOOKUP(tblOrdenes[[#This Row],[centro_costo]],tblCECO[codigo],tblCECO[linea],"(sin catálogo)"))</f>
        <v/>
      </c>
      <c r="U755" s="3">
        <f>IF(tblOrdenes[[#This Row],[centro_costo]]="","",_xlfn.XLOOKUP(tblOrdenes[[#This Row],[centro_costo]],tblCECO[codigo],tblCECO[area],"(sin catálogo)"))</f>
        <v/>
      </c>
      <c r="V755" s="3">
        <f>IF(tblOrdenes[[#This Row],[centro_costo]]="","",_xlfn.XLOOKUP(tblOrdenes[[#This Row],[centro_costo]],tblCECO[codigo],tblCECO[coordinador],"(sin catálogo)"))</f>
        <v/>
      </c>
      <c r="W755" s="3">
        <f>IF(tblOrdenes[[#This Row],[puesto_trabajo]]="","",_xlfn.XLOOKUP(tblOrdenes[[#This Row],[puesto_trabajo]],tblPuestos[codigo],tblPuestos[especialidad],"(sin catálogo)"))</f>
        <v/>
      </c>
      <c r="X755" s="3">
        <f>IF(tblOrdenes[[#This Row],[cod_actividad]]="","",_xlfn.XLOOKUP(tblOrdenes[[#This Row],[cod_actividad]],tblActividades[codigo],tblActividades[descripcion],"(sin catálogo)"))</f>
        <v/>
      </c>
      <c r="Y755" s="12">
        <f>IF(tblOrdenes[[#This Row],[fecha_inicio]]="","",TODAY()-tblOrdenes[[#This Row],[fecha_inicio]])</f>
        <v/>
      </c>
      <c r="Z755" s="3">
        <f>IF(tblOrdenes[[#This Row],[backlog_dias]]="","",IF(tblOrdenes[[#This Row],[backlog_dias]]&lt;0,"FUTURO",IF(tblOrdenes[[#This Row],[backlog_dias]]&gt;p_dias_backlog_max,"BACKLOG","MES CORRIENTE")))</f>
        <v/>
      </c>
      <c r="AA755" s="3">
        <f>IF(tblOrdenes[[#This Row],[backlog_dias]]="",FALSE,AND(tblOrdenes[[#This Row],[backlog_dias]]&gt;p_dias_backlog_min,tblOrdenes[[#This Row],[backlog_dias]]&lt;=p_dias_backlog_max))</f>
        <v/>
      </c>
      <c r="AB755" s="6" t="n"/>
      <c r="AC7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5" s="10">
        <f>IF(tblOrdenes[[#This Row],[orden]]="","",_xlfn.XLOOKUP(tblOrdenes[[#This Row],[id_operacion]],tblEjecucion[id_operacion],tblEjecucion[precio],0))</f>
        <v/>
      </c>
      <c r="AG755" s="10">
        <f>IF(tblOrdenes[[#This Row],[orden]]="","",MAX(0,_xlfn.XLOOKUP(tblOrdenes[[#This Row],[id_operacion]],tblEjecucion[id_operacion],tblEjecucion[costo_plan_total],0)-tblOrdenes[[#This Row],[costo_servicio]]))</f>
        <v/>
      </c>
      <c r="AH755" s="10">
        <f>IF(tblOrdenes[[#This Row],[orden]]="","",tblOrdenes[[#This Row],[costo_servicio]]+tblOrdenes[[#This Row],[costo_materiales]])</f>
        <v/>
      </c>
      <c r="AI755" s="6" t="n"/>
      <c r="AJ755" s="6" t="n"/>
      <c r="AK755" s="6" t="n"/>
      <c r="AL755" s="3">
        <f>IF(tblOrdenes[[#This Row],[link_checklist]]="","",HYPERLINK(p_ruta_base_checklists&amp;tblOrdenes[[#This Row],[link_checklist]],"abrir"))</f>
        <v/>
      </c>
      <c r="AM755" s="6" t="n"/>
      <c r="AN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Row],[tipo_ot]]="","",_xlfn.XLOOKUP(tblOrdenes[[#This Row],[tipo_ot]],tblTiposOT[codigo],tblTiposOT[clasificacion],"sin_clasificar"))</f>
        <v/>
      </c>
      <c r="T756" s="3">
        <f>IF(tblOrdenes[[#This Row],[centro_costo]]="","",_xlfn.XLOOKUP(tblOrdenes[[#This Row],[centro_costo]],tblCECO[codigo],tblCECO[linea],"(sin catálogo)"))</f>
        <v/>
      </c>
      <c r="U756" s="3">
        <f>IF(tblOrdenes[[#This Row],[centro_costo]]="","",_xlfn.XLOOKUP(tblOrdenes[[#This Row],[centro_costo]],tblCECO[codigo],tblCECO[area],"(sin catálogo)"))</f>
        <v/>
      </c>
      <c r="V756" s="3">
        <f>IF(tblOrdenes[[#This Row],[centro_costo]]="","",_xlfn.XLOOKUP(tblOrdenes[[#This Row],[centro_costo]],tblCECO[codigo],tblCECO[coordinador],"(sin catálogo)"))</f>
        <v/>
      </c>
      <c r="W756" s="3">
        <f>IF(tblOrdenes[[#This Row],[puesto_trabajo]]="","",_xlfn.XLOOKUP(tblOrdenes[[#This Row],[puesto_trabajo]],tblPuestos[codigo],tblPuestos[especialidad],"(sin catálogo)"))</f>
        <v/>
      </c>
      <c r="X756" s="3">
        <f>IF(tblOrdenes[[#This Row],[cod_actividad]]="","",_xlfn.XLOOKUP(tblOrdenes[[#This Row],[cod_actividad]],tblActividades[codigo],tblActividades[descripcion],"(sin catálogo)"))</f>
        <v/>
      </c>
      <c r="Y756" s="12">
        <f>IF(tblOrdenes[[#This Row],[fecha_inicio]]="","",TODAY()-tblOrdenes[[#This Row],[fecha_inicio]])</f>
        <v/>
      </c>
      <c r="Z756" s="3">
        <f>IF(tblOrdenes[[#This Row],[backlog_dias]]="","",IF(tblOrdenes[[#This Row],[backlog_dias]]&lt;0,"FUTURO",IF(tblOrdenes[[#This Row],[backlog_dias]]&gt;p_dias_backlog_max,"BACKLOG","MES CORRIENTE")))</f>
        <v/>
      </c>
      <c r="AA756" s="3">
        <f>IF(tblOrdenes[[#This Row],[backlog_dias]]="",FALSE,AND(tblOrdenes[[#This Row],[backlog_dias]]&gt;p_dias_backlog_min,tblOrdenes[[#This Row],[backlog_dias]]&lt;=p_dias_backlog_max))</f>
        <v/>
      </c>
      <c r="AB756" s="6" t="n"/>
      <c r="AC7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6" s="10">
        <f>IF(tblOrdenes[[#This Row],[orden]]="","",_xlfn.XLOOKUP(tblOrdenes[[#This Row],[id_operacion]],tblEjecucion[id_operacion],tblEjecucion[precio],0))</f>
        <v/>
      </c>
      <c r="AG756" s="10">
        <f>IF(tblOrdenes[[#This Row],[orden]]="","",MAX(0,_xlfn.XLOOKUP(tblOrdenes[[#This Row],[id_operacion]],tblEjecucion[id_operacion],tblEjecucion[costo_plan_total],0)-tblOrdenes[[#This Row],[costo_servicio]]))</f>
        <v/>
      </c>
      <c r="AH756" s="10">
        <f>IF(tblOrdenes[[#This Row],[orden]]="","",tblOrdenes[[#This Row],[costo_servicio]]+tblOrdenes[[#This Row],[costo_materiales]])</f>
        <v/>
      </c>
      <c r="AI756" s="6" t="n"/>
      <c r="AJ756" s="6" t="n"/>
      <c r="AK756" s="6" t="n"/>
      <c r="AL756" s="3">
        <f>IF(tblOrdenes[[#This Row],[link_checklist]]="","",HYPERLINK(p_ruta_base_checklists&amp;tblOrdenes[[#This Row],[link_checklist]],"abrir"))</f>
        <v/>
      </c>
      <c r="AM756" s="6" t="n"/>
      <c r="AN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Row],[tipo_ot]]="","",_xlfn.XLOOKUP(tblOrdenes[[#This Row],[tipo_ot]],tblTiposOT[codigo],tblTiposOT[clasificacion],"sin_clasificar"))</f>
        <v/>
      </c>
      <c r="T757" s="3">
        <f>IF(tblOrdenes[[#This Row],[centro_costo]]="","",_xlfn.XLOOKUP(tblOrdenes[[#This Row],[centro_costo]],tblCECO[codigo],tblCECO[linea],"(sin catálogo)"))</f>
        <v/>
      </c>
      <c r="U757" s="3">
        <f>IF(tblOrdenes[[#This Row],[centro_costo]]="","",_xlfn.XLOOKUP(tblOrdenes[[#This Row],[centro_costo]],tblCECO[codigo],tblCECO[area],"(sin catálogo)"))</f>
        <v/>
      </c>
      <c r="V757" s="3">
        <f>IF(tblOrdenes[[#This Row],[centro_costo]]="","",_xlfn.XLOOKUP(tblOrdenes[[#This Row],[centro_costo]],tblCECO[codigo],tblCECO[coordinador],"(sin catálogo)"))</f>
        <v/>
      </c>
      <c r="W757" s="3">
        <f>IF(tblOrdenes[[#This Row],[puesto_trabajo]]="","",_xlfn.XLOOKUP(tblOrdenes[[#This Row],[puesto_trabajo]],tblPuestos[codigo],tblPuestos[especialidad],"(sin catálogo)"))</f>
        <v/>
      </c>
      <c r="X757" s="3">
        <f>IF(tblOrdenes[[#This Row],[cod_actividad]]="","",_xlfn.XLOOKUP(tblOrdenes[[#This Row],[cod_actividad]],tblActividades[codigo],tblActividades[descripcion],"(sin catálogo)"))</f>
        <v/>
      </c>
      <c r="Y757" s="12">
        <f>IF(tblOrdenes[[#This Row],[fecha_inicio]]="","",TODAY()-tblOrdenes[[#This Row],[fecha_inicio]])</f>
        <v/>
      </c>
      <c r="Z757" s="3">
        <f>IF(tblOrdenes[[#This Row],[backlog_dias]]="","",IF(tblOrdenes[[#This Row],[backlog_dias]]&lt;0,"FUTURO",IF(tblOrdenes[[#This Row],[backlog_dias]]&gt;p_dias_backlog_max,"BACKLOG","MES CORRIENTE")))</f>
        <v/>
      </c>
      <c r="AA757" s="3">
        <f>IF(tblOrdenes[[#This Row],[backlog_dias]]="",FALSE,AND(tblOrdenes[[#This Row],[backlog_dias]]&gt;p_dias_backlog_min,tblOrdenes[[#This Row],[backlog_dias]]&lt;=p_dias_backlog_max))</f>
        <v/>
      </c>
      <c r="AB757" s="6" t="n"/>
      <c r="AC7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7" s="10">
        <f>IF(tblOrdenes[[#This Row],[orden]]="","",_xlfn.XLOOKUP(tblOrdenes[[#This Row],[id_operacion]],tblEjecucion[id_operacion],tblEjecucion[precio],0))</f>
        <v/>
      </c>
      <c r="AG757" s="10">
        <f>IF(tblOrdenes[[#This Row],[orden]]="","",MAX(0,_xlfn.XLOOKUP(tblOrdenes[[#This Row],[id_operacion]],tblEjecucion[id_operacion],tblEjecucion[costo_plan_total],0)-tblOrdenes[[#This Row],[costo_servicio]]))</f>
        <v/>
      </c>
      <c r="AH757" s="10">
        <f>IF(tblOrdenes[[#This Row],[orden]]="","",tblOrdenes[[#This Row],[costo_servicio]]+tblOrdenes[[#This Row],[costo_materiales]])</f>
        <v/>
      </c>
      <c r="AI757" s="6" t="n"/>
      <c r="AJ757" s="6" t="n"/>
      <c r="AK757" s="6" t="n"/>
      <c r="AL757" s="3">
        <f>IF(tblOrdenes[[#This Row],[link_checklist]]="","",HYPERLINK(p_ruta_base_checklists&amp;tblOrdenes[[#This Row],[link_checklist]],"abrir"))</f>
        <v/>
      </c>
      <c r="AM757" s="6" t="n"/>
      <c r="AN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Row],[tipo_ot]]="","",_xlfn.XLOOKUP(tblOrdenes[[#This Row],[tipo_ot]],tblTiposOT[codigo],tblTiposOT[clasificacion],"sin_clasificar"))</f>
        <v/>
      </c>
      <c r="T758" s="3">
        <f>IF(tblOrdenes[[#This Row],[centro_costo]]="","",_xlfn.XLOOKUP(tblOrdenes[[#This Row],[centro_costo]],tblCECO[codigo],tblCECO[linea],"(sin catálogo)"))</f>
        <v/>
      </c>
      <c r="U758" s="3">
        <f>IF(tblOrdenes[[#This Row],[centro_costo]]="","",_xlfn.XLOOKUP(tblOrdenes[[#This Row],[centro_costo]],tblCECO[codigo],tblCECO[area],"(sin catálogo)"))</f>
        <v/>
      </c>
      <c r="V758" s="3">
        <f>IF(tblOrdenes[[#This Row],[centro_costo]]="","",_xlfn.XLOOKUP(tblOrdenes[[#This Row],[centro_costo]],tblCECO[codigo],tblCECO[coordinador],"(sin catálogo)"))</f>
        <v/>
      </c>
      <c r="W758" s="3">
        <f>IF(tblOrdenes[[#This Row],[puesto_trabajo]]="","",_xlfn.XLOOKUP(tblOrdenes[[#This Row],[puesto_trabajo]],tblPuestos[codigo],tblPuestos[especialidad],"(sin catálogo)"))</f>
        <v/>
      </c>
      <c r="X758" s="3">
        <f>IF(tblOrdenes[[#This Row],[cod_actividad]]="","",_xlfn.XLOOKUP(tblOrdenes[[#This Row],[cod_actividad]],tblActividades[codigo],tblActividades[descripcion],"(sin catálogo)"))</f>
        <v/>
      </c>
      <c r="Y758" s="12">
        <f>IF(tblOrdenes[[#This Row],[fecha_inicio]]="","",TODAY()-tblOrdenes[[#This Row],[fecha_inicio]])</f>
        <v/>
      </c>
      <c r="Z758" s="3">
        <f>IF(tblOrdenes[[#This Row],[backlog_dias]]="","",IF(tblOrdenes[[#This Row],[backlog_dias]]&lt;0,"FUTURO",IF(tblOrdenes[[#This Row],[backlog_dias]]&gt;p_dias_backlog_max,"BACKLOG","MES CORRIENTE")))</f>
        <v/>
      </c>
      <c r="AA758" s="3">
        <f>IF(tblOrdenes[[#This Row],[backlog_dias]]="",FALSE,AND(tblOrdenes[[#This Row],[backlog_dias]]&gt;p_dias_backlog_min,tblOrdenes[[#This Row],[backlog_dias]]&lt;=p_dias_backlog_max))</f>
        <v/>
      </c>
      <c r="AB758" s="6" t="n"/>
      <c r="AC7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8" s="10">
        <f>IF(tblOrdenes[[#This Row],[orden]]="","",_xlfn.XLOOKUP(tblOrdenes[[#This Row],[id_operacion]],tblEjecucion[id_operacion],tblEjecucion[precio],0))</f>
        <v/>
      </c>
      <c r="AG758" s="10">
        <f>IF(tblOrdenes[[#This Row],[orden]]="","",MAX(0,_xlfn.XLOOKUP(tblOrdenes[[#This Row],[id_operacion]],tblEjecucion[id_operacion],tblEjecucion[costo_plan_total],0)-tblOrdenes[[#This Row],[costo_servicio]]))</f>
        <v/>
      </c>
      <c r="AH758" s="10">
        <f>IF(tblOrdenes[[#This Row],[orden]]="","",tblOrdenes[[#This Row],[costo_servicio]]+tblOrdenes[[#This Row],[costo_materiales]])</f>
        <v/>
      </c>
      <c r="AI758" s="6" t="n"/>
      <c r="AJ758" s="6" t="n"/>
      <c r="AK758" s="6" t="n"/>
      <c r="AL758" s="3">
        <f>IF(tblOrdenes[[#This Row],[link_checklist]]="","",HYPERLINK(p_ruta_base_checklists&amp;tblOrdenes[[#This Row],[link_checklist]],"abrir"))</f>
        <v/>
      </c>
      <c r="AM758" s="6" t="n"/>
      <c r="AN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Row],[tipo_ot]]="","",_xlfn.XLOOKUP(tblOrdenes[[#This Row],[tipo_ot]],tblTiposOT[codigo],tblTiposOT[clasificacion],"sin_clasificar"))</f>
        <v/>
      </c>
      <c r="T759" s="3">
        <f>IF(tblOrdenes[[#This Row],[centro_costo]]="","",_xlfn.XLOOKUP(tblOrdenes[[#This Row],[centro_costo]],tblCECO[codigo],tblCECO[linea],"(sin catálogo)"))</f>
        <v/>
      </c>
      <c r="U759" s="3">
        <f>IF(tblOrdenes[[#This Row],[centro_costo]]="","",_xlfn.XLOOKUP(tblOrdenes[[#This Row],[centro_costo]],tblCECO[codigo],tblCECO[area],"(sin catálogo)"))</f>
        <v/>
      </c>
      <c r="V759" s="3">
        <f>IF(tblOrdenes[[#This Row],[centro_costo]]="","",_xlfn.XLOOKUP(tblOrdenes[[#This Row],[centro_costo]],tblCECO[codigo],tblCECO[coordinador],"(sin catálogo)"))</f>
        <v/>
      </c>
      <c r="W759" s="3">
        <f>IF(tblOrdenes[[#This Row],[puesto_trabajo]]="","",_xlfn.XLOOKUP(tblOrdenes[[#This Row],[puesto_trabajo]],tblPuestos[codigo],tblPuestos[especialidad],"(sin catálogo)"))</f>
        <v/>
      </c>
      <c r="X759" s="3">
        <f>IF(tblOrdenes[[#This Row],[cod_actividad]]="","",_xlfn.XLOOKUP(tblOrdenes[[#This Row],[cod_actividad]],tblActividades[codigo],tblActividades[descripcion],"(sin catálogo)"))</f>
        <v/>
      </c>
      <c r="Y759" s="12">
        <f>IF(tblOrdenes[[#This Row],[fecha_inicio]]="","",TODAY()-tblOrdenes[[#This Row],[fecha_inicio]])</f>
        <v/>
      </c>
      <c r="Z759" s="3">
        <f>IF(tblOrdenes[[#This Row],[backlog_dias]]="","",IF(tblOrdenes[[#This Row],[backlog_dias]]&lt;0,"FUTURO",IF(tblOrdenes[[#This Row],[backlog_dias]]&gt;p_dias_backlog_max,"BACKLOG","MES CORRIENTE")))</f>
        <v/>
      </c>
      <c r="AA759" s="3">
        <f>IF(tblOrdenes[[#This Row],[backlog_dias]]="",FALSE,AND(tblOrdenes[[#This Row],[backlog_dias]]&gt;p_dias_backlog_min,tblOrdenes[[#This Row],[backlog_dias]]&lt;=p_dias_backlog_max))</f>
        <v/>
      </c>
      <c r="AB759" s="6" t="n"/>
      <c r="AC7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9" s="10">
        <f>IF(tblOrdenes[[#This Row],[orden]]="","",_xlfn.XLOOKUP(tblOrdenes[[#This Row],[id_operacion]],tblEjecucion[id_operacion],tblEjecucion[precio],0))</f>
        <v/>
      </c>
      <c r="AG759" s="10">
        <f>IF(tblOrdenes[[#This Row],[orden]]="","",MAX(0,_xlfn.XLOOKUP(tblOrdenes[[#This Row],[id_operacion]],tblEjecucion[id_operacion],tblEjecucion[costo_plan_total],0)-tblOrdenes[[#This Row],[costo_servicio]]))</f>
        <v/>
      </c>
      <c r="AH759" s="10">
        <f>IF(tblOrdenes[[#This Row],[orden]]="","",tblOrdenes[[#This Row],[costo_servicio]]+tblOrdenes[[#This Row],[costo_materiales]])</f>
        <v/>
      </c>
      <c r="AI759" s="6" t="n"/>
      <c r="AJ759" s="6" t="n"/>
      <c r="AK759" s="6" t="n"/>
      <c r="AL759" s="3">
        <f>IF(tblOrdenes[[#This Row],[link_checklist]]="","",HYPERLINK(p_ruta_base_checklists&amp;tblOrdenes[[#This Row],[link_checklist]],"abrir"))</f>
        <v/>
      </c>
      <c r="AM759" s="6" t="n"/>
      <c r="AN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Row],[tipo_ot]]="","",_xlfn.XLOOKUP(tblOrdenes[[#This Row],[tipo_ot]],tblTiposOT[codigo],tblTiposOT[clasificacion],"sin_clasificar"))</f>
        <v/>
      </c>
      <c r="T760" s="3">
        <f>IF(tblOrdenes[[#This Row],[centro_costo]]="","",_xlfn.XLOOKUP(tblOrdenes[[#This Row],[centro_costo]],tblCECO[codigo],tblCECO[linea],"(sin catálogo)"))</f>
        <v/>
      </c>
      <c r="U760" s="3">
        <f>IF(tblOrdenes[[#This Row],[centro_costo]]="","",_xlfn.XLOOKUP(tblOrdenes[[#This Row],[centro_costo]],tblCECO[codigo],tblCECO[area],"(sin catálogo)"))</f>
        <v/>
      </c>
      <c r="V760" s="3">
        <f>IF(tblOrdenes[[#This Row],[centro_costo]]="","",_xlfn.XLOOKUP(tblOrdenes[[#This Row],[centro_costo]],tblCECO[codigo],tblCECO[coordinador],"(sin catálogo)"))</f>
        <v/>
      </c>
      <c r="W760" s="3">
        <f>IF(tblOrdenes[[#This Row],[puesto_trabajo]]="","",_xlfn.XLOOKUP(tblOrdenes[[#This Row],[puesto_trabajo]],tblPuestos[codigo],tblPuestos[especialidad],"(sin catálogo)"))</f>
        <v/>
      </c>
      <c r="X760" s="3">
        <f>IF(tblOrdenes[[#This Row],[cod_actividad]]="","",_xlfn.XLOOKUP(tblOrdenes[[#This Row],[cod_actividad]],tblActividades[codigo],tblActividades[descripcion],"(sin catálogo)"))</f>
        <v/>
      </c>
      <c r="Y760" s="12">
        <f>IF(tblOrdenes[[#This Row],[fecha_inicio]]="","",TODAY()-tblOrdenes[[#This Row],[fecha_inicio]])</f>
        <v/>
      </c>
      <c r="Z760" s="3">
        <f>IF(tblOrdenes[[#This Row],[backlog_dias]]="","",IF(tblOrdenes[[#This Row],[backlog_dias]]&lt;0,"FUTURO",IF(tblOrdenes[[#This Row],[backlog_dias]]&gt;p_dias_backlog_max,"BACKLOG","MES CORRIENTE")))</f>
        <v/>
      </c>
      <c r="AA760" s="3">
        <f>IF(tblOrdenes[[#This Row],[backlog_dias]]="",FALSE,AND(tblOrdenes[[#This Row],[backlog_dias]]&gt;p_dias_backlog_min,tblOrdenes[[#This Row],[backlog_dias]]&lt;=p_dias_backlog_max))</f>
        <v/>
      </c>
      <c r="AB760" s="6" t="n"/>
      <c r="AC7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0" s="10">
        <f>IF(tblOrdenes[[#This Row],[orden]]="","",_xlfn.XLOOKUP(tblOrdenes[[#This Row],[id_operacion]],tblEjecucion[id_operacion],tblEjecucion[precio],0))</f>
        <v/>
      </c>
      <c r="AG760" s="10">
        <f>IF(tblOrdenes[[#This Row],[orden]]="","",MAX(0,_xlfn.XLOOKUP(tblOrdenes[[#This Row],[id_operacion]],tblEjecucion[id_operacion],tblEjecucion[costo_plan_total],0)-tblOrdenes[[#This Row],[costo_servicio]]))</f>
        <v/>
      </c>
      <c r="AH760" s="10">
        <f>IF(tblOrdenes[[#This Row],[orden]]="","",tblOrdenes[[#This Row],[costo_servicio]]+tblOrdenes[[#This Row],[costo_materiales]])</f>
        <v/>
      </c>
      <c r="AI760" s="6" t="n"/>
      <c r="AJ760" s="6" t="n"/>
      <c r="AK760" s="6" t="n"/>
      <c r="AL760" s="3">
        <f>IF(tblOrdenes[[#This Row],[link_checklist]]="","",HYPERLINK(p_ruta_base_checklists&amp;tblOrdenes[[#This Row],[link_checklist]],"abrir"))</f>
        <v/>
      </c>
      <c r="AM760" s="6" t="n"/>
      <c r="AN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Row],[tipo_ot]]="","",_xlfn.XLOOKUP(tblOrdenes[[#This Row],[tipo_ot]],tblTiposOT[codigo],tblTiposOT[clasificacion],"sin_clasificar"))</f>
        <v/>
      </c>
      <c r="T761" s="3">
        <f>IF(tblOrdenes[[#This Row],[centro_costo]]="","",_xlfn.XLOOKUP(tblOrdenes[[#This Row],[centro_costo]],tblCECO[codigo],tblCECO[linea],"(sin catálogo)"))</f>
        <v/>
      </c>
      <c r="U761" s="3">
        <f>IF(tblOrdenes[[#This Row],[centro_costo]]="","",_xlfn.XLOOKUP(tblOrdenes[[#This Row],[centro_costo]],tblCECO[codigo],tblCECO[area],"(sin catálogo)"))</f>
        <v/>
      </c>
      <c r="V761" s="3">
        <f>IF(tblOrdenes[[#This Row],[centro_costo]]="","",_xlfn.XLOOKUP(tblOrdenes[[#This Row],[centro_costo]],tblCECO[codigo],tblCECO[coordinador],"(sin catálogo)"))</f>
        <v/>
      </c>
      <c r="W761" s="3">
        <f>IF(tblOrdenes[[#This Row],[puesto_trabajo]]="","",_xlfn.XLOOKUP(tblOrdenes[[#This Row],[puesto_trabajo]],tblPuestos[codigo],tblPuestos[especialidad],"(sin catálogo)"))</f>
        <v/>
      </c>
      <c r="X761" s="3">
        <f>IF(tblOrdenes[[#This Row],[cod_actividad]]="","",_xlfn.XLOOKUP(tblOrdenes[[#This Row],[cod_actividad]],tblActividades[codigo],tblActividades[descripcion],"(sin catálogo)"))</f>
        <v/>
      </c>
      <c r="Y761" s="12">
        <f>IF(tblOrdenes[[#This Row],[fecha_inicio]]="","",TODAY()-tblOrdenes[[#This Row],[fecha_inicio]])</f>
        <v/>
      </c>
      <c r="Z761" s="3">
        <f>IF(tblOrdenes[[#This Row],[backlog_dias]]="","",IF(tblOrdenes[[#This Row],[backlog_dias]]&lt;0,"FUTURO",IF(tblOrdenes[[#This Row],[backlog_dias]]&gt;p_dias_backlog_max,"BACKLOG","MES CORRIENTE")))</f>
        <v/>
      </c>
      <c r="AA761" s="3">
        <f>IF(tblOrdenes[[#This Row],[backlog_dias]]="",FALSE,AND(tblOrdenes[[#This Row],[backlog_dias]]&gt;p_dias_backlog_min,tblOrdenes[[#This Row],[backlog_dias]]&lt;=p_dias_backlog_max))</f>
        <v/>
      </c>
      <c r="AB761" s="6" t="n"/>
      <c r="AC7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1" s="10">
        <f>IF(tblOrdenes[[#This Row],[orden]]="","",_xlfn.XLOOKUP(tblOrdenes[[#This Row],[id_operacion]],tblEjecucion[id_operacion],tblEjecucion[precio],0))</f>
        <v/>
      </c>
      <c r="AG761" s="10">
        <f>IF(tblOrdenes[[#This Row],[orden]]="","",MAX(0,_xlfn.XLOOKUP(tblOrdenes[[#This Row],[id_operacion]],tblEjecucion[id_operacion],tblEjecucion[costo_plan_total],0)-tblOrdenes[[#This Row],[costo_servicio]]))</f>
        <v/>
      </c>
      <c r="AH761" s="10">
        <f>IF(tblOrdenes[[#This Row],[orden]]="","",tblOrdenes[[#This Row],[costo_servicio]]+tblOrdenes[[#This Row],[costo_materiales]])</f>
        <v/>
      </c>
      <c r="AI761" s="6" t="n"/>
      <c r="AJ761" s="6" t="n"/>
      <c r="AK761" s="6" t="n"/>
      <c r="AL761" s="3">
        <f>IF(tblOrdenes[[#This Row],[link_checklist]]="","",HYPERLINK(p_ruta_base_checklists&amp;tblOrdenes[[#This Row],[link_checklist]],"abrir"))</f>
        <v/>
      </c>
      <c r="AM761" s="6" t="n"/>
      <c r="AN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Row],[tipo_ot]]="","",_xlfn.XLOOKUP(tblOrdenes[[#This Row],[tipo_ot]],tblTiposOT[codigo],tblTiposOT[clasificacion],"sin_clasificar"))</f>
        <v/>
      </c>
      <c r="T762" s="3">
        <f>IF(tblOrdenes[[#This Row],[centro_costo]]="","",_xlfn.XLOOKUP(tblOrdenes[[#This Row],[centro_costo]],tblCECO[codigo],tblCECO[linea],"(sin catálogo)"))</f>
        <v/>
      </c>
      <c r="U762" s="3">
        <f>IF(tblOrdenes[[#This Row],[centro_costo]]="","",_xlfn.XLOOKUP(tblOrdenes[[#This Row],[centro_costo]],tblCECO[codigo],tblCECO[area],"(sin catálogo)"))</f>
        <v/>
      </c>
      <c r="V762" s="3">
        <f>IF(tblOrdenes[[#This Row],[centro_costo]]="","",_xlfn.XLOOKUP(tblOrdenes[[#This Row],[centro_costo]],tblCECO[codigo],tblCECO[coordinador],"(sin catálogo)"))</f>
        <v/>
      </c>
      <c r="W762" s="3">
        <f>IF(tblOrdenes[[#This Row],[puesto_trabajo]]="","",_xlfn.XLOOKUP(tblOrdenes[[#This Row],[puesto_trabajo]],tblPuestos[codigo],tblPuestos[especialidad],"(sin catálogo)"))</f>
        <v/>
      </c>
      <c r="X762" s="3">
        <f>IF(tblOrdenes[[#This Row],[cod_actividad]]="","",_xlfn.XLOOKUP(tblOrdenes[[#This Row],[cod_actividad]],tblActividades[codigo],tblActividades[descripcion],"(sin catálogo)"))</f>
        <v/>
      </c>
      <c r="Y762" s="12">
        <f>IF(tblOrdenes[[#This Row],[fecha_inicio]]="","",TODAY()-tblOrdenes[[#This Row],[fecha_inicio]])</f>
        <v/>
      </c>
      <c r="Z762" s="3">
        <f>IF(tblOrdenes[[#This Row],[backlog_dias]]="","",IF(tblOrdenes[[#This Row],[backlog_dias]]&lt;0,"FUTURO",IF(tblOrdenes[[#This Row],[backlog_dias]]&gt;p_dias_backlog_max,"BACKLOG","MES CORRIENTE")))</f>
        <v/>
      </c>
      <c r="AA762" s="3">
        <f>IF(tblOrdenes[[#This Row],[backlog_dias]]="",FALSE,AND(tblOrdenes[[#This Row],[backlog_dias]]&gt;p_dias_backlog_min,tblOrdenes[[#This Row],[backlog_dias]]&lt;=p_dias_backlog_max))</f>
        <v/>
      </c>
      <c r="AB762" s="6" t="n"/>
      <c r="AC7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2" s="10">
        <f>IF(tblOrdenes[[#This Row],[orden]]="","",_xlfn.XLOOKUP(tblOrdenes[[#This Row],[id_operacion]],tblEjecucion[id_operacion],tblEjecucion[precio],0))</f>
        <v/>
      </c>
      <c r="AG762" s="10">
        <f>IF(tblOrdenes[[#This Row],[orden]]="","",MAX(0,_xlfn.XLOOKUP(tblOrdenes[[#This Row],[id_operacion]],tblEjecucion[id_operacion],tblEjecucion[costo_plan_total],0)-tblOrdenes[[#This Row],[costo_servicio]]))</f>
        <v/>
      </c>
      <c r="AH762" s="10">
        <f>IF(tblOrdenes[[#This Row],[orden]]="","",tblOrdenes[[#This Row],[costo_servicio]]+tblOrdenes[[#This Row],[costo_materiales]])</f>
        <v/>
      </c>
      <c r="AI762" s="6" t="n"/>
      <c r="AJ762" s="6" t="n"/>
      <c r="AK762" s="6" t="n"/>
      <c r="AL762" s="3">
        <f>IF(tblOrdenes[[#This Row],[link_checklist]]="","",HYPERLINK(p_ruta_base_checklists&amp;tblOrdenes[[#This Row],[link_checklist]],"abrir"))</f>
        <v/>
      </c>
      <c r="AM762" s="6" t="n"/>
      <c r="AN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Row],[tipo_ot]]="","",_xlfn.XLOOKUP(tblOrdenes[[#This Row],[tipo_ot]],tblTiposOT[codigo],tblTiposOT[clasificacion],"sin_clasificar"))</f>
        <v/>
      </c>
      <c r="T763" s="3">
        <f>IF(tblOrdenes[[#This Row],[centro_costo]]="","",_xlfn.XLOOKUP(tblOrdenes[[#This Row],[centro_costo]],tblCECO[codigo],tblCECO[linea],"(sin catálogo)"))</f>
        <v/>
      </c>
      <c r="U763" s="3">
        <f>IF(tblOrdenes[[#This Row],[centro_costo]]="","",_xlfn.XLOOKUP(tblOrdenes[[#This Row],[centro_costo]],tblCECO[codigo],tblCECO[area],"(sin catálogo)"))</f>
        <v/>
      </c>
      <c r="V763" s="3">
        <f>IF(tblOrdenes[[#This Row],[centro_costo]]="","",_xlfn.XLOOKUP(tblOrdenes[[#This Row],[centro_costo]],tblCECO[codigo],tblCECO[coordinador],"(sin catálogo)"))</f>
        <v/>
      </c>
      <c r="W763" s="3">
        <f>IF(tblOrdenes[[#This Row],[puesto_trabajo]]="","",_xlfn.XLOOKUP(tblOrdenes[[#This Row],[puesto_trabajo]],tblPuestos[codigo],tblPuestos[especialidad],"(sin catálogo)"))</f>
        <v/>
      </c>
      <c r="X763" s="3">
        <f>IF(tblOrdenes[[#This Row],[cod_actividad]]="","",_xlfn.XLOOKUP(tblOrdenes[[#This Row],[cod_actividad]],tblActividades[codigo],tblActividades[descripcion],"(sin catálogo)"))</f>
        <v/>
      </c>
      <c r="Y763" s="12">
        <f>IF(tblOrdenes[[#This Row],[fecha_inicio]]="","",TODAY()-tblOrdenes[[#This Row],[fecha_inicio]])</f>
        <v/>
      </c>
      <c r="Z763" s="3">
        <f>IF(tblOrdenes[[#This Row],[backlog_dias]]="","",IF(tblOrdenes[[#This Row],[backlog_dias]]&lt;0,"FUTURO",IF(tblOrdenes[[#This Row],[backlog_dias]]&gt;p_dias_backlog_max,"BACKLOG","MES CORRIENTE")))</f>
        <v/>
      </c>
      <c r="AA763" s="3">
        <f>IF(tblOrdenes[[#This Row],[backlog_dias]]="",FALSE,AND(tblOrdenes[[#This Row],[backlog_dias]]&gt;p_dias_backlog_min,tblOrdenes[[#This Row],[backlog_dias]]&lt;=p_dias_backlog_max))</f>
        <v/>
      </c>
      <c r="AB763" s="6" t="n"/>
      <c r="AC7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3" s="10">
        <f>IF(tblOrdenes[[#This Row],[orden]]="","",_xlfn.XLOOKUP(tblOrdenes[[#This Row],[id_operacion]],tblEjecucion[id_operacion],tblEjecucion[precio],0))</f>
        <v/>
      </c>
      <c r="AG763" s="10">
        <f>IF(tblOrdenes[[#This Row],[orden]]="","",MAX(0,_xlfn.XLOOKUP(tblOrdenes[[#This Row],[id_operacion]],tblEjecucion[id_operacion],tblEjecucion[costo_plan_total],0)-tblOrdenes[[#This Row],[costo_servicio]]))</f>
        <v/>
      </c>
      <c r="AH763" s="10">
        <f>IF(tblOrdenes[[#This Row],[orden]]="","",tblOrdenes[[#This Row],[costo_servicio]]+tblOrdenes[[#This Row],[costo_materiales]])</f>
        <v/>
      </c>
      <c r="AI763" s="6" t="n"/>
      <c r="AJ763" s="6" t="n"/>
      <c r="AK763" s="6" t="n"/>
      <c r="AL763" s="3">
        <f>IF(tblOrdenes[[#This Row],[link_checklist]]="","",HYPERLINK(p_ruta_base_checklists&amp;tblOrdenes[[#This Row],[link_checklist]],"abrir"))</f>
        <v/>
      </c>
      <c r="AM763" s="6" t="n"/>
      <c r="AN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Row],[tipo_ot]]="","",_xlfn.XLOOKUP(tblOrdenes[[#This Row],[tipo_ot]],tblTiposOT[codigo],tblTiposOT[clasificacion],"sin_clasificar"))</f>
        <v/>
      </c>
      <c r="T764" s="3">
        <f>IF(tblOrdenes[[#This Row],[centro_costo]]="","",_xlfn.XLOOKUP(tblOrdenes[[#This Row],[centro_costo]],tblCECO[codigo],tblCECO[linea],"(sin catálogo)"))</f>
        <v/>
      </c>
      <c r="U764" s="3">
        <f>IF(tblOrdenes[[#This Row],[centro_costo]]="","",_xlfn.XLOOKUP(tblOrdenes[[#This Row],[centro_costo]],tblCECO[codigo],tblCECO[area],"(sin catálogo)"))</f>
        <v/>
      </c>
      <c r="V764" s="3">
        <f>IF(tblOrdenes[[#This Row],[centro_costo]]="","",_xlfn.XLOOKUP(tblOrdenes[[#This Row],[centro_costo]],tblCECO[codigo],tblCECO[coordinador],"(sin catálogo)"))</f>
        <v/>
      </c>
      <c r="W764" s="3">
        <f>IF(tblOrdenes[[#This Row],[puesto_trabajo]]="","",_xlfn.XLOOKUP(tblOrdenes[[#This Row],[puesto_trabajo]],tblPuestos[codigo],tblPuestos[especialidad],"(sin catálogo)"))</f>
        <v/>
      </c>
      <c r="X764" s="3">
        <f>IF(tblOrdenes[[#This Row],[cod_actividad]]="","",_xlfn.XLOOKUP(tblOrdenes[[#This Row],[cod_actividad]],tblActividades[codigo],tblActividades[descripcion],"(sin catálogo)"))</f>
        <v/>
      </c>
      <c r="Y764" s="12">
        <f>IF(tblOrdenes[[#This Row],[fecha_inicio]]="","",TODAY()-tblOrdenes[[#This Row],[fecha_inicio]])</f>
        <v/>
      </c>
      <c r="Z764" s="3">
        <f>IF(tblOrdenes[[#This Row],[backlog_dias]]="","",IF(tblOrdenes[[#This Row],[backlog_dias]]&lt;0,"FUTURO",IF(tblOrdenes[[#This Row],[backlog_dias]]&gt;p_dias_backlog_max,"BACKLOG","MES CORRIENTE")))</f>
        <v/>
      </c>
      <c r="AA764" s="3">
        <f>IF(tblOrdenes[[#This Row],[backlog_dias]]="",FALSE,AND(tblOrdenes[[#This Row],[backlog_dias]]&gt;p_dias_backlog_min,tblOrdenes[[#This Row],[backlog_dias]]&lt;=p_dias_backlog_max))</f>
        <v/>
      </c>
      <c r="AB764" s="6" t="n"/>
      <c r="AC7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4" s="10">
        <f>IF(tblOrdenes[[#This Row],[orden]]="","",_xlfn.XLOOKUP(tblOrdenes[[#This Row],[id_operacion]],tblEjecucion[id_operacion],tblEjecucion[precio],0))</f>
        <v/>
      </c>
      <c r="AG764" s="10">
        <f>IF(tblOrdenes[[#This Row],[orden]]="","",MAX(0,_xlfn.XLOOKUP(tblOrdenes[[#This Row],[id_operacion]],tblEjecucion[id_operacion],tblEjecucion[costo_plan_total],0)-tblOrdenes[[#This Row],[costo_servicio]]))</f>
        <v/>
      </c>
      <c r="AH764" s="10">
        <f>IF(tblOrdenes[[#This Row],[orden]]="","",tblOrdenes[[#This Row],[costo_servicio]]+tblOrdenes[[#This Row],[costo_materiales]])</f>
        <v/>
      </c>
      <c r="AI764" s="6" t="n"/>
      <c r="AJ764" s="6" t="n"/>
      <c r="AK764" s="6" t="n"/>
      <c r="AL764" s="3">
        <f>IF(tblOrdenes[[#This Row],[link_checklist]]="","",HYPERLINK(p_ruta_base_checklists&amp;tblOrdenes[[#This Row],[link_checklist]],"abrir"))</f>
        <v/>
      </c>
      <c r="AM764" s="6" t="n"/>
      <c r="AN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Row],[tipo_ot]]="","",_xlfn.XLOOKUP(tblOrdenes[[#This Row],[tipo_ot]],tblTiposOT[codigo],tblTiposOT[clasificacion],"sin_clasificar"))</f>
        <v/>
      </c>
      <c r="T765" s="3">
        <f>IF(tblOrdenes[[#This Row],[centro_costo]]="","",_xlfn.XLOOKUP(tblOrdenes[[#This Row],[centro_costo]],tblCECO[codigo],tblCECO[linea],"(sin catálogo)"))</f>
        <v/>
      </c>
      <c r="U765" s="3">
        <f>IF(tblOrdenes[[#This Row],[centro_costo]]="","",_xlfn.XLOOKUP(tblOrdenes[[#This Row],[centro_costo]],tblCECO[codigo],tblCECO[area],"(sin catálogo)"))</f>
        <v/>
      </c>
      <c r="V765" s="3">
        <f>IF(tblOrdenes[[#This Row],[centro_costo]]="","",_xlfn.XLOOKUP(tblOrdenes[[#This Row],[centro_costo]],tblCECO[codigo],tblCECO[coordinador],"(sin catálogo)"))</f>
        <v/>
      </c>
      <c r="W765" s="3">
        <f>IF(tblOrdenes[[#This Row],[puesto_trabajo]]="","",_xlfn.XLOOKUP(tblOrdenes[[#This Row],[puesto_trabajo]],tblPuestos[codigo],tblPuestos[especialidad],"(sin catálogo)"))</f>
        <v/>
      </c>
      <c r="X765" s="3">
        <f>IF(tblOrdenes[[#This Row],[cod_actividad]]="","",_xlfn.XLOOKUP(tblOrdenes[[#This Row],[cod_actividad]],tblActividades[codigo],tblActividades[descripcion],"(sin catálogo)"))</f>
        <v/>
      </c>
      <c r="Y765" s="12">
        <f>IF(tblOrdenes[[#This Row],[fecha_inicio]]="","",TODAY()-tblOrdenes[[#This Row],[fecha_inicio]])</f>
        <v/>
      </c>
      <c r="Z765" s="3">
        <f>IF(tblOrdenes[[#This Row],[backlog_dias]]="","",IF(tblOrdenes[[#This Row],[backlog_dias]]&lt;0,"FUTURO",IF(tblOrdenes[[#This Row],[backlog_dias]]&gt;p_dias_backlog_max,"BACKLOG","MES CORRIENTE")))</f>
        <v/>
      </c>
      <c r="AA765" s="3">
        <f>IF(tblOrdenes[[#This Row],[backlog_dias]]="",FALSE,AND(tblOrdenes[[#This Row],[backlog_dias]]&gt;p_dias_backlog_min,tblOrdenes[[#This Row],[backlog_dias]]&lt;=p_dias_backlog_max))</f>
        <v/>
      </c>
      <c r="AB765" s="6" t="n"/>
      <c r="AC7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5" s="10">
        <f>IF(tblOrdenes[[#This Row],[orden]]="","",_xlfn.XLOOKUP(tblOrdenes[[#This Row],[id_operacion]],tblEjecucion[id_operacion],tblEjecucion[precio],0))</f>
        <v/>
      </c>
      <c r="AG765" s="10">
        <f>IF(tblOrdenes[[#This Row],[orden]]="","",MAX(0,_xlfn.XLOOKUP(tblOrdenes[[#This Row],[id_operacion]],tblEjecucion[id_operacion],tblEjecucion[costo_plan_total],0)-tblOrdenes[[#This Row],[costo_servicio]]))</f>
        <v/>
      </c>
      <c r="AH765" s="10">
        <f>IF(tblOrdenes[[#This Row],[orden]]="","",tblOrdenes[[#This Row],[costo_servicio]]+tblOrdenes[[#This Row],[costo_materiales]])</f>
        <v/>
      </c>
      <c r="AI765" s="6" t="n"/>
      <c r="AJ765" s="6" t="n"/>
      <c r="AK765" s="6" t="n"/>
      <c r="AL765" s="3">
        <f>IF(tblOrdenes[[#This Row],[link_checklist]]="","",HYPERLINK(p_ruta_base_checklists&amp;tblOrdenes[[#This Row],[link_checklist]],"abrir"))</f>
        <v/>
      </c>
      <c r="AM765" s="6" t="n"/>
      <c r="AN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Row],[tipo_ot]]="","",_xlfn.XLOOKUP(tblOrdenes[[#This Row],[tipo_ot]],tblTiposOT[codigo],tblTiposOT[clasificacion],"sin_clasificar"))</f>
        <v/>
      </c>
      <c r="T766" s="3">
        <f>IF(tblOrdenes[[#This Row],[centro_costo]]="","",_xlfn.XLOOKUP(tblOrdenes[[#This Row],[centro_costo]],tblCECO[codigo],tblCECO[linea],"(sin catálogo)"))</f>
        <v/>
      </c>
      <c r="U766" s="3">
        <f>IF(tblOrdenes[[#This Row],[centro_costo]]="","",_xlfn.XLOOKUP(tblOrdenes[[#This Row],[centro_costo]],tblCECO[codigo],tblCECO[area],"(sin catálogo)"))</f>
        <v/>
      </c>
      <c r="V766" s="3">
        <f>IF(tblOrdenes[[#This Row],[centro_costo]]="","",_xlfn.XLOOKUP(tblOrdenes[[#This Row],[centro_costo]],tblCECO[codigo],tblCECO[coordinador],"(sin catálogo)"))</f>
        <v/>
      </c>
      <c r="W766" s="3">
        <f>IF(tblOrdenes[[#This Row],[puesto_trabajo]]="","",_xlfn.XLOOKUP(tblOrdenes[[#This Row],[puesto_trabajo]],tblPuestos[codigo],tblPuestos[especialidad],"(sin catálogo)"))</f>
        <v/>
      </c>
      <c r="X766" s="3">
        <f>IF(tblOrdenes[[#This Row],[cod_actividad]]="","",_xlfn.XLOOKUP(tblOrdenes[[#This Row],[cod_actividad]],tblActividades[codigo],tblActividades[descripcion],"(sin catálogo)"))</f>
        <v/>
      </c>
      <c r="Y766" s="12">
        <f>IF(tblOrdenes[[#This Row],[fecha_inicio]]="","",TODAY()-tblOrdenes[[#This Row],[fecha_inicio]])</f>
        <v/>
      </c>
      <c r="Z766" s="3">
        <f>IF(tblOrdenes[[#This Row],[backlog_dias]]="","",IF(tblOrdenes[[#This Row],[backlog_dias]]&lt;0,"FUTURO",IF(tblOrdenes[[#This Row],[backlog_dias]]&gt;p_dias_backlog_max,"BACKLOG","MES CORRIENTE")))</f>
        <v/>
      </c>
      <c r="AA766" s="3">
        <f>IF(tblOrdenes[[#This Row],[backlog_dias]]="",FALSE,AND(tblOrdenes[[#This Row],[backlog_dias]]&gt;p_dias_backlog_min,tblOrdenes[[#This Row],[backlog_dias]]&lt;=p_dias_backlog_max))</f>
        <v/>
      </c>
      <c r="AB766" s="6" t="n"/>
      <c r="AC7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6" s="10">
        <f>IF(tblOrdenes[[#This Row],[orden]]="","",_xlfn.XLOOKUP(tblOrdenes[[#This Row],[id_operacion]],tblEjecucion[id_operacion],tblEjecucion[precio],0))</f>
        <v/>
      </c>
      <c r="AG766" s="10">
        <f>IF(tblOrdenes[[#This Row],[orden]]="","",MAX(0,_xlfn.XLOOKUP(tblOrdenes[[#This Row],[id_operacion]],tblEjecucion[id_operacion],tblEjecucion[costo_plan_total],0)-tblOrdenes[[#This Row],[costo_servicio]]))</f>
        <v/>
      </c>
      <c r="AH766" s="10">
        <f>IF(tblOrdenes[[#This Row],[orden]]="","",tblOrdenes[[#This Row],[costo_servicio]]+tblOrdenes[[#This Row],[costo_materiales]])</f>
        <v/>
      </c>
      <c r="AI766" s="6" t="n"/>
      <c r="AJ766" s="6" t="n"/>
      <c r="AK766" s="6" t="n"/>
      <c r="AL766" s="3">
        <f>IF(tblOrdenes[[#This Row],[link_checklist]]="","",HYPERLINK(p_ruta_base_checklists&amp;tblOrdenes[[#This Row],[link_checklist]],"abrir"))</f>
        <v/>
      </c>
      <c r="AM766" s="6" t="n"/>
      <c r="AN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Row],[tipo_ot]]="","",_xlfn.XLOOKUP(tblOrdenes[[#This Row],[tipo_ot]],tblTiposOT[codigo],tblTiposOT[clasificacion],"sin_clasificar"))</f>
        <v/>
      </c>
      <c r="T767" s="3">
        <f>IF(tblOrdenes[[#This Row],[centro_costo]]="","",_xlfn.XLOOKUP(tblOrdenes[[#This Row],[centro_costo]],tblCECO[codigo],tblCECO[linea],"(sin catálogo)"))</f>
        <v/>
      </c>
      <c r="U767" s="3">
        <f>IF(tblOrdenes[[#This Row],[centro_costo]]="","",_xlfn.XLOOKUP(tblOrdenes[[#This Row],[centro_costo]],tblCECO[codigo],tblCECO[area],"(sin catálogo)"))</f>
        <v/>
      </c>
      <c r="V767" s="3">
        <f>IF(tblOrdenes[[#This Row],[centro_costo]]="","",_xlfn.XLOOKUP(tblOrdenes[[#This Row],[centro_costo]],tblCECO[codigo],tblCECO[coordinador],"(sin catálogo)"))</f>
        <v/>
      </c>
      <c r="W767" s="3">
        <f>IF(tblOrdenes[[#This Row],[puesto_trabajo]]="","",_xlfn.XLOOKUP(tblOrdenes[[#This Row],[puesto_trabajo]],tblPuestos[codigo],tblPuestos[especialidad],"(sin catálogo)"))</f>
        <v/>
      </c>
      <c r="X767" s="3">
        <f>IF(tblOrdenes[[#This Row],[cod_actividad]]="","",_xlfn.XLOOKUP(tblOrdenes[[#This Row],[cod_actividad]],tblActividades[codigo],tblActividades[descripcion],"(sin catálogo)"))</f>
        <v/>
      </c>
      <c r="Y767" s="12">
        <f>IF(tblOrdenes[[#This Row],[fecha_inicio]]="","",TODAY()-tblOrdenes[[#This Row],[fecha_inicio]])</f>
        <v/>
      </c>
      <c r="Z767" s="3">
        <f>IF(tblOrdenes[[#This Row],[backlog_dias]]="","",IF(tblOrdenes[[#This Row],[backlog_dias]]&lt;0,"FUTURO",IF(tblOrdenes[[#This Row],[backlog_dias]]&gt;p_dias_backlog_max,"BACKLOG","MES CORRIENTE")))</f>
        <v/>
      </c>
      <c r="AA767" s="3">
        <f>IF(tblOrdenes[[#This Row],[backlog_dias]]="",FALSE,AND(tblOrdenes[[#This Row],[backlog_dias]]&gt;p_dias_backlog_min,tblOrdenes[[#This Row],[backlog_dias]]&lt;=p_dias_backlog_max))</f>
        <v/>
      </c>
      <c r="AB767" s="6" t="n"/>
      <c r="AC7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7" s="10">
        <f>IF(tblOrdenes[[#This Row],[orden]]="","",_xlfn.XLOOKUP(tblOrdenes[[#This Row],[id_operacion]],tblEjecucion[id_operacion],tblEjecucion[precio],0))</f>
        <v/>
      </c>
      <c r="AG767" s="10">
        <f>IF(tblOrdenes[[#This Row],[orden]]="","",MAX(0,_xlfn.XLOOKUP(tblOrdenes[[#This Row],[id_operacion]],tblEjecucion[id_operacion],tblEjecucion[costo_plan_total],0)-tblOrdenes[[#This Row],[costo_servicio]]))</f>
        <v/>
      </c>
      <c r="AH767" s="10">
        <f>IF(tblOrdenes[[#This Row],[orden]]="","",tblOrdenes[[#This Row],[costo_servicio]]+tblOrdenes[[#This Row],[costo_materiales]])</f>
        <v/>
      </c>
      <c r="AI767" s="6" t="n"/>
      <c r="AJ767" s="6" t="n"/>
      <c r="AK767" s="6" t="n"/>
      <c r="AL767" s="3">
        <f>IF(tblOrdenes[[#This Row],[link_checklist]]="","",HYPERLINK(p_ruta_base_checklists&amp;tblOrdenes[[#This Row],[link_checklist]],"abrir"))</f>
        <v/>
      </c>
      <c r="AM767" s="6" t="n"/>
      <c r="AN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Row],[tipo_ot]]="","",_xlfn.XLOOKUP(tblOrdenes[[#This Row],[tipo_ot]],tblTiposOT[codigo],tblTiposOT[clasificacion],"sin_clasificar"))</f>
        <v/>
      </c>
      <c r="T768" s="3">
        <f>IF(tblOrdenes[[#This Row],[centro_costo]]="","",_xlfn.XLOOKUP(tblOrdenes[[#This Row],[centro_costo]],tblCECO[codigo],tblCECO[linea],"(sin catálogo)"))</f>
        <v/>
      </c>
      <c r="U768" s="3">
        <f>IF(tblOrdenes[[#This Row],[centro_costo]]="","",_xlfn.XLOOKUP(tblOrdenes[[#This Row],[centro_costo]],tblCECO[codigo],tblCECO[area],"(sin catálogo)"))</f>
        <v/>
      </c>
      <c r="V768" s="3">
        <f>IF(tblOrdenes[[#This Row],[centro_costo]]="","",_xlfn.XLOOKUP(tblOrdenes[[#This Row],[centro_costo]],tblCECO[codigo],tblCECO[coordinador],"(sin catálogo)"))</f>
        <v/>
      </c>
      <c r="W768" s="3">
        <f>IF(tblOrdenes[[#This Row],[puesto_trabajo]]="","",_xlfn.XLOOKUP(tblOrdenes[[#This Row],[puesto_trabajo]],tblPuestos[codigo],tblPuestos[especialidad],"(sin catálogo)"))</f>
        <v/>
      </c>
      <c r="X768" s="3">
        <f>IF(tblOrdenes[[#This Row],[cod_actividad]]="","",_xlfn.XLOOKUP(tblOrdenes[[#This Row],[cod_actividad]],tblActividades[codigo],tblActividades[descripcion],"(sin catálogo)"))</f>
        <v/>
      </c>
      <c r="Y768" s="12">
        <f>IF(tblOrdenes[[#This Row],[fecha_inicio]]="","",TODAY()-tblOrdenes[[#This Row],[fecha_inicio]])</f>
        <v/>
      </c>
      <c r="Z768" s="3">
        <f>IF(tblOrdenes[[#This Row],[backlog_dias]]="","",IF(tblOrdenes[[#This Row],[backlog_dias]]&lt;0,"FUTURO",IF(tblOrdenes[[#This Row],[backlog_dias]]&gt;p_dias_backlog_max,"BACKLOG","MES CORRIENTE")))</f>
        <v/>
      </c>
      <c r="AA768" s="3">
        <f>IF(tblOrdenes[[#This Row],[backlog_dias]]="",FALSE,AND(tblOrdenes[[#This Row],[backlog_dias]]&gt;p_dias_backlog_min,tblOrdenes[[#This Row],[backlog_dias]]&lt;=p_dias_backlog_max))</f>
        <v/>
      </c>
      <c r="AB768" s="6" t="n"/>
      <c r="AC7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8" s="10">
        <f>IF(tblOrdenes[[#This Row],[orden]]="","",_xlfn.XLOOKUP(tblOrdenes[[#This Row],[id_operacion]],tblEjecucion[id_operacion],tblEjecucion[precio],0))</f>
        <v/>
      </c>
      <c r="AG768" s="10">
        <f>IF(tblOrdenes[[#This Row],[orden]]="","",MAX(0,_xlfn.XLOOKUP(tblOrdenes[[#This Row],[id_operacion]],tblEjecucion[id_operacion],tblEjecucion[costo_plan_total],0)-tblOrdenes[[#This Row],[costo_servicio]]))</f>
        <v/>
      </c>
      <c r="AH768" s="10">
        <f>IF(tblOrdenes[[#This Row],[orden]]="","",tblOrdenes[[#This Row],[costo_servicio]]+tblOrdenes[[#This Row],[costo_materiales]])</f>
        <v/>
      </c>
      <c r="AI768" s="6" t="n"/>
      <c r="AJ768" s="6" t="n"/>
      <c r="AK768" s="6" t="n"/>
      <c r="AL768" s="3">
        <f>IF(tblOrdenes[[#This Row],[link_checklist]]="","",HYPERLINK(p_ruta_base_checklists&amp;tblOrdenes[[#This Row],[link_checklist]],"abrir"))</f>
        <v/>
      </c>
      <c r="AM768" s="6" t="n"/>
      <c r="AN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Row],[tipo_ot]]="","",_xlfn.XLOOKUP(tblOrdenes[[#This Row],[tipo_ot]],tblTiposOT[codigo],tblTiposOT[clasificacion],"sin_clasificar"))</f>
        <v/>
      </c>
      <c r="T769" s="3">
        <f>IF(tblOrdenes[[#This Row],[centro_costo]]="","",_xlfn.XLOOKUP(tblOrdenes[[#This Row],[centro_costo]],tblCECO[codigo],tblCECO[linea],"(sin catálogo)"))</f>
        <v/>
      </c>
      <c r="U769" s="3">
        <f>IF(tblOrdenes[[#This Row],[centro_costo]]="","",_xlfn.XLOOKUP(tblOrdenes[[#This Row],[centro_costo]],tblCECO[codigo],tblCECO[area],"(sin catálogo)"))</f>
        <v/>
      </c>
      <c r="V769" s="3">
        <f>IF(tblOrdenes[[#This Row],[centro_costo]]="","",_xlfn.XLOOKUP(tblOrdenes[[#This Row],[centro_costo]],tblCECO[codigo],tblCECO[coordinador],"(sin catálogo)"))</f>
        <v/>
      </c>
      <c r="W769" s="3">
        <f>IF(tblOrdenes[[#This Row],[puesto_trabajo]]="","",_xlfn.XLOOKUP(tblOrdenes[[#This Row],[puesto_trabajo]],tblPuestos[codigo],tblPuestos[especialidad],"(sin catálogo)"))</f>
        <v/>
      </c>
      <c r="X769" s="3">
        <f>IF(tblOrdenes[[#This Row],[cod_actividad]]="","",_xlfn.XLOOKUP(tblOrdenes[[#This Row],[cod_actividad]],tblActividades[codigo],tblActividades[descripcion],"(sin catálogo)"))</f>
        <v/>
      </c>
      <c r="Y769" s="12">
        <f>IF(tblOrdenes[[#This Row],[fecha_inicio]]="","",TODAY()-tblOrdenes[[#This Row],[fecha_inicio]])</f>
        <v/>
      </c>
      <c r="Z769" s="3">
        <f>IF(tblOrdenes[[#This Row],[backlog_dias]]="","",IF(tblOrdenes[[#This Row],[backlog_dias]]&lt;0,"FUTURO",IF(tblOrdenes[[#This Row],[backlog_dias]]&gt;p_dias_backlog_max,"BACKLOG","MES CORRIENTE")))</f>
        <v/>
      </c>
      <c r="AA769" s="3">
        <f>IF(tblOrdenes[[#This Row],[backlog_dias]]="",FALSE,AND(tblOrdenes[[#This Row],[backlog_dias]]&gt;p_dias_backlog_min,tblOrdenes[[#This Row],[backlog_dias]]&lt;=p_dias_backlog_max))</f>
        <v/>
      </c>
      <c r="AB769" s="6" t="n"/>
      <c r="AC7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9" s="10">
        <f>IF(tblOrdenes[[#This Row],[orden]]="","",_xlfn.XLOOKUP(tblOrdenes[[#This Row],[id_operacion]],tblEjecucion[id_operacion],tblEjecucion[precio],0))</f>
        <v/>
      </c>
      <c r="AG769" s="10">
        <f>IF(tblOrdenes[[#This Row],[orden]]="","",MAX(0,_xlfn.XLOOKUP(tblOrdenes[[#This Row],[id_operacion]],tblEjecucion[id_operacion],tblEjecucion[costo_plan_total],0)-tblOrdenes[[#This Row],[costo_servicio]]))</f>
        <v/>
      </c>
      <c r="AH769" s="10">
        <f>IF(tblOrdenes[[#This Row],[orden]]="","",tblOrdenes[[#This Row],[costo_servicio]]+tblOrdenes[[#This Row],[costo_materiales]])</f>
        <v/>
      </c>
      <c r="AI769" s="6" t="n"/>
      <c r="AJ769" s="6" t="n"/>
      <c r="AK769" s="6" t="n"/>
      <c r="AL769" s="3">
        <f>IF(tblOrdenes[[#This Row],[link_checklist]]="","",HYPERLINK(p_ruta_base_checklists&amp;tblOrdenes[[#This Row],[link_checklist]],"abrir"))</f>
        <v/>
      </c>
      <c r="AM769" s="6" t="n"/>
      <c r="AN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Row],[tipo_ot]]="","",_xlfn.XLOOKUP(tblOrdenes[[#This Row],[tipo_ot]],tblTiposOT[codigo],tblTiposOT[clasificacion],"sin_clasificar"))</f>
        <v/>
      </c>
      <c r="T770" s="3">
        <f>IF(tblOrdenes[[#This Row],[centro_costo]]="","",_xlfn.XLOOKUP(tblOrdenes[[#This Row],[centro_costo]],tblCECO[codigo],tblCECO[linea],"(sin catálogo)"))</f>
        <v/>
      </c>
      <c r="U770" s="3">
        <f>IF(tblOrdenes[[#This Row],[centro_costo]]="","",_xlfn.XLOOKUP(tblOrdenes[[#This Row],[centro_costo]],tblCECO[codigo],tblCECO[area],"(sin catálogo)"))</f>
        <v/>
      </c>
      <c r="V770" s="3">
        <f>IF(tblOrdenes[[#This Row],[centro_costo]]="","",_xlfn.XLOOKUP(tblOrdenes[[#This Row],[centro_costo]],tblCECO[codigo],tblCECO[coordinador],"(sin catálogo)"))</f>
        <v/>
      </c>
      <c r="W770" s="3">
        <f>IF(tblOrdenes[[#This Row],[puesto_trabajo]]="","",_xlfn.XLOOKUP(tblOrdenes[[#This Row],[puesto_trabajo]],tblPuestos[codigo],tblPuestos[especialidad],"(sin catálogo)"))</f>
        <v/>
      </c>
      <c r="X770" s="3">
        <f>IF(tblOrdenes[[#This Row],[cod_actividad]]="","",_xlfn.XLOOKUP(tblOrdenes[[#This Row],[cod_actividad]],tblActividades[codigo],tblActividades[descripcion],"(sin catálogo)"))</f>
        <v/>
      </c>
      <c r="Y770" s="12">
        <f>IF(tblOrdenes[[#This Row],[fecha_inicio]]="","",TODAY()-tblOrdenes[[#This Row],[fecha_inicio]])</f>
        <v/>
      </c>
      <c r="Z770" s="3">
        <f>IF(tblOrdenes[[#This Row],[backlog_dias]]="","",IF(tblOrdenes[[#This Row],[backlog_dias]]&lt;0,"FUTURO",IF(tblOrdenes[[#This Row],[backlog_dias]]&gt;p_dias_backlog_max,"BACKLOG","MES CORRIENTE")))</f>
        <v/>
      </c>
      <c r="AA770" s="3">
        <f>IF(tblOrdenes[[#This Row],[backlog_dias]]="",FALSE,AND(tblOrdenes[[#This Row],[backlog_dias]]&gt;p_dias_backlog_min,tblOrdenes[[#This Row],[backlog_dias]]&lt;=p_dias_backlog_max))</f>
        <v/>
      </c>
      <c r="AB770" s="6" t="n"/>
      <c r="AC7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0" s="10">
        <f>IF(tblOrdenes[[#This Row],[orden]]="","",_xlfn.XLOOKUP(tblOrdenes[[#This Row],[id_operacion]],tblEjecucion[id_operacion],tblEjecucion[precio],0))</f>
        <v/>
      </c>
      <c r="AG770" s="10">
        <f>IF(tblOrdenes[[#This Row],[orden]]="","",MAX(0,_xlfn.XLOOKUP(tblOrdenes[[#This Row],[id_operacion]],tblEjecucion[id_operacion],tblEjecucion[costo_plan_total],0)-tblOrdenes[[#This Row],[costo_servicio]]))</f>
        <v/>
      </c>
      <c r="AH770" s="10">
        <f>IF(tblOrdenes[[#This Row],[orden]]="","",tblOrdenes[[#This Row],[costo_servicio]]+tblOrdenes[[#This Row],[costo_materiales]])</f>
        <v/>
      </c>
      <c r="AI770" s="6" t="n"/>
      <c r="AJ770" s="6" t="n"/>
      <c r="AK770" s="6" t="n"/>
      <c r="AL770" s="3">
        <f>IF(tblOrdenes[[#This Row],[link_checklist]]="","",HYPERLINK(p_ruta_base_checklists&amp;tblOrdenes[[#This Row],[link_checklist]],"abrir"))</f>
        <v/>
      </c>
      <c r="AM770" s="6" t="n"/>
      <c r="AN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Row],[tipo_ot]]="","",_xlfn.XLOOKUP(tblOrdenes[[#This Row],[tipo_ot]],tblTiposOT[codigo],tblTiposOT[clasificacion],"sin_clasificar"))</f>
        <v/>
      </c>
      <c r="T771" s="3">
        <f>IF(tblOrdenes[[#This Row],[centro_costo]]="","",_xlfn.XLOOKUP(tblOrdenes[[#This Row],[centro_costo]],tblCECO[codigo],tblCECO[linea],"(sin catálogo)"))</f>
        <v/>
      </c>
      <c r="U771" s="3">
        <f>IF(tblOrdenes[[#This Row],[centro_costo]]="","",_xlfn.XLOOKUP(tblOrdenes[[#This Row],[centro_costo]],tblCECO[codigo],tblCECO[area],"(sin catálogo)"))</f>
        <v/>
      </c>
      <c r="V771" s="3">
        <f>IF(tblOrdenes[[#This Row],[centro_costo]]="","",_xlfn.XLOOKUP(tblOrdenes[[#This Row],[centro_costo]],tblCECO[codigo],tblCECO[coordinador],"(sin catálogo)"))</f>
        <v/>
      </c>
      <c r="W771" s="3">
        <f>IF(tblOrdenes[[#This Row],[puesto_trabajo]]="","",_xlfn.XLOOKUP(tblOrdenes[[#This Row],[puesto_trabajo]],tblPuestos[codigo],tblPuestos[especialidad],"(sin catálogo)"))</f>
        <v/>
      </c>
      <c r="X771" s="3">
        <f>IF(tblOrdenes[[#This Row],[cod_actividad]]="","",_xlfn.XLOOKUP(tblOrdenes[[#This Row],[cod_actividad]],tblActividades[codigo],tblActividades[descripcion],"(sin catálogo)"))</f>
        <v/>
      </c>
      <c r="Y771" s="12">
        <f>IF(tblOrdenes[[#This Row],[fecha_inicio]]="","",TODAY()-tblOrdenes[[#This Row],[fecha_inicio]])</f>
        <v/>
      </c>
      <c r="Z771" s="3">
        <f>IF(tblOrdenes[[#This Row],[backlog_dias]]="","",IF(tblOrdenes[[#This Row],[backlog_dias]]&lt;0,"FUTURO",IF(tblOrdenes[[#This Row],[backlog_dias]]&gt;p_dias_backlog_max,"BACKLOG","MES CORRIENTE")))</f>
        <v/>
      </c>
      <c r="AA771" s="3">
        <f>IF(tblOrdenes[[#This Row],[backlog_dias]]="",FALSE,AND(tblOrdenes[[#This Row],[backlog_dias]]&gt;p_dias_backlog_min,tblOrdenes[[#This Row],[backlog_dias]]&lt;=p_dias_backlog_max))</f>
        <v/>
      </c>
      <c r="AB771" s="6" t="n"/>
      <c r="AC7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1" s="10">
        <f>IF(tblOrdenes[[#This Row],[orden]]="","",_xlfn.XLOOKUP(tblOrdenes[[#This Row],[id_operacion]],tblEjecucion[id_operacion],tblEjecucion[precio],0))</f>
        <v/>
      </c>
      <c r="AG771" s="10">
        <f>IF(tblOrdenes[[#This Row],[orden]]="","",MAX(0,_xlfn.XLOOKUP(tblOrdenes[[#This Row],[id_operacion]],tblEjecucion[id_operacion],tblEjecucion[costo_plan_total],0)-tblOrdenes[[#This Row],[costo_servicio]]))</f>
        <v/>
      </c>
      <c r="AH771" s="10">
        <f>IF(tblOrdenes[[#This Row],[orden]]="","",tblOrdenes[[#This Row],[costo_servicio]]+tblOrdenes[[#This Row],[costo_materiales]])</f>
        <v/>
      </c>
      <c r="AI771" s="6" t="n"/>
      <c r="AJ771" s="6" t="n"/>
      <c r="AK771" s="6" t="n"/>
      <c r="AL771" s="3">
        <f>IF(tblOrdenes[[#This Row],[link_checklist]]="","",HYPERLINK(p_ruta_base_checklists&amp;tblOrdenes[[#This Row],[link_checklist]],"abrir"))</f>
        <v/>
      </c>
      <c r="AM771" s="6" t="n"/>
      <c r="AN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Row],[tipo_ot]]="","",_xlfn.XLOOKUP(tblOrdenes[[#This Row],[tipo_ot]],tblTiposOT[codigo],tblTiposOT[clasificacion],"sin_clasificar"))</f>
        <v/>
      </c>
      <c r="T772" s="3">
        <f>IF(tblOrdenes[[#This Row],[centro_costo]]="","",_xlfn.XLOOKUP(tblOrdenes[[#This Row],[centro_costo]],tblCECO[codigo],tblCECO[linea],"(sin catálogo)"))</f>
        <v/>
      </c>
      <c r="U772" s="3">
        <f>IF(tblOrdenes[[#This Row],[centro_costo]]="","",_xlfn.XLOOKUP(tblOrdenes[[#This Row],[centro_costo]],tblCECO[codigo],tblCECO[area],"(sin catálogo)"))</f>
        <v/>
      </c>
      <c r="V772" s="3">
        <f>IF(tblOrdenes[[#This Row],[centro_costo]]="","",_xlfn.XLOOKUP(tblOrdenes[[#This Row],[centro_costo]],tblCECO[codigo],tblCECO[coordinador],"(sin catálogo)"))</f>
        <v/>
      </c>
      <c r="W772" s="3">
        <f>IF(tblOrdenes[[#This Row],[puesto_trabajo]]="","",_xlfn.XLOOKUP(tblOrdenes[[#This Row],[puesto_trabajo]],tblPuestos[codigo],tblPuestos[especialidad],"(sin catálogo)"))</f>
        <v/>
      </c>
      <c r="X772" s="3">
        <f>IF(tblOrdenes[[#This Row],[cod_actividad]]="","",_xlfn.XLOOKUP(tblOrdenes[[#This Row],[cod_actividad]],tblActividades[codigo],tblActividades[descripcion],"(sin catálogo)"))</f>
        <v/>
      </c>
      <c r="Y772" s="12">
        <f>IF(tblOrdenes[[#This Row],[fecha_inicio]]="","",TODAY()-tblOrdenes[[#This Row],[fecha_inicio]])</f>
        <v/>
      </c>
      <c r="Z772" s="3">
        <f>IF(tblOrdenes[[#This Row],[backlog_dias]]="","",IF(tblOrdenes[[#This Row],[backlog_dias]]&lt;0,"FUTURO",IF(tblOrdenes[[#This Row],[backlog_dias]]&gt;p_dias_backlog_max,"BACKLOG","MES CORRIENTE")))</f>
        <v/>
      </c>
      <c r="AA772" s="3">
        <f>IF(tblOrdenes[[#This Row],[backlog_dias]]="",FALSE,AND(tblOrdenes[[#This Row],[backlog_dias]]&gt;p_dias_backlog_min,tblOrdenes[[#This Row],[backlog_dias]]&lt;=p_dias_backlog_max))</f>
        <v/>
      </c>
      <c r="AB772" s="6" t="n"/>
      <c r="AC7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2" s="10">
        <f>IF(tblOrdenes[[#This Row],[orden]]="","",_xlfn.XLOOKUP(tblOrdenes[[#This Row],[id_operacion]],tblEjecucion[id_operacion],tblEjecucion[precio],0))</f>
        <v/>
      </c>
      <c r="AG772" s="10">
        <f>IF(tblOrdenes[[#This Row],[orden]]="","",MAX(0,_xlfn.XLOOKUP(tblOrdenes[[#This Row],[id_operacion]],tblEjecucion[id_operacion],tblEjecucion[costo_plan_total],0)-tblOrdenes[[#This Row],[costo_servicio]]))</f>
        <v/>
      </c>
      <c r="AH772" s="10">
        <f>IF(tblOrdenes[[#This Row],[orden]]="","",tblOrdenes[[#This Row],[costo_servicio]]+tblOrdenes[[#This Row],[costo_materiales]])</f>
        <v/>
      </c>
      <c r="AI772" s="6" t="n"/>
      <c r="AJ772" s="6" t="n"/>
      <c r="AK772" s="6" t="n"/>
      <c r="AL772" s="3">
        <f>IF(tblOrdenes[[#This Row],[link_checklist]]="","",HYPERLINK(p_ruta_base_checklists&amp;tblOrdenes[[#This Row],[link_checklist]],"abrir"))</f>
        <v/>
      </c>
      <c r="AM772" s="6" t="n"/>
      <c r="AN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Row],[tipo_ot]]="","",_xlfn.XLOOKUP(tblOrdenes[[#This Row],[tipo_ot]],tblTiposOT[codigo],tblTiposOT[clasificacion],"sin_clasificar"))</f>
        <v/>
      </c>
      <c r="T773" s="3">
        <f>IF(tblOrdenes[[#This Row],[centro_costo]]="","",_xlfn.XLOOKUP(tblOrdenes[[#This Row],[centro_costo]],tblCECO[codigo],tblCECO[linea],"(sin catálogo)"))</f>
        <v/>
      </c>
      <c r="U773" s="3">
        <f>IF(tblOrdenes[[#This Row],[centro_costo]]="","",_xlfn.XLOOKUP(tblOrdenes[[#This Row],[centro_costo]],tblCECO[codigo],tblCECO[area],"(sin catálogo)"))</f>
        <v/>
      </c>
      <c r="V773" s="3">
        <f>IF(tblOrdenes[[#This Row],[centro_costo]]="","",_xlfn.XLOOKUP(tblOrdenes[[#This Row],[centro_costo]],tblCECO[codigo],tblCECO[coordinador],"(sin catálogo)"))</f>
        <v/>
      </c>
      <c r="W773" s="3">
        <f>IF(tblOrdenes[[#This Row],[puesto_trabajo]]="","",_xlfn.XLOOKUP(tblOrdenes[[#This Row],[puesto_trabajo]],tblPuestos[codigo],tblPuestos[especialidad],"(sin catálogo)"))</f>
        <v/>
      </c>
      <c r="X773" s="3">
        <f>IF(tblOrdenes[[#This Row],[cod_actividad]]="","",_xlfn.XLOOKUP(tblOrdenes[[#This Row],[cod_actividad]],tblActividades[codigo],tblActividades[descripcion],"(sin catálogo)"))</f>
        <v/>
      </c>
      <c r="Y773" s="12">
        <f>IF(tblOrdenes[[#This Row],[fecha_inicio]]="","",TODAY()-tblOrdenes[[#This Row],[fecha_inicio]])</f>
        <v/>
      </c>
      <c r="Z773" s="3">
        <f>IF(tblOrdenes[[#This Row],[backlog_dias]]="","",IF(tblOrdenes[[#This Row],[backlog_dias]]&lt;0,"FUTURO",IF(tblOrdenes[[#This Row],[backlog_dias]]&gt;p_dias_backlog_max,"BACKLOG","MES CORRIENTE")))</f>
        <v/>
      </c>
      <c r="AA773" s="3">
        <f>IF(tblOrdenes[[#This Row],[backlog_dias]]="",FALSE,AND(tblOrdenes[[#This Row],[backlog_dias]]&gt;p_dias_backlog_min,tblOrdenes[[#This Row],[backlog_dias]]&lt;=p_dias_backlog_max))</f>
        <v/>
      </c>
      <c r="AB773" s="6" t="n"/>
      <c r="AC7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3" s="10">
        <f>IF(tblOrdenes[[#This Row],[orden]]="","",_xlfn.XLOOKUP(tblOrdenes[[#This Row],[id_operacion]],tblEjecucion[id_operacion],tblEjecucion[precio],0))</f>
        <v/>
      </c>
      <c r="AG773" s="10">
        <f>IF(tblOrdenes[[#This Row],[orden]]="","",MAX(0,_xlfn.XLOOKUP(tblOrdenes[[#This Row],[id_operacion]],tblEjecucion[id_operacion],tblEjecucion[costo_plan_total],0)-tblOrdenes[[#This Row],[costo_servicio]]))</f>
        <v/>
      </c>
      <c r="AH773" s="10">
        <f>IF(tblOrdenes[[#This Row],[orden]]="","",tblOrdenes[[#This Row],[costo_servicio]]+tblOrdenes[[#This Row],[costo_materiales]])</f>
        <v/>
      </c>
      <c r="AI773" s="6" t="n"/>
      <c r="AJ773" s="6" t="n"/>
      <c r="AK773" s="6" t="n"/>
      <c r="AL773" s="3">
        <f>IF(tblOrdenes[[#This Row],[link_checklist]]="","",HYPERLINK(p_ruta_base_checklists&amp;tblOrdenes[[#This Row],[link_checklist]],"abrir"))</f>
        <v/>
      </c>
      <c r="AM773" s="6" t="n"/>
      <c r="AN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Row],[tipo_ot]]="","",_xlfn.XLOOKUP(tblOrdenes[[#This Row],[tipo_ot]],tblTiposOT[codigo],tblTiposOT[clasificacion],"sin_clasificar"))</f>
        <v/>
      </c>
      <c r="T774" s="3">
        <f>IF(tblOrdenes[[#This Row],[centro_costo]]="","",_xlfn.XLOOKUP(tblOrdenes[[#This Row],[centro_costo]],tblCECO[codigo],tblCECO[linea],"(sin catálogo)"))</f>
        <v/>
      </c>
      <c r="U774" s="3">
        <f>IF(tblOrdenes[[#This Row],[centro_costo]]="","",_xlfn.XLOOKUP(tblOrdenes[[#This Row],[centro_costo]],tblCECO[codigo],tblCECO[area],"(sin catálogo)"))</f>
        <v/>
      </c>
      <c r="V774" s="3">
        <f>IF(tblOrdenes[[#This Row],[centro_costo]]="","",_xlfn.XLOOKUP(tblOrdenes[[#This Row],[centro_costo]],tblCECO[codigo],tblCECO[coordinador],"(sin catálogo)"))</f>
        <v/>
      </c>
      <c r="W774" s="3">
        <f>IF(tblOrdenes[[#This Row],[puesto_trabajo]]="","",_xlfn.XLOOKUP(tblOrdenes[[#This Row],[puesto_trabajo]],tblPuestos[codigo],tblPuestos[especialidad],"(sin catálogo)"))</f>
        <v/>
      </c>
      <c r="X774" s="3">
        <f>IF(tblOrdenes[[#This Row],[cod_actividad]]="","",_xlfn.XLOOKUP(tblOrdenes[[#This Row],[cod_actividad]],tblActividades[codigo],tblActividades[descripcion],"(sin catálogo)"))</f>
        <v/>
      </c>
      <c r="Y774" s="12">
        <f>IF(tblOrdenes[[#This Row],[fecha_inicio]]="","",TODAY()-tblOrdenes[[#This Row],[fecha_inicio]])</f>
        <v/>
      </c>
      <c r="Z774" s="3">
        <f>IF(tblOrdenes[[#This Row],[backlog_dias]]="","",IF(tblOrdenes[[#This Row],[backlog_dias]]&lt;0,"FUTURO",IF(tblOrdenes[[#This Row],[backlog_dias]]&gt;p_dias_backlog_max,"BACKLOG","MES CORRIENTE")))</f>
        <v/>
      </c>
      <c r="AA774" s="3">
        <f>IF(tblOrdenes[[#This Row],[backlog_dias]]="",FALSE,AND(tblOrdenes[[#This Row],[backlog_dias]]&gt;p_dias_backlog_min,tblOrdenes[[#This Row],[backlog_dias]]&lt;=p_dias_backlog_max))</f>
        <v/>
      </c>
      <c r="AB774" s="6" t="n"/>
      <c r="AC7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4" s="10">
        <f>IF(tblOrdenes[[#This Row],[orden]]="","",_xlfn.XLOOKUP(tblOrdenes[[#This Row],[id_operacion]],tblEjecucion[id_operacion],tblEjecucion[precio],0))</f>
        <v/>
      </c>
      <c r="AG774" s="10">
        <f>IF(tblOrdenes[[#This Row],[orden]]="","",MAX(0,_xlfn.XLOOKUP(tblOrdenes[[#This Row],[id_operacion]],tblEjecucion[id_operacion],tblEjecucion[costo_plan_total],0)-tblOrdenes[[#This Row],[costo_servicio]]))</f>
        <v/>
      </c>
      <c r="AH774" s="10">
        <f>IF(tblOrdenes[[#This Row],[orden]]="","",tblOrdenes[[#This Row],[costo_servicio]]+tblOrdenes[[#This Row],[costo_materiales]])</f>
        <v/>
      </c>
      <c r="AI774" s="6" t="n"/>
      <c r="AJ774" s="6" t="n"/>
      <c r="AK774" s="6" t="n"/>
      <c r="AL774" s="3">
        <f>IF(tblOrdenes[[#This Row],[link_checklist]]="","",HYPERLINK(p_ruta_base_checklists&amp;tblOrdenes[[#This Row],[link_checklist]],"abrir"))</f>
        <v/>
      </c>
      <c r="AM774" s="6" t="n"/>
      <c r="AN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Row],[tipo_ot]]="","",_xlfn.XLOOKUP(tblOrdenes[[#This Row],[tipo_ot]],tblTiposOT[codigo],tblTiposOT[clasificacion],"sin_clasificar"))</f>
        <v/>
      </c>
      <c r="T775" s="3">
        <f>IF(tblOrdenes[[#This Row],[centro_costo]]="","",_xlfn.XLOOKUP(tblOrdenes[[#This Row],[centro_costo]],tblCECO[codigo],tblCECO[linea],"(sin catálogo)"))</f>
        <v/>
      </c>
      <c r="U775" s="3">
        <f>IF(tblOrdenes[[#This Row],[centro_costo]]="","",_xlfn.XLOOKUP(tblOrdenes[[#This Row],[centro_costo]],tblCECO[codigo],tblCECO[area],"(sin catálogo)"))</f>
        <v/>
      </c>
      <c r="V775" s="3">
        <f>IF(tblOrdenes[[#This Row],[centro_costo]]="","",_xlfn.XLOOKUP(tblOrdenes[[#This Row],[centro_costo]],tblCECO[codigo],tblCECO[coordinador],"(sin catálogo)"))</f>
        <v/>
      </c>
      <c r="W775" s="3">
        <f>IF(tblOrdenes[[#This Row],[puesto_trabajo]]="","",_xlfn.XLOOKUP(tblOrdenes[[#This Row],[puesto_trabajo]],tblPuestos[codigo],tblPuestos[especialidad],"(sin catálogo)"))</f>
        <v/>
      </c>
      <c r="X775" s="3">
        <f>IF(tblOrdenes[[#This Row],[cod_actividad]]="","",_xlfn.XLOOKUP(tblOrdenes[[#This Row],[cod_actividad]],tblActividades[codigo],tblActividades[descripcion],"(sin catálogo)"))</f>
        <v/>
      </c>
      <c r="Y775" s="12">
        <f>IF(tblOrdenes[[#This Row],[fecha_inicio]]="","",TODAY()-tblOrdenes[[#This Row],[fecha_inicio]])</f>
        <v/>
      </c>
      <c r="Z775" s="3">
        <f>IF(tblOrdenes[[#This Row],[backlog_dias]]="","",IF(tblOrdenes[[#This Row],[backlog_dias]]&lt;0,"FUTURO",IF(tblOrdenes[[#This Row],[backlog_dias]]&gt;p_dias_backlog_max,"BACKLOG","MES CORRIENTE")))</f>
        <v/>
      </c>
      <c r="AA775" s="3">
        <f>IF(tblOrdenes[[#This Row],[backlog_dias]]="",FALSE,AND(tblOrdenes[[#This Row],[backlog_dias]]&gt;p_dias_backlog_min,tblOrdenes[[#This Row],[backlog_dias]]&lt;=p_dias_backlog_max))</f>
        <v/>
      </c>
      <c r="AB775" s="6" t="n"/>
      <c r="AC7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5" s="10">
        <f>IF(tblOrdenes[[#This Row],[orden]]="","",_xlfn.XLOOKUP(tblOrdenes[[#This Row],[id_operacion]],tblEjecucion[id_operacion],tblEjecucion[precio],0))</f>
        <v/>
      </c>
      <c r="AG775" s="10">
        <f>IF(tblOrdenes[[#This Row],[orden]]="","",MAX(0,_xlfn.XLOOKUP(tblOrdenes[[#This Row],[id_operacion]],tblEjecucion[id_operacion],tblEjecucion[costo_plan_total],0)-tblOrdenes[[#This Row],[costo_servicio]]))</f>
        <v/>
      </c>
      <c r="AH775" s="10">
        <f>IF(tblOrdenes[[#This Row],[orden]]="","",tblOrdenes[[#This Row],[costo_servicio]]+tblOrdenes[[#This Row],[costo_materiales]])</f>
        <v/>
      </c>
      <c r="AI775" s="6" t="n"/>
      <c r="AJ775" s="6" t="n"/>
      <c r="AK775" s="6" t="n"/>
      <c r="AL775" s="3">
        <f>IF(tblOrdenes[[#This Row],[link_checklist]]="","",HYPERLINK(p_ruta_base_checklists&amp;tblOrdenes[[#This Row],[link_checklist]],"abrir"))</f>
        <v/>
      </c>
      <c r="AM775" s="6" t="n"/>
      <c r="AN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Row],[tipo_ot]]="","",_xlfn.XLOOKUP(tblOrdenes[[#This Row],[tipo_ot]],tblTiposOT[codigo],tblTiposOT[clasificacion],"sin_clasificar"))</f>
        <v/>
      </c>
      <c r="T776" s="3">
        <f>IF(tblOrdenes[[#This Row],[centro_costo]]="","",_xlfn.XLOOKUP(tblOrdenes[[#This Row],[centro_costo]],tblCECO[codigo],tblCECO[linea],"(sin catálogo)"))</f>
        <v/>
      </c>
      <c r="U776" s="3">
        <f>IF(tblOrdenes[[#This Row],[centro_costo]]="","",_xlfn.XLOOKUP(tblOrdenes[[#This Row],[centro_costo]],tblCECO[codigo],tblCECO[area],"(sin catálogo)"))</f>
        <v/>
      </c>
      <c r="V776" s="3">
        <f>IF(tblOrdenes[[#This Row],[centro_costo]]="","",_xlfn.XLOOKUP(tblOrdenes[[#This Row],[centro_costo]],tblCECO[codigo],tblCECO[coordinador],"(sin catálogo)"))</f>
        <v/>
      </c>
      <c r="W776" s="3">
        <f>IF(tblOrdenes[[#This Row],[puesto_trabajo]]="","",_xlfn.XLOOKUP(tblOrdenes[[#This Row],[puesto_trabajo]],tblPuestos[codigo],tblPuestos[especialidad],"(sin catálogo)"))</f>
        <v/>
      </c>
      <c r="X776" s="3">
        <f>IF(tblOrdenes[[#This Row],[cod_actividad]]="","",_xlfn.XLOOKUP(tblOrdenes[[#This Row],[cod_actividad]],tblActividades[codigo],tblActividades[descripcion],"(sin catálogo)"))</f>
        <v/>
      </c>
      <c r="Y776" s="12">
        <f>IF(tblOrdenes[[#This Row],[fecha_inicio]]="","",TODAY()-tblOrdenes[[#This Row],[fecha_inicio]])</f>
        <v/>
      </c>
      <c r="Z776" s="3">
        <f>IF(tblOrdenes[[#This Row],[backlog_dias]]="","",IF(tblOrdenes[[#This Row],[backlog_dias]]&lt;0,"FUTURO",IF(tblOrdenes[[#This Row],[backlog_dias]]&gt;p_dias_backlog_max,"BACKLOG","MES CORRIENTE")))</f>
        <v/>
      </c>
      <c r="AA776" s="3">
        <f>IF(tblOrdenes[[#This Row],[backlog_dias]]="",FALSE,AND(tblOrdenes[[#This Row],[backlog_dias]]&gt;p_dias_backlog_min,tblOrdenes[[#This Row],[backlog_dias]]&lt;=p_dias_backlog_max))</f>
        <v/>
      </c>
      <c r="AB776" s="6" t="n"/>
      <c r="AC7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6" s="10">
        <f>IF(tblOrdenes[[#This Row],[orden]]="","",_xlfn.XLOOKUP(tblOrdenes[[#This Row],[id_operacion]],tblEjecucion[id_operacion],tblEjecucion[precio],0))</f>
        <v/>
      </c>
      <c r="AG776" s="10">
        <f>IF(tblOrdenes[[#This Row],[orden]]="","",MAX(0,_xlfn.XLOOKUP(tblOrdenes[[#This Row],[id_operacion]],tblEjecucion[id_operacion],tblEjecucion[costo_plan_total],0)-tblOrdenes[[#This Row],[costo_servicio]]))</f>
        <v/>
      </c>
      <c r="AH776" s="10">
        <f>IF(tblOrdenes[[#This Row],[orden]]="","",tblOrdenes[[#This Row],[costo_servicio]]+tblOrdenes[[#This Row],[costo_materiales]])</f>
        <v/>
      </c>
      <c r="AI776" s="6" t="n"/>
      <c r="AJ776" s="6" t="n"/>
      <c r="AK776" s="6" t="n"/>
      <c r="AL776" s="3">
        <f>IF(tblOrdenes[[#This Row],[link_checklist]]="","",HYPERLINK(p_ruta_base_checklists&amp;tblOrdenes[[#This Row],[link_checklist]],"abrir"))</f>
        <v/>
      </c>
      <c r="AM776" s="6" t="n"/>
      <c r="AN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Row],[tipo_ot]]="","",_xlfn.XLOOKUP(tblOrdenes[[#This Row],[tipo_ot]],tblTiposOT[codigo],tblTiposOT[clasificacion],"sin_clasificar"))</f>
        <v/>
      </c>
      <c r="T777" s="3">
        <f>IF(tblOrdenes[[#This Row],[centro_costo]]="","",_xlfn.XLOOKUP(tblOrdenes[[#This Row],[centro_costo]],tblCECO[codigo],tblCECO[linea],"(sin catálogo)"))</f>
        <v/>
      </c>
      <c r="U777" s="3">
        <f>IF(tblOrdenes[[#This Row],[centro_costo]]="","",_xlfn.XLOOKUP(tblOrdenes[[#This Row],[centro_costo]],tblCECO[codigo],tblCECO[area],"(sin catálogo)"))</f>
        <v/>
      </c>
      <c r="V777" s="3">
        <f>IF(tblOrdenes[[#This Row],[centro_costo]]="","",_xlfn.XLOOKUP(tblOrdenes[[#This Row],[centro_costo]],tblCECO[codigo],tblCECO[coordinador],"(sin catálogo)"))</f>
        <v/>
      </c>
      <c r="W777" s="3">
        <f>IF(tblOrdenes[[#This Row],[puesto_trabajo]]="","",_xlfn.XLOOKUP(tblOrdenes[[#This Row],[puesto_trabajo]],tblPuestos[codigo],tblPuestos[especialidad],"(sin catálogo)"))</f>
        <v/>
      </c>
      <c r="X777" s="3">
        <f>IF(tblOrdenes[[#This Row],[cod_actividad]]="","",_xlfn.XLOOKUP(tblOrdenes[[#This Row],[cod_actividad]],tblActividades[codigo],tblActividades[descripcion],"(sin catálogo)"))</f>
        <v/>
      </c>
      <c r="Y777" s="12">
        <f>IF(tblOrdenes[[#This Row],[fecha_inicio]]="","",TODAY()-tblOrdenes[[#This Row],[fecha_inicio]])</f>
        <v/>
      </c>
      <c r="Z777" s="3">
        <f>IF(tblOrdenes[[#This Row],[backlog_dias]]="","",IF(tblOrdenes[[#This Row],[backlog_dias]]&lt;0,"FUTURO",IF(tblOrdenes[[#This Row],[backlog_dias]]&gt;p_dias_backlog_max,"BACKLOG","MES CORRIENTE")))</f>
        <v/>
      </c>
      <c r="AA777" s="3">
        <f>IF(tblOrdenes[[#This Row],[backlog_dias]]="",FALSE,AND(tblOrdenes[[#This Row],[backlog_dias]]&gt;p_dias_backlog_min,tblOrdenes[[#This Row],[backlog_dias]]&lt;=p_dias_backlog_max))</f>
        <v/>
      </c>
      <c r="AB777" s="6" t="n"/>
      <c r="AC7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7" s="10">
        <f>IF(tblOrdenes[[#This Row],[orden]]="","",_xlfn.XLOOKUP(tblOrdenes[[#This Row],[id_operacion]],tblEjecucion[id_operacion],tblEjecucion[precio],0))</f>
        <v/>
      </c>
      <c r="AG777" s="10">
        <f>IF(tblOrdenes[[#This Row],[orden]]="","",MAX(0,_xlfn.XLOOKUP(tblOrdenes[[#This Row],[id_operacion]],tblEjecucion[id_operacion],tblEjecucion[costo_plan_total],0)-tblOrdenes[[#This Row],[costo_servicio]]))</f>
        <v/>
      </c>
      <c r="AH777" s="10">
        <f>IF(tblOrdenes[[#This Row],[orden]]="","",tblOrdenes[[#This Row],[costo_servicio]]+tblOrdenes[[#This Row],[costo_materiales]])</f>
        <v/>
      </c>
      <c r="AI777" s="6" t="n"/>
      <c r="AJ777" s="6" t="n"/>
      <c r="AK777" s="6" t="n"/>
      <c r="AL777" s="3">
        <f>IF(tblOrdenes[[#This Row],[link_checklist]]="","",HYPERLINK(p_ruta_base_checklists&amp;tblOrdenes[[#This Row],[link_checklist]],"abrir"))</f>
        <v/>
      </c>
      <c r="AM777" s="6" t="n"/>
      <c r="AN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Row],[tipo_ot]]="","",_xlfn.XLOOKUP(tblOrdenes[[#This Row],[tipo_ot]],tblTiposOT[codigo],tblTiposOT[clasificacion],"sin_clasificar"))</f>
        <v/>
      </c>
      <c r="T778" s="3">
        <f>IF(tblOrdenes[[#This Row],[centro_costo]]="","",_xlfn.XLOOKUP(tblOrdenes[[#This Row],[centro_costo]],tblCECO[codigo],tblCECO[linea],"(sin catálogo)"))</f>
        <v/>
      </c>
      <c r="U778" s="3">
        <f>IF(tblOrdenes[[#This Row],[centro_costo]]="","",_xlfn.XLOOKUP(tblOrdenes[[#This Row],[centro_costo]],tblCECO[codigo],tblCECO[area],"(sin catálogo)"))</f>
        <v/>
      </c>
      <c r="V778" s="3">
        <f>IF(tblOrdenes[[#This Row],[centro_costo]]="","",_xlfn.XLOOKUP(tblOrdenes[[#This Row],[centro_costo]],tblCECO[codigo],tblCECO[coordinador],"(sin catálogo)"))</f>
        <v/>
      </c>
      <c r="W778" s="3">
        <f>IF(tblOrdenes[[#This Row],[puesto_trabajo]]="","",_xlfn.XLOOKUP(tblOrdenes[[#This Row],[puesto_trabajo]],tblPuestos[codigo],tblPuestos[especialidad],"(sin catálogo)"))</f>
        <v/>
      </c>
      <c r="X778" s="3">
        <f>IF(tblOrdenes[[#This Row],[cod_actividad]]="","",_xlfn.XLOOKUP(tblOrdenes[[#This Row],[cod_actividad]],tblActividades[codigo],tblActividades[descripcion],"(sin catálogo)"))</f>
        <v/>
      </c>
      <c r="Y778" s="12">
        <f>IF(tblOrdenes[[#This Row],[fecha_inicio]]="","",TODAY()-tblOrdenes[[#This Row],[fecha_inicio]])</f>
        <v/>
      </c>
      <c r="Z778" s="3">
        <f>IF(tblOrdenes[[#This Row],[backlog_dias]]="","",IF(tblOrdenes[[#This Row],[backlog_dias]]&lt;0,"FUTURO",IF(tblOrdenes[[#This Row],[backlog_dias]]&gt;p_dias_backlog_max,"BACKLOG","MES CORRIENTE")))</f>
        <v/>
      </c>
      <c r="AA778" s="3">
        <f>IF(tblOrdenes[[#This Row],[backlog_dias]]="",FALSE,AND(tblOrdenes[[#This Row],[backlog_dias]]&gt;p_dias_backlog_min,tblOrdenes[[#This Row],[backlog_dias]]&lt;=p_dias_backlog_max))</f>
        <v/>
      </c>
      <c r="AB778" s="6" t="n"/>
      <c r="AC7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8" s="10">
        <f>IF(tblOrdenes[[#This Row],[orden]]="","",_xlfn.XLOOKUP(tblOrdenes[[#This Row],[id_operacion]],tblEjecucion[id_operacion],tblEjecucion[precio],0))</f>
        <v/>
      </c>
      <c r="AG778" s="10">
        <f>IF(tblOrdenes[[#This Row],[orden]]="","",MAX(0,_xlfn.XLOOKUP(tblOrdenes[[#This Row],[id_operacion]],tblEjecucion[id_operacion],tblEjecucion[costo_plan_total],0)-tblOrdenes[[#This Row],[costo_servicio]]))</f>
        <v/>
      </c>
      <c r="AH778" s="10">
        <f>IF(tblOrdenes[[#This Row],[orden]]="","",tblOrdenes[[#This Row],[costo_servicio]]+tblOrdenes[[#This Row],[costo_materiales]])</f>
        <v/>
      </c>
      <c r="AI778" s="6" t="n"/>
      <c r="AJ778" s="6" t="n"/>
      <c r="AK778" s="6" t="n"/>
      <c r="AL778" s="3">
        <f>IF(tblOrdenes[[#This Row],[link_checklist]]="","",HYPERLINK(p_ruta_base_checklists&amp;tblOrdenes[[#This Row],[link_checklist]],"abrir"))</f>
        <v/>
      </c>
      <c r="AM778" s="6" t="n"/>
      <c r="AN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Row],[tipo_ot]]="","",_xlfn.XLOOKUP(tblOrdenes[[#This Row],[tipo_ot]],tblTiposOT[codigo],tblTiposOT[clasificacion],"sin_clasificar"))</f>
        <v/>
      </c>
      <c r="T779" s="3">
        <f>IF(tblOrdenes[[#This Row],[centro_costo]]="","",_xlfn.XLOOKUP(tblOrdenes[[#This Row],[centro_costo]],tblCECO[codigo],tblCECO[linea],"(sin catálogo)"))</f>
        <v/>
      </c>
      <c r="U779" s="3">
        <f>IF(tblOrdenes[[#This Row],[centro_costo]]="","",_xlfn.XLOOKUP(tblOrdenes[[#This Row],[centro_costo]],tblCECO[codigo],tblCECO[area],"(sin catálogo)"))</f>
        <v/>
      </c>
      <c r="V779" s="3">
        <f>IF(tblOrdenes[[#This Row],[centro_costo]]="","",_xlfn.XLOOKUP(tblOrdenes[[#This Row],[centro_costo]],tblCECO[codigo],tblCECO[coordinador],"(sin catálogo)"))</f>
        <v/>
      </c>
      <c r="W779" s="3">
        <f>IF(tblOrdenes[[#This Row],[puesto_trabajo]]="","",_xlfn.XLOOKUP(tblOrdenes[[#This Row],[puesto_trabajo]],tblPuestos[codigo],tblPuestos[especialidad],"(sin catálogo)"))</f>
        <v/>
      </c>
      <c r="X779" s="3">
        <f>IF(tblOrdenes[[#This Row],[cod_actividad]]="","",_xlfn.XLOOKUP(tblOrdenes[[#This Row],[cod_actividad]],tblActividades[codigo],tblActividades[descripcion],"(sin catálogo)"))</f>
        <v/>
      </c>
      <c r="Y779" s="12">
        <f>IF(tblOrdenes[[#This Row],[fecha_inicio]]="","",TODAY()-tblOrdenes[[#This Row],[fecha_inicio]])</f>
        <v/>
      </c>
      <c r="Z779" s="3">
        <f>IF(tblOrdenes[[#This Row],[backlog_dias]]="","",IF(tblOrdenes[[#This Row],[backlog_dias]]&lt;0,"FUTURO",IF(tblOrdenes[[#This Row],[backlog_dias]]&gt;p_dias_backlog_max,"BACKLOG","MES CORRIENTE")))</f>
        <v/>
      </c>
      <c r="AA779" s="3">
        <f>IF(tblOrdenes[[#This Row],[backlog_dias]]="",FALSE,AND(tblOrdenes[[#This Row],[backlog_dias]]&gt;p_dias_backlog_min,tblOrdenes[[#This Row],[backlog_dias]]&lt;=p_dias_backlog_max))</f>
        <v/>
      </c>
      <c r="AB779" s="6" t="n"/>
      <c r="AC7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9" s="10">
        <f>IF(tblOrdenes[[#This Row],[orden]]="","",_xlfn.XLOOKUP(tblOrdenes[[#This Row],[id_operacion]],tblEjecucion[id_operacion],tblEjecucion[precio],0))</f>
        <v/>
      </c>
      <c r="AG779" s="10">
        <f>IF(tblOrdenes[[#This Row],[orden]]="","",MAX(0,_xlfn.XLOOKUP(tblOrdenes[[#This Row],[id_operacion]],tblEjecucion[id_operacion],tblEjecucion[costo_plan_total],0)-tblOrdenes[[#This Row],[costo_servicio]]))</f>
        <v/>
      </c>
      <c r="AH779" s="10">
        <f>IF(tblOrdenes[[#This Row],[orden]]="","",tblOrdenes[[#This Row],[costo_servicio]]+tblOrdenes[[#This Row],[costo_materiales]])</f>
        <v/>
      </c>
      <c r="AI779" s="6" t="n"/>
      <c r="AJ779" s="6" t="n"/>
      <c r="AK779" s="6" t="n"/>
      <c r="AL779" s="3">
        <f>IF(tblOrdenes[[#This Row],[link_checklist]]="","",HYPERLINK(p_ruta_base_checklists&amp;tblOrdenes[[#This Row],[link_checklist]],"abrir"))</f>
        <v/>
      </c>
      <c r="AM779" s="6" t="n"/>
      <c r="AN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Row],[tipo_ot]]="","",_xlfn.XLOOKUP(tblOrdenes[[#This Row],[tipo_ot]],tblTiposOT[codigo],tblTiposOT[clasificacion],"sin_clasificar"))</f>
        <v/>
      </c>
      <c r="T780" s="3">
        <f>IF(tblOrdenes[[#This Row],[centro_costo]]="","",_xlfn.XLOOKUP(tblOrdenes[[#This Row],[centro_costo]],tblCECO[codigo],tblCECO[linea],"(sin catálogo)"))</f>
        <v/>
      </c>
      <c r="U780" s="3">
        <f>IF(tblOrdenes[[#This Row],[centro_costo]]="","",_xlfn.XLOOKUP(tblOrdenes[[#This Row],[centro_costo]],tblCECO[codigo],tblCECO[area],"(sin catálogo)"))</f>
        <v/>
      </c>
      <c r="V780" s="3">
        <f>IF(tblOrdenes[[#This Row],[centro_costo]]="","",_xlfn.XLOOKUP(tblOrdenes[[#This Row],[centro_costo]],tblCECO[codigo],tblCECO[coordinador],"(sin catálogo)"))</f>
        <v/>
      </c>
      <c r="W780" s="3">
        <f>IF(tblOrdenes[[#This Row],[puesto_trabajo]]="","",_xlfn.XLOOKUP(tblOrdenes[[#This Row],[puesto_trabajo]],tblPuestos[codigo],tblPuestos[especialidad],"(sin catálogo)"))</f>
        <v/>
      </c>
      <c r="X780" s="3">
        <f>IF(tblOrdenes[[#This Row],[cod_actividad]]="","",_xlfn.XLOOKUP(tblOrdenes[[#This Row],[cod_actividad]],tblActividades[codigo],tblActividades[descripcion],"(sin catálogo)"))</f>
        <v/>
      </c>
      <c r="Y780" s="12">
        <f>IF(tblOrdenes[[#This Row],[fecha_inicio]]="","",TODAY()-tblOrdenes[[#This Row],[fecha_inicio]])</f>
        <v/>
      </c>
      <c r="Z780" s="3">
        <f>IF(tblOrdenes[[#This Row],[backlog_dias]]="","",IF(tblOrdenes[[#This Row],[backlog_dias]]&lt;0,"FUTURO",IF(tblOrdenes[[#This Row],[backlog_dias]]&gt;p_dias_backlog_max,"BACKLOG","MES CORRIENTE")))</f>
        <v/>
      </c>
      <c r="AA780" s="3">
        <f>IF(tblOrdenes[[#This Row],[backlog_dias]]="",FALSE,AND(tblOrdenes[[#This Row],[backlog_dias]]&gt;p_dias_backlog_min,tblOrdenes[[#This Row],[backlog_dias]]&lt;=p_dias_backlog_max))</f>
        <v/>
      </c>
      <c r="AB780" s="6" t="n"/>
      <c r="AC7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0" s="10">
        <f>IF(tblOrdenes[[#This Row],[orden]]="","",_xlfn.XLOOKUP(tblOrdenes[[#This Row],[id_operacion]],tblEjecucion[id_operacion],tblEjecucion[precio],0))</f>
        <v/>
      </c>
      <c r="AG780" s="10">
        <f>IF(tblOrdenes[[#This Row],[orden]]="","",MAX(0,_xlfn.XLOOKUP(tblOrdenes[[#This Row],[id_operacion]],tblEjecucion[id_operacion],tblEjecucion[costo_plan_total],0)-tblOrdenes[[#This Row],[costo_servicio]]))</f>
        <v/>
      </c>
      <c r="AH780" s="10">
        <f>IF(tblOrdenes[[#This Row],[orden]]="","",tblOrdenes[[#This Row],[costo_servicio]]+tblOrdenes[[#This Row],[costo_materiales]])</f>
        <v/>
      </c>
      <c r="AI780" s="6" t="n"/>
      <c r="AJ780" s="6" t="n"/>
      <c r="AK780" s="6" t="n"/>
      <c r="AL780" s="3">
        <f>IF(tblOrdenes[[#This Row],[link_checklist]]="","",HYPERLINK(p_ruta_base_checklists&amp;tblOrdenes[[#This Row],[link_checklist]],"abrir"))</f>
        <v/>
      </c>
      <c r="AM780" s="6" t="n"/>
      <c r="AN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Row],[tipo_ot]]="","",_xlfn.XLOOKUP(tblOrdenes[[#This Row],[tipo_ot]],tblTiposOT[codigo],tblTiposOT[clasificacion],"sin_clasificar"))</f>
        <v/>
      </c>
      <c r="T781" s="3">
        <f>IF(tblOrdenes[[#This Row],[centro_costo]]="","",_xlfn.XLOOKUP(tblOrdenes[[#This Row],[centro_costo]],tblCECO[codigo],tblCECO[linea],"(sin catálogo)"))</f>
        <v/>
      </c>
      <c r="U781" s="3">
        <f>IF(tblOrdenes[[#This Row],[centro_costo]]="","",_xlfn.XLOOKUP(tblOrdenes[[#This Row],[centro_costo]],tblCECO[codigo],tblCECO[area],"(sin catálogo)"))</f>
        <v/>
      </c>
      <c r="V781" s="3">
        <f>IF(tblOrdenes[[#This Row],[centro_costo]]="","",_xlfn.XLOOKUP(tblOrdenes[[#This Row],[centro_costo]],tblCECO[codigo],tblCECO[coordinador],"(sin catálogo)"))</f>
        <v/>
      </c>
      <c r="W781" s="3">
        <f>IF(tblOrdenes[[#This Row],[puesto_trabajo]]="","",_xlfn.XLOOKUP(tblOrdenes[[#This Row],[puesto_trabajo]],tblPuestos[codigo],tblPuestos[especialidad],"(sin catálogo)"))</f>
        <v/>
      </c>
      <c r="X781" s="3">
        <f>IF(tblOrdenes[[#This Row],[cod_actividad]]="","",_xlfn.XLOOKUP(tblOrdenes[[#This Row],[cod_actividad]],tblActividades[codigo],tblActividades[descripcion],"(sin catálogo)"))</f>
        <v/>
      </c>
      <c r="Y781" s="12">
        <f>IF(tblOrdenes[[#This Row],[fecha_inicio]]="","",TODAY()-tblOrdenes[[#This Row],[fecha_inicio]])</f>
        <v/>
      </c>
      <c r="Z781" s="3">
        <f>IF(tblOrdenes[[#This Row],[backlog_dias]]="","",IF(tblOrdenes[[#This Row],[backlog_dias]]&lt;0,"FUTURO",IF(tblOrdenes[[#This Row],[backlog_dias]]&gt;p_dias_backlog_max,"BACKLOG","MES CORRIENTE")))</f>
        <v/>
      </c>
      <c r="AA781" s="3">
        <f>IF(tblOrdenes[[#This Row],[backlog_dias]]="",FALSE,AND(tblOrdenes[[#This Row],[backlog_dias]]&gt;p_dias_backlog_min,tblOrdenes[[#This Row],[backlog_dias]]&lt;=p_dias_backlog_max))</f>
        <v/>
      </c>
      <c r="AB781" s="6" t="n"/>
      <c r="AC7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1" s="10">
        <f>IF(tblOrdenes[[#This Row],[orden]]="","",_xlfn.XLOOKUP(tblOrdenes[[#This Row],[id_operacion]],tblEjecucion[id_operacion],tblEjecucion[precio],0))</f>
        <v/>
      </c>
      <c r="AG781" s="10">
        <f>IF(tblOrdenes[[#This Row],[orden]]="","",MAX(0,_xlfn.XLOOKUP(tblOrdenes[[#This Row],[id_operacion]],tblEjecucion[id_operacion],tblEjecucion[costo_plan_total],0)-tblOrdenes[[#This Row],[costo_servicio]]))</f>
        <v/>
      </c>
      <c r="AH781" s="10">
        <f>IF(tblOrdenes[[#This Row],[orden]]="","",tblOrdenes[[#This Row],[costo_servicio]]+tblOrdenes[[#This Row],[costo_materiales]])</f>
        <v/>
      </c>
      <c r="AI781" s="6" t="n"/>
      <c r="AJ781" s="6" t="n"/>
      <c r="AK781" s="6" t="n"/>
      <c r="AL781" s="3">
        <f>IF(tblOrdenes[[#This Row],[link_checklist]]="","",HYPERLINK(p_ruta_base_checklists&amp;tblOrdenes[[#This Row],[link_checklist]],"abrir"))</f>
        <v/>
      </c>
      <c r="AM781" s="6" t="n"/>
      <c r="AN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Row],[tipo_ot]]="","",_xlfn.XLOOKUP(tblOrdenes[[#This Row],[tipo_ot]],tblTiposOT[codigo],tblTiposOT[clasificacion],"sin_clasificar"))</f>
        <v/>
      </c>
      <c r="T782" s="3">
        <f>IF(tblOrdenes[[#This Row],[centro_costo]]="","",_xlfn.XLOOKUP(tblOrdenes[[#This Row],[centro_costo]],tblCECO[codigo],tblCECO[linea],"(sin catálogo)"))</f>
        <v/>
      </c>
      <c r="U782" s="3">
        <f>IF(tblOrdenes[[#This Row],[centro_costo]]="","",_xlfn.XLOOKUP(tblOrdenes[[#This Row],[centro_costo]],tblCECO[codigo],tblCECO[area],"(sin catálogo)"))</f>
        <v/>
      </c>
      <c r="V782" s="3">
        <f>IF(tblOrdenes[[#This Row],[centro_costo]]="","",_xlfn.XLOOKUP(tblOrdenes[[#This Row],[centro_costo]],tblCECO[codigo],tblCECO[coordinador],"(sin catálogo)"))</f>
        <v/>
      </c>
      <c r="W782" s="3">
        <f>IF(tblOrdenes[[#This Row],[puesto_trabajo]]="","",_xlfn.XLOOKUP(tblOrdenes[[#This Row],[puesto_trabajo]],tblPuestos[codigo],tblPuestos[especialidad],"(sin catálogo)"))</f>
        <v/>
      </c>
      <c r="X782" s="3">
        <f>IF(tblOrdenes[[#This Row],[cod_actividad]]="","",_xlfn.XLOOKUP(tblOrdenes[[#This Row],[cod_actividad]],tblActividades[codigo],tblActividades[descripcion],"(sin catálogo)"))</f>
        <v/>
      </c>
      <c r="Y782" s="12">
        <f>IF(tblOrdenes[[#This Row],[fecha_inicio]]="","",TODAY()-tblOrdenes[[#This Row],[fecha_inicio]])</f>
        <v/>
      </c>
      <c r="Z782" s="3">
        <f>IF(tblOrdenes[[#This Row],[backlog_dias]]="","",IF(tblOrdenes[[#This Row],[backlog_dias]]&lt;0,"FUTURO",IF(tblOrdenes[[#This Row],[backlog_dias]]&gt;p_dias_backlog_max,"BACKLOG","MES CORRIENTE")))</f>
        <v/>
      </c>
      <c r="AA782" s="3">
        <f>IF(tblOrdenes[[#This Row],[backlog_dias]]="",FALSE,AND(tblOrdenes[[#This Row],[backlog_dias]]&gt;p_dias_backlog_min,tblOrdenes[[#This Row],[backlog_dias]]&lt;=p_dias_backlog_max))</f>
        <v/>
      </c>
      <c r="AB782" s="6" t="n"/>
      <c r="AC7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2" s="10">
        <f>IF(tblOrdenes[[#This Row],[orden]]="","",_xlfn.XLOOKUP(tblOrdenes[[#This Row],[id_operacion]],tblEjecucion[id_operacion],tblEjecucion[precio],0))</f>
        <v/>
      </c>
      <c r="AG782" s="10">
        <f>IF(tblOrdenes[[#This Row],[orden]]="","",MAX(0,_xlfn.XLOOKUP(tblOrdenes[[#This Row],[id_operacion]],tblEjecucion[id_operacion],tblEjecucion[costo_plan_total],0)-tblOrdenes[[#This Row],[costo_servicio]]))</f>
        <v/>
      </c>
      <c r="AH782" s="10">
        <f>IF(tblOrdenes[[#This Row],[orden]]="","",tblOrdenes[[#This Row],[costo_servicio]]+tblOrdenes[[#This Row],[costo_materiales]])</f>
        <v/>
      </c>
      <c r="AI782" s="6" t="n"/>
      <c r="AJ782" s="6" t="n"/>
      <c r="AK782" s="6" t="n"/>
      <c r="AL782" s="3">
        <f>IF(tblOrdenes[[#This Row],[link_checklist]]="","",HYPERLINK(p_ruta_base_checklists&amp;tblOrdenes[[#This Row],[link_checklist]],"abrir"))</f>
        <v/>
      </c>
      <c r="AM782" s="6" t="n"/>
      <c r="AN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Row],[tipo_ot]]="","",_xlfn.XLOOKUP(tblOrdenes[[#This Row],[tipo_ot]],tblTiposOT[codigo],tblTiposOT[clasificacion],"sin_clasificar"))</f>
        <v/>
      </c>
      <c r="T783" s="3">
        <f>IF(tblOrdenes[[#This Row],[centro_costo]]="","",_xlfn.XLOOKUP(tblOrdenes[[#This Row],[centro_costo]],tblCECO[codigo],tblCECO[linea],"(sin catálogo)"))</f>
        <v/>
      </c>
      <c r="U783" s="3">
        <f>IF(tblOrdenes[[#This Row],[centro_costo]]="","",_xlfn.XLOOKUP(tblOrdenes[[#This Row],[centro_costo]],tblCECO[codigo],tblCECO[area],"(sin catálogo)"))</f>
        <v/>
      </c>
      <c r="V783" s="3">
        <f>IF(tblOrdenes[[#This Row],[centro_costo]]="","",_xlfn.XLOOKUP(tblOrdenes[[#This Row],[centro_costo]],tblCECO[codigo],tblCECO[coordinador],"(sin catálogo)"))</f>
        <v/>
      </c>
      <c r="W783" s="3">
        <f>IF(tblOrdenes[[#This Row],[puesto_trabajo]]="","",_xlfn.XLOOKUP(tblOrdenes[[#This Row],[puesto_trabajo]],tblPuestos[codigo],tblPuestos[especialidad],"(sin catálogo)"))</f>
        <v/>
      </c>
      <c r="X783" s="3">
        <f>IF(tblOrdenes[[#This Row],[cod_actividad]]="","",_xlfn.XLOOKUP(tblOrdenes[[#This Row],[cod_actividad]],tblActividades[codigo],tblActividades[descripcion],"(sin catálogo)"))</f>
        <v/>
      </c>
      <c r="Y783" s="12">
        <f>IF(tblOrdenes[[#This Row],[fecha_inicio]]="","",TODAY()-tblOrdenes[[#This Row],[fecha_inicio]])</f>
        <v/>
      </c>
      <c r="Z783" s="3">
        <f>IF(tblOrdenes[[#This Row],[backlog_dias]]="","",IF(tblOrdenes[[#This Row],[backlog_dias]]&lt;0,"FUTURO",IF(tblOrdenes[[#This Row],[backlog_dias]]&gt;p_dias_backlog_max,"BACKLOG","MES CORRIENTE")))</f>
        <v/>
      </c>
      <c r="AA783" s="3">
        <f>IF(tblOrdenes[[#This Row],[backlog_dias]]="",FALSE,AND(tblOrdenes[[#This Row],[backlog_dias]]&gt;p_dias_backlog_min,tblOrdenes[[#This Row],[backlog_dias]]&lt;=p_dias_backlog_max))</f>
        <v/>
      </c>
      <c r="AB783" s="6" t="n"/>
      <c r="AC7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3" s="10">
        <f>IF(tblOrdenes[[#This Row],[orden]]="","",_xlfn.XLOOKUP(tblOrdenes[[#This Row],[id_operacion]],tblEjecucion[id_operacion],tblEjecucion[precio],0))</f>
        <v/>
      </c>
      <c r="AG783" s="10">
        <f>IF(tblOrdenes[[#This Row],[orden]]="","",MAX(0,_xlfn.XLOOKUP(tblOrdenes[[#This Row],[id_operacion]],tblEjecucion[id_operacion],tblEjecucion[costo_plan_total],0)-tblOrdenes[[#This Row],[costo_servicio]]))</f>
        <v/>
      </c>
      <c r="AH783" s="10">
        <f>IF(tblOrdenes[[#This Row],[orden]]="","",tblOrdenes[[#This Row],[costo_servicio]]+tblOrdenes[[#This Row],[costo_materiales]])</f>
        <v/>
      </c>
      <c r="AI783" s="6" t="n"/>
      <c r="AJ783" s="6" t="n"/>
      <c r="AK783" s="6" t="n"/>
      <c r="AL783" s="3">
        <f>IF(tblOrdenes[[#This Row],[link_checklist]]="","",HYPERLINK(p_ruta_base_checklists&amp;tblOrdenes[[#This Row],[link_checklist]],"abrir"))</f>
        <v/>
      </c>
      <c r="AM783" s="6" t="n"/>
      <c r="AN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Row],[tipo_ot]]="","",_xlfn.XLOOKUP(tblOrdenes[[#This Row],[tipo_ot]],tblTiposOT[codigo],tblTiposOT[clasificacion],"sin_clasificar"))</f>
        <v/>
      </c>
      <c r="T784" s="3">
        <f>IF(tblOrdenes[[#This Row],[centro_costo]]="","",_xlfn.XLOOKUP(tblOrdenes[[#This Row],[centro_costo]],tblCECO[codigo],tblCECO[linea],"(sin catálogo)"))</f>
        <v/>
      </c>
      <c r="U784" s="3">
        <f>IF(tblOrdenes[[#This Row],[centro_costo]]="","",_xlfn.XLOOKUP(tblOrdenes[[#This Row],[centro_costo]],tblCECO[codigo],tblCECO[area],"(sin catálogo)"))</f>
        <v/>
      </c>
      <c r="V784" s="3">
        <f>IF(tblOrdenes[[#This Row],[centro_costo]]="","",_xlfn.XLOOKUP(tblOrdenes[[#This Row],[centro_costo]],tblCECO[codigo],tblCECO[coordinador],"(sin catálogo)"))</f>
        <v/>
      </c>
      <c r="W784" s="3">
        <f>IF(tblOrdenes[[#This Row],[puesto_trabajo]]="","",_xlfn.XLOOKUP(tblOrdenes[[#This Row],[puesto_trabajo]],tblPuestos[codigo],tblPuestos[especialidad],"(sin catálogo)"))</f>
        <v/>
      </c>
      <c r="X784" s="3">
        <f>IF(tblOrdenes[[#This Row],[cod_actividad]]="","",_xlfn.XLOOKUP(tblOrdenes[[#This Row],[cod_actividad]],tblActividades[codigo],tblActividades[descripcion],"(sin catálogo)"))</f>
        <v/>
      </c>
      <c r="Y784" s="12">
        <f>IF(tblOrdenes[[#This Row],[fecha_inicio]]="","",TODAY()-tblOrdenes[[#This Row],[fecha_inicio]])</f>
        <v/>
      </c>
      <c r="Z784" s="3">
        <f>IF(tblOrdenes[[#This Row],[backlog_dias]]="","",IF(tblOrdenes[[#This Row],[backlog_dias]]&lt;0,"FUTURO",IF(tblOrdenes[[#This Row],[backlog_dias]]&gt;p_dias_backlog_max,"BACKLOG","MES CORRIENTE")))</f>
        <v/>
      </c>
      <c r="AA784" s="3">
        <f>IF(tblOrdenes[[#This Row],[backlog_dias]]="",FALSE,AND(tblOrdenes[[#This Row],[backlog_dias]]&gt;p_dias_backlog_min,tblOrdenes[[#This Row],[backlog_dias]]&lt;=p_dias_backlog_max))</f>
        <v/>
      </c>
      <c r="AB784" s="6" t="n"/>
      <c r="AC7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4" s="10">
        <f>IF(tblOrdenes[[#This Row],[orden]]="","",_xlfn.XLOOKUP(tblOrdenes[[#This Row],[id_operacion]],tblEjecucion[id_operacion],tblEjecucion[precio],0))</f>
        <v/>
      </c>
      <c r="AG784" s="10">
        <f>IF(tblOrdenes[[#This Row],[orden]]="","",MAX(0,_xlfn.XLOOKUP(tblOrdenes[[#This Row],[id_operacion]],tblEjecucion[id_operacion],tblEjecucion[costo_plan_total],0)-tblOrdenes[[#This Row],[costo_servicio]]))</f>
        <v/>
      </c>
      <c r="AH784" s="10">
        <f>IF(tblOrdenes[[#This Row],[orden]]="","",tblOrdenes[[#This Row],[costo_servicio]]+tblOrdenes[[#This Row],[costo_materiales]])</f>
        <v/>
      </c>
      <c r="AI784" s="6" t="n"/>
      <c r="AJ784" s="6" t="n"/>
      <c r="AK784" s="6" t="n"/>
      <c r="AL784" s="3">
        <f>IF(tblOrdenes[[#This Row],[link_checklist]]="","",HYPERLINK(p_ruta_base_checklists&amp;tblOrdenes[[#This Row],[link_checklist]],"abrir"))</f>
        <v/>
      </c>
      <c r="AM784" s="6" t="n"/>
      <c r="AN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Row],[tipo_ot]]="","",_xlfn.XLOOKUP(tblOrdenes[[#This Row],[tipo_ot]],tblTiposOT[codigo],tblTiposOT[clasificacion],"sin_clasificar"))</f>
        <v/>
      </c>
      <c r="T785" s="3">
        <f>IF(tblOrdenes[[#This Row],[centro_costo]]="","",_xlfn.XLOOKUP(tblOrdenes[[#This Row],[centro_costo]],tblCECO[codigo],tblCECO[linea],"(sin catálogo)"))</f>
        <v/>
      </c>
      <c r="U785" s="3">
        <f>IF(tblOrdenes[[#This Row],[centro_costo]]="","",_xlfn.XLOOKUP(tblOrdenes[[#This Row],[centro_costo]],tblCECO[codigo],tblCECO[area],"(sin catálogo)"))</f>
        <v/>
      </c>
      <c r="V785" s="3">
        <f>IF(tblOrdenes[[#This Row],[centro_costo]]="","",_xlfn.XLOOKUP(tblOrdenes[[#This Row],[centro_costo]],tblCECO[codigo],tblCECO[coordinador],"(sin catálogo)"))</f>
        <v/>
      </c>
      <c r="W785" s="3">
        <f>IF(tblOrdenes[[#This Row],[puesto_trabajo]]="","",_xlfn.XLOOKUP(tblOrdenes[[#This Row],[puesto_trabajo]],tblPuestos[codigo],tblPuestos[especialidad],"(sin catálogo)"))</f>
        <v/>
      </c>
      <c r="X785" s="3">
        <f>IF(tblOrdenes[[#This Row],[cod_actividad]]="","",_xlfn.XLOOKUP(tblOrdenes[[#This Row],[cod_actividad]],tblActividades[codigo],tblActividades[descripcion],"(sin catálogo)"))</f>
        <v/>
      </c>
      <c r="Y785" s="12">
        <f>IF(tblOrdenes[[#This Row],[fecha_inicio]]="","",TODAY()-tblOrdenes[[#This Row],[fecha_inicio]])</f>
        <v/>
      </c>
      <c r="Z785" s="3">
        <f>IF(tblOrdenes[[#This Row],[backlog_dias]]="","",IF(tblOrdenes[[#This Row],[backlog_dias]]&lt;0,"FUTURO",IF(tblOrdenes[[#This Row],[backlog_dias]]&gt;p_dias_backlog_max,"BACKLOG","MES CORRIENTE")))</f>
        <v/>
      </c>
      <c r="AA785" s="3">
        <f>IF(tblOrdenes[[#This Row],[backlog_dias]]="",FALSE,AND(tblOrdenes[[#This Row],[backlog_dias]]&gt;p_dias_backlog_min,tblOrdenes[[#This Row],[backlog_dias]]&lt;=p_dias_backlog_max))</f>
        <v/>
      </c>
      <c r="AB785" s="6" t="n"/>
      <c r="AC7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5" s="10">
        <f>IF(tblOrdenes[[#This Row],[orden]]="","",_xlfn.XLOOKUP(tblOrdenes[[#This Row],[id_operacion]],tblEjecucion[id_operacion],tblEjecucion[precio],0))</f>
        <v/>
      </c>
      <c r="AG785" s="10">
        <f>IF(tblOrdenes[[#This Row],[orden]]="","",MAX(0,_xlfn.XLOOKUP(tblOrdenes[[#This Row],[id_operacion]],tblEjecucion[id_operacion],tblEjecucion[costo_plan_total],0)-tblOrdenes[[#This Row],[costo_servicio]]))</f>
        <v/>
      </c>
      <c r="AH785" s="10">
        <f>IF(tblOrdenes[[#This Row],[orden]]="","",tblOrdenes[[#This Row],[costo_servicio]]+tblOrdenes[[#This Row],[costo_materiales]])</f>
        <v/>
      </c>
      <c r="AI785" s="6" t="n"/>
      <c r="AJ785" s="6" t="n"/>
      <c r="AK785" s="6" t="n"/>
      <c r="AL785" s="3">
        <f>IF(tblOrdenes[[#This Row],[link_checklist]]="","",HYPERLINK(p_ruta_base_checklists&amp;tblOrdenes[[#This Row],[link_checklist]],"abrir"))</f>
        <v/>
      </c>
      <c r="AM785" s="6" t="n"/>
      <c r="AN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Row],[tipo_ot]]="","",_xlfn.XLOOKUP(tblOrdenes[[#This Row],[tipo_ot]],tblTiposOT[codigo],tblTiposOT[clasificacion],"sin_clasificar"))</f>
        <v/>
      </c>
      <c r="T786" s="3">
        <f>IF(tblOrdenes[[#This Row],[centro_costo]]="","",_xlfn.XLOOKUP(tblOrdenes[[#This Row],[centro_costo]],tblCECO[codigo],tblCECO[linea],"(sin catálogo)"))</f>
        <v/>
      </c>
      <c r="U786" s="3">
        <f>IF(tblOrdenes[[#This Row],[centro_costo]]="","",_xlfn.XLOOKUP(tblOrdenes[[#This Row],[centro_costo]],tblCECO[codigo],tblCECO[area],"(sin catálogo)"))</f>
        <v/>
      </c>
      <c r="V786" s="3">
        <f>IF(tblOrdenes[[#This Row],[centro_costo]]="","",_xlfn.XLOOKUP(tblOrdenes[[#This Row],[centro_costo]],tblCECO[codigo],tblCECO[coordinador],"(sin catálogo)"))</f>
        <v/>
      </c>
      <c r="W786" s="3">
        <f>IF(tblOrdenes[[#This Row],[puesto_trabajo]]="","",_xlfn.XLOOKUP(tblOrdenes[[#This Row],[puesto_trabajo]],tblPuestos[codigo],tblPuestos[especialidad],"(sin catálogo)"))</f>
        <v/>
      </c>
      <c r="X786" s="3">
        <f>IF(tblOrdenes[[#This Row],[cod_actividad]]="","",_xlfn.XLOOKUP(tblOrdenes[[#This Row],[cod_actividad]],tblActividades[codigo],tblActividades[descripcion],"(sin catálogo)"))</f>
        <v/>
      </c>
      <c r="Y786" s="12">
        <f>IF(tblOrdenes[[#This Row],[fecha_inicio]]="","",TODAY()-tblOrdenes[[#This Row],[fecha_inicio]])</f>
        <v/>
      </c>
      <c r="Z786" s="3">
        <f>IF(tblOrdenes[[#This Row],[backlog_dias]]="","",IF(tblOrdenes[[#This Row],[backlog_dias]]&lt;0,"FUTURO",IF(tblOrdenes[[#This Row],[backlog_dias]]&gt;p_dias_backlog_max,"BACKLOG","MES CORRIENTE")))</f>
        <v/>
      </c>
      <c r="AA786" s="3">
        <f>IF(tblOrdenes[[#This Row],[backlog_dias]]="",FALSE,AND(tblOrdenes[[#This Row],[backlog_dias]]&gt;p_dias_backlog_min,tblOrdenes[[#This Row],[backlog_dias]]&lt;=p_dias_backlog_max))</f>
        <v/>
      </c>
      <c r="AB786" s="6" t="n"/>
      <c r="AC7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6" s="10">
        <f>IF(tblOrdenes[[#This Row],[orden]]="","",_xlfn.XLOOKUP(tblOrdenes[[#This Row],[id_operacion]],tblEjecucion[id_operacion],tblEjecucion[precio],0))</f>
        <v/>
      </c>
      <c r="AG786" s="10">
        <f>IF(tblOrdenes[[#This Row],[orden]]="","",MAX(0,_xlfn.XLOOKUP(tblOrdenes[[#This Row],[id_operacion]],tblEjecucion[id_operacion],tblEjecucion[costo_plan_total],0)-tblOrdenes[[#This Row],[costo_servicio]]))</f>
        <v/>
      </c>
      <c r="AH786" s="10">
        <f>IF(tblOrdenes[[#This Row],[orden]]="","",tblOrdenes[[#This Row],[costo_servicio]]+tblOrdenes[[#This Row],[costo_materiales]])</f>
        <v/>
      </c>
      <c r="AI786" s="6" t="n"/>
      <c r="AJ786" s="6" t="n"/>
      <c r="AK786" s="6" t="n"/>
      <c r="AL786" s="3">
        <f>IF(tblOrdenes[[#This Row],[link_checklist]]="","",HYPERLINK(p_ruta_base_checklists&amp;tblOrdenes[[#This Row],[link_checklist]],"abrir"))</f>
        <v/>
      </c>
      <c r="AM786" s="6" t="n"/>
      <c r="AN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Row],[tipo_ot]]="","",_xlfn.XLOOKUP(tblOrdenes[[#This Row],[tipo_ot]],tblTiposOT[codigo],tblTiposOT[clasificacion],"sin_clasificar"))</f>
        <v/>
      </c>
      <c r="T787" s="3">
        <f>IF(tblOrdenes[[#This Row],[centro_costo]]="","",_xlfn.XLOOKUP(tblOrdenes[[#This Row],[centro_costo]],tblCECO[codigo],tblCECO[linea],"(sin catálogo)"))</f>
        <v/>
      </c>
      <c r="U787" s="3">
        <f>IF(tblOrdenes[[#This Row],[centro_costo]]="","",_xlfn.XLOOKUP(tblOrdenes[[#This Row],[centro_costo]],tblCECO[codigo],tblCECO[area],"(sin catálogo)"))</f>
        <v/>
      </c>
      <c r="V787" s="3">
        <f>IF(tblOrdenes[[#This Row],[centro_costo]]="","",_xlfn.XLOOKUP(tblOrdenes[[#This Row],[centro_costo]],tblCECO[codigo],tblCECO[coordinador],"(sin catálogo)"))</f>
        <v/>
      </c>
      <c r="W787" s="3">
        <f>IF(tblOrdenes[[#This Row],[puesto_trabajo]]="","",_xlfn.XLOOKUP(tblOrdenes[[#This Row],[puesto_trabajo]],tblPuestos[codigo],tblPuestos[especialidad],"(sin catálogo)"))</f>
        <v/>
      </c>
      <c r="X787" s="3">
        <f>IF(tblOrdenes[[#This Row],[cod_actividad]]="","",_xlfn.XLOOKUP(tblOrdenes[[#This Row],[cod_actividad]],tblActividades[codigo],tblActividades[descripcion],"(sin catálogo)"))</f>
        <v/>
      </c>
      <c r="Y787" s="12">
        <f>IF(tblOrdenes[[#This Row],[fecha_inicio]]="","",TODAY()-tblOrdenes[[#This Row],[fecha_inicio]])</f>
        <v/>
      </c>
      <c r="Z787" s="3">
        <f>IF(tblOrdenes[[#This Row],[backlog_dias]]="","",IF(tblOrdenes[[#This Row],[backlog_dias]]&lt;0,"FUTURO",IF(tblOrdenes[[#This Row],[backlog_dias]]&gt;p_dias_backlog_max,"BACKLOG","MES CORRIENTE")))</f>
        <v/>
      </c>
      <c r="AA787" s="3">
        <f>IF(tblOrdenes[[#This Row],[backlog_dias]]="",FALSE,AND(tblOrdenes[[#This Row],[backlog_dias]]&gt;p_dias_backlog_min,tblOrdenes[[#This Row],[backlog_dias]]&lt;=p_dias_backlog_max))</f>
        <v/>
      </c>
      <c r="AB787" s="6" t="n"/>
      <c r="AC7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7" s="10">
        <f>IF(tblOrdenes[[#This Row],[orden]]="","",_xlfn.XLOOKUP(tblOrdenes[[#This Row],[id_operacion]],tblEjecucion[id_operacion],tblEjecucion[precio],0))</f>
        <v/>
      </c>
      <c r="AG787" s="10">
        <f>IF(tblOrdenes[[#This Row],[orden]]="","",MAX(0,_xlfn.XLOOKUP(tblOrdenes[[#This Row],[id_operacion]],tblEjecucion[id_operacion],tblEjecucion[costo_plan_total],0)-tblOrdenes[[#This Row],[costo_servicio]]))</f>
        <v/>
      </c>
      <c r="AH787" s="10">
        <f>IF(tblOrdenes[[#This Row],[orden]]="","",tblOrdenes[[#This Row],[costo_servicio]]+tblOrdenes[[#This Row],[costo_materiales]])</f>
        <v/>
      </c>
      <c r="AI787" s="6" t="n"/>
      <c r="AJ787" s="6" t="n"/>
      <c r="AK787" s="6" t="n"/>
      <c r="AL787" s="3">
        <f>IF(tblOrdenes[[#This Row],[link_checklist]]="","",HYPERLINK(p_ruta_base_checklists&amp;tblOrdenes[[#This Row],[link_checklist]],"abrir"))</f>
        <v/>
      </c>
      <c r="AM787" s="6" t="n"/>
      <c r="AN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Row],[tipo_ot]]="","",_xlfn.XLOOKUP(tblOrdenes[[#This Row],[tipo_ot]],tblTiposOT[codigo],tblTiposOT[clasificacion],"sin_clasificar"))</f>
        <v/>
      </c>
      <c r="T788" s="3">
        <f>IF(tblOrdenes[[#This Row],[centro_costo]]="","",_xlfn.XLOOKUP(tblOrdenes[[#This Row],[centro_costo]],tblCECO[codigo],tblCECO[linea],"(sin catálogo)"))</f>
        <v/>
      </c>
      <c r="U788" s="3">
        <f>IF(tblOrdenes[[#This Row],[centro_costo]]="","",_xlfn.XLOOKUP(tblOrdenes[[#This Row],[centro_costo]],tblCECO[codigo],tblCECO[area],"(sin catálogo)"))</f>
        <v/>
      </c>
      <c r="V788" s="3">
        <f>IF(tblOrdenes[[#This Row],[centro_costo]]="","",_xlfn.XLOOKUP(tblOrdenes[[#This Row],[centro_costo]],tblCECO[codigo],tblCECO[coordinador],"(sin catálogo)"))</f>
        <v/>
      </c>
      <c r="W788" s="3">
        <f>IF(tblOrdenes[[#This Row],[puesto_trabajo]]="","",_xlfn.XLOOKUP(tblOrdenes[[#This Row],[puesto_trabajo]],tblPuestos[codigo],tblPuestos[especialidad],"(sin catálogo)"))</f>
        <v/>
      </c>
      <c r="X788" s="3">
        <f>IF(tblOrdenes[[#This Row],[cod_actividad]]="","",_xlfn.XLOOKUP(tblOrdenes[[#This Row],[cod_actividad]],tblActividades[codigo],tblActividades[descripcion],"(sin catálogo)"))</f>
        <v/>
      </c>
      <c r="Y788" s="12">
        <f>IF(tblOrdenes[[#This Row],[fecha_inicio]]="","",TODAY()-tblOrdenes[[#This Row],[fecha_inicio]])</f>
        <v/>
      </c>
      <c r="Z788" s="3">
        <f>IF(tblOrdenes[[#This Row],[backlog_dias]]="","",IF(tblOrdenes[[#This Row],[backlog_dias]]&lt;0,"FUTURO",IF(tblOrdenes[[#This Row],[backlog_dias]]&gt;p_dias_backlog_max,"BACKLOG","MES CORRIENTE")))</f>
        <v/>
      </c>
      <c r="AA788" s="3">
        <f>IF(tblOrdenes[[#This Row],[backlog_dias]]="",FALSE,AND(tblOrdenes[[#This Row],[backlog_dias]]&gt;p_dias_backlog_min,tblOrdenes[[#This Row],[backlog_dias]]&lt;=p_dias_backlog_max))</f>
        <v/>
      </c>
      <c r="AB788" s="6" t="n"/>
      <c r="AC7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8" s="10">
        <f>IF(tblOrdenes[[#This Row],[orden]]="","",_xlfn.XLOOKUP(tblOrdenes[[#This Row],[id_operacion]],tblEjecucion[id_operacion],tblEjecucion[precio],0))</f>
        <v/>
      </c>
      <c r="AG788" s="10">
        <f>IF(tblOrdenes[[#This Row],[orden]]="","",MAX(0,_xlfn.XLOOKUP(tblOrdenes[[#This Row],[id_operacion]],tblEjecucion[id_operacion],tblEjecucion[costo_plan_total],0)-tblOrdenes[[#This Row],[costo_servicio]]))</f>
        <v/>
      </c>
      <c r="AH788" s="10">
        <f>IF(tblOrdenes[[#This Row],[orden]]="","",tblOrdenes[[#This Row],[costo_servicio]]+tblOrdenes[[#This Row],[costo_materiales]])</f>
        <v/>
      </c>
      <c r="AI788" s="6" t="n"/>
      <c r="AJ788" s="6" t="n"/>
      <c r="AK788" s="6" t="n"/>
      <c r="AL788" s="3">
        <f>IF(tblOrdenes[[#This Row],[link_checklist]]="","",HYPERLINK(p_ruta_base_checklists&amp;tblOrdenes[[#This Row],[link_checklist]],"abrir"))</f>
        <v/>
      </c>
      <c r="AM788" s="6" t="n"/>
      <c r="AN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Row],[tipo_ot]]="","",_xlfn.XLOOKUP(tblOrdenes[[#This Row],[tipo_ot]],tblTiposOT[codigo],tblTiposOT[clasificacion],"sin_clasificar"))</f>
        <v/>
      </c>
      <c r="T789" s="3">
        <f>IF(tblOrdenes[[#This Row],[centro_costo]]="","",_xlfn.XLOOKUP(tblOrdenes[[#This Row],[centro_costo]],tblCECO[codigo],tblCECO[linea],"(sin catálogo)"))</f>
        <v/>
      </c>
      <c r="U789" s="3">
        <f>IF(tblOrdenes[[#This Row],[centro_costo]]="","",_xlfn.XLOOKUP(tblOrdenes[[#This Row],[centro_costo]],tblCECO[codigo],tblCECO[area],"(sin catálogo)"))</f>
        <v/>
      </c>
      <c r="V789" s="3">
        <f>IF(tblOrdenes[[#This Row],[centro_costo]]="","",_xlfn.XLOOKUP(tblOrdenes[[#This Row],[centro_costo]],tblCECO[codigo],tblCECO[coordinador],"(sin catálogo)"))</f>
        <v/>
      </c>
      <c r="W789" s="3">
        <f>IF(tblOrdenes[[#This Row],[puesto_trabajo]]="","",_xlfn.XLOOKUP(tblOrdenes[[#This Row],[puesto_trabajo]],tblPuestos[codigo],tblPuestos[especialidad],"(sin catálogo)"))</f>
        <v/>
      </c>
      <c r="X789" s="3">
        <f>IF(tblOrdenes[[#This Row],[cod_actividad]]="","",_xlfn.XLOOKUP(tblOrdenes[[#This Row],[cod_actividad]],tblActividades[codigo],tblActividades[descripcion],"(sin catálogo)"))</f>
        <v/>
      </c>
      <c r="Y789" s="12">
        <f>IF(tblOrdenes[[#This Row],[fecha_inicio]]="","",TODAY()-tblOrdenes[[#This Row],[fecha_inicio]])</f>
        <v/>
      </c>
      <c r="Z789" s="3">
        <f>IF(tblOrdenes[[#This Row],[backlog_dias]]="","",IF(tblOrdenes[[#This Row],[backlog_dias]]&lt;0,"FUTURO",IF(tblOrdenes[[#This Row],[backlog_dias]]&gt;p_dias_backlog_max,"BACKLOG","MES CORRIENTE")))</f>
        <v/>
      </c>
      <c r="AA789" s="3">
        <f>IF(tblOrdenes[[#This Row],[backlog_dias]]="",FALSE,AND(tblOrdenes[[#This Row],[backlog_dias]]&gt;p_dias_backlog_min,tblOrdenes[[#This Row],[backlog_dias]]&lt;=p_dias_backlog_max))</f>
        <v/>
      </c>
      <c r="AB789" s="6" t="n"/>
      <c r="AC7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9" s="10">
        <f>IF(tblOrdenes[[#This Row],[orden]]="","",_xlfn.XLOOKUP(tblOrdenes[[#This Row],[id_operacion]],tblEjecucion[id_operacion],tblEjecucion[precio],0))</f>
        <v/>
      </c>
      <c r="AG789" s="10">
        <f>IF(tblOrdenes[[#This Row],[orden]]="","",MAX(0,_xlfn.XLOOKUP(tblOrdenes[[#This Row],[id_operacion]],tblEjecucion[id_operacion],tblEjecucion[costo_plan_total],0)-tblOrdenes[[#This Row],[costo_servicio]]))</f>
        <v/>
      </c>
      <c r="AH789" s="10">
        <f>IF(tblOrdenes[[#This Row],[orden]]="","",tblOrdenes[[#This Row],[costo_servicio]]+tblOrdenes[[#This Row],[costo_materiales]])</f>
        <v/>
      </c>
      <c r="AI789" s="6" t="n"/>
      <c r="AJ789" s="6" t="n"/>
      <c r="AK789" s="6" t="n"/>
      <c r="AL789" s="3">
        <f>IF(tblOrdenes[[#This Row],[link_checklist]]="","",HYPERLINK(p_ruta_base_checklists&amp;tblOrdenes[[#This Row],[link_checklist]],"abrir"))</f>
        <v/>
      </c>
      <c r="AM789" s="6" t="n"/>
      <c r="AN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Row],[tipo_ot]]="","",_xlfn.XLOOKUP(tblOrdenes[[#This Row],[tipo_ot]],tblTiposOT[codigo],tblTiposOT[clasificacion],"sin_clasificar"))</f>
        <v/>
      </c>
      <c r="T790" s="3">
        <f>IF(tblOrdenes[[#This Row],[centro_costo]]="","",_xlfn.XLOOKUP(tblOrdenes[[#This Row],[centro_costo]],tblCECO[codigo],tblCECO[linea],"(sin catálogo)"))</f>
        <v/>
      </c>
      <c r="U790" s="3">
        <f>IF(tblOrdenes[[#This Row],[centro_costo]]="","",_xlfn.XLOOKUP(tblOrdenes[[#This Row],[centro_costo]],tblCECO[codigo],tblCECO[area],"(sin catálogo)"))</f>
        <v/>
      </c>
      <c r="V790" s="3">
        <f>IF(tblOrdenes[[#This Row],[centro_costo]]="","",_xlfn.XLOOKUP(tblOrdenes[[#This Row],[centro_costo]],tblCECO[codigo],tblCECO[coordinador],"(sin catálogo)"))</f>
        <v/>
      </c>
      <c r="W790" s="3">
        <f>IF(tblOrdenes[[#This Row],[puesto_trabajo]]="","",_xlfn.XLOOKUP(tblOrdenes[[#This Row],[puesto_trabajo]],tblPuestos[codigo],tblPuestos[especialidad],"(sin catálogo)"))</f>
        <v/>
      </c>
      <c r="X790" s="3">
        <f>IF(tblOrdenes[[#This Row],[cod_actividad]]="","",_xlfn.XLOOKUP(tblOrdenes[[#This Row],[cod_actividad]],tblActividades[codigo],tblActividades[descripcion],"(sin catálogo)"))</f>
        <v/>
      </c>
      <c r="Y790" s="12">
        <f>IF(tblOrdenes[[#This Row],[fecha_inicio]]="","",TODAY()-tblOrdenes[[#This Row],[fecha_inicio]])</f>
        <v/>
      </c>
      <c r="Z790" s="3">
        <f>IF(tblOrdenes[[#This Row],[backlog_dias]]="","",IF(tblOrdenes[[#This Row],[backlog_dias]]&lt;0,"FUTURO",IF(tblOrdenes[[#This Row],[backlog_dias]]&gt;p_dias_backlog_max,"BACKLOG","MES CORRIENTE")))</f>
        <v/>
      </c>
      <c r="AA790" s="3">
        <f>IF(tblOrdenes[[#This Row],[backlog_dias]]="",FALSE,AND(tblOrdenes[[#This Row],[backlog_dias]]&gt;p_dias_backlog_min,tblOrdenes[[#This Row],[backlog_dias]]&lt;=p_dias_backlog_max))</f>
        <v/>
      </c>
      <c r="AB790" s="6" t="n"/>
      <c r="AC7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0" s="10">
        <f>IF(tblOrdenes[[#This Row],[orden]]="","",_xlfn.XLOOKUP(tblOrdenes[[#This Row],[id_operacion]],tblEjecucion[id_operacion],tblEjecucion[precio],0))</f>
        <v/>
      </c>
      <c r="AG790" s="10">
        <f>IF(tblOrdenes[[#This Row],[orden]]="","",MAX(0,_xlfn.XLOOKUP(tblOrdenes[[#This Row],[id_operacion]],tblEjecucion[id_operacion],tblEjecucion[costo_plan_total],0)-tblOrdenes[[#This Row],[costo_servicio]]))</f>
        <v/>
      </c>
      <c r="AH790" s="10">
        <f>IF(tblOrdenes[[#This Row],[orden]]="","",tblOrdenes[[#This Row],[costo_servicio]]+tblOrdenes[[#This Row],[costo_materiales]])</f>
        <v/>
      </c>
      <c r="AI790" s="6" t="n"/>
      <c r="AJ790" s="6" t="n"/>
      <c r="AK790" s="6" t="n"/>
      <c r="AL790" s="3">
        <f>IF(tblOrdenes[[#This Row],[link_checklist]]="","",HYPERLINK(p_ruta_base_checklists&amp;tblOrdenes[[#This Row],[link_checklist]],"abrir"))</f>
        <v/>
      </c>
      <c r="AM790" s="6" t="n"/>
      <c r="AN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Row],[tipo_ot]]="","",_xlfn.XLOOKUP(tblOrdenes[[#This Row],[tipo_ot]],tblTiposOT[codigo],tblTiposOT[clasificacion],"sin_clasificar"))</f>
        <v/>
      </c>
      <c r="T791" s="3">
        <f>IF(tblOrdenes[[#This Row],[centro_costo]]="","",_xlfn.XLOOKUP(tblOrdenes[[#This Row],[centro_costo]],tblCECO[codigo],tblCECO[linea],"(sin catálogo)"))</f>
        <v/>
      </c>
      <c r="U791" s="3">
        <f>IF(tblOrdenes[[#This Row],[centro_costo]]="","",_xlfn.XLOOKUP(tblOrdenes[[#This Row],[centro_costo]],tblCECO[codigo],tblCECO[area],"(sin catálogo)"))</f>
        <v/>
      </c>
      <c r="V791" s="3">
        <f>IF(tblOrdenes[[#This Row],[centro_costo]]="","",_xlfn.XLOOKUP(tblOrdenes[[#This Row],[centro_costo]],tblCECO[codigo],tblCECO[coordinador],"(sin catálogo)"))</f>
        <v/>
      </c>
      <c r="W791" s="3">
        <f>IF(tblOrdenes[[#This Row],[puesto_trabajo]]="","",_xlfn.XLOOKUP(tblOrdenes[[#This Row],[puesto_trabajo]],tblPuestos[codigo],tblPuestos[especialidad],"(sin catálogo)"))</f>
        <v/>
      </c>
      <c r="X791" s="3">
        <f>IF(tblOrdenes[[#This Row],[cod_actividad]]="","",_xlfn.XLOOKUP(tblOrdenes[[#This Row],[cod_actividad]],tblActividades[codigo],tblActividades[descripcion],"(sin catálogo)"))</f>
        <v/>
      </c>
      <c r="Y791" s="12">
        <f>IF(tblOrdenes[[#This Row],[fecha_inicio]]="","",TODAY()-tblOrdenes[[#This Row],[fecha_inicio]])</f>
        <v/>
      </c>
      <c r="Z791" s="3">
        <f>IF(tblOrdenes[[#This Row],[backlog_dias]]="","",IF(tblOrdenes[[#This Row],[backlog_dias]]&lt;0,"FUTURO",IF(tblOrdenes[[#This Row],[backlog_dias]]&gt;p_dias_backlog_max,"BACKLOG","MES CORRIENTE")))</f>
        <v/>
      </c>
      <c r="AA791" s="3">
        <f>IF(tblOrdenes[[#This Row],[backlog_dias]]="",FALSE,AND(tblOrdenes[[#This Row],[backlog_dias]]&gt;p_dias_backlog_min,tblOrdenes[[#This Row],[backlog_dias]]&lt;=p_dias_backlog_max))</f>
        <v/>
      </c>
      <c r="AB791" s="6" t="n"/>
      <c r="AC7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1" s="10">
        <f>IF(tblOrdenes[[#This Row],[orden]]="","",_xlfn.XLOOKUP(tblOrdenes[[#This Row],[id_operacion]],tblEjecucion[id_operacion],tblEjecucion[precio],0))</f>
        <v/>
      </c>
      <c r="AG791" s="10">
        <f>IF(tblOrdenes[[#This Row],[orden]]="","",MAX(0,_xlfn.XLOOKUP(tblOrdenes[[#This Row],[id_operacion]],tblEjecucion[id_operacion],tblEjecucion[costo_plan_total],0)-tblOrdenes[[#This Row],[costo_servicio]]))</f>
        <v/>
      </c>
      <c r="AH791" s="10">
        <f>IF(tblOrdenes[[#This Row],[orden]]="","",tblOrdenes[[#This Row],[costo_servicio]]+tblOrdenes[[#This Row],[costo_materiales]])</f>
        <v/>
      </c>
      <c r="AI791" s="6" t="n"/>
      <c r="AJ791" s="6" t="n"/>
      <c r="AK791" s="6" t="n"/>
      <c r="AL791" s="3">
        <f>IF(tblOrdenes[[#This Row],[link_checklist]]="","",HYPERLINK(p_ruta_base_checklists&amp;tblOrdenes[[#This Row],[link_checklist]],"abrir"))</f>
        <v/>
      </c>
      <c r="AM791" s="6" t="n"/>
      <c r="AN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Row],[tipo_ot]]="","",_xlfn.XLOOKUP(tblOrdenes[[#This Row],[tipo_ot]],tblTiposOT[codigo],tblTiposOT[clasificacion],"sin_clasificar"))</f>
        <v/>
      </c>
      <c r="T792" s="3">
        <f>IF(tblOrdenes[[#This Row],[centro_costo]]="","",_xlfn.XLOOKUP(tblOrdenes[[#This Row],[centro_costo]],tblCECO[codigo],tblCECO[linea],"(sin catálogo)"))</f>
        <v/>
      </c>
      <c r="U792" s="3">
        <f>IF(tblOrdenes[[#This Row],[centro_costo]]="","",_xlfn.XLOOKUP(tblOrdenes[[#This Row],[centro_costo]],tblCECO[codigo],tblCECO[area],"(sin catálogo)"))</f>
        <v/>
      </c>
      <c r="V792" s="3">
        <f>IF(tblOrdenes[[#This Row],[centro_costo]]="","",_xlfn.XLOOKUP(tblOrdenes[[#This Row],[centro_costo]],tblCECO[codigo],tblCECO[coordinador],"(sin catálogo)"))</f>
        <v/>
      </c>
      <c r="W792" s="3">
        <f>IF(tblOrdenes[[#This Row],[puesto_trabajo]]="","",_xlfn.XLOOKUP(tblOrdenes[[#This Row],[puesto_trabajo]],tblPuestos[codigo],tblPuestos[especialidad],"(sin catálogo)"))</f>
        <v/>
      </c>
      <c r="X792" s="3">
        <f>IF(tblOrdenes[[#This Row],[cod_actividad]]="","",_xlfn.XLOOKUP(tblOrdenes[[#This Row],[cod_actividad]],tblActividades[codigo],tblActividades[descripcion],"(sin catálogo)"))</f>
        <v/>
      </c>
      <c r="Y792" s="12">
        <f>IF(tblOrdenes[[#This Row],[fecha_inicio]]="","",TODAY()-tblOrdenes[[#This Row],[fecha_inicio]])</f>
        <v/>
      </c>
      <c r="Z792" s="3">
        <f>IF(tblOrdenes[[#This Row],[backlog_dias]]="","",IF(tblOrdenes[[#This Row],[backlog_dias]]&lt;0,"FUTURO",IF(tblOrdenes[[#This Row],[backlog_dias]]&gt;p_dias_backlog_max,"BACKLOG","MES CORRIENTE")))</f>
        <v/>
      </c>
      <c r="AA792" s="3">
        <f>IF(tblOrdenes[[#This Row],[backlog_dias]]="",FALSE,AND(tblOrdenes[[#This Row],[backlog_dias]]&gt;p_dias_backlog_min,tblOrdenes[[#This Row],[backlog_dias]]&lt;=p_dias_backlog_max))</f>
        <v/>
      </c>
      <c r="AB792" s="6" t="n"/>
      <c r="AC7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2" s="10">
        <f>IF(tblOrdenes[[#This Row],[orden]]="","",_xlfn.XLOOKUP(tblOrdenes[[#This Row],[id_operacion]],tblEjecucion[id_operacion],tblEjecucion[precio],0))</f>
        <v/>
      </c>
      <c r="AG792" s="10">
        <f>IF(tblOrdenes[[#This Row],[orden]]="","",MAX(0,_xlfn.XLOOKUP(tblOrdenes[[#This Row],[id_operacion]],tblEjecucion[id_operacion],tblEjecucion[costo_plan_total],0)-tblOrdenes[[#This Row],[costo_servicio]]))</f>
        <v/>
      </c>
      <c r="AH792" s="10">
        <f>IF(tblOrdenes[[#This Row],[orden]]="","",tblOrdenes[[#This Row],[costo_servicio]]+tblOrdenes[[#This Row],[costo_materiales]])</f>
        <v/>
      </c>
      <c r="AI792" s="6" t="n"/>
      <c r="AJ792" s="6" t="n"/>
      <c r="AK792" s="6" t="n"/>
      <c r="AL792" s="3">
        <f>IF(tblOrdenes[[#This Row],[link_checklist]]="","",HYPERLINK(p_ruta_base_checklists&amp;tblOrdenes[[#This Row],[link_checklist]],"abrir"))</f>
        <v/>
      </c>
      <c r="AM792" s="6" t="n"/>
      <c r="AN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Row],[tipo_ot]]="","",_xlfn.XLOOKUP(tblOrdenes[[#This Row],[tipo_ot]],tblTiposOT[codigo],tblTiposOT[clasificacion],"sin_clasificar"))</f>
        <v/>
      </c>
      <c r="T793" s="3">
        <f>IF(tblOrdenes[[#This Row],[centro_costo]]="","",_xlfn.XLOOKUP(tblOrdenes[[#This Row],[centro_costo]],tblCECO[codigo],tblCECO[linea],"(sin catálogo)"))</f>
        <v/>
      </c>
      <c r="U793" s="3">
        <f>IF(tblOrdenes[[#This Row],[centro_costo]]="","",_xlfn.XLOOKUP(tblOrdenes[[#This Row],[centro_costo]],tblCECO[codigo],tblCECO[area],"(sin catálogo)"))</f>
        <v/>
      </c>
      <c r="V793" s="3">
        <f>IF(tblOrdenes[[#This Row],[centro_costo]]="","",_xlfn.XLOOKUP(tblOrdenes[[#This Row],[centro_costo]],tblCECO[codigo],tblCECO[coordinador],"(sin catálogo)"))</f>
        <v/>
      </c>
      <c r="W793" s="3">
        <f>IF(tblOrdenes[[#This Row],[puesto_trabajo]]="","",_xlfn.XLOOKUP(tblOrdenes[[#This Row],[puesto_trabajo]],tblPuestos[codigo],tblPuestos[especialidad],"(sin catálogo)"))</f>
        <v/>
      </c>
      <c r="X793" s="3">
        <f>IF(tblOrdenes[[#This Row],[cod_actividad]]="","",_xlfn.XLOOKUP(tblOrdenes[[#This Row],[cod_actividad]],tblActividades[codigo],tblActividades[descripcion],"(sin catálogo)"))</f>
        <v/>
      </c>
      <c r="Y793" s="12">
        <f>IF(tblOrdenes[[#This Row],[fecha_inicio]]="","",TODAY()-tblOrdenes[[#This Row],[fecha_inicio]])</f>
        <v/>
      </c>
      <c r="Z793" s="3">
        <f>IF(tblOrdenes[[#This Row],[backlog_dias]]="","",IF(tblOrdenes[[#This Row],[backlog_dias]]&lt;0,"FUTURO",IF(tblOrdenes[[#This Row],[backlog_dias]]&gt;p_dias_backlog_max,"BACKLOG","MES CORRIENTE")))</f>
        <v/>
      </c>
      <c r="AA793" s="3">
        <f>IF(tblOrdenes[[#This Row],[backlog_dias]]="",FALSE,AND(tblOrdenes[[#This Row],[backlog_dias]]&gt;p_dias_backlog_min,tblOrdenes[[#This Row],[backlog_dias]]&lt;=p_dias_backlog_max))</f>
        <v/>
      </c>
      <c r="AB793" s="6" t="n"/>
      <c r="AC7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3" s="10">
        <f>IF(tblOrdenes[[#This Row],[orden]]="","",_xlfn.XLOOKUP(tblOrdenes[[#This Row],[id_operacion]],tblEjecucion[id_operacion],tblEjecucion[precio],0))</f>
        <v/>
      </c>
      <c r="AG793" s="10">
        <f>IF(tblOrdenes[[#This Row],[orden]]="","",MAX(0,_xlfn.XLOOKUP(tblOrdenes[[#This Row],[id_operacion]],tblEjecucion[id_operacion],tblEjecucion[costo_plan_total],0)-tblOrdenes[[#This Row],[costo_servicio]]))</f>
        <v/>
      </c>
      <c r="AH793" s="10">
        <f>IF(tblOrdenes[[#This Row],[orden]]="","",tblOrdenes[[#This Row],[costo_servicio]]+tblOrdenes[[#This Row],[costo_materiales]])</f>
        <v/>
      </c>
      <c r="AI793" s="6" t="n"/>
      <c r="AJ793" s="6" t="n"/>
      <c r="AK793" s="6" t="n"/>
      <c r="AL793" s="3">
        <f>IF(tblOrdenes[[#This Row],[link_checklist]]="","",HYPERLINK(p_ruta_base_checklists&amp;tblOrdenes[[#This Row],[link_checklist]],"abrir"))</f>
        <v/>
      </c>
      <c r="AM793" s="6" t="n"/>
      <c r="AN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Row],[tipo_ot]]="","",_xlfn.XLOOKUP(tblOrdenes[[#This Row],[tipo_ot]],tblTiposOT[codigo],tblTiposOT[clasificacion],"sin_clasificar"))</f>
        <v/>
      </c>
      <c r="T794" s="3">
        <f>IF(tblOrdenes[[#This Row],[centro_costo]]="","",_xlfn.XLOOKUP(tblOrdenes[[#This Row],[centro_costo]],tblCECO[codigo],tblCECO[linea],"(sin catálogo)"))</f>
        <v/>
      </c>
      <c r="U794" s="3">
        <f>IF(tblOrdenes[[#This Row],[centro_costo]]="","",_xlfn.XLOOKUP(tblOrdenes[[#This Row],[centro_costo]],tblCECO[codigo],tblCECO[area],"(sin catálogo)"))</f>
        <v/>
      </c>
      <c r="V794" s="3">
        <f>IF(tblOrdenes[[#This Row],[centro_costo]]="","",_xlfn.XLOOKUP(tblOrdenes[[#This Row],[centro_costo]],tblCECO[codigo],tblCECO[coordinador],"(sin catálogo)"))</f>
        <v/>
      </c>
      <c r="W794" s="3">
        <f>IF(tblOrdenes[[#This Row],[puesto_trabajo]]="","",_xlfn.XLOOKUP(tblOrdenes[[#This Row],[puesto_trabajo]],tblPuestos[codigo],tblPuestos[especialidad],"(sin catálogo)"))</f>
        <v/>
      </c>
      <c r="X794" s="3">
        <f>IF(tblOrdenes[[#This Row],[cod_actividad]]="","",_xlfn.XLOOKUP(tblOrdenes[[#This Row],[cod_actividad]],tblActividades[codigo],tblActividades[descripcion],"(sin catálogo)"))</f>
        <v/>
      </c>
      <c r="Y794" s="12">
        <f>IF(tblOrdenes[[#This Row],[fecha_inicio]]="","",TODAY()-tblOrdenes[[#This Row],[fecha_inicio]])</f>
        <v/>
      </c>
      <c r="Z794" s="3">
        <f>IF(tblOrdenes[[#This Row],[backlog_dias]]="","",IF(tblOrdenes[[#This Row],[backlog_dias]]&lt;0,"FUTURO",IF(tblOrdenes[[#This Row],[backlog_dias]]&gt;p_dias_backlog_max,"BACKLOG","MES CORRIENTE")))</f>
        <v/>
      </c>
      <c r="AA794" s="3">
        <f>IF(tblOrdenes[[#This Row],[backlog_dias]]="",FALSE,AND(tblOrdenes[[#This Row],[backlog_dias]]&gt;p_dias_backlog_min,tblOrdenes[[#This Row],[backlog_dias]]&lt;=p_dias_backlog_max))</f>
        <v/>
      </c>
      <c r="AB794" s="6" t="n"/>
      <c r="AC7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4" s="10">
        <f>IF(tblOrdenes[[#This Row],[orden]]="","",_xlfn.XLOOKUP(tblOrdenes[[#This Row],[id_operacion]],tblEjecucion[id_operacion],tblEjecucion[precio],0))</f>
        <v/>
      </c>
      <c r="AG794" s="10">
        <f>IF(tblOrdenes[[#This Row],[orden]]="","",MAX(0,_xlfn.XLOOKUP(tblOrdenes[[#This Row],[id_operacion]],tblEjecucion[id_operacion],tblEjecucion[costo_plan_total],0)-tblOrdenes[[#This Row],[costo_servicio]]))</f>
        <v/>
      </c>
      <c r="AH794" s="10">
        <f>IF(tblOrdenes[[#This Row],[orden]]="","",tblOrdenes[[#This Row],[costo_servicio]]+tblOrdenes[[#This Row],[costo_materiales]])</f>
        <v/>
      </c>
      <c r="AI794" s="6" t="n"/>
      <c r="AJ794" s="6" t="n"/>
      <c r="AK794" s="6" t="n"/>
      <c r="AL794" s="3">
        <f>IF(tblOrdenes[[#This Row],[link_checklist]]="","",HYPERLINK(p_ruta_base_checklists&amp;tblOrdenes[[#This Row],[link_checklist]],"abrir"))</f>
        <v/>
      </c>
      <c r="AM794" s="6" t="n"/>
      <c r="AN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Row],[tipo_ot]]="","",_xlfn.XLOOKUP(tblOrdenes[[#This Row],[tipo_ot]],tblTiposOT[codigo],tblTiposOT[clasificacion],"sin_clasificar"))</f>
        <v/>
      </c>
      <c r="T795" s="3">
        <f>IF(tblOrdenes[[#This Row],[centro_costo]]="","",_xlfn.XLOOKUP(tblOrdenes[[#This Row],[centro_costo]],tblCECO[codigo],tblCECO[linea],"(sin catálogo)"))</f>
        <v/>
      </c>
      <c r="U795" s="3">
        <f>IF(tblOrdenes[[#This Row],[centro_costo]]="","",_xlfn.XLOOKUP(tblOrdenes[[#This Row],[centro_costo]],tblCECO[codigo],tblCECO[area],"(sin catálogo)"))</f>
        <v/>
      </c>
      <c r="V795" s="3">
        <f>IF(tblOrdenes[[#This Row],[centro_costo]]="","",_xlfn.XLOOKUP(tblOrdenes[[#This Row],[centro_costo]],tblCECO[codigo],tblCECO[coordinador],"(sin catálogo)"))</f>
        <v/>
      </c>
      <c r="W795" s="3">
        <f>IF(tblOrdenes[[#This Row],[puesto_trabajo]]="","",_xlfn.XLOOKUP(tblOrdenes[[#This Row],[puesto_trabajo]],tblPuestos[codigo],tblPuestos[especialidad],"(sin catálogo)"))</f>
        <v/>
      </c>
      <c r="X795" s="3">
        <f>IF(tblOrdenes[[#This Row],[cod_actividad]]="","",_xlfn.XLOOKUP(tblOrdenes[[#This Row],[cod_actividad]],tblActividades[codigo],tblActividades[descripcion],"(sin catálogo)"))</f>
        <v/>
      </c>
      <c r="Y795" s="12">
        <f>IF(tblOrdenes[[#This Row],[fecha_inicio]]="","",TODAY()-tblOrdenes[[#This Row],[fecha_inicio]])</f>
        <v/>
      </c>
      <c r="Z795" s="3">
        <f>IF(tblOrdenes[[#This Row],[backlog_dias]]="","",IF(tblOrdenes[[#This Row],[backlog_dias]]&lt;0,"FUTURO",IF(tblOrdenes[[#This Row],[backlog_dias]]&gt;p_dias_backlog_max,"BACKLOG","MES CORRIENTE")))</f>
        <v/>
      </c>
      <c r="AA795" s="3">
        <f>IF(tblOrdenes[[#This Row],[backlog_dias]]="",FALSE,AND(tblOrdenes[[#This Row],[backlog_dias]]&gt;p_dias_backlog_min,tblOrdenes[[#This Row],[backlog_dias]]&lt;=p_dias_backlog_max))</f>
        <v/>
      </c>
      <c r="AB795" s="6" t="n"/>
      <c r="AC7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5" s="10">
        <f>IF(tblOrdenes[[#This Row],[orden]]="","",_xlfn.XLOOKUP(tblOrdenes[[#This Row],[id_operacion]],tblEjecucion[id_operacion],tblEjecucion[precio],0))</f>
        <v/>
      </c>
      <c r="AG795" s="10">
        <f>IF(tblOrdenes[[#This Row],[orden]]="","",MAX(0,_xlfn.XLOOKUP(tblOrdenes[[#This Row],[id_operacion]],tblEjecucion[id_operacion],tblEjecucion[costo_plan_total],0)-tblOrdenes[[#This Row],[costo_servicio]]))</f>
        <v/>
      </c>
      <c r="AH795" s="10">
        <f>IF(tblOrdenes[[#This Row],[orden]]="","",tblOrdenes[[#This Row],[costo_servicio]]+tblOrdenes[[#This Row],[costo_materiales]])</f>
        <v/>
      </c>
      <c r="AI795" s="6" t="n"/>
      <c r="AJ795" s="6" t="n"/>
      <c r="AK795" s="6" t="n"/>
      <c r="AL795" s="3">
        <f>IF(tblOrdenes[[#This Row],[link_checklist]]="","",HYPERLINK(p_ruta_base_checklists&amp;tblOrdenes[[#This Row],[link_checklist]],"abrir"))</f>
        <v/>
      </c>
      <c r="AM795" s="6" t="n"/>
      <c r="AN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Row],[tipo_ot]]="","",_xlfn.XLOOKUP(tblOrdenes[[#This Row],[tipo_ot]],tblTiposOT[codigo],tblTiposOT[clasificacion],"sin_clasificar"))</f>
        <v/>
      </c>
      <c r="T796" s="3">
        <f>IF(tblOrdenes[[#This Row],[centro_costo]]="","",_xlfn.XLOOKUP(tblOrdenes[[#This Row],[centro_costo]],tblCECO[codigo],tblCECO[linea],"(sin catálogo)"))</f>
        <v/>
      </c>
      <c r="U796" s="3">
        <f>IF(tblOrdenes[[#This Row],[centro_costo]]="","",_xlfn.XLOOKUP(tblOrdenes[[#This Row],[centro_costo]],tblCECO[codigo],tblCECO[area],"(sin catálogo)"))</f>
        <v/>
      </c>
      <c r="V796" s="3">
        <f>IF(tblOrdenes[[#This Row],[centro_costo]]="","",_xlfn.XLOOKUP(tblOrdenes[[#This Row],[centro_costo]],tblCECO[codigo],tblCECO[coordinador],"(sin catálogo)"))</f>
        <v/>
      </c>
      <c r="W796" s="3">
        <f>IF(tblOrdenes[[#This Row],[puesto_trabajo]]="","",_xlfn.XLOOKUP(tblOrdenes[[#This Row],[puesto_trabajo]],tblPuestos[codigo],tblPuestos[especialidad],"(sin catálogo)"))</f>
        <v/>
      </c>
      <c r="X796" s="3">
        <f>IF(tblOrdenes[[#This Row],[cod_actividad]]="","",_xlfn.XLOOKUP(tblOrdenes[[#This Row],[cod_actividad]],tblActividades[codigo],tblActividades[descripcion],"(sin catálogo)"))</f>
        <v/>
      </c>
      <c r="Y796" s="12">
        <f>IF(tblOrdenes[[#This Row],[fecha_inicio]]="","",TODAY()-tblOrdenes[[#This Row],[fecha_inicio]])</f>
        <v/>
      </c>
      <c r="Z796" s="3">
        <f>IF(tblOrdenes[[#This Row],[backlog_dias]]="","",IF(tblOrdenes[[#This Row],[backlog_dias]]&lt;0,"FUTURO",IF(tblOrdenes[[#This Row],[backlog_dias]]&gt;p_dias_backlog_max,"BACKLOG","MES CORRIENTE")))</f>
        <v/>
      </c>
      <c r="AA796" s="3">
        <f>IF(tblOrdenes[[#This Row],[backlog_dias]]="",FALSE,AND(tblOrdenes[[#This Row],[backlog_dias]]&gt;p_dias_backlog_min,tblOrdenes[[#This Row],[backlog_dias]]&lt;=p_dias_backlog_max))</f>
        <v/>
      </c>
      <c r="AB796" s="6" t="n"/>
      <c r="AC7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6" s="10">
        <f>IF(tblOrdenes[[#This Row],[orden]]="","",_xlfn.XLOOKUP(tblOrdenes[[#This Row],[id_operacion]],tblEjecucion[id_operacion],tblEjecucion[precio],0))</f>
        <v/>
      </c>
      <c r="AG796" s="10">
        <f>IF(tblOrdenes[[#This Row],[orden]]="","",MAX(0,_xlfn.XLOOKUP(tblOrdenes[[#This Row],[id_operacion]],tblEjecucion[id_operacion],tblEjecucion[costo_plan_total],0)-tblOrdenes[[#This Row],[costo_servicio]]))</f>
        <v/>
      </c>
      <c r="AH796" s="10">
        <f>IF(tblOrdenes[[#This Row],[orden]]="","",tblOrdenes[[#This Row],[costo_servicio]]+tblOrdenes[[#This Row],[costo_materiales]])</f>
        <v/>
      </c>
      <c r="AI796" s="6" t="n"/>
      <c r="AJ796" s="6" t="n"/>
      <c r="AK796" s="6" t="n"/>
      <c r="AL796" s="3">
        <f>IF(tblOrdenes[[#This Row],[link_checklist]]="","",HYPERLINK(p_ruta_base_checklists&amp;tblOrdenes[[#This Row],[link_checklist]],"abrir"))</f>
        <v/>
      </c>
      <c r="AM796" s="6" t="n"/>
      <c r="AN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Row],[tipo_ot]]="","",_xlfn.XLOOKUP(tblOrdenes[[#This Row],[tipo_ot]],tblTiposOT[codigo],tblTiposOT[clasificacion],"sin_clasificar"))</f>
        <v/>
      </c>
      <c r="T797" s="3">
        <f>IF(tblOrdenes[[#This Row],[centro_costo]]="","",_xlfn.XLOOKUP(tblOrdenes[[#This Row],[centro_costo]],tblCECO[codigo],tblCECO[linea],"(sin catálogo)"))</f>
        <v/>
      </c>
      <c r="U797" s="3">
        <f>IF(tblOrdenes[[#This Row],[centro_costo]]="","",_xlfn.XLOOKUP(tblOrdenes[[#This Row],[centro_costo]],tblCECO[codigo],tblCECO[area],"(sin catálogo)"))</f>
        <v/>
      </c>
      <c r="V797" s="3">
        <f>IF(tblOrdenes[[#This Row],[centro_costo]]="","",_xlfn.XLOOKUP(tblOrdenes[[#This Row],[centro_costo]],tblCECO[codigo],tblCECO[coordinador],"(sin catálogo)"))</f>
        <v/>
      </c>
      <c r="W797" s="3">
        <f>IF(tblOrdenes[[#This Row],[puesto_trabajo]]="","",_xlfn.XLOOKUP(tblOrdenes[[#This Row],[puesto_trabajo]],tblPuestos[codigo],tblPuestos[especialidad],"(sin catálogo)"))</f>
        <v/>
      </c>
      <c r="X797" s="3">
        <f>IF(tblOrdenes[[#This Row],[cod_actividad]]="","",_xlfn.XLOOKUP(tblOrdenes[[#This Row],[cod_actividad]],tblActividades[codigo],tblActividades[descripcion],"(sin catálogo)"))</f>
        <v/>
      </c>
      <c r="Y797" s="12">
        <f>IF(tblOrdenes[[#This Row],[fecha_inicio]]="","",TODAY()-tblOrdenes[[#This Row],[fecha_inicio]])</f>
        <v/>
      </c>
      <c r="Z797" s="3">
        <f>IF(tblOrdenes[[#This Row],[backlog_dias]]="","",IF(tblOrdenes[[#This Row],[backlog_dias]]&lt;0,"FUTURO",IF(tblOrdenes[[#This Row],[backlog_dias]]&gt;p_dias_backlog_max,"BACKLOG","MES CORRIENTE")))</f>
        <v/>
      </c>
      <c r="AA797" s="3">
        <f>IF(tblOrdenes[[#This Row],[backlog_dias]]="",FALSE,AND(tblOrdenes[[#This Row],[backlog_dias]]&gt;p_dias_backlog_min,tblOrdenes[[#This Row],[backlog_dias]]&lt;=p_dias_backlog_max))</f>
        <v/>
      </c>
      <c r="AB797" s="6" t="n"/>
      <c r="AC7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7" s="10">
        <f>IF(tblOrdenes[[#This Row],[orden]]="","",_xlfn.XLOOKUP(tblOrdenes[[#This Row],[id_operacion]],tblEjecucion[id_operacion],tblEjecucion[precio],0))</f>
        <v/>
      </c>
      <c r="AG797" s="10">
        <f>IF(tblOrdenes[[#This Row],[orden]]="","",MAX(0,_xlfn.XLOOKUP(tblOrdenes[[#This Row],[id_operacion]],tblEjecucion[id_operacion],tblEjecucion[costo_plan_total],0)-tblOrdenes[[#This Row],[costo_servicio]]))</f>
        <v/>
      </c>
      <c r="AH797" s="10">
        <f>IF(tblOrdenes[[#This Row],[orden]]="","",tblOrdenes[[#This Row],[costo_servicio]]+tblOrdenes[[#This Row],[costo_materiales]])</f>
        <v/>
      </c>
      <c r="AI797" s="6" t="n"/>
      <c r="AJ797" s="6" t="n"/>
      <c r="AK797" s="6" t="n"/>
      <c r="AL797" s="3">
        <f>IF(tblOrdenes[[#This Row],[link_checklist]]="","",HYPERLINK(p_ruta_base_checklists&amp;tblOrdenes[[#This Row],[link_checklist]],"abrir"))</f>
        <v/>
      </c>
      <c r="AM797" s="6" t="n"/>
      <c r="AN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Row],[tipo_ot]]="","",_xlfn.XLOOKUP(tblOrdenes[[#This Row],[tipo_ot]],tblTiposOT[codigo],tblTiposOT[clasificacion],"sin_clasificar"))</f>
        <v/>
      </c>
      <c r="T798" s="3">
        <f>IF(tblOrdenes[[#This Row],[centro_costo]]="","",_xlfn.XLOOKUP(tblOrdenes[[#This Row],[centro_costo]],tblCECO[codigo],tblCECO[linea],"(sin catálogo)"))</f>
        <v/>
      </c>
      <c r="U798" s="3">
        <f>IF(tblOrdenes[[#This Row],[centro_costo]]="","",_xlfn.XLOOKUP(tblOrdenes[[#This Row],[centro_costo]],tblCECO[codigo],tblCECO[area],"(sin catálogo)"))</f>
        <v/>
      </c>
      <c r="V798" s="3">
        <f>IF(tblOrdenes[[#This Row],[centro_costo]]="","",_xlfn.XLOOKUP(tblOrdenes[[#This Row],[centro_costo]],tblCECO[codigo],tblCECO[coordinador],"(sin catálogo)"))</f>
        <v/>
      </c>
      <c r="W798" s="3">
        <f>IF(tblOrdenes[[#This Row],[puesto_trabajo]]="","",_xlfn.XLOOKUP(tblOrdenes[[#This Row],[puesto_trabajo]],tblPuestos[codigo],tblPuestos[especialidad],"(sin catálogo)"))</f>
        <v/>
      </c>
      <c r="X798" s="3">
        <f>IF(tblOrdenes[[#This Row],[cod_actividad]]="","",_xlfn.XLOOKUP(tblOrdenes[[#This Row],[cod_actividad]],tblActividades[codigo],tblActividades[descripcion],"(sin catálogo)"))</f>
        <v/>
      </c>
      <c r="Y798" s="12">
        <f>IF(tblOrdenes[[#This Row],[fecha_inicio]]="","",TODAY()-tblOrdenes[[#This Row],[fecha_inicio]])</f>
        <v/>
      </c>
      <c r="Z798" s="3">
        <f>IF(tblOrdenes[[#This Row],[backlog_dias]]="","",IF(tblOrdenes[[#This Row],[backlog_dias]]&lt;0,"FUTURO",IF(tblOrdenes[[#This Row],[backlog_dias]]&gt;p_dias_backlog_max,"BACKLOG","MES CORRIENTE")))</f>
        <v/>
      </c>
      <c r="AA798" s="3">
        <f>IF(tblOrdenes[[#This Row],[backlog_dias]]="",FALSE,AND(tblOrdenes[[#This Row],[backlog_dias]]&gt;p_dias_backlog_min,tblOrdenes[[#This Row],[backlog_dias]]&lt;=p_dias_backlog_max))</f>
        <v/>
      </c>
      <c r="AB798" s="6" t="n"/>
      <c r="AC7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8" s="10">
        <f>IF(tblOrdenes[[#This Row],[orden]]="","",_xlfn.XLOOKUP(tblOrdenes[[#This Row],[id_operacion]],tblEjecucion[id_operacion],tblEjecucion[precio],0))</f>
        <v/>
      </c>
      <c r="AG798" s="10">
        <f>IF(tblOrdenes[[#This Row],[orden]]="","",MAX(0,_xlfn.XLOOKUP(tblOrdenes[[#This Row],[id_operacion]],tblEjecucion[id_operacion],tblEjecucion[costo_plan_total],0)-tblOrdenes[[#This Row],[costo_servicio]]))</f>
        <v/>
      </c>
      <c r="AH798" s="10">
        <f>IF(tblOrdenes[[#This Row],[orden]]="","",tblOrdenes[[#This Row],[costo_servicio]]+tblOrdenes[[#This Row],[costo_materiales]])</f>
        <v/>
      </c>
      <c r="AI798" s="6" t="n"/>
      <c r="AJ798" s="6" t="n"/>
      <c r="AK798" s="6" t="n"/>
      <c r="AL798" s="3">
        <f>IF(tblOrdenes[[#This Row],[link_checklist]]="","",HYPERLINK(p_ruta_base_checklists&amp;tblOrdenes[[#This Row],[link_checklist]],"abrir"))</f>
        <v/>
      </c>
      <c r="AM798" s="6" t="n"/>
      <c r="AN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Row],[tipo_ot]]="","",_xlfn.XLOOKUP(tblOrdenes[[#This Row],[tipo_ot]],tblTiposOT[codigo],tblTiposOT[clasificacion],"sin_clasificar"))</f>
        <v/>
      </c>
      <c r="T799" s="3">
        <f>IF(tblOrdenes[[#This Row],[centro_costo]]="","",_xlfn.XLOOKUP(tblOrdenes[[#This Row],[centro_costo]],tblCECO[codigo],tblCECO[linea],"(sin catálogo)"))</f>
        <v/>
      </c>
      <c r="U799" s="3">
        <f>IF(tblOrdenes[[#This Row],[centro_costo]]="","",_xlfn.XLOOKUP(tblOrdenes[[#This Row],[centro_costo]],tblCECO[codigo],tblCECO[area],"(sin catálogo)"))</f>
        <v/>
      </c>
      <c r="V799" s="3">
        <f>IF(tblOrdenes[[#This Row],[centro_costo]]="","",_xlfn.XLOOKUP(tblOrdenes[[#This Row],[centro_costo]],tblCECO[codigo],tblCECO[coordinador],"(sin catálogo)"))</f>
        <v/>
      </c>
      <c r="W799" s="3">
        <f>IF(tblOrdenes[[#This Row],[puesto_trabajo]]="","",_xlfn.XLOOKUP(tblOrdenes[[#This Row],[puesto_trabajo]],tblPuestos[codigo],tblPuestos[especialidad],"(sin catálogo)"))</f>
        <v/>
      </c>
      <c r="X799" s="3">
        <f>IF(tblOrdenes[[#This Row],[cod_actividad]]="","",_xlfn.XLOOKUP(tblOrdenes[[#This Row],[cod_actividad]],tblActividades[codigo],tblActividades[descripcion],"(sin catálogo)"))</f>
        <v/>
      </c>
      <c r="Y799" s="12">
        <f>IF(tblOrdenes[[#This Row],[fecha_inicio]]="","",TODAY()-tblOrdenes[[#This Row],[fecha_inicio]])</f>
        <v/>
      </c>
      <c r="Z799" s="3">
        <f>IF(tblOrdenes[[#This Row],[backlog_dias]]="","",IF(tblOrdenes[[#This Row],[backlog_dias]]&lt;0,"FUTURO",IF(tblOrdenes[[#This Row],[backlog_dias]]&gt;p_dias_backlog_max,"BACKLOG","MES CORRIENTE")))</f>
        <v/>
      </c>
      <c r="AA799" s="3">
        <f>IF(tblOrdenes[[#This Row],[backlog_dias]]="",FALSE,AND(tblOrdenes[[#This Row],[backlog_dias]]&gt;p_dias_backlog_min,tblOrdenes[[#This Row],[backlog_dias]]&lt;=p_dias_backlog_max))</f>
        <v/>
      </c>
      <c r="AB799" s="6" t="n"/>
      <c r="AC7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9" s="10">
        <f>IF(tblOrdenes[[#This Row],[orden]]="","",_xlfn.XLOOKUP(tblOrdenes[[#This Row],[id_operacion]],tblEjecucion[id_operacion],tblEjecucion[precio],0))</f>
        <v/>
      </c>
      <c r="AG799" s="10">
        <f>IF(tblOrdenes[[#This Row],[orden]]="","",MAX(0,_xlfn.XLOOKUP(tblOrdenes[[#This Row],[id_operacion]],tblEjecucion[id_operacion],tblEjecucion[costo_plan_total],0)-tblOrdenes[[#This Row],[costo_servicio]]))</f>
        <v/>
      </c>
      <c r="AH799" s="10">
        <f>IF(tblOrdenes[[#This Row],[orden]]="","",tblOrdenes[[#This Row],[costo_servicio]]+tblOrdenes[[#This Row],[costo_materiales]])</f>
        <v/>
      </c>
      <c r="AI799" s="6" t="n"/>
      <c r="AJ799" s="6" t="n"/>
      <c r="AK799" s="6" t="n"/>
      <c r="AL799" s="3">
        <f>IF(tblOrdenes[[#This Row],[link_checklist]]="","",HYPERLINK(p_ruta_base_checklists&amp;tblOrdenes[[#This Row],[link_checklist]],"abrir"))</f>
        <v/>
      </c>
      <c r="AM799" s="6" t="n"/>
      <c r="AN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Row],[tipo_ot]]="","",_xlfn.XLOOKUP(tblOrdenes[[#This Row],[tipo_ot]],tblTiposOT[codigo],tblTiposOT[clasificacion],"sin_clasificar"))</f>
        <v/>
      </c>
      <c r="T800" s="3">
        <f>IF(tblOrdenes[[#This Row],[centro_costo]]="","",_xlfn.XLOOKUP(tblOrdenes[[#This Row],[centro_costo]],tblCECO[codigo],tblCECO[linea],"(sin catálogo)"))</f>
        <v/>
      </c>
      <c r="U800" s="3">
        <f>IF(tblOrdenes[[#This Row],[centro_costo]]="","",_xlfn.XLOOKUP(tblOrdenes[[#This Row],[centro_costo]],tblCECO[codigo],tblCECO[area],"(sin catálogo)"))</f>
        <v/>
      </c>
      <c r="V800" s="3">
        <f>IF(tblOrdenes[[#This Row],[centro_costo]]="","",_xlfn.XLOOKUP(tblOrdenes[[#This Row],[centro_costo]],tblCECO[codigo],tblCECO[coordinador],"(sin catálogo)"))</f>
        <v/>
      </c>
      <c r="W800" s="3">
        <f>IF(tblOrdenes[[#This Row],[puesto_trabajo]]="","",_xlfn.XLOOKUP(tblOrdenes[[#This Row],[puesto_trabajo]],tblPuestos[codigo],tblPuestos[especialidad],"(sin catálogo)"))</f>
        <v/>
      </c>
      <c r="X800" s="3">
        <f>IF(tblOrdenes[[#This Row],[cod_actividad]]="","",_xlfn.XLOOKUP(tblOrdenes[[#This Row],[cod_actividad]],tblActividades[codigo],tblActividades[descripcion],"(sin catálogo)"))</f>
        <v/>
      </c>
      <c r="Y800" s="12">
        <f>IF(tblOrdenes[[#This Row],[fecha_inicio]]="","",TODAY()-tblOrdenes[[#This Row],[fecha_inicio]])</f>
        <v/>
      </c>
      <c r="Z800" s="3">
        <f>IF(tblOrdenes[[#This Row],[backlog_dias]]="","",IF(tblOrdenes[[#This Row],[backlog_dias]]&lt;0,"FUTURO",IF(tblOrdenes[[#This Row],[backlog_dias]]&gt;p_dias_backlog_max,"BACKLOG","MES CORRIENTE")))</f>
        <v/>
      </c>
      <c r="AA800" s="3">
        <f>IF(tblOrdenes[[#This Row],[backlog_dias]]="",FALSE,AND(tblOrdenes[[#This Row],[backlog_dias]]&gt;p_dias_backlog_min,tblOrdenes[[#This Row],[backlog_dias]]&lt;=p_dias_backlog_max))</f>
        <v/>
      </c>
      <c r="AB800" s="6" t="n"/>
      <c r="AC8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0" s="10">
        <f>IF(tblOrdenes[[#This Row],[orden]]="","",_xlfn.XLOOKUP(tblOrdenes[[#This Row],[id_operacion]],tblEjecucion[id_operacion],tblEjecucion[precio],0))</f>
        <v/>
      </c>
      <c r="AG800" s="10">
        <f>IF(tblOrdenes[[#This Row],[orden]]="","",MAX(0,_xlfn.XLOOKUP(tblOrdenes[[#This Row],[id_operacion]],tblEjecucion[id_operacion],tblEjecucion[costo_plan_total],0)-tblOrdenes[[#This Row],[costo_servicio]]))</f>
        <v/>
      </c>
      <c r="AH800" s="10">
        <f>IF(tblOrdenes[[#This Row],[orden]]="","",tblOrdenes[[#This Row],[costo_servicio]]+tblOrdenes[[#This Row],[costo_materiales]])</f>
        <v/>
      </c>
      <c r="AI800" s="6" t="n"/>
      <c r="AJ800" s="6" t="n"/>
      <c r="AK800" s="6" t="n"/>
      <c r="AL800" s="3">
        <f>IF(tblOrdenes[[#This Row],[link_checklist]]="","",HYPERLINK(p_ruta_base_checklists&amp;tblOrdenes[[#This Row],[link_checklist]],"abrir"))</f>
        <v/>
      </c>
      <c r="AM800" s="6" t="n"/>
      <c r="AN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Row],[tipo_ot]]="","",_xlfn.XLOOKUP(tblOrdenes[[#This Row],[tipo_ot]],tblTiposOT[codigo],tblTiposOT[clasificacion],"sin_clasificar"))</f>
        <v/>
      </c>
      <c r="T801" s="3">
        <f>IF(tblOrdenes[[#This Row],[centro_costo]]="","",_xlfn.XLOOKUP(tblOrdenes[[#This Row],[centro_costo]],tblCECO[codigo],tblCECO[linea],"(sin catálogo)"))</f>
        <v/>
      </c>
      <c r="U801" s="3">
        <f>IF(tblOrdenes[[#This Row],[centro_costo]]="","",_xlfn.XLOOKUP(tblOrdenes[[#This Row],[centro_costo]],tblCECO[codigo],tblCECO[area],"(sin catálogo)"))</f>
        <v/>
      </c>
      <c r="V801" s="3">
        <f>IF(tblOrdenes[[#This Row],[centro_costo]]="","",_xlfn.XLOOKUP(tblOrdenes[[#This Row],[centro_costo]],tblCECO[codigo],tblCECO[coordinador],"(sin catálogo)"))</f>
        <v/>
      </c>
      <c r="W801" s="3">
        <f>IF(tblOrdenes[[#This Row],[puesto_trabajo]]="","",_xlfn.XLOOKUP(tblOrdenes[[#This Row],[puesto_trabajo]],tblPuestos[codigo],tblPuestos[especialidad],"(sin catálogo)"))</f>
        <v/>
      </c>
      <c r="X801" s="3">
        <f>IF(tblOrdenes[[#This Row],[cod_actividad]]="","",_xlfn.XLOOKUP(tblOrdenes[[#This Row],[cod_actividad]],tblActividades[codigo],tblActividades[descripcion],"(sin catálogo)"))</f>
        <v/>
      </c>
      <c r="Y801" s="12">
        <f>IF(tblOrdenes[[#This Row],[fecha_inicio]]="","",TODAY()-tblOrdenes[[#This Row],[fecha_inicio]])</f>
        <v/>
      </c>
      <c r="Z801" s="3">
        <f>IF(tblOrdenes[[#This Row],[backlog_dias]]="","",IF(tblOrdenes[[#This Row],[backlog_dias]]&lt;0,"FUTURO",IF(tblOrdenes[[#This Row],[backlog_dias]]&gt;p_dias_backlog_max,"BACKLOG","MES CORRIENTE")))</f>
        <v/>
      </c>
      <c r="AA801" s="3">
        <f>IF(tblOrdenes[[#This Row],[backlog_dias]]="",FALSE,AND(tblOrdenes[[#This Row],[backlog_dias]]&gt;p_dias_backlog_min,tblOrdenes[[#This Row],[backlog_dias]]&lt;=p_dias_backlog_max))</f>
        <v/>
      </c>
      <c r="AB801" s="6" t="n"/>
      <c r="AC8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1" s="10">
        <f>IF(tblOrdenes[[#This Row],[orden]]="","",_xlfn.XLOOKUP(tblOrdenes[[#This Row],[id_operacion]],tblEjecucion[id_operacion],tblEjecucion[precio],0))</f>
        <v/>
      </c>
      <c r="AG801" s="10">
        <f>IF(tblOrdenes[[#This Row],[orden]]="","",MAX(0,_xlfn.XLOOKUP(tblOrdenes[[#This Row],[id_operacion]],tblEjecucion[id_operacion],tblEjecucion[costo_plan_total],0)-tblOrdenes[[#This Row],[costo_servicio]]))</f>
        <v/>
      </c>
      <c r="AH801" s="10">
        <f>IF(tblOrdenes[[#This Row],[orden]]="","",tblOrdenes[[#This Row],[costo_servicio]]+tblOrdenes[[#This Row],[costo_materiales]])</f>
        <v/>
      </c>
      <c r="AI801" s="6" t="n"/>
      <c r="AJ801" s="6" t="n"/>
      <c r="AK801" s="6" t="n"/>
      <c r="AL801" s="3">
        <f>IF(tblOrdenes[[#This Row],[link_checklist]]="","",HYPERLINK(p_ruta_base_checklists&amp;tblOrdenes[[#This Row],[link_checklist]],"abrir"))</f>
        <v/>
      </c>
      <c r="AM801" s="6" t="n"/>
      <c r="AN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Row],[tipo_ot]]="","",_xlfn.XLOOKUP(tblOrdenes[[#This Row],[tipo_ot]],tblTiposOT[codigo],tblTiposOT[clasificacion],"sin_clasificar"))</f>
        <v/>
      </c>
      <c r="T802" s="3">
        <f>IF(tblOrdenes[[#This Row],[centro_costo]]="","",_xlfn.XLOOKUP(tblOrdenes[[#This Row],[centro_costo]],tblCECO[codigo],tblCECO[linea],"(sin catálogo)"))</f>
        <v/>
      </c>
      <c r="U802" s="3">
        <f>IF(tblOrdenes[[#This Row],[centro_costo]]="","",_xlfn.XLOOKUP(tblOrdenes[[#This Row],[centro_costo]],tblCECO[codigo],tblCECO[area],"(sin catálogo)"))</f>
        <v/>
      </c>
      <c r="V802" s="3">
        <f>IF(tblOrdenes[[#This Row],[centro_costo]]="","",_xlfn.XLOOKUP(tblOrdenes[[#This Row],[centro_costo]],tblCECO[codigo],tblCECO[coordinador],"(sin catálogo)"))</f>
        <v/>
      </c>
      <c r="W802" s="3">
        <f>IF(tblOrdenes[[#This Row],[puesto_trabajo]]="","",_xlfn.XLOOKUP(tblOrdenes[[#This Row],[puesto_trabajo]],tblPuestos[codigo],tblPuestos[especialidad],"(sin catálogo)"))</f>
        <v/>
      </c>
      <c r="X802" s="3">
        <f>IF(tblOrdenes[[#This Row],[cod_actividad]]="","",_xlfn.XLOOKUP(tblOrdenes[[#This Row],[cod_actividad]],tblActividades[codigo],tblActividades[descripcion],"(sin catálogo)"))</f>
        <v/>
      </c>
      <c r="Y802" s="12">
        <f>IF(tblOrdenes[[#This Row],[fecha_inicio]]="","",TODAY()-tblOrdenes[[#This Row],[fecha_inicio]])</f>
        <v/>
      </c>
      <c r="Z802" s="3">
        <f>IF(tblOrdenes[[#This Row],[backlog_dias]]="","",IF(tblOrdenes[[#This Row],[backlog_dias]]&lt;0,"FUTURO",IF(tblOrdenes[[#This Row],[backlog_dias]]&gt;p_dias_backlog_max,"BACKLOG","MES CORRIENTE")))</f>
        <v/>
      </c>
      <c r="AA802" s="3">
        <f>IF(tblOrdenes[[#This Row],[backlog_dias]]="",FALSE,AND(tblOrdenes[[#This Row],[backlog_dias]]&gt;p_dias_backlog_min,tblOrdenes[[#This Row],[backlog_dias]]&lt;=p_dias_backlog_max))</f>
        <v/>
      </c>
      <c r="AB802" s="6" t="n"/>
      <c r="AC8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2" s="10">
        <f>IF(tblOrdenes[[#This Row],[orden]]="","",_xlfn.XLOOKUP(tblOrdenes[[#This Row],[id_operacion]],tblEjecucion[id_operacion],tblEjecucion[precio],0))</f>
        <v/>
      </c>
      <c r="AG802" s="10">
        <f>IF(tblOrdenes[[#This Row],[orden]]="","",MAX(0,_xlfn.XLOOKUP(tblOrdenes[[#This Row],[id_operacion]],tblEjecucion[id_operacion],tblEjecucion[costo_plan_total],0)-tblOrdenes[[#This Row],[costo_servicio]]))</f>
        <v/>
      </c>
      <c r="AH802" s="10">
        <f>IF(tblOrdenes[[#This Row],[orden]]="","",tblOrdenes[[#This Row],[costo_servicio]]+tblOrdenes[[#This Row],[costo_materiales]])</f>
        <v/>
      </c>
      <c r="AI802" s="6" t="n"/>
      <c r="AJ802" s="6" t="n"/>
      <c r="AK802" s="6" t="n"/>
      <c r="AL802" s="3">
        <f>IF(tblOrdenes[[#This Row],[link_checklist]]="","",HYPERLINK(p_ruta_base_checklists&amp;tblOrdenes[[#This Row],[link_checklist]],"abrir"))</f>
        <v/>
      </c>
      <c r="AM802" s="6" t="n"/>
      <c r="AN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Row],[tipo_ot]]="","",_xlfn.XLOOKUP(tblOrdenes[[#This Row],[tipo_ot]],tblTiposOT[codigo],tblTiposOT[clasificacion],"sin_clasificar"))</f>
        <v/>
      </c>
      <c r="T803" s="3">
        <f>IF(tblOrdenes[[#This Row],[centro_costo]]="","",_xlfn.XLOOKUP(tblOrdenes[[#This Row],[centro_costo]],tblCECO[codigo],tblCECO[linea],"(sin catálogo)"))</f>
        <v/>
      </c>
      <c r="U803" s="3">
        <f>IF(tblOrdenes[[#This Row],[centro_costo]]="","",_xlfn.XLOOKUP(tblOrdenes[[#This Row],[centro_costo]],tblCECO[codigo],tblCECO[area],"(sin catálogo)"))</f>
        <v/>
      </c>
      <c r="V803" s="3">
        <f>IF(tblOrdenes[[#This Row],[centro_costo]]="","",_xlfn.XLOOKUP(tblOrdenes[[#This Row],[centro_costo]],tblCECO[codigo],tblCECO[coordinador],"(sin catálogo)"))</f>
        <v/>
      </c>
      <c r="W803" s="3">
        <f>IF(tblOrdenes[[#This Row],[puesto_trabajo]]="","",_xlfn.XLOOKUP(tblOrdenes[[#This Row],[puesto_trabajo]],tblPuestos[codigo],tblPuestos[especialidad],"(sin catálogo)"))</f>
        <v/>
      </c>
      <c r="X803" s="3">
        <f>IF(tblOrdenes[[#This Row],[cod_actividad]]="","",_xlfn.XLOOKUP(tblOrdenes[[#This Row],[cod_actividad]],tblActividades[codigo],tblActividades[descripcion],"(sin catálogo)"))</f>
        <v/>
      </c>
      <c r="Y803" s="12">
        <f>IF(tblOrdenes[[#This Row],[fecha_inicio]]="","",TODAY()-tblOrdenes[[#This Row],[fecha_inicio]])</f>
        <v/>
      </c>
      <c r="Z803" s="3">
        <f>IF(tblOrdenes[[#This Row],[backlog_dias]]="","",IF(tblOrdenes[[#This Row],[backlog_dias]]&lt;0,"FUTURO",IF(tblOrdenes[[#This Row],[backlog_dias]]&gt;p_dias_backlog_max,"BACKLOG","MES CORRIENTE")))</f>
        <v/>
      </c>
      <c r="AA803" s="3">
        <f>IF(tblOrdenes[[#This Row],[backlog_dias]]="",FALSE,AND(tblOrdenes[[#This Row],[backlog_dias]]&gt;p_dias_backlog_min,tblOrdenes[[#This Row],[backlog_dias]]&lt;=p_dias_backlog_max))</f>
        <v/>
      </c>
      <c r="AB803" s="6" t="n"/>
      <c r="AC8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3" s="10">
        <f>IF(tblOrdenes[[#This Row],[orden]]="","",_xlfn.XLOOKUP(tblOrdenes[[#This Row],[id_operacion]],tblEjecucion[id_operacion],tblEjecucion[precio],0))</f>
        <v/>
      </c>
      <c r="AG803" s="10">
        <f>IF(tblOrdenes[[#This Row],[orden]]="","",MAX(0,_xlfn.XLOOKUP(tblOrdenes[[#This Row],[id_operacion]],tblEjecucion[id_operacion],tblEjecucion[costo_plan_total],0)-tblOrdenes[[#This Row],[costo_servicio]]))</f>
        <v/>
      </c>
      <c r="AH803" s="10">
        <f>IF(tblOrdenes[[#This Row],[orden]]="","",tblOrdenes[[#This Row],[costo_servicio]]+tblOrdenes[[#This Row],[costo_materiales]])</f>
        <v/>
      </c>
      <c r="AI803" s="6" t="n"/>
      <c r="AJ803" s="6" t="n"/>
      <c r="AK803" s="6" t="n"/>
      <c r="AL803" s="3">
        <f>IF(tblOrdenes[[#This Row],[link_checklist]]="","",HYPERLINK(p_ruta_base_checklists&amp;tblOrdenes[[#This Row],[link_checklist]],"abrir"))</f>
        <v/>
      </c>
      <c r="AM803" s="6" t="n"/>
      <c r="AN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Row],[tipo_ot]]="","",_xlfn.XLOOKUP(tblOrdenes[[#This Row],[tipo_ot]],tblTiposOT[codigo],tblTiposOT[clasificacion],"sin_clasificar"))</f>
        <v/>
      </c>
      <c r="T804" s="3">
        <f>IF(tblOrdenes[[#This Row],[centro_costo]]="","",_xlfn.XLOOKUP(tblOrdenes[[#This Row],[centro_costo]],tblCECO[codigo],tblCECO[linea],"(sin catálogo)"))</f>
        <v/>
      </c>
      <c r="U804" s="3">
        <f>IF(tblOrdenes[[#This Row],[centro_costo]]="","",_xlfn.XLOOKUP(tblOrdenes[[#This Row],[centro_costo]],tblCECO[codigo],tblCECO[area],"(sin catálogo)"))</f>
        <v/>
      </c>
      <c r="V804" s="3">
        <f>IF(tblOrdenes[[#This Row],[centro_costo]]="","",_xlfn.XLOOKUP(tblOrdenes[[#This Row],[centro_costo]],tblCECO[codigo],tblCECO[coordinador],"(sin catálogo)"))</f>
        <v/>
      </c>
      <c r="W804" s="3">
        <f>IF(tblOrdenes[[#This Row],[puesto_trabajo]]="","",_xlfn.XLOOKUP(tblOrdenes[[#This Row],[puesto_trabajo]],tblPuestos[codigo],tblPuestos[especialidad],"(sin catálogo)"))</f>
        <v/>
      </c>
      <c r="X804" s="3">
        <f>IF(tblOrdenes[[#This Row],[cod_actividad]]="","",_xlfn.XLOOKUP(tblOrdenes[[#This Row],[cod_actividad]],tblActividades[codigo],tblActividades[descripcion],"(sin catálogo)"))</f>
        <v/>
      </c>
      <c r="Y804" s="12">
        <f>IF(tblOrdenes[[#This Row],[fecha_inicio]]="","",TODAY()-tblOrdenes[[#This Row],[fecha_inicio]])</f>
        <v/>
      </c>
      <c r="Z804" s="3">
        <f>IF(tblOrdenes[[#This Row],[backlog_dias]]="","",IF(tblOrdenes[[#This Row],[backlog_dias]]&lt;0,"FUTURO",IF(tblOrdenes[[#This Row],[backlog_dias]]&gt;p_dias_backlog_max,"BACKLOG","MES CORRIENTE")))</f>
        <v/>
      </c>
      <c r="AA804" s="3">
        <f>IF(tblOrdenes[[#This Row],[backlog_dias]]="",FALSE,AND(tblOrdenes[[#This Row],[backlog_dias]]&gt;p_dias_backlog_min,tblOrdenes[[#This Row],[backlog_dias]]&lt;=p_dias_backlog_max))</f>
        <v/>
      </c>
      <c r="AB804" s="6" t="n"/>
      <c r="AC8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4" s="10">
        <f>IF(tblOrdenes[[#This Row],[orden]]="","",_xlfn.XLOOKUP(tblOrdenes[[#This Row],[id_operacion]],tblEjecucion[id_operacion],tblEjecucion[precio],0))</f>
        <v/>
      </c>
      <c r="AG804" s="10">
        <f>IF(tblOrdenes[[#This Row],[orden]]="","",MAX(0,_xlfn.XLOOKUP(tblOrdenes[[#This Row],[id_operacion]],tblEjecucion[id_operacion],tblEjecucion[costo_plan_total],0)-tblOrdenes[[#This Row],[costo_servicio]]))</f>
        <v/>
      </c>
      <c r="AH804" s="10">
        <f>IF(tblOrdenes[[#This Row],[orden]]="","",tblOrdenes[[#This Row],[costo_servicio]]+tblOrdenes[[#This Row],[costo_materiales]])</f>
        <v/>
      </c>
      <c r="AI804" s="6" t="n"/>
      <c r="AJ804" s="6" t="n"/>
      <c r="AK804" s="6" t="n"/>
      <c r="AL804" s="3">
        <f>IF(tblOrdenes[[#This Row],[link_checklist]]="","",HYPERLINK(p_ruta_base_checklists&amp;tblOrdenes[[#This Row],[link_checklist]],"abrir"))</f>
        <v/>
      </c>
      <c r="AM804" s="6" t="n"/>
      <c r="AN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Row],[tipo_ot]]="","",_xlfn.XLOOKUP(tblOrdenes[[#This Row],[tipo_ot]],tblTiposOT[codigo],tblTiposOT[clasificacion],"sin_clasificar"))</f>
        <v/>
      </c>
      <c r="T805" s="3">
        <f>IF(tblOrdenes[[#This Row],[centro_costo]]="","",_xlfn.XLOOKUP(tblOrdenes[[#This Row],[centro_costo]],tblCECO[codigo],tblCECO[linea],"(sin catálogo)"))</f>
        <v/>
      </c>
      <c r="U805" s="3">
        <f>IF(tblOrdenes[[#This Row],[centro_costo]]="","",_xlfn.XLOOKUP(tblOrdenes[[#This Row],[centro_costo]],tblCECO[codigo],tblCECO[area],"(sin catálogo)"))</f>
        <v/>
      </c>
      <c r="V805" s="3">
        <f>IF(tblOrdenes[[#This Row],[centro_costo]]="","",_xlfn.XLOOKUP(tblOrdenes[[#This Row],[centro_costo]],tblCECO[codigo],tblCECO[coordinador],"(sin catálogo)"))</f>
        <v/>
      </c>
      <c r="W805" s="3">
        <f>IF(tblOrdenes[[#This Row],[puesto_trabajo]]="","",_xlfn.XLOOKUP(tblOrdenes[[#This Row],[puesto_trabajo]],tblPuestos[codigo],tblPuestos[especialidad],"(sin catálogo)"))</f>
        <v/>
      </c>
      <c r="X805" s="3">
        <f>IF(tblOrdenes[[#This Row],[cod_actividad]]="","",_xlfn.XLOOKUP(tblOrdenes[[#This Row],[cod_actividad]],tblActividades[codigo],tblActividades[descripcion],"(sin catálogo)"))</f>
        <v/>
      </c>
      <c r="Y805" s="12">
        <f>IF(tblOrdenes[[#This Row],[fecha_inicio]]="","",TODAY()-tblOrdenes[[#This Row],[fecha_inicio]])</f>
        <v/>
      </c>
      <c r="Z805" s="3">
        <f>IF(tblOrdenes[[#This Row],[backlog_dias]]="","",IF(tblOrdenes[[#This Row],[backlog_dias]]&lt;0,"FUTURO",IF(tblOrdenes[[#This Row],[backlog_dias]]&gt;p_dias_backlog_max,"BACKLOG","MES CORRIENTE")))</f>
        <v/>
      </c>
      <c r="AA805" s="3">
        <f>IF(tblOrdenes[[#This Row],[backlog_dias]]="",FALSE,AND(tblOrdenes[[#This Row],[backlog_dias]]&gt;p_dias_backlog_min,tblOrdenes[[#This Row],[backlog_dias]]&lt;=p_dias_backlog_max))</f>
        <v/>
      </c>
      <c r="AB805" s="6" t="n"/>
      <c r="AC8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5" s="10">
        <f>IF(tblOrdenes[[#This Row],[orden]]="","",_xlfn.XLOOKUP(tblOrdenes[[#This Row],[id_operacion]],tblEjecucion[id_operacion],tblEjecucion[precio],0))</f>
        <v/>
      </c>
      <c r="AG805" s="10">
        <f>IF(tblOrdenes[[#This Row],[orden]]="","",MAX(0,_xlfn.XLOOKUP(tblOrdenes[[#This Row],[id_operacion]],tblEjecucion[id_operacion],tblEjecucion[costo_plan_total],0)-tblOrdenes[[#This Row],[costo_servicio]]))</f>
        <v/>
      </c>
      <c r="AH805" s="10">
        <f>IF(tblOrdenes[[#This Row],[orden]]="","",tblOrdenes[[#This Row],[costo_servicio]]+tblOrdenes[[#This Row],[costo_materiales]])</f>
        <v/>
      </c>
      <c r="AI805" s="6" t="n"/>
      <c r="AJ805" s="6" t="n"/>
      <c r="AK805" s="6" t="n"/>
      <c r="AL805" s="3">
        <f>IF(tblOrdenes[[#This Row],[link_checklist]]="","",HYPERLINK(p_ruta_base_checklists&amp;tblOrdenes[[#This Row],[link_checklist]],"abrir"))</f>
        <v/>
      </c>
      <c r="AM805" s="6" t="n"/>
      <c r="AN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Row],[tipo_ot]]="","",_xlfn.XLOOKUP(tblOrdenes[[#This Row],[tipo_ot]],tblTiposOT[codigo],tblTiposOT[clasificacion],"sin_clasificar"))</f>
        <v/>
      </c>
      <c r="T806" s="3">
        <f>IF(tblOrdenes[[#This Row],[centro_costo]]="","",_xlfn.XLOOKUP(tblOrdenes[[#This Row],[centro_costo]],tblCECO[codigo],tblCECO[linea],"(sin catálogo)"))</f>
        <v/>
      </c>
      <c r="U806" s="3">
        <f>IF(tblOrdenes[[#This Row],[centro_costo]]="","",_xlfn.XLOOKUP(tblOrdenes[[#This Row],[centro_costo]],tblCECO[codigo],tblCECO[area],"(sin catálogo)"))</f>
        <v/>
      </c>
      <c r="V806" s="3">
        <f>IF(tblOrdenes[[#This Row],[centro_costo]]="","",_xlfn.XLOOKUP(tblOrdenes[[#This Row],[centro_costo]],tblCECO[codigo],tblCECO[coordinador],"(sin catálogo)"))</f>
        <v/>
      </c>
      <c r="W806" s="3">
        <f>IF(tblOrdenes[[#This Row],[puesto_trabajo]]="","",_xlfn.XLOOKUP(tblOrdenes[[#This Row],[puesto_trabajo]],tblPuestos[codigo],tblPuestos[especialidad],"(sin catálogo)"))</f>
        <v/>
      </c>
      <c r="X806" s="3">
        <f>IF(tblOrdenes[[#This Row],[cod_actividad]]="","",_xlfn.XLOOKUP(tblOrdenes[[#This Row],[cod_actividad]],tblActividades[codigo],tblActividades[descripcion],"(sin catálogo)"))</f>
        <v/>
      </c>
      <c r="Y806" s="12">
        <f>IF(tblOrdenes[[#This Row],[fecha_inicio]]="","",TODAY()-tblOrdenes[[#This Row],[fecha_inicio]])</f>
        <v/>
      </c>
      <c r="Z806" s="3">
        <f>IF(tblOrdenes[[#This Row],[backlog_dias]]="","",IF(tblOrdenes[[#This Row],[backlog_dias]]&lt;0,"FUTURO",IF(tblOrdenes[[#This Row],[backlog_dias]]&gt;p_dias_backlog_max,"BACKLOG","MES CORRIENTE")))</f>
        <v/>
      </c>
      <c r="AA806" s="3">
        <f>IF(tblOrdenes[[#This Row],[backlog_dias]]="",FALSE,AND(tblOrdenes[[#This Row],[backlog_dias]]&gt;p_dias_backlog_min,tblOrdenes[[#This Row],[backlog_dias]]&lt;=p_dias_backlog_max))</f>
        <v/>
      </c>
      <c r="AB806" s="6" t="n"/>
      <c r="AC8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6" s="10">
        <f>IF(tblOrdenes[[#This Row],[orden]]="","",_xlfn.XLOOKUP(tblOrdenes[[#This Row],[id_operacion]],tblEjecucion[id_operacion],tblEjecucion[precio],0))</f>
        <v/>
      </c>
      <c r="AG806" s="10">
        <f>IF(tblOrdenes[[#This Row],[orden]]="","",MAX(0,_xlfn.XLOOKUP(tblOrdenes[[#This Row],[id_operacion]],tblEjecucion[id_operacion],tblEjecucion[costo_plan_total],0)-tblOrdenes[[#This Row],[costo_servicio]]))</f>
        <v/>
      </c>
      <c r="AH806" s="10">
        <f>IF(tblOrdenes[[#This Row],[orden]]="","",tblOrdenes[[#This Row],[costo_servicio]]+tblOrdenes[[#This Row],[costo_materiales]])</f>
        <v/>
      </c>
      <c r="AI806" s="6" t="n"/>
      <c r="AJ806" s="6" t="n"/>
      <c r="AK806" s="6" t="n"/>
      <c r="AL806" s="3">
        <f>IF(tblOrdenes[[#This Row],[link_checklist]]="","",HYPERLINK(p_ruta_base_checklists&amp;tblOrdenes[[#This Row],[link_checklist]],"abrir"))</f>
        <v/>
      </c>
      <c r="AM806" s="6" t="n"/>
      <c r="AN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Row],[tipo_ot]]="","",_xlfn.XLOOKUP(tblOrdenes[[#This Row],[tipo_ot]],tblTiposOT[codigo],tblTiposOT[clasificacion],"sin_clasificar"))</f>
        <v/>
      </c>
      <c r="T807" s="3">
        <f>IF(tblOrdenes[[#This Row],[centro_costo]]="","",_xlfn.XLOOKUP(tblOrdenes[[#This Row],[centro_costo]],tblCECO[codigo],tblCECO[linea],"(sin catálogo)"))</f>
        <v/>
      </c>
      <c r="U807" s="3">
        <f>IF(tblOrdenes[[#This Row],[centro_costo]]="","",_xlfn.XLOOKUP(tblOrdenes[[#This Row],[centro_costo]],tblCECO[codigo],tblCECO[area],"(sin catálogo)"))</f>
        <v/>
      </c>
      <c r="V807" s="3">
        <f>IF(tblOrdenes[[#This Row],[centro_costo]]="","",_xlfn.XLOOKUP(tblOrdenes[[#This Row],[centro_costo]],tblCECO[codigo],tblCECO[coordinador],"(sin catálogo)"))</f>
        <v/>
      </c>
      <c r="W807" s="3">
        <f>IF(tblOrdenes[[#This Row],[puesto_trabajo]]="","",_xlfn.XLOOKUP(tblOrdenes[[#This Row],[puesto_trabajo]],tblPuestos[codigo],tblPuestos[especialidad],"(sin catálogo)"))</f>
        <v/>
      </c>
      <c r="X807" s="3">
        <f>IF(tblOrdenes[[#This Row],[cod_actividad]]="","",_xlfn.XLOOKUP(tblOrdenes[[#This Row],[cod_actividad]],tblActividades[codigo],tblActividades[descripcion],"(sin catálogo)"))</f>
        <v/>
      </c>
      <c r="Y807" s="12">
        <f>IF(tblOrdenes[[#This Row],[fecha_inicio]]="","",TODAY()-tblOrdenes[[#This Row],[fecha_inicio]])</f>
        <v/>
      </c>
      <c r="Z807" s="3">
        <f>IF(tblOrdenes[[#This Row],[backlog_dias]]="","",IF(tblOrdenes[[#This Row],[backlog_dias]]&lt;0,"FUTURO",IF(tblOrdenes[[#This Row],[backlog_dias]]&gt;p_dias_backlog_max,"BACKLOG","MES CORRIENTE")))</f>
        <v/>
      </c>
      <c r="AA807" s="3">
        <f>IF(tblOrdenes[[#This Row],[backlog_dias]]="",FALSE,AND(tblOrdenes[[#This Row],[backlog_dias]]&gt;p_dias_backlog_min,tblOrdenes[[#This Row],[backlog_dias]]&lt;=p_dias_backlog_max))</f>
        <v/>
      </c>
      <c r="AB807" s="6" t="n"/>
      <c r="AC8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7" s="10">
        <f>IF(tblOrdenes[[#This Row],[orden]]="","",_xlfn.XLOOKUP(tblOrdenes[[#This Row],[id_operacion]],tblEjecucion[id_operacion],tblEjecucion[precio],0))</f>
        <v/>
      </c>
      <c r="AG807" s="10">
        <f>IF(tblOrdenes[[#This Row],[orden]]="","",MAX(0,_xlfn.XLOOKUP(tblOrdenes[[#This Row],[id_operacion]],tblEjecucion[id_operacion],tblEjecucion[costo_plan_total],0)-tblOrdenes[[#This Row],[costo_servicio]]))</f>
        <v/>
      </c>
      <c r="AH807" s="10">
        <f>IF(tblOrdenes[[#This Row],[orden]]="","",tblOrdenes[[#This Row],[costo_servicio]]+tblOrdenes[[#This Row],[costo_materiales]])</f>
        <v/>
      </c>
      <c r="AI807" s="6" t="n"/>
      <c r="AJ807" s="6" t="n"/>
      <c r="AK807" s="6" t="n"/>
      <c r="AL807" s="3">
        <f>IF(tblOrdenes[[#This Row],[link_checklist]]="","",HYPERLINK(p_ruta_base_checklists&amp;tblOrdenes[[#This Row],[link_checklist]],"abrir"))</f>
        <v/>
      </c>
      <c r="AM807" s="6" t="n"/>
      <c r="AN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Row],[tipo_ot]]="","",_xlfn.XLOOKUP(tblOrdenes[[#This Row],[tipo_ot]],tblTiposOT[codigo],tblTiposOT[clasificacion],"sin_clasificar"))</f>
        <v/>
      </c>
      <c r="T808" s="3">
        <f>IF(tblOrdenes[[#This Row],[centro_costo]]="","",_xlfn.XLOOKUP(tblOrdenes[[#This Row],[centro_costo]],tblCECO[codigo],tblCECO[linea],"(sin catálogo)"))</f>
        <v/>
      </c>
      <c r="U808" s="3">
        <f>IF(tblOrdenes[[#This Row],[centro_costo]]="","",_xlfn.XLOOKUP(tblOrdenes[[#This Row],[centro_costo]],tblCECO[codigo],tblCECO[area],"(sin catálogo)"))</f>
        <v/>
      </c>
      <c r="V808" s="3">
        <f>IF(tblOrdenes[[#This Row],[centro_costo]]="","",_xlfn.XLOOKUP(tblOrdenes[[#This Row],[centro_costo]],tblCECO[codigo],tblCECO[coordinador],"(sin catálogo)"))</f>
        <v/>
      </c>
      <c r="W808" s="3">
        <f>IF(tblOrdenes[[#This Row],[puesto_trabajo]]="","",_xlfn.XLOOKUP(tblOrdenes[[#This Row],[puesto_trabajo]],tblPuestos[codigo],tblPuestos[especialidad],"(sin catálogo)"))</f>
        <v/>
      </c>
      <c r="X808" s="3">
        <f>IF(tblOrdenes[[#This Row],[cod_actividad]]="","",_xlfn.XLOOKUP(tblOrdenes[[#This Row],[cod_actividad]],tblActividades[codigo],tblActividades[descripcion],"(sin catálogo)"))</f>
        <v/>
      </c>
      <c r="Y808" s="12">
        <f>IF(tblOrdenes[[#This Row],[fecha_inicio]]="","",TODAY()-tblOrdenes[[#This Row],[fecha_inicio]])</f>
        <v/>
      </c>
      <c r="Z808" s="3">
        <f>IF(tblOrdenes[[#This Row],[backlog_dias]]="","",IF(tblOrdenes[[#This Row],[backlog_dias]]&lt;0,"FUTURO",IF(tblOrdenes[[#This Row],[backlog_dias]]&gt;p_dias_backlog_max,"BACKLOG","MES CORRIENTE")))</f>
        <v/>
      </c>
      <c r="AA808" s="3">
        <f>IF(tblOrdenes[[#This Row],[backlog_dias]]="",FALSE,AND(tblOrdenes[[#This Row],[backlog_dias]]&gt;p_dias_backlog_min,tblOrdenes[[#This Row],[backlog_dias]]&lt;=p_dias_backlog_max))</f>
        <v/>
      </c>
      <c r="AB808" s="6" t="n"/>
      <c r="AC8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8" s="10">
        <f>IF(tblOrdenes[[#This Row],[orden]]="","",_xlfn.XLOOKUP(tblOrdenes[[#This Row],[id_operacion]],tblEjecucion[id_operacion],tblEjecucion[precio],0))</f>
        <v/>
      </c>
      <c r="AG808" s="10">
        <f>IF(tblOrdenes[[#This Row],[orden]]="","",MAX(0,_xlfn.XLOOKUP(tblOrdenes[[#This Row],[id_operacion]],tblEjecucion[id_operacion],tblEjecucion[costo_plan_total],0)-tblOrdenes[[#This Row],[costo_servicio]]))</f>
        <v/>
      </c>
      <c r="AH808" s="10">
        <f>IF(tblOrdenes[[#This Row],[orden]]="","",tblOrdenes[[#This Row],[costo_servicio]]+tblOrdenes[[#This Row],[costo_materiales]])</f>
        <v/>
      </c>
      <c r="AI808" s="6" t="n"/>
      <c r="AJ808" s="6" t="n"/>
      <c r="AK808" s="6" t="n"/>
      <c r="AL808" s="3">
        <f>IF(tblOrdenes[[#This Row],[link_checklist]]="","",HYPERLINK(p_ruta_base_checklists&amp;tblOrdenes[[#This Row],[link_checklist]],"abrir"))</f>
        <v/>
      </c>
      <c r="AM808" s="6" t="n"/>
      <c r="AN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Row],[tipo_ot]]="","",_xlfn.XLOOKUP(tblOrdenes[[#This Row],[tipo_ot]],tblTiposOT[codigo],tblTiposOT[clasificacion],"sin_clasificar"))</f>
        <v/>
      </c>
      <c r="T809" s="3">
        <f>IF(tblOrdenes[[#This Row],[centro_costo]]="","",_xlfn.XLOOKUP(tblOrdenes[[#This Row],[centro_costo]],tblCECO[codigo],tblCECO[linea],"(sin catálogo)"))</f>
        <v/>
      </c>
      <c r="U809" s="3">
        <f>IF(tblOrdenes[[#This Row],[centro_costo]]="","",_xlfn.XLOOKUP(tblOrdenes[[#This Row],[centro_costo]],tblCECO[codigo],tblCECO[area],"(sin catálogo)"))</f>
        <v/>
      </c>
      <c r="V809" s="3">
        <f>IF(tblOrdenes[[#This Row],[centro_costo]]="","",_xlfn.XLOOKUP(tblOrdenes[[#This Row],[centro_costo]],tblCECO[codigo],tblCECO[coordinador],"(sin catálogo)"))</f>
        <v/>
      </c>
      <c r="W809" s="3">
        <f>IF(tblOrdenes[[#This Row],[puesto_trabajo]]="","",_xlfn.XLOOKUP(tblOrdenes[[#This Row],[puesto_trabajo]],tblPuestos[codigo],tblPuestos[especialidad],"(sin catálogo)"))</f>
        <v/>
      </c>
      <c r="X809" s="3">
        <f>IF(tblOrdenes[[#This Row],[cod_actividad]]="","",_xlfn.XLOOKUP(tblOrdenes[[#This Row],[cod_actividad]],tblActividades[codigo],tblActividades[descripcion],"(sin catálogo)"))</f>
        <v/>
      </c>
      <c r="Y809" s="12">
        <f>IF(tblOrdenes[[#This Row],[fecha_inicio]]="","",TODAY()-tblOrdenes[[#This Row],[fecha_inicio]])</f>
        <v/>
      </c>
      <c r="Z809" s="3">
        <f>IF(tblOrdenes[[#This Row],[backlog_dias]]="","",IF(tblOrdenes[[#This Row],[backlog_dias]]&lt;0,"FUTURO",IF(tblOrdenes[[#This Row],[backlog_dias]]&gt;p_dias_backlog_max,"BACKLOG","MES CORRIENTE")))</f>
        <v/>
      </c>
      <c r="AA809" s="3">
        <f>IF(tblOrdenes[[#This Row],[backlog_dias]]="",FALSE,AND(tblOrdenes[[#This Row],[backlog_dias]]&gt;p_dias_backlog_min,tblOrdenes[[#This Row],[backlog_dias]]&lt;=p_dias_backlog_max))</f>
        <v/>
      </c>
      <c r="AB809" s="6" t="n"/>
      <c r="AC8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9" s="10">
        <f>IF(tblOrdenes[[#This Row],[orden]]="","",_xlfn.XLOOKUP(tblOrdenes[[#This Row],[id_operacion]],tblEjecucion[id_operacion],tblEjecucion[precio],0))</f>
        <v/>
      </c>
      <c r="AG809" s="10">
        <f>IF(tblOrdenes[[#This Row],[orden]]="","",MAX(0,_xlfn.XLOOKUP(tblOrdenes[[#This Row],[id_operacion]],tblEjecucion[id_operacion],tblEjecucion[costo_plan_total],0)-tblOrdenes[[#This Row],[costo_servicio]]))</f>
        <v/>
      </c>
      <c r="AH809" s="10">
        <f>IF(tblOrdenes[[#This Row],[orden]]="","",tblOrdenes[[#This Row],[costo_servicio]]+tblOrdenes[[#This Row],[costo_materiales]])</f>
        <v/>
      </c>
      <c r="AI809" s="6" t="n"/>
      <c r="AJ809" s="6" t="n"/>
      <c r="AK809" s="6" t="n"/>
      <c r="AL809" s="3">
        <f>IF(tblOrdenes[[#This Row],[link_checklist]]="","",HYPERLINK(p_ruta_base_checklists&amp;tblOrdenes[[#This Row],[link_checklist]],"abrir"))</f>
        <v/>
      </c>
      <c r="AM809" s="6" t="n"/>
      <c r="AN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Row],[tipo_ot]]="","",_xlfn.XLOOKUP(tblOrdenes[[#This Row],[tipo_ot]],tblTiposOT[codigo],tblTiposOT[clasificacion],"sin_clasificar"))</f>
        <v/>
      </c>
      <c r="T810" s="3">
        <f>IF(tblOrdenes[[#This Row],[centro_costo]]="","",_xlfn.XLOOKUP(tblOrdenes[[#This Row],[centro_costo]],tblCECO[codigo],tblCECO[linea],"(sin catálogo)"))</f>
        <v/>
      </c>
      <c r="U810" s="3">
        <f>IF(tblOrdenes[[#This Row],[centro_costo]]="","",_xlfn.XLOOKUP(tblOrdenes[[#This Row],[centro_costo]],tblCECO[codigo],tblCECO[area],"(sin catálogo)"))</f>
        <v/>
      </c>
      <c r="V810" s="3">
        <f>IF(tblOrdenes[[#This Row],[centro_costo]]="","",_xlfn.XLOOKUP(tblOrdenes[[#This Row],[centro_costo]],tblCECO[codigo],tblCECO[coordinador],"(sin catálogo)"))</f>
        <v/>
      </c>
      <c r="W810" s="3">
        <f>IF(tblOrdenes[[#This Row],[puesto_trabajo]]="","",_xlfn.XLOOKUP(tblOrdenes[[#This Row],[puesto_trabajo]],tblPuestos[codigo],tblPuestos[especialidad],"(sin catálogo)"))</f>
        <v/>
      </c>
      <c r="X810" s="3">
        <f>IF(tblOrdenes[[#This Row],[cod_actividad]]="","",_xlfn.XLOOKUP(tblOrdenes[[#This Row],[cod_actividad]],tblActividades[codigo],tblActividades[descripcion],"(sin catálogo)"))</f>
        <v/>
      </c>
      <c r="Y810" s="12">
        <f>IF(tblOrdenes[[#This Row],[fecha_inicio]]="","",TODAY()-tblOrdenes[[#This Row],[fecha_inicio]])</f>
        <v/>
      </c>
      <c r="Z810" s="3">
        <f>IF(tblOrdenes[[#This Row],[backlog_dias]]="","",IF(tblOrdenes[[#This Row],[backlog_dias]]&lt;0,"FUTURO",IF(tblOrdenes[[#This Row],[backlog_dias]]&gt;p_dias_backlog_max,"BACKLOG","MES CORRIENTE")))</f>
        <v/>
      </c>
      <c r="AA810" s="3">
        <f>IF(tblOrdenes[[#This Row],[backlog_dias]]="",FALSE,AND(tblOrdenes[[#This Row],[backlog_dias]]&gt;p_dias_backlog_min,tblOrdenes[[#This Row],[backlog_dias]]&lt;=p_dias_backlog_max))</f>
        <v/>
      </c>
      <c r="AB810" s="6" t="n"/>
      <c r="AC8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0" s="10">
        <f>IF(tblOrdenes[[#This Row],[orden]]="","",_xlfn.XLOOKUP(tblOrdenes[[#This Row],[id_operacion]],tblEjecucion[id_operacion],tblEjecucion[precio],0))</f>
        <v/>
      </c>
      <c r="AG810" s="10">
        <f>IF(tblOrdenes[[#This Row],[orden]]="","",MAX(0,_xlfn.XLOOKUP(tblOrdenes[[#This Row],[id_operacion]],tblEjecucion[id_operacion],tblEjecucion[costo_plan_total],0)-tblOrdenes[[#This Row],[costo_servicio]]))</f>
        <v/>
      </c>
      <c r="AH810" s="10">
        <f>IF(tblOrdenes[[#This Row],[orden]]="","",tblOrdenes[[#This Row],[costo_servicio]]+tblOrdenes[[#This Row],[costo_materiales]])</f>
        <v/>
      </c>
      <c r="AI810" s="6" t="n"/>
      <c r="AJ810" s="6" t="n"/>
      <c r="AK810" s="6" t="n"/>
      <c r="AL810" s="3">
        <f>IF(tblOrdenes[[#This Row],[link_checklist]]="","",HYPERLINK(p_ruta_base_checklists&amp;tblOrdenes[[#This Row],[link_checklist]],"abrir"))</f>
        <v/>
      </c>
      <c r="AM810" s="6" t="n"/>
      <c r="AN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Row],[tipo_ot]]="","",_xlfn.XLOOKUP(tblOrdenes[[#This Row],[tipo_ot]],tblTiposOT[codigo],tblTiposOT[clasificacion],"sin_clasificar"))</f>
        <v/>
      </c>
      <c r="T811" s="3">
        <f>IF(tblOrdenes[[#This Row],[centro_costo]]="","",_xlfn.XLOOKUP(tblOrdenes[[#This Row],[centro_costo]],tblCECO[codigo],tblCECO[linea],"(sin catálogo)"))</f>
        <v/>
      </c>
      <c r="U811" s="3">
        <f>IF(tblOrdenes[[#This Row],[centro_costo]]="","",_xlfn.XLOOKUP(tblOrdenes[[#This Row],[centro_costo]],tblCECO[codigo],tblCECO[area],"(sin catálogo)"))</f>
        <v/>
      </c>
      <c r="V811" s="3">
        <f>IF(tblOrdenes[[#This Row],[centro_costo]]="","",_xlfn.XLOOKUP(tblOrdenes[[#This Row],[centro_costo]],tblCECO[codigo],tblCECO[coordinador],"(sin catálogo)"))</f>
        <v/>
      </c>
      <c r="W811" s="3">
        <f>IF(tblOrdenes[[#This Row],[puesto_trabajo]]="","",_xlfn.XLOOKUP(tblOrdenes[[#This Row],[puesto_trabajo]],tblPuestos[codigo],tblPuestos[especialidad],"(sin catálogo)"))</f>
        <v/>
      </c>
      <c r="X811" s="3">
        <f>IF(tblOrdenes[[#This Row],[cod_actividad]]="","",_xlfn.XLOOKUP(tblOrdenes[[#This Row],[cod_actividad]],tblActividades[codigo],tblActividades[descripcion],"(sin catálogo)"))</f>
        <v/>
      </c>
      <c r="Y811" s="12">
        <f>IF(tblOrdenes[[#This Row],[fecha_inicio]]="","",TODAY()-tblOrdenes[[#This Row],[fecha_inicio]])</f>
        <v/>
      </c>
      <c r="Z811" s="3">
        <f>IF(tblOrdenes[[#This Row],[backlog_dias]]="","",IF(tblOrdenes[[#This Row],[backlog_dias]]&lt;0,"FUTURO",IF(tblOrdenes[[#This Row],[backlog_dias]]&gt;p_dias_backlog_max,"BACKLOG","MES CORRIENTE")))</f>
        <v/>
      </c>
      <c r="AA811" s="3">
        <f>IF(tblOrdenes[[#This Row],[backlog_dias]]="",FALSE,AND(tblOrdenes[[#This Row],[backlog_dias]]&gt;p_dias_backlog_min,tblOrdenes[[#This Row],[backlog_dias]]&lt;=p_dias_backlog_max))</f>
        <v/>
      </c>
      <c r="AB811" s="6" t="n"/>
      <c r="AC8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1" s="10">
        <f>IF(tblOrdenes[[#This Row],[orden]]="","",_xlfn.XLOOKUP(tblOrdenes[[#This Row],[id_operacion]],tblEjecucion[id_operacion],tblEjecucion[precio],0))</f>
        <v/>
      </c>
      <c r="AG811" s="10">
        <f>IF(tblOrdenes[[#This Row],[orden]]="","",MAX(0,_xlfn.XLOOKUP(tblOrdenes[[#This Row],[id_operacion]],tblEjecucion[id_operacion],tblEjecucion[costo_plan_total],0)-tblOrdenes[[#This Row],[costo_servicio]]))</f>
        <v/>
      </c>
      <c r="AH811" s="10">
        <f>IF(tblOrdenes[[#This Row],[orden]]="","",tblOrdenes[[#This Row],[costo_servicio]]+tblOrdenes[[#This Row],[costo_materiales]])</f>
        <v/>
      </c>
      <c r="AI811" s="6" t="n"/>
      <c r="AJ811" s="6" t="n"/>
      <c r="AK811" s="6" t="n"/>
      <c r="AL811" s="3">
        <f>IF(tblOrdenes[[#This Row],[link_checklist]]="","",HYPERLINK(p_ruta_base_checklists&amp;tblOrdenes[[#This Row],[link_checklist]],"abrir"))</f>
        <v/>
      </c>
      <c r="AM811" s="6" t="n"/>
      <c r="AN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Row],[tipo_ot]]="","",_xlfn.XLOOKUP(tblOrdenes[[#This Row],[tipo_ot]],tblTiposOT[codigo],tblTiposOT[clasificacion],"sin_clasificar"))</f>
        <v/>
      </c>
      <c r="T812" s="3">
        <f>IF(tblOrdenes[[#This Row],[centro_costo]]="","",_xlfn.XLOOKUP(tblOrdenes[[#This Row],[centro_costo]],tblCECO[codigo],tblCECO[linea],"(sin catálogo)"))</f>
        <v/>
      </c>
      <c r="U812" s="3">
        <f>IF(tblOrdenes[[#This Row],[centro_costo]]="","",_xlfn.XLOOKUP(tblOrdenes[[#This Row],[centro_costo]],tblCECO[codigo],tblCECO[area],"(sin catálogo)"))</f>
        <v/>
      </c>
      <c r="V812" s="3">
        <f>IF(tblOrdenes[[#This Row],[centro_costo]]="","",_xlfn.XLOOKUP(tblOrdenes[[#This Row],[centro_costo]],tblCECO[codigo],tblCECO[coordinador],"(sin catálogo)"))</f>
        <v/>
      </c>
      <c r="W812" s="3">
        <f>IF(tblOrdenes[[#This Row],[puesto_trabajo]]="","",_xlfn.XLOOKUP(tblOrdenes[[#This Row],[puesto_trabajo]],tblPuestos[codigo],tblPuestos[especialidad],"(sin catálogo)"))</f>
        <v/>
      </c>
      <c r="X812" s="3">
        <f>IF(tblOrdenes[[#This Row],[cod_actividad]]="","",_xlfn.XLOOKUP(tblOrdenes[[#This Row],[cod_actividad]],tblActividades[codigo],tblActividades[descripcion],"(sin catálogo)"))</f>
        <v/>
      </c>
      <c r="Y812" s="12">
        <f>IF(tblOrdenes[[#This Row],[fecha_inicio]]="","",TODAY()-tblOrdenes[[#This Row],[fecha_inicio]])</f>
        <v/>
      </c>
      <c r="Z812" s="3">
        <f>IF(tblOrdenes[[#This Row],[backlog_dias]]="","",IF(tblOrdenes[[#This Row],[backlog_dias]]&lt;0,"FUTURO",IF(tblOrdenes[[#This Row],[backlog_dias]]&gt;p_dias_backlog_max,"BACKLOG","MES CORRIENTE")))</f>
        <v/>
      </c>
      <c r="AA812" s="3">
        <f>IF(tblOrdenes[[#This Row],[backlog_dias]]="",FALSE,AND(tblOrdenes[[#This Row],[backlog_dias]]&gt;p_dias_backlog_min,tblOrdenes[[#This Row],[backlog_dias]]&lt;=p_dias_backlog_max))</f>
        <v/>
      </c>
      <c r="AB812" s="6" t="n"/>
      <c r="AC8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2" s="10">
        <f>IF(tblOrdenes[[#This Row],[orden]]="","",_xlfn.XLOOKUP(tblOrdenes[[#This Row],[id_operacion]],tblEjecucion[id_operacion],tblEjecucion[precio],0))</f>
        <v/>
      </c>
      <c r="AG812" s="10">
        <f>IF(tblOrdenes[[#This Row],[orden]]="","",MAX(0,_xlfn.XLOOKUP(tblOrdenes[[#This Row],[id_operacion]],tblEjecucion[id_operacion],tblEjecucion[costo_plan_total],0)-tblOrdenes[[#This Row],[costo_servicio]]))</f>
        <v/>
      </c>
      <c r="AH812" s="10">
        <f>IF(tblOrdenes[[#This Row],[orden]]="","",tblOrdenes[[#This Row],[costo_servicio]]+tblOrdenes[[#This Row],[costo_materiales]])</f>
        <v/>
      </c>
      <c r="AI812" s="6" t="n"/>
      <c r="AJ812" s="6" t="n"/>
      <c r="AK812" s="6" t="n"/>
      <c r="AL812" s="3">
        <f>IF(tblOrdenes[[#This Row],[link_checklist]]="","",HYPERLINK(p_ruta_base_checklists&amp;tblOrdenes[[#This Row],[link_checklist]],"abrir"))</f>
        <v/>
      </c>
      <c r="AM812" s="6" t="n"/>
      <c r="AN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Row],[tipo_ot]]="","",_xlfn.XLOOKUP(tblOrdenes[[#This Row],[tipo_ot]],tblTiposOT[codigo],tblTiposOT[clasificacion],"sin_clasificar"))</f>
        <v/>
      </c>
      <c r="T813" s="3">
        <f>IF(tblOrdenes[[#This Row],[centro_costo]]="","",_xlfn.XLOOKUP(tblOrdenes[[#This Row],[centro_costo]],tblCECO[codigo],tblCECO[linea],"(sin catálogo)"))</f>
        <v/>
      </c>
      <c r="U813" s="3">
        <f>IF(tblOrdenes[[#This Row],[centro_costo]]="","",_xlfn.XLOOKUP(tblOrdenes[[#This Row],[centro_costo]],tblCECO[codigo],tblCECO[area],"(sin catálogo)"))</f>
        <v/>
      </c>
      <c r="V813" s="3">
        <f>IF(tblOrdenes[[#This Row],[centro_costo]]="","",_xlfn.XLOOKUP(tblOrdenes[[#This Row],[centro_costo]],tblCECO[codigo],tblCECO[coordinador],"(sin catálogo)"))</f>
        <v/>
      </c>
      <c r="W813" s="3">
        <f>IF(tblOrdenes[[#This Row],[puesto_trabajo]]="","",_xlfn.XLOOKUP(tblOrdenes[[#This Row],[puesto_trabajo]],tblPuestos[codigo],tblPuestos[especialidad],"(sin catálogo)"))</f>
        <v/>
      </c>
      <c r="X813" s="3">
        <f>IF(tblOrdenes[[#This Row],[cod_actividad]]="","",_xlfn.XLOOKUP(tblOrdenes[[#This Row],[cod_actividad]],tblActividades[codigo],tblActividades[descripcion],"(sin catálogo)"))</f>
        <v/>
      </c>
      <c r="Y813" s="12">
        <f>IF(tblOrdenes[[#This Row],[fecha_inicio]]="","",TODAY()-tblOrdenes[[#This Row],[fecha_inicio]])</f>
        <v/>
      </c>
      <c r="Z813" s="3">
        <f>IF(tblOrdenes[[#This Row],[backlog_dias]]="","",IF(tblOrdenes[[#This Row],[backlog_dias]]&lt;0,"FUTURO",IF(tblOrdenes[[#This Row],[backlog_dias]]&gt;p_dias_backlog_max,"BACKLOG","MES CORRIENTE")))</f>
        <v/>
      </c>
      <c r="AA813" s="3">
        <f>IF(tblOrdenes[[#This Row],[backlog_dias]]="",FALSE,AND(tblOrdenes[[#This Row],[backlog_dias]]&gt;p_dias_backlog_min,tblOrdenes[[#This Row],[backlog_dias]]&lt;=p_dias_backlog_max))</f>
        <v/>
      </c>
      <c r="AB813" s="6" t="n"/>
      <c r="AC8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3" s="10">
        <f>IF(tblOrdenes[[#This Row],[orden]]="","",_xlfn.XLOOKUP(tblOrdenes[[#This Row],[id_operacion]],tblEjecucion[id_operacion],tblEjecucion[precio],0))</f>
        <v/>
      </c>
      <c r="AG813" s="10">
        <f>IF(tblOrdenes[[#This Row],[orden]]="","",MAX(0,_xlfn.XLOOKUP(tblOrdenes[[#This Row],[id_operacion]],tblEjecucion[id_operacion],tblEjecucion[costo_plan_total],0)-tblOrdenes[[#This Row],[costo_servicio]]))</f>
        <v/>
      </c>
      <c r="AH813" s="10">
        <f>IF(tblOrdenes[[#This Row],[orden]]="","",tblOrdenes[[#This Row],[costo_servicio]]+tblOrdenes[[#This Row],[costo_materiales]])</f>
        <v/>
      </c>
      <c r="AI813" s="6" t="n"/>
      <c r="AJ813" s="6" t="n"/>
      <c r="AK813" s="6" t="n"/>
      <c r="AL813" s="3">
        <f>IF(tblOrdenes[[#This Row],[link_checklist]]="","",HYPERLINK(p_ruta_base_checklists&amp;tblOrdenes[[#This Row],[link_checklist]],"abrir"))</f>
        <v/>
      </c>
      <c r="AM813" s="6" t="n"/>
      <c r="AN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Row],[tipo_ot]]="","",_xlfn.XLOOKUP(tblOrdenes[[#This Row],[tipo_ot]],tblTiposOT[codigo],tblTiposOT[clasificacion],"sin_clasificar"))</f>
        <v/>
      </c>
      <c r="T814" s="3">
        <f>IF(tblOrdenes[[#This Row],[centro_costo]]="","",_xlfn.XLOOKUP(tblOrdenes[[#This Row],[centro_costo]],tblCECO[codigo],tblCECO[linea],"(sin catálogo)"))</f>
        <v/>
      </c>
      <c r="U814" s="3">
        <f>IF(tblOrdenes[[#This Row],[centro_costo]]="","",_xlfn.XLOOKUP(tblOrdenes[[#This Row],[centro_costo]],tblCECO[codigo],tblCECO[area],"(sin catálogo)"))</f>
        <v/>
      </c>
      <c r="V814" s="3">
        <f>IF(tblOrdenes[[#This Row],[centro_costo]]="","",_xlfn.XLOOKUP(tblOrdenes[[#This Row],[centro_costo]],tblCECO[codigo],tblCECO[coordinador],"(sin catálogo)"))</f>
        <v/>
      </c>
      <c r="W814" s="3">
        <f>IF(tblOrdenes[[#This Row],[puesto_trabajo]]="","",_xlfn.XLOOKUP(tblOrdenes[[#This Row],[puesto_trabajo]],tblPuestos[codigo],tblPuestos[especialidad],"(sin catálogo)"))</f>
        <v/>
      </c>
      <c r="X814" s="3">
        <f>IF(tblOrdenes[[#This Row],[cod_actividad]]="","",_xlfn.XLOOKUP(tblOrdenes[[#This Row],[cod_actividad]],tblActividades[codigo],tblActividades[descripcion],"(sin catálogo)"))</f>
        <v/>
      </c>
      <c r="Y814" s="12">
        <f>IF(tblOrdenes[[#This Row],[fecha_inicio]]="","",TODAY()-tblOrdenes[[#This Row],[fecha_inicio]])</f>
        <v/>
      </c>
      <c r="Z814" s="3">
        <f>IF(tblOrdenes[[#This Row],[backlog_dias]]="","",IF(tblOrdenes[[#This Row],[backlog_dias]]&lt;0,"FUTURO",IF(tblOrdenes[[#This Row],[backlog_dias]]&gt;p_dias_backlog_max,"BACKLOG","MES CORRIENTE")))</f>
        <v/>
      </c>
      <c r="AA814" s="3">
        <f>IF(tblOrdenes[[#This Row],[backlog_dias]]="",FALSE,AND(tblOrdenes[[#This Row],[backlog_dias]]&gt;p_dias_backlog_min,tblOrdenes[[#This Row],[backlog_dias]]&lt;=p_dias_backlog_max))</f>
        <v/>
      </c>
      <c r="AB814" s="6" t="n"/>
      <c r="AC8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4" s="10">
        <f>IF(tblOrdenes[[#This Row],[orden]]="","",_xlfn.XLOOKUP(tblOrdenes[[#This Row],[id_operacion]],tblEjecucion[id_operacion],tblEjecucion[precio],0))</f>
        <v/>
      </c>
      <c r="AG814" s="10">
        <f>IF(tblOrdenes[[#This Row],[orden]]="","",MAX(0,_xlfn.XLOOKUP(tblOrdenes[[#This Row],[id_operacion]],tblEjecucion[id_operacion],tblEjecucion[costo_plan_total],0)-tblOrdenes[[#This Row],[costo_servicio]]))</f>
        <v/>
      </c>
      <c r="AH814" s="10">
        <f>IF(tblOrdenes[[#This Row],[orden]]="","",tblOrdenes[[#This Row],[costo_servicio]]+tblOrdenes[[#This Row],[costo_materiales]])</f>
        <v/>
      </c>
      <c r="AI814" s="6" t="n"/>
      <c r="AJ814" s="6" t="n"/>
      <c r="AK814" s="6" t="n"/>
      <c r="AL814" s="3">
        <f>IF(tblOrdenes[[#This Row],[link_checklist]]="","",HYPERLINK(p_ruta_base_checklists&amp;tblOrdenes[[#This Row],[link_checklist]],"abrir"))</f>
        <v/>
      </c>
      <c r="AM814" s="6" t="n"/>
      <c r="AN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Row],[tipo_ot]]="","",_xlfn.XLOOKUP(tblOrdenes[[#This Row],[tipo_ot]],tblTiposOT[codigo],tblTiposOT[clasificacion],"sin_clasificar"))</f>
        <v/>
      </c>
      <c r="T815" s="3">
        <f>IF(tblOrdenes[[#This Row],[centro_costo]]="","",_xlfn.XLOOKUP(tblOrdenes[[#This Row],[centro_costo]],tblCECO[codigo],tblCECO[linea],"(sin catálogo)"))</f>
        <v/>
      </c>
      <c r="U815" s="3">
        <f>IF(tblOrdenes[[#This Row],[centro_costo]]="","",_xlfn.XLOOKUP(tblOrdenes[[#This Row],[centro_costo]],tblCECO[codigo],tblCECO[area],"(sin catálogo)"))</f>
        <v/>
      </c>
      <c r="V815" s="3">
        <f>IF(tblOrdenes[[#This Row],[centro_costo]]="","",_xlfn.XLOOKUP(tblOrdenes[[#This Row],[centro_costo]],tblCECO[codigo],tblCECO[coordinador],"(sin catálogo)"))</f>
        <v/>
      </c>
      <c r="W815" s="3">
        <f>IF(tblOrdenes[[#This Row],[puesto_trabajo]]="","",_xlfn.XLOOKUP(tblOrdenes[[#This Row],[puesto_trabajo]],tblPuestos[codigo],tblPuestos[especialidad],"(sin catálogo)"))</f>
        <v/>
      </c>
      <c r="X815" s="3">
        <f>IF(tblOrdenes[[#This Row],[cod_actividad]]="","",_xlfn.XLOOKUP(tblOrdenes[[#This Row],[cod_actividad]],tblActividades[codigo],tblActividades[descripcion],"(sin catálogo)"))</f>
        <v/>
      </c>
      <c r="Y815" s="12">
        <f>IF(tblOrdenes[[#This Row],[fecha_inicio]]="","",TODAY()-tblOrdenes[[#This Row],[fecha_inicio]])</f>
        <v/>
      </c>
      <c r="Z815" s="3">
        <f>IF(tblOrdenes[[#This Row],[backlog_dias]]="","",IF(tblOrdenes[[#This Row],[backlog_dias]]&lt;0,"FUTURO",IF(tblOrdenes[[#This Row],[backlog_dias]]&gt;p_dias_backlog_max,"BACKLOG","MES CORRIENTE")))</f>
        <v/>
      </c>
      <c r="AA815" s="3">
        <f>IF(tblOrdenes[[#This Row],[backlog_dias]]="",FALSE,AND(tblOrdenes[[#This Row],[backlog_dias]]&gt;p_dias_backlog_min,tblOrdenes[[#This Row],[backlog_dias]]&lt;=p_dias_backlog_max))</f>
        <v/>
      </c>
      <c r="AB815" s="6" t="n"/>
      <c r="AC8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5" s="10">
        <f>IF(tblOrdenes[[#This Row],[orden]]="","",_xlfn.XLOOKUP(tblOrdenes[[#This Row],[id_operacion]],tblEjecucion[id_operacion],tblEjecucion[precio],0))</f>
        <v/>
      </c>
      <c r="AG815" s="10">
        <f>IF(tblOrdenes[[#This Row],[orden]]="","",MAX(0,_xlfn.XLOOKUP(tblOrdenes[[#This Row],[id_operacion]],tblEjecucion[id_operacion],tblEjecucion[costo_plan_total],0)-tblOrdenes[[#This Row],[costo_servicio]]))</f>
        <v/>
      </c>
      <c r="AH815" s="10">
        <f>IF(tblOrdenes[[#This Row],[orden]]="","",tblOrdenes[[#This Row],[costo_servicio]]+tblOrdenes[[#This Row],[costo_materiales]])</f>
        <v/>
      </c>
      <c r="AI815" s="6" t="n"/>
      <c r="AJ815" s="6" t="n"/>
      <c r="AK815" s="6" t="n"/>
      <c r="AL815" s="3">
        <f>IF(tblOrdenes[[#This Row],[link_checklist]]="","",HYPERLINK(p_ruta_base_checklists&amp;tblOrdenes[[#This Row],[link_checklist]],"abrir"))</f>
        <v/>
      </c>
      <c r="AM815" s="6" t="n"/>
      <c r="AN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Row],[tipo_ot]]="","",_xlfn.XLOOKUP(tblOrdenes[[#This Row],[tipo_ot]],tblTiposOT[codigo],tblTiposOT[clasificacion],"sin_clasificar"))</f>
        <v/>
      </c>
      <c r="T816" s="3">
        <f>IF(tblOrdenes[[#This Row],[centro_costo]]="","",_xlfn.XLOOKUP(tblOrdenes[[#This Row],[centro_costo]],tblCECO[codigo],tblCECO[linea],"(sin catálogo)"))</f>
        <v/>
      </c>
      <c r="U816" s="3">
        <f>IF(tblOrdenes[[#This Row],[centro_costo]]="","",_xlfn.XLOOKUP(tblOrdenes[[#This Row],[centro_costo]],tblCECO[codigo],tblCECO[area],"(sin catálogo)"))</f>
        <v/>
      </c>
      <c r="V816" s="3">
        <f>IF(tblOrdenes[[#This Row],[centro_costo]]="","",_xlfn.XLOOKUP(tblOrdenes[[#This Row],[centro_costo]],tblCECO[codigo],tblCECO[coordinador],"(sin catálogo)"))</f>
        <v/>
      </c>
      <c r="W816" s="3">
        <f>IF(tblOrdenes[[#This Row],[puesto_trabajo]]="","",_xlfn.XLOOKUP(tblOrdenes[[#This Row],[puesto_trabajo]],tblPuestos[codigo],tblPuestos[especialidad],"(sin catálogo)"))</f>
        <v/>
      </c>
      <c r="X816" s="3">
        <f>IF(tblOrdenes[[#This Row],[cod_actividad]]="","",_xlfn.XLOOKUP(tblOrdenes[[#This Row],[cod_actividad]],tblActividades[codigo],tblActividades[descripcion],"(sin catálogo)"))</f>
        <v/>
      </c>
      <c r="Y816" s="12">
        <f>IF(tblOrdenes[[#This Row],[fecha_inicio]]="","",TODAY()-tblOrdenes[[#This Row],[fecha_inicio]])</f>
        <v/>
      </c>
      <c r="Z816" s="3">
        <f>IF(tblOrdenes[[#This Row],[backlog_dias]]="","",IF(tblOrdenes[[#This Row],[backlog_dias]]&lt;0,"FUTURO",IF(tblOrdenes[[#This Row],[backlog_dias]]&gt;p_dias_backlog_max,"BACKLOG","MES CORRIENTE")))</f>
        <v/>
      </c>
      <c r="AA816" s="3">
        <f>IF(tblOrdenes[[#This Row],[backlog_dias]]="",FALSE,AND(tblOrdenes[[#This Row],[backlog_dias]]&gt;p_dias_backlog_min,tblOrdenes[[#This Row],[backlog_dias]]&lt;=p_dias_backlog_max))</f>
        <v/>
      </c>
      <c r="AB816" s="6" t="n"/>
      <c r="AC8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6" s="10">
        <f>IF(tblOrdenes[[#This Row],[orden]]="","",_xlfn.XLOOKUP(tblOrdenes[[#This Row],[id_operacion]],tblEjecucion[id_operacion],tblEjecucion[precio],0))</f>
        <v/>
      </c>
      <c r="AG816" s="10">
        <f>IF(tblOrdenes[[#This Row],[orden]]="","",MAX(0,_xlfn.XLOOKUP(tblOrdenes[[#This Row],[id_operacion]],tblEjecucion[id_operacion],tblEjecucion[costo_plan_total],0)-tblOrdenes[[#This Row],[costo_servicio]]))</f>
        <v/>
      </c>
      <c r="AH816" s="10">
        <f>IF(tblOrdenes[[#This Row],[orden]]="","",tblOrdenes[[#This Row],[costo_servicio]]+tblOrdenes[[#This Row],[costo_materiales]])</f>
        <v/>
      </c>
      <c r="AI816" s="6" t="n"/>
      <c r="AJ816" s="6" t="n"/>
      <c r="AK816" s="6" t="n"/>
      <c r="AL816" s="3">
        <f>IF(tblOrdenes[[#This Row],[link_checklist]]="","",HYPERLINK(p_ruta_base_checklists&amp;tblOrdenes[[#This Row],[link_checklist]],"abrir"))</f>
        <v/>
      </c>
      <c r="AM816" s="6" t="n"/>
      <c r="AN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Row],[tipo_ot]]="","",_xlfn.XLOOKUP(tblOrdenes[[#This Row],[tipo_ot]],tblTiposOT[codigo],tblTiposOT[clasificacion],"sin_clasificar"))</f>
        <v/>
      </c>
      <c r="T817" s="3">
        <f>IF(tblOrdenes[[#This Row],[centro_costo]]="","",_xlfn.XLOOKUP(tblOrdenes[[#This Row],[centro_costo]],tblCECO[codigo],tblCECO[linea],"(sin catálogo)"))</f>
        <v/>
      </c>
      <c r="U817" s="3">
        <f>IF(tblOrdenes[[#This Row],[centro_costo]]="","",_xlfn.XLOOKUP(tblOrdenes[[#This Row],[centro_costo]],tblCECO[codigo],tblCECO[area],"(sin catálogo)"))</f>
        <v/>
      </c>
      <c r="V817" s="3">
        <f>IF(tblOrdenes[[#This Row],[centro_costo]]="","",_xlfn.XLOOKUP(tblOrdenes[[#This Row],[centro_costo]],tblCECO[codigo],tblCECO[coordinador],"(sin catálogo)"))</f>
        <v/>
      </c>
      <c r="W817" s="3">
        <f>IF(tblOrdenes[[#This Row],[puesto_trabajo]]="","",_xlfn.XLOOKUP(tblOrdenes[[#This Row],[puesto_trabajo]],tblPuestos[codigo],tblPuestos[especialidad],"(sin catálogo)"))</f>
        <v/>
      </c>
      <c r="X817" s="3">
        <f>IF(tblOrdenes[[#This Row],[cod_actividad]]="","",_xlfn.XLOOKUP(tblOrdenes[[#This Row],[cod_actividad]],tblActividades[codigo],tblActividades[descripcion],"(sin catálogo)"))</f>
        <v/>
      </c>
      <c r="Y817" s="12">
        <f>IF(tblOrdenes[[#This Row],[fecha_inicio]]="","",TODAY()-tblOrdenes[[#This Row],[fecha_inicio]])</f>
        <v/>
      </c>
      <c r="Z817" s="3">
        <f>IF(tblOrdenes[[#This Row],[backlog_dias]]="","",IF(tblOrdenes[[#This Row],[backlog_dias]]&lt;0,"FUTURO",IF(tblOrdenes[[#This Row],[backlog_dias]]&gt;p_dias_backlog_max,"BACKLOG","MES CORRIENTE")))</f>
        <v/>
      </c>
      <c r="AA817" s="3">
        <f>IF(tblOrdenes[[#This Row],[backlog_dias]]="",FALSE,AND(tblOrdenes[[#This Row],[backlog_dias]]&gt;p_dias_backlog_min,tblOrdenes[[#This Row],[backlog_dias]]&lt;=p_dias_backlog_max))</f>
        <v/>
      </c>
      <c r="AB817" s="6" t="n"/>
      <c r="AC8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7" s="10">
        <f>IF(tblOrdenes[[#This Row],[orden]]="","",_xlfn.XLOOKUP(tblOrdenes[[#This Row],[id_operacion]],tblEjecucion[id_operacion],tblEjecucion[precio],0))</f>
        <v/>
      </c>
      <c r="AG817" s="10">
        <f>IF(tblOrdenes[[#This Row],[orden]]="","",MAX(0,_xlfn.XLOOKUP(tblOrdenes[[#This Row],[id_operacion]],tblEjecucion[id_operacion],tblEjecucion[costo_plan_total],0)-tblOrdenes[[#This Row],[costo_servicio]]))</f>
        <v/>
      </c>
      <c r="AH817" s="10">
        <f>IF(tblOrdenes[[#This Row],[orden]]="","",tblOrdenes[[#This Row],[costo_servicio]]+tblOrdenes[[#This Row],[costo_materiales]])</f>
        <v/>
      </c>
      <c r="AI817" s="6" t="n"/>
      <c r="AJ817" s="6" t="n"/>
      <c r="AK817" s="6" t="n"/>
      <c r="AL817" s="3">
        <f>IF(tblOrdenes[[#This Row],[link_checklist]]="","",HYPERLINK(p_ruta_base_checklists&amp;tblOrdenes[[#This Row],[link_checklist]],"abrir"))</f>
        <v/>
      </c>
      <c r="AM817" s="6" t="n"/>
      <c r="AN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Row],[tipo_ot]]="","",_xlfn.XLOOKUP(tblOrdenes[[#This Row],[tipo_ot]],tblTiposOT[codigo],tblTiposOT[clasificacion],"sin_clasificar"))</f>
        <v/>
      </c>
      <c r="T818" s="3">
        <f>IF(tblOrdenes[[#This Row],[centro_costo]]="","",_xlfn.XLOOKUP(tblOrdenes[[#This Row],[centro_costo]],tblCECO[codigo],tblCECO[linea],"(sin catálogo)"))</f>
        <v/>
      </c>
      <c r="U818" s="3">
        <f>IF(tblOrdenes[[#This Row],[centro_costo]]="","",_xlfn.XLOOKUP(tblOrdenes[[#This Row],[centro_costo]],tblCECO[codigo],tblCECO[area],"(sin catálogo)"))</f>
        <v/>
      </c>
      <c r="V818" s="3">
        <f>IF(tblOrdenes[[#This Row],[centro_costo]]="","",_xlfn.XLOOKUP(tblOrdenes[[#This Row],[centro_costo]],tblCECO[codigo],tblCECO[coordinador],"(sin catálogo)"))</f>
        <v/>
      </c>
      <c r="W818" s="3">
        <f>IF(tblOrdenes[[#This Row],[puesto_trabajo]]="","",_xlfn.XLOOKUP(tblOrdenes[[#This Row],[puesto_trabajo]],tblPuestos[codigo],tblPuestos[especialidad],"(sin catálogo)"))</f>
        <v/>
      </c>
      <c r="X818" s="3">
        <f>IF(tblOrdenes[[#This Row],[cod_actividad]]="","",_xlfn.XLOOKUP(tblOrdenes[[#This Row],[cod_actividad]],tblActividades[codigo],tblActividades[descripcion],"(sin catálogo)"))</f>
        <v/>
      </c>
      <c r="Y818" s="12">
        <f>IF(tblOrdenes[[#This Row],[fecha_inicio]]="","",TODAY()-tblOrdenes[[#This Row],[fecha_inicio]])</f>
        <v/>
      </c>
      <c r="Z818" s="3">
        <f>IF(tblOrdenes[[#This Row],[backlog_dias]]="","",IF(tblOrdenes[[#This Row],[backlog_dias]]&lt;0,"FUTURO",IF(tblOrdenes[[#This Row],[backlog_dias]]&gt;p_dias_backlog_max,"BACKLOG","MES CORRIENTE")))</f>
        <v/>
      </c>
      <c r="AA818" s="3">
        <f>IF(tblOrdenes[[#This Row],[backlog_dias]]="",FALSE,AND(tblOrdenes[[#This Row],[backlog_dias]]&gt;p_dias_backlog_min,tblOrdenes[[#This Row],[backlog_dias]]&lt;=p_dias_backlog_max))</f>
        <v/>
      </c>
      <c r="AB818" s="6" t="n"/>
      <c r="AC8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8" s="10">
        <f>IF(tblOrdenes[[#This Row],[orden]]="","",_xlfn.XLOOKUP(tblOrdenes[[#This Row],[id_operacion]],tblEjecucion[id_operacion],tblEjecucion[precio],0))</f>
        <v/>
      </c>
      <c r="AG818" s="10">
        <f>IF(tblOrdenes[[#This Row],[orden]]="","",MAX(0,_xlfn.XLOOKUP(tblOrdenes[[#This Row],[id_operacion]],tblEjecucion[id_operacion],tblEjecucion[costo_plan_total],0)-tblOrdenes[[#This Row],[costo_servicio]]))</f>
        <v/>
      </c>
      <c r="AH818" s="10">
        <f>IF(tblOrdenes[[#This Row],[orden]]="","",tblOrdenes[[#This Row],[costo_servicio]]+tblOrdenes[[#This Row],[costo_materiales]])</f>
        <v/>
      </c>
      <c r="AI818" s="6" t="n"/>
      <c r="AJ818" s="6" t="n"/>
      <c r="AK818" s="6" t="n"/>
      <c r="AL818" s="3">
        <f>IF(tblOrdenes[[#This Row],[link_checklist]]="","",HYPERLINK(p_ruta_base_checklists&amp;tblOrdenes[[#This Row],[link_checklist]],"abrir"))</f>
        <v/>
      </c>
      <c r="AM818" s="6" t="n"/>
      <c r="AN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Row],[tipo_ot]]="","",_xlfn.XLOOKUP(tblOrdenes[[#This Row],[tipo_ot]],tblTiposOT[codigo],tblTiposOT[clasificacion],"sin_clasificar"))</f>
        <v/>
      </c>
      <c r="T819" s="3">
        <f>IF(tblOrdenes[[#This Row],[centro_costo]]="","",_xlfn.XLOOKUP(tblOrdenes[[#This Row],[centro_costo]],tblCECO[codigo],tblCECO[linea],"(sin catálogo)"))</f>
        <v/>
      </c>
      <c r="U819" s="3">
        <f>IF(tblOrdenes[[#This Row],[centro_costo]]="","",_xlfn.XLOOKUP(tblOrdenes[[#This Row],[centro_costo]],tblCECO[codigo],tblCECO[area],"(sin catálogo)"))</f>
        <v/>
      </c>
      <c r="V819" s="3">
        <f>IF(tblOrdenes[[#This Row],[centro_costo]]="","",_xlfn.XLOOKUP(tblOrdenes[[#This Row],[centro_costo]],tblCECO[codigo],tblCECO[coordinador],"(sin catálogo)"))</f>
        <v/>
      </c>
      <c r="W819" s="3">
        <f>IF(tblOrdenes[[#This Row],[puesto_trabajo]]="","",_xlfn.XLOOKUP(tblOrdenes[[#This Row],[puesto_trabajo]],tblPuestos[codigo],tblPuestos[especialidad],"(sin catálogo)"))</f>
        <v/>
      </c>
      <c r="X819" s="3">
        <f>IF(tblOrdenes[[#This Row],[cod_actividad]]="","",_xlfn.XLOOKUP(tblOrdenes[[#This Row],[cod_actividad]],tblActividades[codigo],tblActividades[descripcion],"(sin catálogo)"))</f>
        <v/>
      </c>
      <c r="Y819" s="12">
        <f>IF(tblOrdenes[[#This Row],[fecha_inicio]]="","",TODAY()-tblOrdenes[[#This Row],[fecha_inicio]])</f>
        <v/>
      </c>
      <c r="Z819" s="3">
        <f>IF(tblOrdenes[[#This Row],[backlog_dias]]="","",IF(tblOrdenes[[#This Row],[backlog_dias]]&lt;0,"FUTURO",IF(tblOrdenes[[#This Row],[backlog_dias]]&gt;p_dias_backlog_max,"BACKLOG","MES CORRIENTE")))</f>
        <v/>
      </c>
      <c r="AA819" s="3">
        <f>IF(tblOrdenes[[#This Row],[backlog_dias]]="",FALSE,AND(tblOrdenes[[#This Row],[backlog_dias]]&gt;p_dias_backlog_min,tblOrdenes[[#This Row],[backlog_dias]]&lt;=p_dias_backlog_max))</f>
        <v/>
      </c>
      <c r="AB819" s="6" t="n"/>
      <c r="AC8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9" s="10">
        <f>IF(tblOrdenes[[#This Row],[orden]]="","",_xlfn.XLOOKUP(tblOrdenes[[#This Row],[id_operacion]],tblEjecucion[id_operacion],tblEjecucion[precio],0))</f>
        <v/>
      </c>
      <c r="AG819" s="10">
        <f>IF(tblOrdenes[[#This Row],[orden]]="","",MAX(0,_xlfn.XLOOKUP(tblOrdenes[[#This Row],[id_operacion]],tblEjecucion[id_operacion],tblEjecucion[costo_plan_total],0)-tblOrdenes[[#This Row],[costo_servicio]]))</f>
        <v/>
      </c>
      <c r="AH819" s="10">
        <f>IF(tblOrdenes[[#This Row],[orden]]="","",tblOrdenes[[#This Row],[costo_servicio]]+tblOrdenes[[#This Row],[costo_materiales]])</f>
        <v/>
      </c>
      <c r="AI819" s="6" t="n"/>
      <c r="AJ819" s="6" t="n"/>
      <c r="AK819" s="6" t="n"/>
      <c r="AL819" s="3">
        <f>IF(tblOrdenes[[#This Row],[link_checklist]]="","",HYPERLINK(p_ruta_base_checklists&amp;tblOrdenes[[#This Row],[link_checklist]],"abrir"))</f>
        <v/>
      </c>
      <c r="AM819" s="6" t="n"/>
      <c r="AN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Row],[tipo_ot]]="","",_xlfn.XLOOKUP(tblOrdenes[[#This Row],[tipo_ot]],tblTiposOT[codigo],tblTiposOT[clasificacion],"sin_clasificar"))</f>
        <v/>
      </c>
      <c r="T820" s="3">
        <f>IF(tblOrdenes[[#This Row],[centro_costo]]="","",_xlfn.XLOOKUP(tblOrdenes[[#This Row],[centro_costo]],tblCECO[codigo],tblCECO[linea],"(sin catálogo)"))</f>
        <v/>
      </c>
      <c r="U820" s="3">
        <f>IF(tblOrdenes[[#This Row],[centro_costo]]="","",_xlfn.XLOOKUP(tblOrdenes[[#This Row],[centro_costo]],tblCECO[codigo],tblCECO[area],"(sin catálogo)"))</f>
        <v/>
      </c>
      <c r="V820" s="3">
        <f>IF(tblOrdenes[[#This Row],[centro_costo]]="","",_xlfn.XLOOKUP(tblOrdenes[[#This Row],[centro_costo]],tblCECO[codigo],tblCECO[coordinador],"(sin catálogo)"))</f>
        <v/>
      </c>
      <c r="W820" s="3">
        <f>IF(tblOrdenes[[#This Row],[puesto_trabajo]]="","",_xlfn.XLOOKUP(tblOrdenes[[#This Row],[puesto_trabajo]],tblPuestos[codigo],tblPuestos[especialidad],"(sin catálogo)"))</f>
        <v/>
      </c>
      <c r="X820" s="3">
        <f>IF(tblOrdenes[[#This Row],[cod_actividad]]="","",_xlfn.XLOOKUP(tblOrdenes[[#This Row],[cod_actividad]],tblActividades[codigo],tblActividades[descripcion],"(sin catálogo)"))</f>
        <v/>
      </c>
      <c r="Y820" s="12">
        <f>IF(tblOrdenes[[#This Row],[fecha_inicio]]="","",TODAY()-tblOrdenes[[#This Row],[fecha_inicio]])</f>
        <v/>
      </c>
      <c r="Z820" s="3">
        <f>IF(tblOrdenes[[#This Row],[backlog_dias]]="","",IF(tblOrdenes[[#This Row],[backlog_dias]]&lt;0,"FUTURO",IF(tblOrdenes[[#This Row],[backlog_dias]]&gt;p_dias_backlog_max,"BACKLOG","MES CORRIENTE")))</f>
        <v/>
      </c>
      <c r="AA820" s="3">
        <f>IF(tblOrdenes[[#This Row],[backlog_dias]]="",FALSE,AND(tblOrdenes[[#This Row],[backlog_dias]]&gt;p_dias_backlog_min,tblOrdenes[[#This Row],[backlog_dias]]&lt;=p_dias_backlog_max))</f>
        <v/>
      </c>
      <c r="AB820" s="6" t="n"/>
      <c r="AC8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0" s="10">
        <f>IF(tblOrdenes[[#This Row],[orden]]="","",_xlfn.XLOOKUP(tblOrdenes[[#This Row],[id_operacion]],tblEjecucion[id_operacion],tblEjecucion[precio],0))</f>
        <v/>
      </c>
      <c r="AG820" s="10">
        <f>IF(tblOrdenes[[#This Row],[orden]]="","",MAX(0,_xlfn.XLOOKUP(tblOrdenes[[#This Row],[id_operacion]],tblEjecucion[id_operacion],tblEjecucion[costo_plan_total],0)-tblOrdenes[[#This Row],[costo_servicio]]))</f>
        <v/>
      </c>
      <c r="AH820" s="10">
        <f>IF(tblOrdenes[[#This Row],[orden]]="","",tblOrdenes[[#This Row],[costo_servicio]]+tblOrdenes[[#This Row],[costo_materiales]])</f>
        <v/>
      </c>
      <c r="AI820" s="6" t="n"/>
      <c r="AJ820" s="6" t="n"/>
      <c r="AK820" s="6" t="n"/>
      <c r="AL820" s="3">
        <f>IF(tblOrdenes[[#This Row],[link_checklist]]="","",HYPERLINK(p_ruta_base_checklists&amp;tblOrdenes[[#This Row],[link_checklist]],"abrir"))</f>
        <v/>
      </c>
      <c r="AM820" s="6" t="n"/>
      <c r="AN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Row],[tipo_ot]]="","",_xlfn.XLOOKUP(tblOrdenes[[#This Row],[tipo_ot]],tblTiposOT[codigo],tblTiposOT[clasificacion],"sin_clasificar"))</f>
        <v/>
      </c>
      <c r="T821" s="3">
        <f>IF(tblOrdenes[[#This Row],[centro_costo]]="","",_xlfn.XLOOKUP(tblOrdenes[[#This Row],[centro_costo]],tblCECO[codigo],tblCECO[linea],"(sin catálogo)"))</f>
        <v/>
      </c>
      <c r="U821" s="3">
        <f>IF(tblOrdenes[[#This Row],[centro_costo]]="","",_xlfn.XLOOKUP(tblOrdenes[[#This Row],[centro_costo]],tblCECO[codigo],tblCECO[area],"(sin catálogo)"))</f>
        <v/>
      </c>
      <c r="V821" s="3">
        <f>IF(tblOrdenes[[#This Row],[centro_costo]]="","",_xlfn.XLOOKUP(tblOrdenes[[#This Row],[centro_costo]],tblCECO[codigo],tblCECO[coordinador],"(sin catálogo)"))</f>
        <v/>
      </c>
      <c r="W821" s="3">
        <f>IF(tblOrdenes[[#This Row],[puesto_trabajo]]="","",_xlfn.XLOOKUP(tblOrdenes[[#This Row],[puesto_trabajo]],tblPuestos[codigo],tblPuestos[especialidad],"(sin catálogo)"))</f>
        <v/>
      </c>
      <c r="X821" s="3">
        <f>IF(tblOrdenes[[#This Row],[cod_actividad]]="","",_xlfn.XLOOKUP(tblOrdenes[[#This Row],[cod_actividad]],tblActividades[codigo],tblActividades[descripcion],"(sin catálogo)"))</f>
        <v/>
      </c>
      <c r="Y821" s="12">
        <f>IF(tblOrdenes[[#This Row],[fecha_inicio]]="","",TODAY()-tblOrdenes[[#This Row],[fecha_inicio]])</f>
        <v/>
      </c>
      <c r="Z821" s="3">
        <f>IF(tblOrdenes[[#This Row],[backlog_dias]]="","",IF(tblOrdenes[[#This Row],[backlog_dias]]&lt;0,"FUTURO",IF(tblOrdenes[[#This Row],[backlog_dias]]&gt;p_dias_backlog_max,"BACKLOG","MES CORRIENTE")))</f>
        <v/>
      </c>
      <c r="AA821" s="3">
        <f>IF(tblOrdenes[[#This Row],[backlog_dias]]="",FALSE,AND(tblOrdenes[[#This Row],[backlog_dias]]&gt;p_dias_backlog_min,tblOrdenes[[#This Row],[backlog_dias]]&lt;=p_dias_backlog_max))</f>
        <v/>
      </c>
      <c r="AB821" s="6" t="n"/>
      <c r="AC8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1" s="10">
        <f>IF(tblOrdenes[[#This Row],[orden]]="","",_xlfn.XLOOKUP(tblOrdenes[[#This Row],[id_operacion]],tblEjecucion[id_operacion],tblEjecucion[precio],0))</f>
        <v/>
      </c>
      <c r="AG821" s="10">
        <f>IF(tblOrdenes[[#This Row],[orden]]="","",MAX(0,_xlfn.XLOOKUP(tblOrdenes[[#This Row],[id_operacion]],tblEjecucion[id_operacion],tblEjecucion[costo_plan_total],0)-tblOrdenes[[#This Row],[costo_servicio]]))</f>
        <v/>
      </c>
      <c r="AH821" s="10">
        <f>IF(tblOrdenes[[#This Row],[orden]]="","",tblOrdenes[[#This Row],[costo_servicio]]+tblOrdenes[[#This Row],[costo_materiales]])</f>
        <v/>
      </c>
      <c r="AI821" s="6" t="n"/>
      <c r="AJ821" s="6" t="n"/>
      <c r="AK821" s="6" t="n"/>
      <c r="AL821" s="3">
        <f>IF(tblOrdenes[[#This Row],[link_checklist]]="","",HYPERLINK(p_ruta_base_checklists&amp;tblOrdenes[[#This Row],[link_checklist]],"abrir"))</f>
        <v/>
      </c>
      <c r="AM821" s="6" t="n"/>
      <c r="AN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Row],[tipo_ot]]="","",_xlfn.XLOOKUP(tblOrdenes[[#This Row],[tipo_ot]],tblTiposOT[codigo],tblTiposOT[clasificacion],"sin_clasificar"))</f>
        <v/>
      </c>
      <c r="T822" s="3">
        <f>IF(tblOrdenes[[#This Row],[centro_costo]]="","",_xlfn.XLOOKUP(tblOrdenes[[#This Row],[centro_costo]],tblCECO[codigo],tblCECO[linea],"(sin catálogo)"))</f>
        <v/>
      </c>
      <c r="U822" s="3">
        <f>IF(tblOrdenes[[#This Row],[centro_costo]]="","",_xlfn.XLOOKUP(tblOrdenes[[#This Row],[centro_costo]],tblCECO[codigo],tblCECO[area],"(sin catálogo)"))</f>
        <v/>
      </c>
      <c r="V822" s="3">
        <f>IF(tblOrdenes[[#This Row],[centro_costo]]="","",_xlfn.XLOOKUP(tblOrdenes[[#This Row],[centro_costo]],tblCECO[codigo],tblCECO[coordinador],"(sin catálogo)"))</f>
        <v/>
      </c>
      <c r="W822" s="3">
        <f>IF(tblOrdenes[[#This Row],[puesto_trabajo]]="","",_xlfn.XLOOKUP(tblOrdenes[[#This Row],[puesto_trabajo]],tblPuestos[codigo],tblPuestos[especialidad],"(sin catálogo)"))</f>
        <v/>
      </c>
      <c r="X822" s="3">
        <f>IF(tblOrdenes[[#This Row],[cod_actividad]]="","",_xlfn.XLOOKUP(tblOrdenes[[#This Row],[cod_actividad]],tblActividades[codigo],tblActividades[descripcion],"(sin catálogo)"))</f>
        <v/>
      </c>
      <c r="Y822" s="12">
        <f>IF(tblOrdenes[[#This Row],[fecha_inicio]]="","",TODAY()-tblOrdenes[[#This Row],[fecha_inicio]])</f>
        <v/>
      </c>
      <c r="Z822" s="3">
        <f>IF(tblOrdenes[[#This Row],[backlog_dias]]="","",IF(tblOrdenes[[#This Row],[backlog_dias]]&lt;0,"FUTURO",IF(tblOrdenes[[#This Row],[backlog_dias]]&gt;p_dias_backlog_max,"BACKLOG","MES CORRIENTE")))</f>
        <v/>
      </c>
      <c r="AA822" s="3">
        <f>IF(tblOrdenes[[#This Row],[backlog_dias]]="",FALSE,AND(tblOrdenes[[#This Row],[backlog_dias]]&gt;p_dias_backlog_min,tblOrdenes[[#This Row],[backlog_dias]]&lt;=p_dias_backlog_max))</f>
        <v/>
      </c>
      <c r="AB822" s="6" t="n"/>
      <c r="AC8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2" s="10">
        <f>IF(tblOrdenes[[#This Row],[orden]]="","",_xlfn.XLOOKUP(tblOrdenes[[#This Row],[id_operacion]],tblEjecucion[id_operacion],tblEjecucion[precio],0))</f>
        <v/>
      </c>
      <c r="AG822" s="10">
        <f>IF(tblOrdenes[[#This Row],[orden]]="","",MAX(0,_xlfn.XLOOKUP(tblOrdenes[[#This Row],[id_operacion]],tblEjecucion[id_operacion],tblEjecucion[costo_plan_total],0)-tblOrdenes[[#This Row],[costo_servicio]]))</f>
        <v/>
      </c>
      <c r="AH822" s="10">
        <f>IF(tblOrdenes[[#This Row],[orden]]="","",tblOrdenes[[#This Row],[costo_servicio]]+tblOrdenes[[#This Row],[costo_materiales]])</f>
        <v/>
      </c>
      <c r="AI822" s="6" t="n"/>
      <c r="AJ822" s="6" t="n"/>
      <c r="AK822" s="6" t="n"/>
      <c r="AL822" s="3">
        <f>IF(tblOrdenes[[#This Row],[link_checklist]]="","",HYPERLINK(p_ruta_base_checklists&amp;tblOrdenes[[#This Row],[link_checklist]],"abrir"))</f>
        <v/>
      </c>
      <c r="AM822" s="6" t="n"/>
      <c r="AN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Row],[tipo_ot]]="","",_xlfn.XLOOKUP(tblOrdenes[[#This Row],[tipo_ot]],tblTiposOT[codigo],tblTiposOT[clasificacion],"sin_clasificar"))</f>
        <v/>
      </c>
      <c r="T823" s="3">
        <f>IF(tblOrdenes[[#This Row],[centro_costo]]="","",_xlfn.XLOOKUP(tblOrdenes[[#This Row],[centro_costo]],tblCECO[codigo],tblCECO[linea],"(sin catálogo)"))</f>
        <v/>
      </c>
      <c r="U823" s="3">
        <f>IF(tblOrdenes[[#This Row],[centro_costo]]="","",_xlfn.XLOOKUP(tblOrdenes[[#This Row],[centro_costo]],tblCECO[codigo],tblCECO[area],"(sin catálogo)"))</f>
        <v/>
      </c>
      <c r="V823" s="3">
        <f>IF(tblOrdenes[[#This Row],[centro_costo]]="","",_xlfn.XLOOKUP(tblOrdenes[[#This Row],[centro_costo]],tblCECO[codigo],tblCECO[coordinador],"(sin catálogo)"))</f>
        <v/>
      </c>
      <c r="W823" s="3">
        <f>IF(tblOrdenes[[#This Row],[puesto_trabajo]]="","",_xlfn.XLOOKUP(tblOrdenes[[#This Row],[puesto_trabajo]],tblPuestos[codigo],tblPuestos[especialidad],"(sin catálogo)"))</f>
        <v/>
      </c>
      <c r="X823" s="3">
        <f>IF(tblOrdenes[[#This Row],[cod_actividad]]="","",_xlfn.XLOOKUP(tblOrdenes[[#This Row],[cod_actividad]],tblActividades[codigo],tblActividades[descripcion],"(sin catálogo)"))</f>
        <v/>
      </c>
      <c r="Y823" s="12">
        <f>IF(tblOrdenes[[#This Row],[fecha_inicio]]="","",TODAY()-tblOrdenes[[#This Row],[fecha_inicio]])</f>
        <v/>
      </c>
      <c r="Z823" s="3">
        <f>IF(tblOrdenes[[#This Row],[backlog_dias]]="","",IF(tblOrdenes[[#This Row],[backlog_dias]]&lt;0,"FUTURO",IF(tblOrdenes[[#This Row],[backlog_dias]]&gt;p_dias_backlog_max,"BACKLOG","MES CORRIENTE")))</f>
        <v/>
      </c>
      <c r="AA823" s="3">
        <f>IF(tblOrdenes[[#This Row],[backlog_dias]]="",FALSE,AND(tblOrdenes[[#This Row],[backlog_dias]]&gt;p_dias_backlog_min,tblOrdenes[[#This Row],[backlog_dias]]&lt;=p_dias_backlog_max))</f>
        <v/>
      </c>
      <c r="AB823" s="6" t="n"/>
      <c r="AC8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3" s="10">
        <f>IF(tblOrdenes[[#This Row],[orden]]="","",_xlfn.XLOOKUP(tblOrdenes[[#This Row],[id_operacion]],tblEjecucion[id_operacion],tblEjecucion[precio],0))</f>
        <v/>
      </c>
      <c r="AG823" s="10">
        <f>IF(tblOrdenes[[#This Row],[orden]]="","",MAX(0,_xlfn.XLOOKUP(tblOrdenes[[#This Row],[id_operacion]],tblEjecucion[id_operacion],tblEjecucion[costo_plan_total],0)-tblOrdenes[[#This Row],[costo_servicio]]))</f>
        <v/>
      </c>
      <c r="AH823" s="10">
        <f>IF(tblOrdenes[[#This Row],[orden]]="","",tblOrdenes[[#This Row],[costo_servicio]]+tblOrdenes[[#This Row],[costo_materiales]])</f>
        <v/>
      </c>
      <c r="AI823" s="6" t="n"/>
      <c r="AJ823" s="6" t="n"/>
      <c r="AK823" s="6" t="n"/>
      <c r="AL823" s="3">
        <f>IF(tblOrdenes[[#This Row],[link_checklist]]="","",HYPERLINK(p_ruta_base_checklists&amp;tblOrdenes[[#This Row],[link_checklist]],"abrir"))</f>
        <v/>
      </c>
      <c r="AM823" s="6" t="n"/>
      <c r="AN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Row],[tipo_ot]]="","",_xlfn.XLOOKUP(tblOrdenes[[#This Row],[tipo_ot]],tblTiposOT[codigo],tblTiposOT[clasificacion],"sin_clasificar"))</f>
        <v/>
      </c>
      <c r="T824" s="3">
        <f>IF(tblOrdenes[[#This Row],[centro_costo]]="","",_xlfn.XLOOKUP(tblOrdenes[[#This Row],[centro_costo]],tblCECO[codigo],tblCECO[linea],"(sin catálogo)"))</f>
        <v/>
      </c>
      <c r="U824" s="3">
        <f>IF(tblOrdenes[[#This Row],[centro_costo]]="","",_xlfn.XLOOKUP(tblOrdenes[[#This Row],[centro_costo]],tblCECO[codigo],tblCECO[area],"(sin catálogo)"))</f>
        <v/>
      </c>
      <c r="V824" s="3">
        <f>IF(tblOrdenes[[#This Row],[centro_costo]]="","",_xlfn.XLOOKUP(tblOrdenes[[#This Row],[centro_costo]],tblCECO[codigo],tblCECO[coordinador],"(sin catálogo)"))</f>
        <v/>
      </c>
      <c r="W824" s="3">
        <f>IF(tblOrdenes[[#This Row],[puesto_trabajo]]="","",_xlfn.XLOOKUP(tblOrdenes[[#This Row],[puesto_trabajo]],tblPuestos[codigo],tblPuestos[especialidad],"(sin catálogo)"))</f>
        <v/>
      </c>
      <c r="X824" s="3">
        <f>IF(tblOrdenes[[#This Row],[cod_actividad]]="","",_xlfn.XLOOKUP(tblOrdenes[[#This Row],[cod_actividad]],tblActividades[codigo],tblActividades[descripcion],"(sin catálogo)"))</f>
        <v/>
      </c>
      <c r="Y824" s="12">
        <f>IF(tblOrdenes[[#This Row],[fecha_inicio]]="","",TODAY()-tblOrdenes[[#This Row],[fecha_inicio]])</f>
        <v/>
      </c>
      <c r="Z824" s="3">
        <f>IF(tblOrdenes[[#This Row],[backlog_dias]]="","",IF(tblOrdenes[[#This Row],[backlog_dias]]&lt;0,"FUTURO",IF(tblOrdenes[[#This Row],[backlog_dias]]&gt;p_dias_backlog_max,"BACKLOG","MES CORRIENTE")))</f>
        <v/>
      </c>
      <c r="AA824" s="3">
        <f>IF(tblOrdenes[[#This Row],[backlog_dias]]="",FALSE,AND(tblOrdenes[[#This Row],[backlog_dias]]&gt;p_dias_backlog_min,tblOrdenes[[#This Row],[backlog_dias]]&lt;=p_dias_backlog_max))</f>
        <v/>
      </c>
      <c r="AB824" s="6" t="n"/>
      <c r="AC8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4" s="10">
        <f>IF(tblOrdenes[[#This Row],[orden]]="","",_xlfn.XLOOKUP(tblOrdenes[[#This Row],[id_operacion]],tblEjecucion[id_operacion],tblEjecucion[precio],0))</f>
        <v/>
      </c>
      <c r="AG824" s="10">
        <f>IF(tblOrdenes[[#This Row],[orden]]="","",MAX(0,_xlfn.XLOOKUP(tblOrdenes[[#This Row],[id_operacion]],tblEjecucion[id_operacion],tblEjecucion[costo_plan_total],0)-tblOrdenes[[#This Row],[costo_servicio]]))</f>
        <v/>
      </c>
      <c r="AH824" s="10">
        <f>IF(tblOrdenes[[#This Row],[orden]]="","",tblOrdenes[[#This Row],[costo_servicio]]+tblOrdenes[[#This Row],[costo_materiales]])</f>
        <v/>
      </c>
      <c r="AI824" s="6" t="n"/>
      <c r="AJ824" s="6" t="n"/>
      <c r="AK824" s="6" t="n"/>
      <c r="AL824" s="3">
        <f>IF(tblOrdenes[[#This Row],[link_checklist]]="","",HYPERLINK(p_ruta_base_checklists&amp;tblOrdenes[[#This Row],[link_checklist]],"abrir"))</f>
        <v/>
      </c>
      <c r="AM824" s="6" t="n"/>
      <c r="AN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Row],[tipo_ot]]="","",_xlfn.XLOOKUP(tblOrdenes[[#This Row],[tipo_ot]],tblTiposOT[codigo],tblTiposOT[clasificacion],"sin_clasificar"))</f>
        <v/>
      </c>
      <c r="T825" s="3">
        <f>IF(tblOrdenes[[#This Row],[centro_costo]]="","",_xlfn.XLOOKUP(tblOrdenes[[#This Row],[centro_costo]],tblCECO[codigo],tblCECO[linea],"(sin catálogo)"))</f>
        <v/>
      </c>
      <c r="U825" s="3">
        <f>IF(tblOrdenes[[#This Row],[centro_costo]]="","",_xlfn.XLOOKUP(tblOrdenes[[#This Row],[centro_costo]],tblCECO[codigo],tblCECO[area],"(sin catálogo)"))</f>
        <v/>
      </c>
      <c r="V825" s="3">
        <f>IF(tblOrdenes[[#This Row],[centro_costo]]="","",_xlfn.XLOOKUP(tblOrdenes[[#This Row],[centro_costo]],tblCECO[codigo],tblCECO[coordinador],"(sin catálogo)"))</f>
        <v/>
      </c>
      <c r="W825" s="3">
        <f>IF(tblOrdenes[[#This Row],[puesto_trabajo]]="","",_xlfn.XLOOKUP(tblOrdenes[[#This Row],[puesto_trabajo]],tblPuestos[codigo],tblPuestos[especialidad],"(sin catálogo)"))</f>
        <v/>
      </c>
      <c r="X825" s="3">
        <f>IF(tblOrdenes[[#This Row],[cod_actividad]]="","",_xlfn.XLOOKUP(tblOrdenes[[#This Row],[cod_actividad]],tblActividades[codigo],tblActividades[descripcion],"(sin catálogo)"))</f>
        <v/>
      </c>
      <c r="Y825" s="12">
        <f>IF(tblOrdenes[[#This Row],[fecha_inicio]]="","",TODAY()-tblOrdenes[[#This Row],[fecha_inicio]])</f>
        <v/>
      </c>
      <c r="Z825" s="3">
        <f>IF(tblOrdenes[[#This Row],[backlog_dias]]="","",IF(tblOrdenes[[#This Row],[backlog_dias]]&lt;0,"FUTURO",IF(tblOrdenes[[#This Row],[backlog_dias]]&gt;p_dias_backlog_max,"BACKLOG","MES CORRIENTE")))</f>
        <v/>
      </c>
      <c r="AA825" s="3">
        <f>IF(tblOrdenes[[#This Row],[backlog_dias]]="",FALSE,AND(tblOrdenes[[#This Row],[backlog_dias]]&gt;p_dias_backlog_min,tblOrdenes[[#This Row],[backlog_dias]]&lt;=p_dias_backlog_max))</f>
        <v/>
      </c>
      <c r="AB825" s="6" t="n"/>
      <c r="AC8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5" s="10">
        <f>IF(tblOrdenes[[#This Row],[orden]]="","",_xlfn.XLOOKUP(tblOrdenes[[#This Row],[id_operacion]],tblEjecucion[id_operacion],tblEjecucion[precio],0))</f>
        <v/>
      </c>
      <c r="AG825" s="10">
        <f>IF(tblOrdenes[[#This Row],[orden]]="","",MAX(0,_xlfn.XLOOKUP(tblOrdenes[[#This Row],[id_operacion]],tblEjecucion[id_operacion],tblEjecucion[costo_plan_total],0)-tblOrdenes[[#This Row],[costo_servicio]]))</f>
        <v/>
      </c>
      <c r="AH825" s="10">
        <f>IF(tblOrdenes[[#This Row],[orden]]="","",tblOrdenes[[#This Row],[costo_servicio]]+tblOrdenes[[#This Row],[costo_materiales]])</f>
        <v/>
      </c>
      <c r="AI825" s="6" t="n"/>
      <c r="AJ825" s="6" t="n"/>
      <c r="AK825" s="6" t="n"/>
      <c r="AL825" s="3">
        <f>IF(tblOrdenes[[#This Row],[link_checklist]]="","",HYPERLINK(p_ruta_base_checklists&amp;tblOrdenes[[#This Row],[link_checklist]],"abrir"))</f>
        <v/>
      </c>
      <c r="AM825" s="6" t="n"/>
      <c r="AN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Row],[tipo_ot]]="","",_xlfn.XLOOKUP(tblOrdenes[[#This Row],[tipo_ot]],tblTiposOT[codigo],tblTiposOT[clasificacion],"sin_clasificar"))</f>
        <v/>
      </c>
      <c r="T826" s="3">
        <f>IF(tblOrdenes[[#This Row],[centro_costo]]="","",_xlfn.XLOOKUP(tblOrdenes[[#This Row],[centro_costo]],tblCECO[codigo],tblCECO[linea],"(sin catálogo)"))</f>
        <v/>
      </c>
      <c r="U826" s="3">
        <f>IF(tblOrdenes[[#This Row],[centro_costo]]="","",_xlfn.XLOOKUP(tblOrdenes[[#This Row],[centro_costo]],tblCECO[codigo],tblCECO[area],"(sin catálogo)"))</f>
        <v/>
      </c>
      <c r="V826" s="3">
        <f>IF(tblOrdenes[[#This Row],[centro_costo]]="","",_xlfn.XLOOKUP(tblOrdenes[[#This Row],[centro_costo]],tblCECO[codigo],tblCECO[coordinador],"(sin catálogo)"))</f>
        <v/>
      </c>
      <c r="W826" s="3">
        <f>IF(tblOrdenes[[#This Row],[puesto_trabajo]]="","",_xlfn.XLOOKUP(tblOrdenes[[#This Row],[puesto_trabajo]],tblPuestos[codigo],tblPuestos[especialidad],"(sin catálogo)"))</f>
        <v/>
      </c>
      <c r="X826" s="3">
        <f>IF(tblOrdenes[[#This Row],[cod_actividad]]="","",_xlfn.XLOOKUP(tblOrdenes[[#This Row],[cod_actividad]],tblActividades[codigo],tblActividades[descripcion],"(sin catálogo)"))</f>
        <v/>
      </c>
      <c r="Y826" s="12">
        <f>IF(tblOrdenes[[#This Row],[fecha_inicio]]="","",TODAY()-tblOrdenes[[#This Row],[fecha_inicio]])</f>
        <v/>
      </c>
      <c r="Z826" s="3">
        <f>IF(tblOrdenes[[#This Row],[backlog_dias]]="","",IF(tblOrdenes[[#This Row],[backlog_dias]]&lt;0,"FUTURO",IF(tblOrdenes[[#This Row],[backlog_dias]]&gt;p_dias_backlog_max,"BACKLOG","MES CORRIENTE")))</f>
        <v/>
      </c>
      <c r="AA826" s="3">
        <f>IF(tblOrdenes[[#This Row],[backlog_dias]]="",FALSE,AND(tblOrdenes[[#This Row],[backlog_dias]]&gt;p_dias_backlog_min,tblOrdenes[[#This Row],[backlog_dias]]&lt;=p_dias_backlog_max))</f>
        <v/>
      </c>
      <c r="AB826" s="6" t="n"/>
      <c r="AC8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6" s="10">
        <f>IF(tblOrdenes[[#This Row],[orden]]="","",_xlfn.XLOOKUP(tblOrdenes[[#This Row],[id_operacion]],tblEjecucion[id_operacion],tblEjecucion[precio],0))</f>
        <v/>
      </c>
      <c r="AG826" s="10">
        <f>IF(tblOrdenes[[#This Row],[orden]]="","",MAX(0,_xlfn.XLOOKUP(tblOrdenes[[#This Row],[id_operacion]],tblEjecucion[id_operacion],tblEjecucion[costo_plan_total],0)-tblOrdenes[[#This Row],[costo_servicio]]))</f>
        <v/>
      </c>
      <c r="AH826" s="10">
        <f>IF(tblOrdenes[[#This Row],[orden]]="","",tblOrdenes[[#This Row],[costo_servicio]]+tblOrdenes[[#This Row],[costo_materiales]])</f>
        <v/>
      </c>
      <c r="AI826" s="6" t="n"/>
      <c r="AJ826" s="6" t="n"/>
      <c r="AK826" s="6" t="n"/>
      <c r="AL826" s="3">
        <f>IF(tblOrdenes[[#This Row],[link_checklist]]="","",HYPERLINK(p_ruta_base_checklists&amp;tblOrdenes[[#This Row],[link_checklist]],"abrir"))</f>
        <v/>
      </c>
      <c r="AM826" s="6" t="n"/>
      <c r="AN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Row],[tipo_ot]]="","",_xlfn.XLOOKUP(tblOrdenes[[#This Row],[tipo_ot]],tblTiposOT[codigo],tblTiposOT[clasificacion],"sin_clasificar"))</f>
        <v/>
      </c>
      <c r="T827" s="3">
        <f>IF(tblOrdenes[[#This Row],[centro_costo]]="","",_xlfn.XLOOKUP(tblOrdenes[[#This Row],[centro_costo]],tblCECO[codigo],tblCECO[linea],"(sin catálogo)"))</f>
        <v/>
      </c>
      <c r="U827" s="3">
        <f>IF(tblOrdenes[[#This Row],[centro_costo]]="","",_xlfn.XLOOKUP(tblOrdenes[[#This Row],[centro_costo]],tblCECO[codigo],tblCECO[area],"(sin catálogo)"))</f>
        <v/>
      </c>
      <c r="V827" s="3">
        <f>IF(tblOrdenes[[#This Row],[centro_costo]]="","",_xlfn.XLOOKUP(tblOrdenes[[#This Row],[centro_costo]],tblCECO[codigo],tblCECO[coordinador],"(sin catálogo)"))</f>
        <v/>
      </c>
      <c r="W827" s="3">
        <f>IF(tblOrdenes[[#This Row],[puesto_trabajo]]="","",_xlfn.XLOOKUP(tblOrdenes[[#This Row],[puesto_trabajo]],tblPuestos[codigo],tblPuestos[especialidad],"(sin catálogo)"))</f>
        <v/>
      </c>
      <c r="X827" s="3">
        <f>IF(tblOrdenes[[#This Row],[cod_actividad]]="","",_xlfn.XLOOKUP(tblOrdenes[[#This Row],[cod_actividad]],tblActividades[codigo],tblActividades[descripcion],"(sin catálogo)"))</f>
        <v/>
      </c>
      <c r="Y827" s="12">
        <f>IF(tblOrdenes[[#This Row],[fecha_inicio]]="","",TODAY()-tblOrdenes[[#This Row],[fecha_inicio]])</f>
        <v/>
      </c>
      <c r="Z827" s="3">
        <f>IF(tblOrdenes[[#This Row],[backlog_dias]]="","",IF(tblOrdenes[[#This Row],[backlog_dias]]&lt;0,"FUTURO",IF(tblOrdenes[[#This Row],[backlog_dias]]&gt;p_dias_backlog_max,"BACKLOG","MES CORRIENTE")))</f>
        <v/>
      </c>
      <c r="AA827" s="3">
        <f>IF(tblOrdenes[[#This Row],[backlog_dias]]="",FALSE,AND(tblOrdenes[[#This Row],[backlog_dias]]&gt;p_dias_backlog_min,tblOrdenes[[#This Row],[backlog_dias]]&lt;=p_dias_backlog_max))</f>
        <v/>
      </c>
      <c r="AB827" s="6" t="n"/>
      <c r="AC8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7" s="10">
        <f>IF(tblOrdenes[[#This Row],[orden]]="","",_xlfn.XLOOKUP(tblOrdenes[[#This Row],[id_operacion]],tblEjecucion[id_operacion],tblEjecucion[precio],0))</f>
        <v/>
      </c>
      <c r="AG827" s="10">
        <f>IF(tblOrdenes[[#This Row],[orden]]="","",MAX(0,_xlfn.XLOOKUP(tblOrdenes[[#This Row],[id_operacion]],tblEjecucion[id_operacion],tblEjecucion[costo_plan_total],0)-tblOrdenes[[#This Row],[costo_servicio]]))</f>
        <v/>
      </c>
      <c r="AH827" s="10">
        <f>IF(tblOrdenes[[#This Row],[orden]]="","",tblOrdenes[[#This Row],[costo_servicio]]+tblOrdenes[[#This Row],[costo_materiales]])</f>
        <v/>
      </c>
      <c r="AI827" s="6" t="n"/>
      <c r="AJ827" s="6" t="n"/>
      <c r="AK827" s="6" t="n"/>
      <c r="AL827" s="3">
        <f>IF(tblOrdenes[[#This Row],[link_checklist]]="","",HYPERLINK(p_ruta_base_checklists&amp;tblOrdenes[[#This Row],[link_checklist]],"abrir"))</f>
        <v/>
      </c>
      <c r="AM827" s="6" t="n"/>
      <c r="AN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Row],[tipo_ot]]="","",_xlfn.XLOOKUP(tblOrdenes[[#This Row],[tipo_ot]],tblTiposOT[codigo],tblTiposOT[clasificacion],"sin_clasificar"))</f>
        <v/>
      </c>
      <c r="T828" s="3">
        <f>IF(tblOrdenes[[#This Row],[centro_costo]]="","",_xlfn.XLOOKUP(tblOrdenes[[#This Row],[centro_costo]],tblCECO[codigo],tblCECO[linea],"(sin catálogo)"))</f>
        <v/>
      </c>
      <c r="U828" s="3">
        <f>IF(tblOrdenes[[#This Row],[centro_costo]]="","",_xlfn.XLOOKUP(tblOrdenes[[#This Row],[centro_costo]],tblCECO[codigo],tblCECO[area],"(sin catálogo)"))</f>
        <v/>
      </c>
      <c r="V828" s="3">
        <f>IF(tblOrdenes[[#This Row],[centro_costo]]="","",_xlfn.XLOOKUP(tblOrdenes[[#This Row],[centro_costo]],tblCECO[codigo],tblCECO[coordinador],"(sin catálogo)"))</f>
        <v/>
      </c>
      <c r="W828" s="3">
        <f>IF(tblOrdenes[[#This Row],[puesto_trabajo]]="","",_xlfn.XLOOKUP(tblOrdenes[[#This Row],[puesto_trabajo]],tblPuestos[codigo],tblPuestos[especialidad],"(sin catálogo)"))</f>
        <v/>
      </c>
      <c r="X828" s="3">
        <f>IF(tblOrdenes[[#This Row],[cod_actividad]]="","",_xlfn.XLOOKUP(tblOrdenes[[#This Row],[cod_actividad]],tblActividades[codigo],tblActividades[descripcion],"(sin catálogo)"))</f>
        <v/>
      </c>
      <c r="Y828" s="12">
        <f>IF(tblOrdenes[[#This Row],[fecha_inicio]]="","",TODAY()-tblOrdenes[[#This Row],[fecha_inicio]])</f>
        <v/>
      </c>
      <c r="Z828" s="3">
        <f>IF(tblOrdenes[[#This Row],[backlog_dias]]="","",IF(tblOrdenes[[#This Row],[backlog_dias]]&lt;0,"FUTURO",IF(tblOrdenes[[#This Row],[backlog_dias]]&gt;p_dias_backlog_max,"BACKLOG","MES CORRIENTE")))</f>
        <v/>
      </c>
      <c r="AA828" s="3">
        <f>IF(tblOrdenes[[#This Row],[backlog_dias]]="",FALSE,AND(tblOrdenes[[#This Row],[backlog_dias]]&gt;p_dias_backlog_min,tblOrdenes[[#This Row],[backlog_dias]]&lt;=p_dias_backlog_max))</f>
        <v/>
      </c>
      <c r="AB828" s="6" t="n"/>
      <c r="AC8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8" s="10">
        <f>IF(tblOrdenes[[#This Row],[orden]]="","",_xlfn.XLOOKUP(tblOrdenes[[#This Row],[id_operacion]],tblEjecucion[id_operacion],tblEjecucion[precio],0))</f>
        <v/>
      </c>
      <c r="AG828" s="10">
        <f>IF(tblOrdenes[[#This Row],[orden]]="","",MAX(0,_xlfn.XLOOKUP(tblOrdenes[[#This Row],[id_operacion]],tblEjecucion[id_operacion],tblEjecucion[costo_plan_total],0)-tblOrdenes[[#This Row],[costo_servicio]]))</f>
        <v/>
      </c>
      <c r="AH828" s="10">
        <f>IF(tblOrdenes[[#This Row],[orden]]="","",tblOrdenes[[#This Row],[costo_servicio]]+tblOrdenes[[#This Row],[costo_materiales]])</f>
        <v/>
      </c>
      <c r="AI828" s="6" t="n"/>
      <c r="AJ828" s="6" t="n"/>
      <c r="AK828" s="6" t="n"/>
      <c r="AL828" s="3">
        <f>IF(tblOrdenes[[#This Row],[link_checklist]]="","",HYPERLINK(p_ruta_base_checklists&amp;tblOrdenes[[#This Row],[link_checklist]],"abrir"))</f>
        <v/>
      </c>
      <c r="AM828" s="6" t="n"/>
      <c r="AN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Row],[tipo_ot]]="","",_xlfn.XLOOKUP(tblOrdenes[[#This Row],[tipo_ot]],tblTiposOT[codigo],tblTiposOT[clasificacion],"sin_clasificar"))</f>
        <v/>
      </c>
      <c r="T829" s="3">
        <f>IF(tblOrdenes[[#This Row],[centro_costo]]="","",_xlfn.XLOOKUP(tblOrdenes[[#This Row],[centro_costo]],tblCECO[codigo],tblCECO[linea],"(sin catálogo)"))</f>
        <v/>
      </c>
      <c r="U829" s="3">
        <f>IF(tblOrdenes[[#This Row],[centro_costo]]="","",_xlfn.XLOOKUP(tblOrdenes[[#This Row],[centro_costo]],tblCECO[codigo],tblCECO[area],"(sin catálogo)"))</f>
        <v/>
      </c>
      <c r="V829" s="3">
        <f>IF(tblOrdenes[[#This Row],[centro_costo]]="","",_xlfn.XLOOKUP(tblOrdenes[[#This Row],[centro_costo]],tblCECO[codigo],tblCECO[coordinador],"(sin catálogo)"))</f>
        <v/>
      </c>
      <c r="W829" s="3">
        <f>IF(tblOrdenes[[#This Row],[puesto_trabajo]]="","",_xlfn.XLOOKUP(tblOrdenes[[#This Row],[puesto_trabajo]],tblPuestos[codigo],tblPuestos[especialidad],"(sin catálogo)"))</f>
        <v/>
      </c>
      <c r="X829" s="3">
        <f>IF(tblOrdenes[[#This Row],[cod_actividad]]="","",_xlfn.XLOOKUP(tblOrdenes[[#This Row],[cod_actividad]],tblActividades[codigo],tblActividades[descripcion],"(sin catálogo)"))</f>
        <v/>
      </c>
      <c r="Y829" s="12">
        <f>IF(tblOrdenes[[#This Row],[fecha_inicio]]="","",TODAY()-tblOrdenes[[#This Row],[fecha_inicio]])</f>
        <v/>
      </c>
      <c r="Z829" s="3">
        <f>IF(tblOrdenes[[#This Row],[backlog_dias]]="","",IF(tblOrdenes[[#This Row],[backlog_dias]]&lt;0,"FUTURO",IF(tblOrdenes[[#This Row],[backlog_dias]]&gt;p_dias_backlog_max,"BACKLOG","MES CORRIENTE")))</f>
        <v/>
      </c>
      <c r="AA829" s="3">
        <f>IF(tblOrdenes[[#This Row],[backlog_dias]]="",FALSE,AND(tblOrdenes[[#This Row],[backlog_dias]]&gt;p_dias_backlog_min,tblOrdenes[[#This Row],[backlog_dias]]&lt;=p_dias_backlog_max))</f>
        <v/>
      </c>
      <c r="AB829" s="6" t="n"/>
      <c r="AC8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9" s="10">
        <f>IF(tblOrdenes[[#This Row],[orden]]="","",_xlfn.XLOOKUP(tblOrdenes[[#This Row],[id_operacion]],tblEjecucion[id_operacion],tblEjecucion[precio],0))</f>
        <v/>
      </c>
      <c r="AG829" s="10">
        <f>IF(tblOrdenes[[#This Row],[orden]]="","",MAX(0,_xlfn.XLOOKUP(tblOrdenes[[#This Row],[id_operacion]],tblEjecucion[id_operacion],tblEjecucion[costo_plan_total],0)-tblOrdenes[[#This Row],[costo_servicio]]))</f>
        <v/>
      </c>
      <c r="AH829" s="10">
        <f>IF(tblOrdenes[[#This Row],[orden]]="","",tblOrdenes[[#This Row],[costo_servicio]]+tblOrdenes[[#This Row],[costo_materiales]])</f>
        <v/>
      </c>
      <c r="AI829" s="6" t="n"/>
      <c r="AJ829" s="6" t="n"/>
      <c r="AK829" s="6" t="n"/>
      <c r="AL829" s="3">
        <f>IF(tblOrdenes[[#This Row],[link_checklist]]="","",HYPERLINK(p_ruta_base_checklists&amp;tblOrdenes[[#This Row],[link_checklist]],"abrir"))</f>
        <v/>
      </c>
      <c r="AM829" s="6" t="n"/>
      <c r="AN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Row],[tipo_ot]]="","",_xlfn.XLOOKUP(tblOrdenes[[#This Row],[tipo_ot]],tblTiposOT[codigo],tblTiposOT[clasificacion],"sin_clasificar"))</f>
        <v/>
      </c>
      <c r="T830" s="3">
        <f>IF(tblOrdenes[[#This Row],[centro_costo]]="","",_xlfn.XLOOKUP(tblOrdenes[[#This Row],[centro_costo]],tblCECO[codigo],tblCECO[linea],"(sin catálogo)"))</f>
        <v/>
      </c>
      <c r="U830" s="3">
        <f>IF(tblOrdenes[[#This Row],[centro_costo]]="","",_xlfn.XLOOKUP(tblOrdenes[[#This Row],[centro_costo]],tblCECO[codigo],tblCECO[area],"(sin catálogo)"))</f>
        <v/>
      </c>
      <c r="V830" s="3">
        <f>IF(tblOrdenes[[#This Row],[centro_costo]]="","",_xlfn.XLOOKUP(tblOrdenes[[#This Row],[centro_costo]],tblCECO[codigo],tblCECO[coordinador],"(sin catálogo)"))</f>
        <v/>
      </c>
      <c r="W830" s="3">
        <f>IF(tblOrdenes[[#This Row],[puesto_trabajo]]="","",_xlfn.XLOOKUP(tblOrdenes[[#This Row],[puesto_trabajo]],tblPuestos[codigo],tblPuestos[especialidad],"(sin catálogo)"))</f>
        <v/>
      </c>
      <c r="X830" s="3">
        <f>IF(tblOrdenes[[#This Row],[cod_actividad]]="","",_xlfn.XLOOKUP(tblOrdenes[[#This Row],[cod_actividad]],tblActividades[codigo],tblActividades[descripcion],"(sin catálogo)"))</f>
        <v/>
      </c>
      <c r="Y830" s="12">
        <f>IF(tblOrdenes[[#This Row],[fecha_inicio]]="","",TODAY()-tblOrdenes[[#This Row],[fecha_inicio]])</f>
        <v/>
      </c>
      <c r="Z830" s="3">
        <f>IF(tblOrdenes[[#This Row],[backlog_dias]]="","",IF(tblOrdenes[[#This Row],[backlog_dias]]&lt;0,"FUTURO",IF(tblOrdenes[[#This Row],[backlog_dias]]&gt;p_dias_backlog_max,"BACKLOG","MES CORRIENTE")))</f>
        <v/>
      </c>
      <c r="AA830" s="3">
        <f>IF(tblOrdenes[[#This Row],[backlog_dias]]="",FALSE,AND(tblOrdenes[[#This Row],[backlog_dias]]&gt;p_dias_backlog_min,tblOrdenes[[#This Row],[backlog_dias]]&lt;=p_dias_backlog_max))</f>
        <v/>
      </c>
      <c r="AB830" s="6" t="n"/>
      <c r="AC8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0" s="10">
        <f>IF(tblOrdenes[[#This Row],[orden]]="","",_xlfn.XLOOKUP(tblOrdenes[[#This Row],[id_operacion]],tblEjecucion[id_operacion],tblEjecucion[precio],0))</f>
        <v/>
      </c>
      <c r="AG830" s="10">
        <f>IF(tblOrdenes[[#This Row],[orden]]="","",MAX(0,_xlfn.XLOOKUP(tblOrdenes[[#This Row],[id_operacion]],tblEjecucion[id_operacion],tblEjecucion[costo_plan_total],0)-tblOrdenes[[#This Row],[costo_servicio]]))</f>
        <v/>
      </c>
      <c r="AH830" s="10">
        <f>IF(tblOrdenes[[#This Row],[orden]]="","",tblOrdenes[[#This Row],[costo_servicio]]+tblOrdenes[[#This Row],[costo_materiales]])</f>
        <v/>
      </c>
      <c r="AI830" s="6" t="n"/>
      <c r="AJ830" s="6" t="n"/>
      <c r="AK830" s="6" t="n"/>
      <c r="AL830" s="3">
        <f>IF(tblOrdenes[[#This Row],[link_checklist]]="","",HYPERLINK(p_ruta_base_checklists&amp;tblOrdenes[[#This Row],[link_checklist]],"abrir"))</f>
        <v/>
      </c>
      <c r="AM830" s="6" t="n"/>
      <c r="AN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Row],[tipo_ot]]="","",_xlfn.XLOOKUP(tblOrdenes[[#This Row],[tipo_ot]],tblTiposOT[codigo],tblTiposOT[clasificacion],"sin_clasificar"))</f>
        <v/>
      </c>
      <c r="T831" s="3">
        <f>IF(tblOrdenes[[#This Row],[centro_costo]]="","",_xlfn.XLOOKUP(tblOrdenes[[#This Row],[centro_costo]],tblCECO[codigo],tblCECO[linea],"(sin catálogo)"))</f>
        <v/>
      </c>
      <c r="U831" s="3">
        <f>IF(tblOrdenes[[#This Row],[centro_costo]]="","",_xlfn.XLOOKUP(tblOrdenes[[#This Row],[centro_costo]],tblCECO[codigo],tblCECO[area],"(sin catálogo)"))</f>
        <v/>
      </c>
      <c r="V831" s="3">
        <f>IF(tblOrdenes[[#This Row],[centro_costo]]="","",_xlfn.XLOOKUP(tblOrdenes[[#This Row],[centro_costo]],tblCECO[codigo],tblCECO[coordinador],"(sin catálogo)"))</f>
        <v/>
      </c>
      <c r="W831" s="3">
        <f>IF(tblOrdenes[[#This Row],[puesto_trabajo]]="","",_xlfn.XLOOKUP(tblOrdenes[[#This Row],[puesto_trabajo]],tblPuestos[codigo],tblPuestos[especialidad],"(sin catálogo)"))</f>
        <v/>
      </c>
      <c r="X831" s="3">
        <f>IF(tblOrdenes[[#This Row],[cod_actividad]]="","",_xlfn.XLOOKUP(tblOrdenes[[#This Row],[cod_actividad]],tblActividades[codigo],tblActividades[descripcion],"(sin catálogo)"))</f>
        <v/>
      </c>
      <c r="Y831" s="12">
        <f>IF(tblOrdenes[[#This Row],[fecha_inicio]]="","",TODAY()-tblOrdenes[[#This Row],[fecha_inicio]])</f>
        <v/>
      </c>
      <c r="Z831" s="3">
        <f>IF(tblOrdenes[[#This Row],[backlog_dias]]="","",IF(tblOrdenes[[#This Row],[backlog_dias]]&lt;0,"FUTURO",IF(tblOrdenes[[#This Row],[backlog_dias]]&gt;p_dias_backlog_max,"BACKLOG","MES CORRIENTE")))</f>
        <v/>
      </c>
      <c r="AA831" s="3">
        <f>IF(tblOrdenes[[#This Row],[backlog_dias]]="",FALSE,AND(tblOrdenes[[#This Row],[backlog_dias]]&gt;p_dias_backlog_min,tblOrdenes[[#This Row],[backlog_dias]]&lt;=p_dias_backlog_max))</f>
        <v/>
      </c>
      <c r="AB831" s="6" t="n"/>
      <c r="AC8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1" s="10">
        <f>IF(tblOrdenes[[#This Row],[orden]]="","",_xlfn.XLOOKUP(tblOrdenes[[#This Row],[id_operacion]],tblEjecucion[id_operacion],tblEjecucion[precio],0))</f>
        <v/>
      </c>
      <c r="AG831" s="10">
        <f>IF(tblOrdenes[[#This Row],[orden]]="","",MAX(0,_xlfn.XLOOKUP(tblOrdenes[[#This Row],[id_operacion]],tblEjecucion[id_operacion],tblEjecucion[costo_plan_total],0)-tblOrdenes[[#This Row],[costo_servicio]]))</f>
        <v/>
      </c>
      <c r="AH831" s="10">
        <f>IF(tblOrdenes[[#This Row],[orden]]="","",tblOrdenes[[#This Row],[costo_servicio]]+tblOrdenes[[#This Row],[costo_materiales]])</f>
        <v/>
      </c>
      <c r="AI831" s="6" t="n"/>
      <c r="AJ831" s="6" t="n"/>
      <c r="AK831" s="6" t="n"/>
      <c r="AL831" s="3">
        <f>IF(tblOrdenes[[#This Row],[link_checklist]]="","",HYPERLINK(p_ruta_base_checklists&amp;tblOrdenes[[#This Row],[link_checklist]],"abrir"))</f>
        <v/>
      </c>
      <c r="AM831" s="6" t="n"/>
      <c r="AN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Row],[tipo_ot]]="","",_xlfn.XLOOKUP(tblOrdenes[[#This Row],[tipo_ot]],tblTiposOT[codigo],tblTiposOT[clasificacion],"sin_clasificar"))</f>
        <v/>
      </c>
      <c r="T832" s="3">
        <f>IF(tblOrdenes[[#This Row],[centro_costo]]="","",_xlfn.XLOOKUP(tblOrdenes[[#This Row],[centro_costo]],tblCECO[codigo],tblCECO[linea],"(sin catálogo)"))</f>
        <v/>
      </c>
      <c r="U832" s="3">
        <f>IF(tblOrdenes[[#This Row],[centro_costo]]="","",_xlfn.XLOOKUP(tblOrdenes[[#This Row],[centro_costo]],tblCECO[codigo],tblCECO[area],"(sin catálogo)"))</f>
        <v/>
      </c>
      <c r="V832" s="3">
        <f>IF(tblOrdenes[[#This Row],[centro_costo]]="","",_xlfn.XLOOKUP(tblOrdenes[[#This Row],[centro_costo]],tblCECO[codigo],tblCECO[coordinador],"(sin catálogo)"))</f>
        <v/>
      </c>
      <c r="W832" s="3">
        <f>IF(tblOrdenes[[#This Row],[puesto_trabajo]]="","",_xlfn.XLOOKUP(tblOrdenes[[#This Row],[puesto_trabajo]],tblPuestos[codigo],tblPuestos[especialidad],"(sin catálogo)"))</f>
        <v/>
      </c>
      <c r="X832" s="3">
        <f>IF(tblOrdenes[[#This Row],[cod_actividad]]="","",_xlfn.XLOOKUP(tblOrdenes[[#This Row],[cod_actividad]],tblActividades[codigo],tblActividades[descripcion],"(sin catálogo)"))</f>
        <v/>
      </c>
      <c r="Y832" s="12">
        <f>IF(tblOrdenes[[#This Row],[fecha_inicio]]="","",TODAY()-tblOrdenes[[#This Row],[fecha_inicio]])</f>
        <v/>
      </c>
      <c r="Z832" s="3">
        <f>IF(tblOrdenes[[#This Row],[backlog_dias]]="","",IF(tblOrdenes[[#This Row],[backlog_dias]]&lt;0,"FUTURO",IF(tblOrdenes[[#This Row],[backlog_dias]]&gt;p_dias_backlog_max,"BACKLOG","MES CORRIENTE")))</f>
        <v/>
      </c>
      <c r="AA832" s="3">
        <f>IF(tblOrdenes[[#This Row],[backlog_dias]]="",FALSE,AND(tblOrdenes[[#This Row],[backlog_dias]]&gt;p_dias_backlog_min,tblOrdenes[[#This Row],[backlog_dias]]&lt;=p_dias_backlog_max))</f>
        <v/>
      </c>
      <c r="AB832" s="6" t="n"/>
      <c r="AC8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2" s="10">
        <f>IF(tblOrdenes[[#This Row],[orden]]="","",_xlfn.XLOOKUP(tblOrdenes[[#This Row],[id_operacion]],tblEjecucion[id_operacion],tblEjecucion[precio],0))</f>
        <v/>
      </c>
      <c r="AG832" s="10">
        <f>IF(tblOrdenes[[#This Row],[orden]]="","",MAX(0,_xlfn.XLOOKUP(tblOrdenes[[#This Row],[id_operacion]],tblEjecucion[id_operacion],tblEjecucion[costo_plan_total],0)-tblOrdenes[[#This Row],[costo_servicio]]))</f>
        <v/>
      </c>
      <c r="AH832" s="10">
        <f>IF(tblOrdenes[[#This Row],[orden]]="","",tblOrdenes[[#This Row],[costo_servicio]]+tblOrdenes[[#This Row],[costo_materiales]])</f>
        <v/>
      </c>
      <c r="AI832" s="6" t="n"/>
      <c r="AJ832" s="6" t="n"/>
      <c r="AK832" s="6" t="n"/>
      <c r="AL832" s="3">
        <f>IF(tblOrdenes[[#This Row],[link_checklist]]="","",HYPERLINK(p_ruta_base_checklists&amp;tblOrdenes[[#This Row],[link_checklist]],"abrir"))</f>
        <v/>
      </c>
      <c r="AM832" s="6" t="n"/>
      <c r="AN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Row],[tipo_ot]]="","",_xlfn.XLOOKUP(tblOrdenes[[#This Row],[tipo_ot]],tblTiposOT[codigo],tblTiposOT[clasificacion],"sin_clasificar"))</f>
        <v/>
      </c>
      <c r="T833" s="3">
        <f>IF(tblOrdenes[[#This Row],[centro_costo]]="","",_xlfn.XLOOKUP(tblOrdenes[[#This Row],[centro_costo]],tblCECO[codigo],tblCECO[linea],"(sin catálogo)"))</f>
        <v/>
      </c>
      <c r="U833" s="3">
        <f>IF(tblOrdenes[[#This Row],[centro_costo]]="","",_xlfn.XLOOKUP(tblOrdenes[[#This Row],[centro_costo]],tblCECO[codigo],tblCECO[area],"(sin catálogo)"))</f>
        <v/>
      </c>
      <c r="V833" s="3">
        <f>IF(tblOrdenes[[#This Row],[centro_costo]]="","",_xlfn.XLOOKUP(tblOrdenes[[#This Row],[centro_costo]],tblCECO[codigo],tblCECO[coordinador],"(sin catálogo)"))</f>
        <v/>
      </c>
      <c r="W833" s="3">
        <f>IF(tblOrdenes[[#This Row],[puesto_trabajo]]="","",_xlfn.XLOOKUP(tblOrdenes[[#This Row],[puesto_trabajo]],tblPuestos[codigo],tblPuestos[especialidad],"(sin catálogo)"))</f>
        <v/>
      </c>
      <c r="X833" s="3">
        <f>IF(tblOrdenes[[#This Row],[cod_actividad]]="","",_xlfn.XLOOKUP(tblOrdenes[[#This Row],[cod_actividad]],tblActividades[codigo],tblActividades[descripcion],"(sin catálogo)"))</f>
        <v/>
      </c>
      <c r="Y833" s="12">
        <f>IF(tblOrdenes[[#This Row],[fecha_inicio]]="","",TODAY()-tblOrdenes[[#This Row],[fecha_inicio]])</f>
        <v/>
      </c>
      <c r="Z833" s="3">
        <f>IF(tblOrdenes[[#This Row],[backlog_dias]]="","",IF(tblOrdenes[[#This Row],[backlog_dias]]&lt;0,"FUTURO",IF(tblOrdenes[[#This Row],[backlog_dias]]&gt;p_dias_backlog_max,"BACKLOG","MES CORRIENTE")))</f>
        <v/>
      </c>
      <c r="AA833" s="3">
        <f>IF(tblOrdenes[[#This Row],[backlog_dias]]="",FALSE,AND(tblOrdenes[[#This Row],[backlog_dias]]&gt;p_dias_backlog_min,tblOrdenes[[#This Row],[backlog_dias]]&lt;=p_dias_backlog_max))</f>
        <v/>
      </c>
      <c r="AB833" s="6" t="n"/>
      <c r="AC8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3" s="10">
        <f>IF(tblOrdenes[[#This Row],[orden]]="","",_xlfn.XLOOKUP(tblOrdenes[[#This Row],[id_operacion]],tblEjecucion[id_operacion],tblEjecucion[precio],0))</f>
        <v/>
      </c>
      <c r="AG833" s="10">
        <f>IF(tblOrdenes[[#This Row],[orden]]="","",MAX(0,_xlfn.XLOOKUP(tblOrdenes[[#This Row],[id_operacion]],tblEjecucion[id_operacion],tblEjecucion[costo_plan_total],0)-tblOrdenes[[#This Row],[costo_servicio]]))</f>
        <v/>
      </c>
      <c r="AH833" s="10">
        <f>IF(tblOrdenes[[#This Row],[orden]]="","",tblOrdenes[[#This Row],[costo_servicio]]+tblOrdenes[[#This Row],[costo_materiales]])</f>
        <v/>
      </c>
      <c r="AI833" s="6" t="n"/>
      <c r="AJ833" s="6" t="n"/>
      <c r="AK833" s="6" t="n"/>
      <c r="AL833" s="3">
        <f>IF(tblOrdenes[[#This Row],[link_checklist]]="","",HYPERLINK(p_ruta_base_checklists&amp;tblOrdenes[[#This Row],[link_checklist]],"abrir"))</f>
        <v/>
      </c>
      <c r="AM833" s="6" t="n"/>
      <c r="AN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Row],[tipo_ot]]="","",_xlfn.XLOOKUP(tblOrdenes[[#This Row],[tipo_ot]],tblTiposOT[codigo],tblTiposOT[clasificacion],"sin_clasificar"))</f>
        <v/>
      </c>
      <c r="T834" s="3">
        <f>IF(tblOrdenes[[#This Row],[centro_costo]]="","",_xlfn.XLOOKUP(tblOrdenes[[#This Row],[centro_costo]],tblCECO[codigo],tblCECO[linea],"(sin catálogo)"))</f>
        <v/>
      </c>
      <c r="U834" s="3">
        <f>IF(tblOrdenes[[#This Row],[centro_costo]]="","",_xlfn.XLOOKUP(tblOrdenes[[#This Row],[centro_costo]],tblCECO[codigo],tblCECO[area],"(sin catálogo)"))</f>
        <v/>
      </c>
      <c r="V834" s="3">
        <f>IF(tblOrdenes[[#This Row],[centro_costo]]="","",_xlfn.XLOOKUP(tblOrdenes[[#This Row],[centro_costo]],tblCECO[codigo],tblCECO[coordinador],"(sin catálogo)"))</f>
        <v/>
      </c>
      <c r="W834" s="3">
        <f>IF(tblOrdenes[[#This Row],[puesto_trabajo]]="","",_xlfn.XLOOKUP(tblOrdenes[[#This Row],[puesto_trabajo]],tblPuestos[codigo],tblPuestos[especialidad],"(sin catálogo)"))</f>
        <v/>
      </c>
      <c r="X834" s="3">
        <f>IF(tblOrdenes[[#This Row],[cod_actividad]]="","",_xlfn.XLOOKUP(tblOrdenes[[#This Row],[cod_actividad]],tblActividades[codigo],tblActividades[descripcion],"(sin catálogo)"))</f>
        <v/>
      </c>
      <c r="Y834" s="12">
        <f>IF(tblOrdenes[[#This Row],[fecha_inicio]]="","",TODAY()-tblOrdenes[[#This Row],[fecha_inicio]])</f>
        <v/>
      </c>
      <c r="Z834" s="3">
        <f>IF(tblOrdenes[[#This Row],[backlog_dias]]="","",IF(tblOrdenes[[#This Row],[backlog_dias]]&lt;0,"FUTURO",IF(tblOrdenes[[#This Row],[backlog_dias]]&gt;p_dias_backlog_max,"BACKLOG","MES CORRIENTE")))</f>
        <v/>
      </c>
      <c r="AA834" s="3">
        <f>IF(tblOrdenes[[#This Row],[backlog_dias]]="",FALSE,AND(tblOrdenes[[#This Row],[backlog_dias]]&gt;p_dias_backlog_min,tblOrdenes[[#This Row],[backlog_dias]]&lt;=p_dias_backlog_max))</f>
        <v/>
      </c>
      <c r="AB834" s="6" t="n"/>
      <c r="AC8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4" s="10">
        <f>IF(tblOrdenes[[#This Row],[orden]]="","",_xlfn.XLOOKUP(tblOrdenes[[#This Row],[id_operacion]],tblEjecucion[id_operacion],tblEjecucion[precio],0))</f>
        <v/>
      </c>
      <c r="AG834" s="10">
        <f>IF(tblOrdenes[[#This Row],[orden]]="","",MAX(0,_xlfn.XLOOKUP(tblOrdenes[[#This Row],[id_operacion]],tblEjecucion[id_operacion],tblEjecucion[costo_plan_total],0)-tblOrdenes[[#This Row],[costo_servicio]]))</f>
        <v/>
      </c>
      <c r="AH834" s="10">
        <f>IF(tblOrdenes[[#This Row],[orden]]="","",tblOrdenes[[#This Row],[costo_servicio]]+tblOrdenes[[#This Row],[costo_materiales]])</f>
        <v/>
      </c>
      <c r="AI834" s="6" t="n"/>
      <c r="AJ834" s="6" t="n"/>
      <c r="AK834" s="6" t="n"/>
      <c r="AL834" s="3">
        <f>IF(tblOrdenes[[#This Row],[link_checklist]]="","",HYPERLINK(p_ruta_base_checklists&amp;tblOrdenes[[#This Row],[link_checklist]],"abrir"))</f>
        <v/>
      </c>
      <c r="AM834" s="6" t="n"/>
      <c r="AN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Row],[tipo_ot]]="","",_xlfn.XLOOKUP(tblOrdenes[[#This Row],[tipo_ot]],tblTiposOT[codigo],tblTiposOT[clasificacion],"sin_clasificar"))</f>
        <v/>
      </c>
      <c r="T835" s="3">
        <f>IF(tblOrdenes[[#This Row],[centro_costo]]="","",_xlfn.XLOOKUP(tblOrdenes[[#This Row],[centro_costo]],tblCECO[codigo],tblCECO[linea],"(sin catálogo)"))</f>
        <v/>
      </c>
      <c r="U835" s="3">
        <f>IF(tblOrdenes[[#This Row],[centro_costo]]="","",_xlfn.XLOOKUP(tblOrdenes[[#This Row],[centro_costo]],tblCECO[codigo],tblCECO[area],"(sin catálogo)"))</f>
        <v/>
      </c>
      <c r="V835" s="3">
        <f>IF(tblOrdenes[[#This Row],[centro_costo]]="","",_xlfn.XLOOKUP(tblOrdenes[[#This Row],[centro_costo]],tblCECO[codigo],tblCECO[coordinador],"(sin catálogo)"))</f>
        <v/>
      </c>
      <c r="W835" s="3">
        <f>IF(tblOrdenes[[#This Row],[puesto_trabajo]]="","",_xlfn.XLOOKUP(tblOrdenes[[#This Row],[puesto_trabajo]],tblPuestos[codigo],tblPuestos[especialidad],"(sin catálogo)"))</f>
        <v/>
      </c>
      <c r="X835" s="3">
        <f>IF(tblOrdenes[[#This Row],[cod_actividad]]="","",_xlfn.XLOOKUP(tblOrdenes[[#This Row],[cod_actividad]],tblActividades[codigo],tblActividades[descripcion],"(sin catálogo)"))</f>
        <v/>
      </c>
      <c r="Y835" s="12">
        <f>IF(tblOrdenes[[#This Row],[fecha_inicio]]="","",TODAY()-tblOrdenes[[#This Row],[fecha_inicio]])</f>
        <v/>
      </c>
      <c r="Z835" s="3">
        <f>IF(tblOrdenes[[#This Row],[backlog_dias]]="","",IF(tblOrdenes[[#This Row],[backlog_dias]]&lt;0,"FUTURO",IF(tblOrdenes[[#This Row],[backlog_dias]]&gt;p_dias_backlog_max,"BACKLOG","MES CORRIENTE")))</f>
        <v/>
      </c>
      <c r="AA835" s="3">
        <f>IF(tblOrdenes[[#This Row],[backlog_dias]]="",FALSE,AND(tblOrdenes[[#This Row],[backlog_dias]]&gt;p_dias_backlog_min,tblOrdenes[[#This Row],[backlog_dias]]&lt;=p_dias_backlog_max))</f>
        <v/>
      </c>
      <c r="AB835" s="6" t="n"/>
      <c r="AC8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5" s="10">
        <f>IF(tblOrdenes[[#This Row],[orden]]="","",_xlfn.XLOOKUP(tblOrdenes[[#This Row],[id_operacion]],tblEjecucion[id_operacion],tblEjecucion[precio],0))</f>
        <v/>
      </c>
      <c r="AG835" s="10">
        <f>IF(tblOrdenes[[#This Row],[orden]]="","",MAX(0,_xlfn.XLOOKUP(tblOrdenes[[#This Row],[id_operacion]],tblEjecucion[id_operacion],tblEjecucion[costo_plan_total],0)-tblOrdenes[[#This Row],[costo_servicio]]))</f>
        <v/>
      </c>
      <c r="AH835" s="10">
        <f>IF(tblOrdenes[[#This Row],[orden]]="","",tblOrdenes[[#This Row],[costo_servicio]]+tblOrdenes[[#This Row],[costo_materiales]])</f>
        <v/>
      </c>
      <c r="AI835" s="6" t="n"/>
      <c r="AJ835" s="6" t="n"/>
      <c r="AK835" s="6" t="n"/>
      <c r="AL835" s="3">
        <f>IF(tblOrdenes[[#This Row],[link_checklist]]="","",HYPERLINK(p_ruta_base_checklists&amp;tblOrdenes[[#This Row],[link_checklist]],"abrir"))</f>
        <v/>
      </c>
      <c r="AM835" s="6" t="n"/>
      <c r="AN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Row],[tipo_ot]]="","",_xlfn.XLOOKUP(tblOrdenes[[#This Row],[tipo_ot]],tblTiposOT[codigo],tblTiposOT[clasificacion],"sin_clasificar"))</f>
        <v/>
      </c>
      <c r="T836" s="3">
        <f>IF(tblOrdenes[[#This Row],[centro_costo]]="","",_xlfn.XLOOKUP(tblOrdenes[[#This Row],[centro_costo]],tblCECO[codigo],tblCECO[linea],"(sin catálogo)"))</f>
        <v/>
      </c>
      <c r="U836" s="3">
        <f>IF(tblOrdenes[[#This Row],[centro_costo]]="","",_xlfn.XLOOKUP(tblOrdenes[[#This Row],[centro_costo]],tblCECO[codigo],tblCECO[area],"(sin catálogo)"))</f>
        <v/>
      </c>
      <c r="V836" s="3">
        <f>IF(tblOrdenes[[#This Row],[centro_costo]]="","",_xlfn.XLOOKUP(tblOrdenes[[#This Row],[centro_costo]],tblCECO[codigo],tblCECO[coordinador],"(sin catálogo)"))</f>
        <v/>
      </c>
      <c r="W836" s="3">
        <f>IF(tblOrdenes[[#This Row],[puesto_trabajo]]="","",_xlfn.XLOOKUP(tblOrdenes[[#This Row],[puesto_trabajo]],tblPuestos[codigo],tblPuestos[especialidad],"(sin catálogo)"))</f>
        <v/>
      </c>
      <c r="X836" s="3">
        <f>IF(tblOrdenes[[#This Row],[cod_actividad]]="","",_xlfn.XLOOKUP(tblOrdenes[[#This Row],[cod_actividad]],tblActividades[codigo],tblActividades[descripcion],"(sin catálogo)"))</f>
        <v/>
      </c>
      <c r="Y836" s="12">
        <f>IF(tblOrdenes[[#This Row],[fecha_inicio]]="","",TODAY()-tblOrdenes[[#This Row],[fecha_inicio]])</f>
        <v/>
      </c>
      <c r="Z836" s="3">
        <f>IF(tblOrdenes[[#This Row],[backlog_dias]]="","",IF(tblOrdenes[[#This Row],[backlog_dias]]&lt;0,"FUTURO",IF(tblOrdenes[[#This Row],[backlog_dias]]&gt;p_dias_backlog_max,"BACKLOG","MES CORRIENTE")))</f>
        <v/>
      </c>
      <c r="AA836" s="3">
        <f>IF(tblOrdenes[[#This Row],[backlog_dias]]="",FALSE,AND(tblOrdenes[[#This Row],[backlog_dias]]&gt;p_dias_backlog_min,tblOrdenes[[#This Row],[backlog_dias]]&lt;=p_dias_backlog_max))</f>
        <v/>
      </c>
      <c r="AB836" s="6" t="n"/>
      <c r="AC8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6" s="10">
        <f>IF(tblOrdenes[[#This Row],[orden]]="","",_xlfn.XLOOKUP(tblOrdenes[[#This Row],[id_operacion]],tblEjecucion[id_operacion],tblEjecucion[precio],0))</f>
        <v/>
      </c>
      <c r="AG836" s="10">
        <f>IF(tblOrdenes[[#This Row],[orden]]="","",MAX(0,_xlfn.XLOOKUP(tblOrdenes[[#This Row],[id_operacion]],tblEjecucion[id_operacion],tblEjecucion[costo_plan_total],0)-tblOrdenes[[#This Row],[costo_servicio]]))</f>
        <v/>
      </c>
      <c r="AH836" s="10">
        <f>IF(tblOrdenes[[#This Row],[orden]]="","",tblOrdenes[[#This Row],[costo_servicio]]+tblOrdenes[[#This Row],[costo_materiales]])</f>
        <v/>
      </c>
      <c r="AI836" s="6" t="n"/>
      <c r="AJ836" s="6" t="n"/>
      <c r="AK836" s="6" t="n"/>
      <c r="AL836" s="3">
        <f>IF(tblOrdenes[[#This Row],[link_checklist]]="","",HYPERLINK(p_ruta_base_checklists&amp;tblOrdenes[[#This Row],[link_checklist]],"abrir"))</f>
        <v/>
      </c>
      <c r="AM836" s="6" t="n"/>
      <c r="AN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Row],[tipo_ot]]="","",_xlfn.XLOOKUP(tblOrdenes[[#This Row],[tipo_ot]],tblTiposOT[codigo],tblTiposOT[clasificacion],"sin_clasificar"))</f>
        <v/>
      </c>
      <c r="T837" s="3">
        <f>IF(tblOrdenes[[#This Row],[centro_costo]]="","",_xlfn.XLOOKUP(tblOrdenes[[#This Row],[centro_costo]],tblCECO[codigo],tblCECO[linea],"(sin catálogo)"))</f>
        <v/>
      </c>
      <c r="U837" s="3">
        <f>IF(tblOrdenes[[#This Row],[centro_costo]]="","",_xlfn.XLOOKUP(tblOrdenes[[#This Row],[centro_costo]],tblCECO[codigo],tblCECO[area],"(sin catálogo)"))</f>
        <v/>
      </c>
      <c r="V837" s="3">
        <f>IF(tblOrdenes[[#This Row],[centro_costo]]="","",_xlfn.XLOOKUP(tblOrdenes[[#This Row],[centro_costo]],tblCECO[codigo],tblCECO[coordinador],"(sin catálogo)"))</f>
        <v/>
      </c>
      <c r="W837" s="3">
        <f>IF(tblOrdenes[[#This Row],[puesto_trabajo]]="","",_xlfn.XLOOKUP(tblOrdenes[[#This Row],[puesto_trabajo]],tblPuestos[codigo],tblPuestos[especialidad],"(sin catálogo)"))</f>
        <v/>
      </c>
      <c r="X837" s="3">
        <f>IF(tblOrdenes[[#This Row],[cod_actividad]]="","",_xlfn.XLOOKUP(tblOrdenes[[#This Row],[cod_actividad]],tblActividades[codigo],tblActividades[descripcion],"(sin catálogo)"))</f>
        <v/>
      </c>
      <c r="Y837" s="12">
        <f>IF(tblOrdenes[[#This Row],[fecha_inicio]]="","",TODAY()-tblOrdenes[[#This Row],[fecha_inicio]])</f>
        <v/>
      </c>
      <c r="Z837" s="3">
        <f>IF(tblOrdenes[[#This Row],[backlog_dias]]="","",IF(tblOrdenes[[#This Row],[backlog_dias]]&lt;0,"FUTURO",IF(tblOrdenes[[#This Row],[backlog_dias]]&gt;p_dias_backlog_max,"BACKLOG","MES CORRIENTE")))</f>
        <v/>
      </c>
      <c r="AA837" s="3">
        <f>IF(tblOrdenes[[#This Row],[backlog_dias]]="",FALSE,AND(tblOrdenes[[#This Row],[backlog_dias]]&gt;p_dias_backlog_min,tblOrdenes[[#This Row],[backlog_dias]]&lt;=p_dias_backlog_max))</f>
        <v/>
      </c>
      <c r="AB837" s="6" t="n"/>
      <c r="AC8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7" s="10">
        <f>IF(tblOrdenes[[#This Row],[orden]]="","",_xlfn.XLOOKUP(tblOrdenes[[#This Row],[id_operacion]],tblEjecucion[id_operacion],tblEjecucion[precio],0))</f>
        <v/>
      </c>
      <c r="AG837" s="10">
        <f>IF(tblOrdenes[[#This Row],[orden]]="","",MAX(0,_xlfn.XLOOKUP(tblOrdenes[[#This Row],[id_operacion]],tblEjecucion[id_operacion],tblEjecucion[costo_plan_total],0)-tblOrdenes[[#This Row],[costo_servicio]]))</f>
        <v/>
      </c>
      <c r="AH837" s="10">
        <f>IF(tblOrdenes[[#This Row],[orden]]="","",tblOrdenes[[#This Row],[costo_servicio]]+tblOrdenes[[#This Row],[costo_materiales]])</f>
        <v/>
      </c>
      <c r="AI837" s="6" t="n"/>
      <c r="AJ837" s="6" t="n"/>
      <c r="AK837" s="6" t="n"/>
      <c r="AL837" s="3">
        <f>IF(tblOrdenes[[#This Row],[link_checklist]]="","",HYPERLINK(p_ruta_base_checklists&amp;tblOrdenes[[#This Row],[link_checklist]],"abrir"))</f>
        <v/>
      </c>
      <c r="AM837" s="6" t="n"/>
      <c r="AN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Row],[tipo_ot]]="","",_xlfn.XLOOKUP(tblOrdenes[[#This Row],[tipo_ot]],tblTiposOT[codigo],tblTiposOT[clasificacion],"sin_clasificar"))</f>
        <v/>
      </c>
      <c r="T838" s="3">
        <f>IF(tblOrdenes[[#This Row],[centro_costo]]="","",_xlfn.XLOOKUP(tblOrdenes[[#This Row],[centro_costo]],tblCECO[codigo],tblCECO[linea],"(sin catálogo)"))</f>
        <v/>
      </c>
      <c r="U838" s="3">
        <f>IF(tblOrdenes[[#This Row],[centro_costo]]="","",_xlfn.XLOOKUP(tblOrdenes[[#This Row],[centro_costo]],tblCECO[codigo],tblCECO[area],"(sin catálogo)"))</f>
        <v/>
      </c>
      <c r="V838" s="3">
        <f>IF(tblOrdenes[[#This Row],[centro_costo]]="","",_xlfn.XLOOKUP(tblOrdenes[[#This Row],[centro_costo]],tblCECO[codigo],tblCECO[coordinador],"(sin catálogo)"))</f>
        <v/>
      </c>
      <c r="W838" s="3">
        <f>IF(tblOrdenes[[#This Row],[puesto_trabajo]]="","",_xlfn.XLOOKUP(tblOrdenes[[#This Row],[puesto_trabajo]],tblPuestos[codigo],tblPuestos[especialidad],"(sin catálogo)"))</f>
        <v/>
      </c>
      <c r="X838" s="3">
        <f>IF(tblOrdenes[[#This Row],[cod_actividad]]="","",_xlfn.XLOOKUP(tblOrdenes[[#This Row],[cod_actividad]],tblActividades[codigo],tblActividades[descripcion],"(sin catálogo)"))</f>
        <v/>
      </c>
      <c r="Y838" s="12">
        <f>IF(tblOrdenes[[#This Row],[fecha_inicio]]="","",TODAY()-tblOrdenes[[#This Row],[fecha_inicio]])</f>
        <v/>
      </c>
      <c r="Z838" s="3">
        <f>IF(tblOrdenes[[#This Row],[backlog_dias]]="","",IF(tblOrdenes[[#This Row],[backlog_dias]]&lt;0,"FUTURO",IF(tblOrdenes[[#This Row],[backlog_dias]]&gt;p_dias_backlog_max,"BACKLOG","MES CORRIENTE")))</f>
        <v/>
      </c>
      <c r="AA838" s="3">
        <f>IF(tblOrdenes[[#This Row],[backlog_dias]]="",FALSE,AND(tblOrdenes[[#This Row],[backlog_dias]]&gt;p_dias_backlog_min,tblOrdenes[[#This Row],[backlog_dias]]&lt;=p_dias_backlog_max))</f>
        <v/>
      </c>
      <c r="AB838" s="6" t="n"/>
      <c r="AC8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8" s="10">
        <f>IF(tblOrdenes[[#This Row],[orden]]="","",_xlfn.XLOOKUP(tblOrdenes[[#This Row],[id_operacion]],tblEjecucion[id_operacion],tblEjecucion[precio],0))</f>
        <v/>
      </c>
      <c r="AG838" s="10">
        <f>IF(tblOrdenes[[#This Row],[orden]]="","",MAX(0,_xlfn.XLOOKUP(tblOrdenes[[#This Row],[id_operacion]],tblEjecucion[id_operacion],tblEjecucion[costo_plan_total],0)-tblOrdenes[[#This Row],[costo_servicio]]))</f>
        <v/>
      </c>
      <c r="AH838" s="10">
        <f>IF(tblOrdenes[[#This Row],[orden]]="","",tblOrdenes[[#This Row],[costo_servicio]]+tblOrdenes[[#This Row],[costo_materiales]])</f>
        <v/>
      </c>
      <c r="AI838" s="6" t="n"/>
      <c r="AJ838" s="6" t="n"/>
      <c r="AK838" s="6" t="n"/>
      <c r="AL838" s="3">
        <f>IF(tblOrdenes[[#This Row],[link_checklist]]="","",HYPERLINK(p_ruta_base_checklists&amp;tblOrdenes[[#This Row],[link_checklist]],"abrir"))</f>
        <v/>
      </c>
      <c r="AM838" s="6" t="n"/>
      <c r="AN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Row],[tipo_ot]]="","",_xlfn.XLOOKUP(tblOrdenes[[#This Row],[tipo_ot]],tblTiposOT[codigo],tblTiposOT[clasificacion],"sin_clasificar"))</f>
        <v/>
      </c>
      <c r="T839" s="3">
        <f>IF(tblOrdenes[[#This Row],[centro_costo]]="","",_xlfn.XLOOKUP(tblOrdenes[[#This Row],[centro_costo]],tblCECO[codigo],tblCECO[linea],"(sin catálogo)"))</f>
        <v/>
      </c>
      <c r="U839" s="3">
        <f>IF(tblOrdenes[[#This Row],[centro_costo]]="","",_xlfn.XLOOKUP(tblOrdenes[[#This Row],[centro_costo]],tblCECO[codigo],tblCECO[area],"(sin catálogo)"))</f>
        <v/>
      </c>
      <c r="V839" s="3">
        <f>IF(tblOrdenes[[#This Row],[centro_costo]]="","",_xlfn.XLOOKUP(tblOrdenes[[#This Row],[centro_costo]],tblCECO[codigo],tblCECO[coordinador],"(sin catálogo)"))</f>
        <v/>
      </c>
      <c r="W839" s="3">
        <f>IF(tblOrdenes[[#This Row],[puesto_trabajo]]="","",_xlfn.XLOOKUP(tblOrdenes[[#This Row],[puesto_trabajo]],tblPuestos[codigo],tblPuestos[especialidad],"(sin catálogo)"))</f>
        <v/>
      </c>
      <c r="X839" s="3">
        <f>IF(tblOrdenes[[#This Row],[cod_actividad]]="","",_xlfn.XLOOKUP(tblOrdenes[[#This Row],[cod_actividad]],tblActividades[codigo],tblActividades[descripcion],"(sin catálogo)"))</f>
        <v/>
      </c>
      <c r="Y839" s="12">
        <f>IF(tblOrdenes[[#This Row],[fecha_inicio]]="","",TODAY()-tblOrdenes[[#This Row],[fecha_inicio]])</f>
        <v/>
      </c>
      <c r="Z839" s="3">
        <f>IF(tblOrdenes[[#This Row],[backlog_dias]]="","",IF(tblOrdenes[[#This Row],[backlog_dias]]&lt;0,"FUTURO",IF(tblOrdenes[[#This Row],[backlog_dias]]&gt;p_dias_backlog_max,"BACKLOG","MES CORRIENTE")))</f>
        <v/>
      </c>
      <c r="AA839" s="3">
        <f>IF(tblOrdenes[[#This Row],[backlog_dias]]="",FALSE,AND(tblOrdenes[[#This Row],[backlog_dias]]&gt;p_dias_backlog_min,tblOrdenes[[#This Row],[backlog_dias]]&lt;=p_dias_backlog_max))</f>
        <v/>
      </c>
      <c r="AB839" s="6" t="n"/>
      <c r="AC8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9" s="10">
        <f>IF(tblOrdenes[[#This Row],[orden]]="","",_xlfn.XLOOKUP(tblOrdenes[[#This Row],[id_operacion]],tblEjecucion[id_operacion],tblEjecucion[precio],0))</f>
        <v/>
      </c>
      <c r="AG839" s="10">
        <f>IF(tblOrdenes[[#This Row],[orden]]="","",MAX(0,_xlfn.XLOOKUP(tblOrdenes[[#This Row],[id_operacion]],tblEjecucion[id_operacion],tblEjecucion[costo_plan_total],0)-tblOrdenes[[#This Row],[costo_servicio]]))</f>
        <v/>
      </c>
      <c r="AH839" s="10">
        <f>IF(tblOrdenes[[#This Row],[orden]]="","",tblOrdenes[[#This Row],[costo_servicio]]+tblOrdenes[[#This Row],[costo_materiales]])</f>
        <v/>
      </c>
      <c r="AI839" s="6" t="n"/>
      <c r="AJ839" s="6" t="n"/>
      <c r="AK839" s="6" t="n"/>
      <c r="AL839" s="3">
        <f>IF(tblOrdenes[[#This Row],[link_checklist]]="","",HYPERLINK(p_ruta_base_checklists&amp;tblOrdenes[[#This Row],[link_checklist]],"abrir"))</f>
        <v/>
      </c>
      <c r="AM839" s="6" t="n"/>
      <c r="AN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Row],[tipo_ot]]="","",_xlfn.XLOOKUP(tblOrdenes[[#This Row],[tipo_ot]],tblTiposOT[codigo],tblTiposOT[clasificacion],"sin_clasificar"))</f>
        <v/>
      </c>
      <c r="T840" s="3">
        <f>IF(tblOrdenes[[#This Row],[centro_costo]]="","",_xlfn.XLOOKUP(tblOrdenes[[#This Row],[centro_costo]],tblCECO[codigo],tblCECO[linea],"(sin catálogo)"))</f>
        <v/>
      </c>
      <c r="U840" s="3">
        <f>IF(tblOrdenes[[#This Row],[centro_costo]]="","",_xlfn.XLOOKUP(tblOrdenes[[#This Row],[centro_costo]],tblCECO[codigo],tblCECO[area],"(sin catálogo)"))</f>
        <v/>
      </c>
      <c r="V840" s="3">
        <f>IF(tblOrdenes[[#This Row],[centro_costo]]="","",_xlfn.XLOOKUP(tblOrdenes[[#This Row],[centro_costo]],tblCECO[codigo],tblCECO[coordinador],"(sin catálogo)"))</f>
        <v/>
      </c>
      <c r="W840" s="3">
        <f>IF(tblOrdenes[[#This Row],[puesto_trabajo]]="","",_xlfn.XLOOKUP(tblOrdenes[[#This Row],[puesto_trabajo]],tblPuestos[codigo],tblPuestos[especialidad],"(sin catálogo)"))</f>
        <v/>
      </c>
      <c r="X840" s="3">
        <f>IF(tblOrdenes[[#This Row],[cod_actividad]]="","",_xlfn.XLOOKUP(tblOrdenes[[#This Row],[cod_actividad]],tblActividades[codigo],tblActividades[descripcion],"(sin catálogo)"))</f>
        <v/>
      </c>
      <c r="Y840" s="12">
        <f>IF(tblOrdenes[[#This Row],[fecha_inicio]]="","",TODAY()-tblOrdenes[[#This Row],[fecha_inicio]])</f>
        <v/>
      </c>
      <c r="Z840" s="3">
        <f>IF(tblOrdenes[[#This Row],[backlog_dias]]="","",IF(tblOrdenes[[#This Row],[backlog_dias]]&lt;0,"FUTURO",IF(tblOrdenes[[#This Row],[backlog_dias]]&gt;p_dias_backlog_max,"BACKLOG","MES CORRIENTE")))</f>
        <v/>
      </c>
      <c r="AA840" s="3">
        <f>IF(tblOrdenes[[#This Row],[backlog_dias]]="",FALSE,AND(tblOrdenes[[#This Row],[backlog_dias]]&gt;p_dias_backlog_min,tblOrdenes[[#This Row],[backlog_dias]]&lt;=p_dias_backlog_max))</f>
        <v/>
      </c>
      <c r="AB840" s="6" t="n"/>
      <c r="AC8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0" s="10">
        <f>IF(tblOrdenes[[#This Row],[orden]]="","",_xlfn.XLOOKUP(tblOrdenes[[#This Row],[id_operacion]],tblEjecucion[id_operacion],tblEjecucion[precio],0))</f>
        <v/>
      </c>
      <c r="AG840" s="10">
        <f>IF(tblOrdenes[[#This Row],[orden]]="","",MAX(0,_xlfn.XLOOKUP(tblOrdenes[[#This Row],[id_operacion]],tblEjecucion[id_operacion],tblEjecucion[costo_plan_total],0)-tblOrdenes[[#This Row],[costo_servicio]]))</f>
        <v/>
      </c>
      <c r="AH840" s="10">
        <f>IF(tblOrdenes[[#This Row],[orden]]="","",tblOrdenes[[#This Row],[costo_servicio]]+tblOrdenes[[#This Row],[costo_materiales]])</f>
        <v/>
      </c>
      <c r="AI840" s="6" t="n"/>
      <c r="AJ840" s="6" t="n"/>
      <c r="AK840" s="6" t="n"/>
      <c r="AL840" s="3">
        <f>IF(tblOrdenes[[#This Row],[link_checklist]]="","",HYPERLINK(p_ruta_base_checklists&amp;tblOrdenes[[#This Row],[link_checklist]],"abrir"))</f>
        <v/>
      </c>
      <c r="AM840" s="6" t="n"/>
      <c r="AN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Row],[tipo_ot]]="","",_xlfn.XLOOKUP(tblOrdenes[[#This Row],[tipo_ot]],tblTiposOT[codigo],tblTiposOT[clasificacion],"sin_clasificar"))</f>
        <v/>
      </c>
      <c r="T841" s="3">
        <f>IF(tblOrdenes[[#This Row],[centro_costo]]="","",_xlfn.XLOOKUP(tblOrdenes[[#This Row],[centro_costo]],tblCECO[codigo],tblCECO[linea],"(sin catálogo)"))</f>
        <v/>
      </c>
      <c r="U841" s="3">
        <f>IF(tblOrdenes[[#This Row],[centro_costo]]="","",_xlfn.XLOOKUP(tblOrdenes[[#This Row],[centro_costo]],tblCECO[codigo],tblCECO[area],"(sin catálogo)"))</f>
        <v/>
      </c>
      <c r="V841" s="3">
        <f>IF(tblOrdenes[[#This Row],[centro_costo]]="","",_xlfn.XLOOKUP(tblOrdenes[[#This Row],[centro_costo]],tblCECO[codigo],tblCECO[coordinador],"(sin catálogo)"))</f>
        <v/>
      </c>
      <c r="W841" s="3">
        <f>IF(tblOrdenes[[#This Row],[puesto_trabajo]]="","",_xlfn.XLOOKUP(tblOrdenes[[#This Row],[puesto_trabajo]],tblPuestos[codigo],tblPuestos[especialidad],"(sin catálogo)"))</f>
        <v/>
      </c>
      <c r="X841" s="3">
        <f>IF(tblOrdenes[[#This Row],[cod_actividad]]="","",_xlfn.XLOOKUP(tblOrdenes[[#This Row],[cod_actividad]],tblActividades[codigo],tblActividades[descripcion],"(sin catálogo)"))</f>
        <v/>
      </c>
      <c r="Y841" s="12">
        <f>IF(tblOrdenes[[#This Row],[fecha_inicio]]="","",TODAY()-tblOrdenes[[#This Row],[fecha_inicio]])</f>
        <v/>
      </c>
      <c r="Z841" s="3">
        <f>IF(tblOrdenes[[#This Row],[backlog_dias]]="","",IF(tblOrdenes[[#This Row],[backlog_dias]]&lt;0,"FUTURO",IF(tblOrdenes[[#This Row],[backlog_dias]]&gt;p_dias_backlog_max,"BACKLOG","MES CORRIENTE")))</f>
        <v/>
      </c>
      <c r="AA841" s="3">
        <f>IF(tblOrdenes[[#This Row],[backlog_dias]]="",FALSE,AND(tblOrdenes[[#This Row],[backlog_dias]]&gt;p_dias_backlog_min,tblOrdenes[[#This Row],[backlog_dias]]&lt;=p_dias_backlog_max))</f>
        <v/>
      </c>
      <c r="AB841" s="6" t="n"/>
      <c r="AC8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1" s="10">
        <f>IF(tblOrdenes[[#This Row],[orden]]="","",_xlfn.XLOOKUP(tblOrdenes[[#This Row],[id_operacion]],tblEjecucion[id_operacion],tblEjecucion[precio],0))</f>
        <v/>
      </c>
      <c r="AG841" s="10">
        <f>IF(tblOrdenes[[#This Row],[orden]]="","",MAX(0,_xlfn.XLOOKUP(tblOrdenes[[#This Row],[id_operacion]],tblEjecucion[id_operacion],tblEjecucion[costo_plan_total],0)-tblOrdenes[[#This Row],[costo_servicio]]))</f>
        <v/>
      </c>
      <c r="AH841" s="10">
        <f>IF(tblOrdenes[[#This Row],[orden]]="","",tblOrdenes[[#This Row],[costo_servicio]]+tblOrdenes[[#This Row],[costo_materiales]])</f>
        <v/>
      </c>
      <c r="AI841" s="6" t="n"/>
      <c r="AJ841" s="6" t="n"/>
      <c r="AK841" s="6" t="n"/>
      <c r="AL841" s="3">
        <f>IF(tblOrdenes[[#This Row],[link_checklist]]="","",HYPERLINK(p_ruta_base_checklists&amp;tblOrdenes[[#This Row],[link_checklist]],"abrir"))</f>
        <v/>
      </c>
      <c r="AM841" s="6" t="n"/>
      <c r="AN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Row],[tipo_ot]]="","",_xlfn.XLOOKUP(tblOrdenes[[#This Row],[tipo_ot]],tblTiposOT[codigo],tblTiposOT[clasificacion],"sin_clasificar"))</f>
        <v/>
      </c>
      <c r="T842" s="3">
        <f>IF(tblOrdenes[[#This Row],[centro_costo]]="","",_xlfn.XLOOKUP(tblOrdenes[[#This Row],[centro_costo]],tblCECO[codigo],tblCECO[linea],"(sin catálogo)"))</f>
        <v/>
      </c>
      <c r="U842" s="3">
        <f>IF(tblOrdenes[[#This Row],[centro_costo]]="","",_xlfn.XLOOKUP(tblOrdenes[[#This Row],[centro_costo]],tblCECO[codigo],tblCECO[area],"(sin catálogo)"))</f>
        <v/>
      </c>
      <c r="V842" s="3">
        <f>IF(tblOrdenes[[#This Row],[centro_costo]]="","",_xlfn.XLOOKUP(tblOrdenes[[#This Row],[centro_costo]],tblCECO[codigo],tblCECO[coordinador],"(sin catálogo)"))</f>
        <v/>
      </c>
      <c r="W842" s="3">
        <f>IF(tblOrdenes[[#This Row],[puesto_trabajo]]="","",_xlfn.XLOOKUP(tblOrdenes[[#This Row],[puesto_trabajo]],tblPuestos[codigo],tblPuestos[especialidad],"(sin catálogo)"))</f>
        <v/>
      </c>
      <c r="X842" s="3">
        <f>IF(tblOrdenes[[#This Row],[cod_actividad]]="","",_xlfn.XLOOKUP(tblOrdenes[[#This Row],[cod_actividad]],tblActividades[codigo],tblActividades[descripcion],"(sin catálogo)"))</f>
        <v/>
      </c>
      <c r="Y842" s="12">
        <f>IF(tblOrdenes[[#This Row],[fecha_inicio]]="","",TODAY()-tblOrdenes[[#This Row],[fecha_inicio]])</f>
        <v/>
      </c>
      <c r="Z842" s="3">
        <f>IF(tblOrdenes[[#This Row],[backlog_dias]]="","",IF(tblOrdenes[[#This Row],[backlog_dias]]&lt;0,"FUTURO",IF(tblOrdenes[[#This Row],[backlog_dias]]&gt;p_dias_backlog_max,"BACKLOG","MES CORRIENTE")))</f>
        <v/>
      </c>
      <c r="AA842" s="3">
        <f>IF(tblOrdenes[[#This Row],[backlog_dias]]="",FALSE,AND(tblOrdenes[[#This Row],[backlog_dias]]&gt;p_dias_backlog_min,tblOrdenes[[#This Row],[backlog_dias]]&lt;=p_dias_backlog_max))</f>
        <v/>
      </c>
      <c r="AB842" s="6" t="n"/>
      <c r="AC8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2" s="10">
        <f>IF(tblOrdenes[[#This Row],[orden]]="","",_xlfn.XLOOKUP(tblOrdenes[[#This Row],[id_operacion]],tblEjecucion[id_operacion],tblEjecucion[precio],0))</f>
        <v/>
      </c>
      <c r="AG842" s="10">
        <f>IF(tblOrdenes[[#This Row],[orden]]="","",MAX(0,_xlfn.XLOOKUP(tblOrdenes[[#This Row],[id_operacion]],tblEjecucion[id_operacion],tblEjecucion[costo_plan_total],0)-tblOrdenes[[#This Row],[costo_servicio]]))</f>
        <v/>
      </c>
      <c r="AH842" s="10">
        <f>IF(tblOrdenes[[#This Row],[orden]]="","",tblOrdenes[[#This Row],[costo_servicio]]+tblOrdenes[[#This Row],[costo_materiales]])</f>
        <v/>
      </c>
      <c r="AI842" s="6" t="n"/>
      <c r="AJ842" s="6" t="n"/>
      <c r="AK842" s="6" t="n"/>
      <c r="AL842" s="3">
        <f>IF(tblOrdenes[[#This Row],[link_checklist]]="","",HYPERLINK(p_ruta_base_checklists&amp;tblOrdenes[[#This Row],[link_checklist]],"abrir"))</f>
        <v/>
      </c>
      <c r="AM842" s="6" t="n"/>
      <c r="AN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Row],[tipo_ot]]="","",_xlfn.XLOOKUP(tblOrdenes[[#This Row],[tipo_ot]],tblTiposOT[codigo],tblTiposOT[clasificacion],"sin_clasificar"))</f>
        <v/>
      </c>
      <c r="T843" s="3">
        <f>IF(tblOrdenes[[#This Row],[centro_costo]]="","",_xlfn.XLOOKUP(tblOrdenes[[#This Row],[centro_costo]],tblCECO[codigo],tblCECO[linea],"(sin catálogo)"))</f>
        <v/>
      </c>
      <c r="U843" s="3">
        <f>IF(tblOrdenes[[#This Row],[centro_costo]]="","",_xlfn.XLOOKUP(tblOrdenes[[#This Row],[centro_costo]],tblCECO[codigo],tblCECO[area],"(sin catálogo)"))</f>
        <v/>
      </c>
      <c r="V843" s="3">
        <f>IF(tblOrdenes[[#This Row],[centro_costo]]="","",_xlfn.XLOOKUP(tblOrdenes[[#This Row],[centro_costo]],tblCECO[codigo],tblCECO[coordinador],"(sin catálogo)"))</f>
        <v/>
      </c>
      <c r="W843" s="3">
        <f>IF(tblOrdenes[[#This Row],[puesto_trabajo]]="","",_xlfn.XLOOKUP(tblOrdenes[[#This Row],[puesto_trabajo]],tblPuestos[codigo],tblPuestos[especialidad],"(sin catálogo)"))</f>
        <v/>
      </c>
      <c r="X843" s="3">
        <f>IF(tblOrdenes[[#This Row],[cod_actividad]]="","",_xlfn.XLOOKUP(tblOrdenes[[#This Row],[cod_actividad]],tblActividades[codigo],tblActividades[descripcion],"(sin catálogo)"))</f>
        <v/>
      </c>
      <c r="Y843" s="12">
        <f>IF(tblOrdenes[[#This Row],[fecha_inicio]]="","",TODAY()-tblOrdenes[[#This Row],[fecha_inicio]])</f>
        <v/>
      </c>
      <c r="Z843" s="3">
        <f>IF(tblOrdenes[[#This Row],[backlog_dias]]="","",IF(tblOrdenes[[#This Row],[backlog_dias]]&lt;0,"FUTURO",IF(tblOrdenes[[#This Row],[backlog_dias]]&gt;p_dias_backlog_max,"BACKLOG","MES CORRIENTE")))</f>
        <v/>
      </c>
      <c r="AA843" s="3">
        <f>IF(tblOrdenes[[#This Row],[backlog_dias]]="",FALSE,AND(tblOrdenes[[#This Row],[backlog_dias]]&gt;p_dias_backlog_min,tblOrdenes[[#This Row],[backlog_dias]]&lt;=p_dias_backlog_max))</f>
        <v/>
      </c>
      <c r="AB843" s="6" t="n"/>
      <c r="AC8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3" s="10">
        <f>IF(tblOrdenes[[#This Row],[orden]]="","",_xlfn.XLOOKUP(tblOrdenes[[#This Row],[id_operacion]],tblEjecucion[id_operacion],tblEjecucion[precio],0))</f>
        <v/>
      </c>
      <c r="AG843" s="10">
        <f>IF(tblOrdenes[[#This Row],[orden]]="","",MAX(0,_xlfn.XLOOKUP(tblOrdenes[[#This Row],[id_operacion]],tblEjecucion[id_operacion],tblEjecucion[costo_plan_total],0)-tblOrdenes[[#This Row],[costo_servicio]]))</f>
        <v/>
      </c>
      <c r="AH843" s="10">
        <f>IF(tblOrdenes[[#This Row],[orden]]="","",tblOrdenes[[#This Row],[costo_servicio]]+tblOrdenes[[#This Row],[costo_materiales]])</f>
        <v/>
      </c>
      <c r="AI843" s="6" t="n"/>
      <c r="AJ843" s="6" t="n"/>
      <c r="AK843" s="6" t="n"/>
      <c r="AL843" s="3">
        <f>IF(tblOrdenes[[#This Row],[link_checklist]]="","",HYPERLINK(p_ruta_base_checklists&amp;tblOrdenes[[#This Row],[link_checklist]],"abrir"))</f>
        <v/>
      </c>
      <c r="AM843" s="6" t="n"/>
      <c r="AN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Row],[tipo_ot]]="","",_xlfn.XLOOKUP(tblOrdenes[[#This Row],[tipo_ot]],tblTiposOT[codigo],tblTiposOT[clasificacion],"sin_clasificar"))</f>
        <v/>
      </c>
      <c r="T844" s="3">
        <f>IF(tblOrdenes[[#This Row],[centro_costo]]="","",_xlfn.XLOOKUP(tblOrdenes[[#This Row],[centro_costo]],tblCECO[codigo],tblCECO[linea],"(sin catálogo)"))</f>
        <v/>
      </c>
      <c r="U844" s="3">
        <f>IF(tblOrdenes[[#This Row],[centro_costo]]="","",_xlfn.XLOOKUP(tblOrdenes[[#This Row],[centro_costo]],tblCECO[codigo],tblCECO[area],"(sin catálogo)"))</f>
        <v/>
      </c>
      <c r="V844" s="3">
        <f>IF(tblOrdenes[[#This Row],[centro_costo]]="","",_xlfn.XLOOKUP(tblOrdenes[[#This Row],[centro_costo]],tblCECO[codigo],tblCECO[coordinador],"(sin catálogo)"))</f>
        <v/>
      </c>
      <c r="W844" s="3">
        <f>IF(tblOrdenes[[#This Row],[puesto_trabajo]]="","",_xlfn.XLOOKUP(tblOrdenes[[#This Row],[puesto_trabajo]],tblPuestos[codigo],tblPuestos[especialidad],"(sin catálogo)"))</f>
        <v/>
      </c>
      <c r="X844" s="3">
        <f>IF(tblOrdenes[[#This Row],[cod_actividad]]="","",_xlfn.XLOOKUP(tblOrdenes[[#This Row],[cod_actividad]],tblActividades[codigo],tblActividades[descripcion],"(sin catálogo)"))</f>
        <v/>
      </c>
      <c r="Y844" s="12">
        <f>IF(tblOrdenes[[#This Row],[fecha_inicio]]="","",TODAY()-tblOrdenes[[#This Row],[fecha_inicio]])</f>
        <v/>
      </c>
      <c r="Z844" s="3">
        <f>IF(tblOrdenes[[#This Row],[backlog_dias]]="","",IF(tblOrdenes[[#This Row],[backlog_dias]]&lt;0,"FUTURO",IF(tblOrdenes[[#This Row],[backlog_dias]]&gt;p_dias_backlog_max,"BACKLOG","MES CORRIENTE")))</f>
        <v/>
      </c>
      <c r="AA844" s="3">
        <f>IF(tblOrdenes[[#This Row],[backlog_dias]]="",FALSE,AND(tblOrdenes[[#This Row],[backlog_dias]]&gt;p_dias_backlog_min,tblOrdenes[[#This Row],[backlog_dias]]&lt;=p_dias_backlog_max))</f>
        <v/>
      </c>
      <c r="AB844" s="6" t="n"/>
      <c r="AC8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4" s="10">
        <f>IF(tblOrdenes[[#This Row],[orden]]="","",_xlfn.XLOOKUP(tblOrdenes[[#This Row],[id_operacion]],tblEjecucion[id_operacion],tblEjecucion[precio],0))</f>
        <v/>
      </c>
      <c r="AG844" s="10">
        <f>IF(tblOrdenes[[#This Row],[orden]]="","",MAX(0,_xlfn.XLOOKUP(tblOrdenes[[#This Row],[id_operacion]],tblEjecucion[id_operacion],tblEjecucion[costo_plan_total],0)-tblOrdenes[[#This Row],[costo_servicio]]))</f>
        <v/>
      </c>
      <c r="AH844" s="10">
        <f>IF(tblOrdenes[[#This Row],[orden]]="","",tblOrdenes[[#This Row],[costo_servicio]]+tblOrdenes[[#This Row],[costo_materiales]])</f>
        <v/>
      </c>
      <c r="AI844" s="6" t="n"/>
      <c r="AJ844" s="6" t="n"/>
      <c r="AK844" s="6" t="n"/>
      <c r="AL844" s="3">
        <f>IF(tblOrdenes[[#This Row],[link_checklist]]="","",HYPERLINK(p_ruta_base_checklists&amp;tblOrdenes[[#This Row],[link_checklist]],"abrir"))</f>
        <v/>
      </c>
      <c r="AM844" s="6" t="n"/>
      <c r="AN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Row],[tipo_ot]]="","",_xlfn.XLOOKUP(tblOrdenes[[#This Row],[tipo_ot]],tblTiposOT[codigo],tblTiposOT[clasificacion],"sin_clasificar"))</f>
        <v/>
      </c>
      <c r="T845" s="3">
        <f>IF(tblOrdenes[[#This Row],[centro_costo]]="","",_xlfn.XLOOKUP(tblOrdenes[[#This Row],[centro_costo]],tblCECO[codigo],tblCECO[linea],"(sin catálogo)"))</f>
        <v/>
      </c>
      <c r="U845" s="3">
        <f>IF(tblOrdenes[[#This Row],[centro_costo]]="","",_xlfn.XLOOKUP(tblOrdenes[[#This Row],[centro_costo]],tblCECO[codigo],tblCECO[area],"(sin catálogo)"))</f>
        <v/>
      </c>
      <c r="V845" s="3">
        <f>IF(tblOrdenes[[#This Row],[centro_costo]]="","",_xlfn.XLOOKUP(tblOrdenes[[#This Row],[centro_costo]],tblCECO[codigo],tblCECO[coordinador],"(sin catálogo)"))</f>
        <v/>
      </c>
      <c r="W845" s="3">
        <f>IF(tblOrdenes[[#This Row],[puesto_trabajo]]="","",_xlfn.XLOOKUP(tblOrdenes[[#This Row],[puesto_trabajo]],tblPuestos[codigo],tblPuestos[especialidad],"(sin catálogo)"))</f>
        <v/>
      </c>
      <c r="X845" s="3">
        <f>IF(tblOrdenes[[#This Row],[cod_actividad]]="","",_xlfn.XLOOKUP(tblOrdenes[[#This Row],[cod_actividad]],tblActividades[codigo],tblActividades[descripcion],"(sin catálogo)"))</f>
        <v/>
      </c>
      <c r="Y845" s="12">
        <f>IF(tblOrdenes[[#This Row],[fecha_inicio]]="","",TODAY()-tblOrdenes[[#This Row],[fecha_inicio]])</f>
        <v/>
      </c>
      <c r="Z845" s="3">
        <f>IF(tblOrdenes[[#This Row],[backlog_dias]]="","",IF(tblOrdenes[[#This Row],[backlog_dias]]&lt;0,"FUTURO",IF(tblOrdenes[[#This Row],[backlog_dias]]&gt;p_dias_backlog_max,"BACKLOG","MES CORRIENTE")))</f>
        <v/>
      </c>
      <c r="AA845" s="3">
        <f>IF(tblOrdenes[[#This Row],[backlog_dias]]="",FALSE,AND(tblOrdenes[[#This Row],[backlog_dias]]&gt;p_dias_backlog_min,tblOrdenes[[#This Row],[backlog_dias]]&lt;=p_dias_backlog_max))</f>
        <v/>
      </c>
      <c r="AB845" s="6" t="n"/>
      <c r="AC8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5" s="10">
        <f>IF(tblOrdenes[[#This Row],[orden]]="","",_xlfn.XLOOKUP(tblOrdenes[[#This Row],[id_operacion]],tblEjecucion[id_operacion],tblEjecucion[precio],0))</f>
        <v/>
      </c>
      <c r="AG845" s="10">
        <f>IF(tblOrdenes[[#This Row],[orden]]="","",MAX(0,_xlfn.XLOOKUP(tblOrdenes[[#This Row],[id_operacion]],tblEjecucion[id_operacion],tblEjecucion[costo_plan_total],0)-tblOrdenes[[#This Row],[costo_servicio]]))</f>
        <v/>
      </c>
      <c r="AH845" s="10">
        <f>IF(tblOrdenes[[#This Row],[orden]]="","",tblOrdenes[[#This Row],[costo_servicio]]+tblOrdenes[[#This Row],[costo_materiales]])</f>
        <v/>
      </c>
      <c r="AI845" s="6" t="n"/>
      <c r="AJ845" s="6" t="n"/>
      <c r="AK845" s="6" t="n"/>
      <c r="AL845" s="3">
        <f>IF(tblOrdenes[[#This Row],[link_checklist]]="","",HYPERLINK(p_ruta_base_checklists&amp;tblOrdenes[[#This Row],[link_checklist]],"abrir"))</f>
        <v/>
      </c>
      <c r="AM845" s="6" t="n"/>
      <c r="AN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Row],[tipo_ot]]="","",_xlfn.XLOOKUP(tblOrdenes[[#This Row],[tipo_ot]],tblTiposOT[codigo],tblTiposOT[clasificacion],"sin_clasificar"))</f>
        <v/>
      </c>
      <c r="T846" s="3">
        <f>IF(tblOrdenes[[#This Row],[centro_costo]]="","",_xlfn.XLOOKUP(tblOrdenes[[#This Row],[centro_costo]],tblCECO[codigo],tblCECO[linea],"(sin catálogo)"))</f>
        <v/>
      </c>
      <c r="U846" s="3">
        <f>IF(tblOrdenes[[#This Row],[centro_costo]]="","",_xlfn.XLOOKUP(tblOrdenes[[#This Row],[centro_costo]],tblCECO[codigo],tblCECO[area],"(sin catálogo)"))</f>
        <v/>
      </c>
      <c r="V846" s="3">
        <f>IF(tblOrdenes[[#This Row],[centro_costo]]="","",_xlfn.XLOOKUP(tblOrdenes[[#This Row],[centro_costo]],tblCECO[codigo],tblCECO[coordinador],"(sin catálogo)"))</f>
        <v/>
      </c>
      <c r="W846" s="3">
        <f>IF(tblOrdenes[[#This Row],[puesto_trabajo]]="","",_xlfn.XLOOKUP(tblOrdenes[[#This Row],[puesto_trabajo]],tblPuestos[codigo],tblPuestos[especialidad],"(sin catálogo)"))</f>
        <v/>
      </c>
      <c r="X846" s="3">
        <f>IF(tblOrdenes[[#This Row],[cod_actividad]]="","",_xlfn.XLOOKUP(tblOrdenes[[#This Row],[cod_actividad]],tblActividades[codigo],tblActividades[descripcion],"(sin catálogo)"))</f>
        <v/>
      </c>
      <c r="Y846" s="12">
        <f>IF(tblOrdenes[[#This Row],[fecha_inicio]]="","",TODAY()-tblOrdenes[[#This Row],[fecha_inicio]])</f>
        <v/>
      </c>
      <c r="Z846" s="3">
        <f>IF(tblOrdenes[[#This Row],[backlog_dias]]="","",IF(tblOrdenes[[#This Row],[backlog_dias]]&lt;0,"FUTURO",IF(tblOrdenes[[#This Row],[backlog_dias]]&gt;p_dias_backlog_max,"BACKLOG","MES CORRIENTE")))</f>
        <v/>
      </c>
      <c r="AA846" s="3">
        <f>IF(tblOrdenes[[#This Row],[backlog_dias]]="",FALSE,AND(tblOrdenes[[#This Row],[backlog_dias]]&gt;p_dias_backlog_min,tblOrdenes[[#This Row],[backlog_dias]]&lt;=p_dias_backlog_max))</f>
        <v/>
      </c>
      <c r="AB846" s="6" t="n"/>
      <c r="AC8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6" s="10">
        <f>IF(tblOrdenes[[#This Row],[orden]]="","",_xlfn.XLOOKUP(tblOrdenes[[#This Row],[id_operacion]],tblEjecucion[id_operacion],tblEjecucion[precio],0))</f>
        <v/>
      </c>
      <c r="AG846" s="10">
        <f>IF(tblOrdenes[[#This Row],[orden]]="","",MAX(0,_xlfn.XLOOKUP(tblOrdenes[[#This Row],[id_operacion]],tblEjecucion[id_operacion],tblEjecucion[costo_plan_total],0)-tblOrdenes[[#This Row],[costo_servicio]]))</f>
        <v/>
      </c>
      <c r="AH846" s="10">
        <f>IF(tblOrdenes[[#This Row],[orden]]="","",tblOrdenes[[#This Row],[costo_servicio]]+tblOrdenes[[#This Row],[costo_materiales]])</f>
        <v/>
      </c>
      <c r="AI846" s="6" t="n"/>
      <c r="AJ846" s="6" t="n"/>
      <c r="AK846" s="6" t="n"/>
      <c r="AL846" s="3">
        <f>IF(tblOrdenes[[#This Row],[link_checklist]]="","",HYPERLINK(p_ruta_base_checklists&amp;tblOrdenes[[#This Row],[link_checklist]],"abrir"))</f>
        <v/>
      </c>
      <c r="AM846" s="6" t="n"/>
      <c r="AN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Row],[tipo_ot]]="","",_xlfn.XLOOKUP(tblOrdenes[[#This Row],[tipo_ot]],tblTiposOT[codigo],tblTiposOT[clasificacion],"sin_clasificar"))</f>
        <v/>
      </c>
      <c r="T847" s="3">
        <f>IF(tblOrdenes[[#This Row],[centro_costo]]="","",_xlfn.XLOOKUP(tblOrdenes[[#This Row],[centro_costo]],tblCECO[codigo],tblCECO[linea],"(sin catálogo)"))</f>
        <v/>
      </c>
      <c r="U847" s="3">
        <f>IF(tblOrdenes[[#This Row],[centro_costo]]="","",_xlfn.XLOOKUP(tblOrdenes[[#This Row],[centro_costo]],tblCECO[codigo],tblCECO[area],"(sin catálogo)"))</f>
        <v/>
      </c>
      <c r="V847" s="3">
        <f>IF(tblOrdenes[[#This Row],[centro_costo]]="","",_xlfn.XLOOKUP(tblOrdenes[[#This Row],[centro_costo]],tblCECO[codigo],tblCECO[coordinador],"(sin catálogo)"))</f>
        <v/>
      </c>
      <c r="W847" s="3">
        <f>IF(tblOrdenes[[#This Row],[puesto_trabajo]]="","",_xlfn.XLOOKUP(tblOrdenes[[#This Row],[puesto_trabajo]],tblPuestos[codigo],tblPuestos[especialidad],"(sin catálogo)"))</f>
        <v/>
      </c>
      <c r="X847" s="3">
        <f>IF(tblOrdenes[[#This Row],[cod_actividad]]="","",_xlfn.XLOOKUP(tblOrdenes[[#This Row],[cod_actividad]],tblActividades[codigo],tblActividades[descripcion],"(sin catálogo)"))</f>
        <v/>
      </c>
      <c r="Y847" s="12">
        <f>IF(tblOrdenes[[#This Row],[fecha_inicio]]="","",TODAY()-tblOrdenes[[#This Row],[fecha_inicio]])</f>
        <v/>
      </c>
      <c r="Z847" s="3">
        <f>IF(tblOrdenes[[#This Row],[backlog_dias]]="","",IF(tblOrdenes[[#This Row],[backlog_dias]]&lt;0,"FUTURO",IF(tblOrdenes[[#This Row],[backlog_dias]]&gt;p_dias_backlog_max,"BACKLOG","MES CORRIENTE")))</f>
        <v/>
      </c>
      <c r="AA847" s="3">
        <f>IF(tblOrdenes[[#This Row],[backlog_dias]]="",FALSE,AND(tblOrdenes[[#This Row],[backlog_dias]]&gt;p_dias_backlog_min,tblOrdenes[[#This Row],[backlog_dias]]&lt;=p_dias_backlog_max))</f>
        <v/>
      </c>
      <c r="AB847" s="6" t="n"/>
      <c r="AC8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7" s="10">
        <f>IF(tblOrdenes[[#This Row],[orden]]="","",_xlfn.XLOOKUP(tblOrdenes[[#This Row],[id_operacion]],tblEjecucion[id_operacion],tblEjecucion[precio],0))</f>
        <v/>
      </c>
      <c r="AG847" s="10">
        <f>IF(tblOrdenes[[#This Row],[orden]]="","",MAX(0,_xlfn.XLOOKUP(tblOrdenes[[#This Row],[id_operacion]],tblEjecucion[id_operacion],tblEjecucion[costo_plan_total],0)-tblOrdenes[[#This Row],[costo_servicio]]))</f>
        <v/>
      </c>
      <c r="AH847" s="10">
        <f>IF(tblOrdenes[[#This Row],[orden]]="","",tblOrdenes[[#This Row],[costo_servicio]]+tblOrdenes[[#This Row],[costo_materiales]])</f>
        <v/>
      </c>
      <c r="AI847" s="6" t="n"/>
      <c r="AJ847" s="6" t="n"/>
      <c r="AK847" s="6" t="n"/>
      <c r="AL847" s="3">
        <f>IF(tblOrdenes[[#This Row],[link_checklist]]="","",HYPERLINK(p_ruta_base_checklists&amp;tblOrdenes[[#This Row],[link_checklist]],"abrir"))</f>
        <v/>
      </c>
      <c r="AM847" s="6" t="n"/>
      <c r="AN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Row],[tipo_ot]]="","",_xlfn.XLOOKUP(tblOrdenes[[#This Row],[tipo_ot]],tblTiposOT[codigo],tblTiposOT[clasificacion],"sin_clasificar"))</f>
        <v/>
      </c>
      <c r="T848" s="3">
        <f>IF(tblOrdenes[[#This Row],[centro_costo]]="","",_xlfn.XLOOKUP(tblOrdenes[[#This Row],[centro_costo]],tblCECO[codigo],tblCECO[linea],"(sin catálogo)"))</f>
        <v/>
      </c>
      <c r="U848" s="3">
        <f>IF(tblOrdenes[[#This Row],[centro_costo]]="","",_xlfn.XLOOKUP(tblOrdenes[[#This Row],[centro_costo]],tblCECO[codigo],tblCECO[area],"(sin catálogo)"))</f>
        <v/>
      </c>
      <c r="V848" s="3">
        <f>IF(tblOrdenes[[#This Row],[centro_costo]]="","",_xlfn.XLOOKUP(tblOrdenes[[#This Row],[centro_costo]],tblCECO[codigo],tblCECO[coordinador],"(sin catálogo)"))</f>
        <v/>
      </c>
      <c r="W848" s="3">
        <f>IF(tblOrdenes[[#This Row],[puesto_trabajo]]="","",_xlfn.XLOOKUP(tblOrdenes[[#This Row],[puesto_trabajo]],tblPuestos[codigo],tblPuestos[especialidad],"(sin catálogo)"))</f>
        <v/>
      </c>
      <c r="X848" s="3">
        <f>IF(tblOrdenes[[#This Row],[cod_actividad]]="","",_xlfn.XLOOKUP(tblOrdenes[[#This Row],[cod_actividad]],tblActividades[codigo],tblActividades[descripcion],"(sin catálogo)"))</f>
        <v/>
      </c>
      <c r="Y848" s="12">
        <f>IF(tblOrdenes[[#This Row],[fecha_inicio]]="","",TODAY()-tblOrdenes[[#This Row],[fecha_inicio]])</f>
        <v/>
      </c>
      <c r="Z848" s="3">
        <f>IF(tblOrdenes[[#This Row],[backlog_dias]]="","",IF(tblOrdenes[[#This Row],[backlog_dias]]&lt;0,"FUTURO",IF(tblOrdenes[[#This Row],[backlog_dias]]&gt;p_dias_backlog_max,"BACKLOG","MES CORRIENTE")))</f>
        <v/>
      </c>
      <c r="AA848" s="3">
        <f>IF(tblOrdenes[[#This Row],[backlog_dias]]="",FALSE,AND(tblOrdenes[[#This Row],[backlog_dias]]&gt;p_dias_backlog_min,tblOrdenes[[#This Row],[backlog_dias]]&lt;=p_dias_backlog_max))</f>
        <v/>
      </c>
      <c r="AB848" s="6" t="n"/>
      <c r="AC8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8" s="10">
        <f>IF(tblOrdenes[[#This Row],[orden]]="","",_xlfn.XLOOKUP(tblOrdenes[[#This Row],[id_operacion]],tblEjecucion[id_operacion],tblEjecucion[precio],0))</f>
        <v/>
      </c>
      <c r="AG848" s="10">
        <f>IF(tblOrdenes[[#This Row],[orden]]="","",MAX(0,_xlfn.XLOOKUP(tblOrdenes[[#This Row],[id_operacion]],tblEjecucion[id_operacion],tblEjecucion[costo_plan_total],0)-tblOrdenes[[#This Row],[costo_servicio]]))</f>
        <v/>
      </c>
      <c r="AH848" s="10">
        <f>IF(tblOrdenes[[#This Row],[orden]]="","",tblOrdenes[[#This Row],[costo_servicio]]+tblOrdenes[[#This Row],[costo_materiales]])</f>
        <v/>
      </c>
      <c r="AI848" s="6" t="n"/>
      <c r="AJ848" s="6" t="n"/>
      <c r="AK848" s="6" t="n"/>
      <c r="AL848" s="3">
        <f>IF(tblOrdenes[[#This Row],[link_checklist]]="","",HYPERLINK(p_ruta_base_checklists&amp;tblOrdenes[[#This Row],[link_checklist]],"abrir"))</f>
        <v/>
      </c>
      <c r="AM848" s="6" t="n"/>
      <c r="AN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Row],[tipo_ot]]="","",_xlfn.XLOOKUP(tblOrdenes[[#This Row],[tipo_ot]],tblTiposOT[codigo],tblTiposOT[clasificacion],"sin_clasificar"))</f>
        <v/>
      </c>
      <c r="T849" s="3">
        <f>IF(tblOrdenes[[#This Row],[centro_costo]]="","",_xlfn.XLOOKUP(tblOrdenes[[#This Row],[centro_costo]],tblCECO[codigo],tblCECO[linea],"(sin catálogo)"))</f>
        <v/>
      </c>
      <c r="U849" s="3">
        <f>IF(tblOrdenes[[#This Row],[centro_costo]]="","",_xlfn.XLOOKUP(tblOrdenes[[#This Row],[centro_costo]],tblCECO[codigo],tblCECO[area],"(sin catálogo)"))</f>
        <v/>
      </c>
      <c r="V849" s="3">
        <f>IF(tblOrdenes[[#This Row],[centro_costo]]="","",_xlfn.XLOOKUP(tblOrdenes[[#This Row],[centro_costo]],tblCECO[codigo],tblCECO[coordinador],"(sin catálogo)"))</f>
        <v/>
      </c>
      <c r="W849" s="3">
        <f>IF(tblOrdenes[[#This Row],[puesto_trabajo]]="","",_xlfn.XLOOKUP(tblOrdenes[[#This Row],[puesto_trabajo]],tblPuestos[codigo],tblPuestos[especialidad],"(sin catálogo)"))</f>
        <v/>
      </c>
      <c r="X849" s="3">
        <f>IF(tblOrdenes[[#This Row],[cod_actividad]]="","",_xlfn.XLOOKUP(tblOrdenes[[#This Row],[cod_actividad]],tblActividades[codigo],tblActividades[descripcion],"(sin catálogo)"))</f>
        <v/>
      </c>
      <c r="Y849" s="12">
        <f>IF(tblOrdenes[[#This Row],[fecha_inicio]]="","",TODAY()-tblOrdenes[[#This Row],[fecha_inicio]])</f>
        <v/>
      </c>
      <c r="Z849" s="3">
        <f>IF(tblOrdenes[[#This Row],[backlog_dias]]="","",IF(tblOrdenes[[#This Row],[backlog_dias]]&lt;0,"FUTURO",IF(tblOrdenes[[#This Row],[backlog_dias]]&gt;p_dias_backlog_max,"BACKLOG","MES CORRIENTE")))</f>
        <v/>
      </c>
      <c r="AA849" s="3">
        <f>IF(tblOrdenes[[#This Row],[backlog_dias]]="",FALSE,AND(tblOrdenes[[#This Row],[backlog_dias]]&gt;p_dias_backlog_min,tblOrdenes[[#This Row],[backlog_dias]]&lt;=p_dias_backlog_max))</f>
        <v/>
      </c>
      <c r="AB849" s="6" t="n"/>
      <c r="AC8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9" s="10">
        <f>IF(tblOrdenes[[#This Row],[orden]]="","",_xlfn.XLOOKUP(tblOrdenes[[#This Row],[id_operacion]],tblEjecucion[id_operacion],tblEjecucion[precio],0))</f>
        <v/>
      </c>
      <c r="AG849" s="10">
        <f>IF(tblOrdenes[[#This Row],[orden]]="","",MAX(0,_xlfn.XLOOKUP(tblOrdenes[[#This Row],[id_operacion]],tblEjecucion[id_operacion],tblEjecucion[costo_plan_total],0)-tblOrdenes[[#This Row],[costo_servicio]]))</f>
        <v/>
      </c>
      <c r="AH849" s="10">
        <f>IF(tblOrdenes[[#This Row],[orden]]="","",tblOrdenes[[#This Row],[costo_servicio]]+tblOrdenes[[#This Row],[costo_materiales]])</f>
        <v/>
      </c>
      <c r="AI849" s="6" t="n"/>
      <c r="AJ849" s="6" t="n"/>
      <c r="AK849" s="6" t="n"/>
      <c r="AL849" s="3">
        <f>IF(tblOrdenes[[#This Row],[link_checklist]]="","",HYPERLINK(p_ruta_base_checklists&amp;tblOrdenes[[#This Row],[link_checklist]],"abrir"))</f>
        <v/>
      </c>
      <c r="AM849" s="6" t="n"/>
      <c r="AN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Row],[tipo_ot]]="","",_xlfn.XLOOKUP(tblOrdenes[[#This Row],[tipo_ot]],tblTiposOT[codigo],tblTiposOT[clasificacion],"sin_clasificar"))</f>
        <v/>
      </c>
      <c r="T850" s="3">
        <f>IF(tblOrdenes[[#This Row],[centro_costo]]="","",_xlfn.XLOOKUP(tblOrdenes[[#This Row],[centro_costo]],tblCECO[codigo],tblCECO[linea],"(sin catálogo)"))</f>
        <v/>
      </c>
      <c r="U850" s="3">
        <f>IF(tblOrdenes[[#This Row],[centro_costo]]="","",_xlfn.XLOOKUP(tblOrdenes[[#This Row],[centro_costo]],tblCECO[codigo],tblCECO[area],"(sin catálogo)"))</f>
        <v/>
      </c>
      <c r="V850" s="3">
        <f>IF(tblOrdenes[[#This Row],[centro_costo]]="","",_xlfn.XLOOKUP(tblOrdenes[[#This Row],[centro_costo]],tblCECO[codigo],tblCECO[coordinador],"(sin catálogo)"))</f>
        <v/>
      </c>
      <c r="W850" s="3">
        <f>IF(tblOrdenes[[#This Row],[puesto_trabajo]]="","",_xlfn.XLOOKUP(tblOrdenes[[#This Row],[puesto_trabajo]],tblPuestos[codigo],tblPuestos[especialidad],"(sin catálogo)"))</f>
        <v/>
      </c>
      <c r="X850" s="3">
        <f>IF(tblOrdenes[[#This Row],[cod_actividad]]="","",_xlfn.XLOOKUP(tblOrdenes[[#This Row],[cod_actividad]],tblActividades[codigo],tblActividades[descripcion],"(sin catálogo)"))</f>
        <v/>
      </c>
      <c r="Y850" s="12">
        <f>IF(tblOrdenes[[#This Row],[fecha_inicio]]="","",TODAY()-tblOrdenes[[#This Row],[fecha_inicio]])</f>
        <v/>
      </c>
      <c r="Z850" s="3">
        <f>IF(tblOrdenes[[#This Row],[backlog_dias]]="","",IF(tblOrdenes[[#This Row],[backlog_dias]]&lt;0,"FUTURO",IF(tblOrdenes[[#This Row],[backlog_dias]]&gt;p_dias_backlog_max,"BACKLOG","MES CORRIENTE")))</f>
        <v/>
      </c>
      <c r="AA850" s="3">
        <f>IF(tblOrdenes[[#This Row],[backlog_dias]]="",FALSE,AND(tblOrdenes[[#This Row],[backlog_dias]]&gt;p_dias_backlog_min,tblOrdenes[[#This Row],[backlog_dias]]&lt;=p_dias_backlog_max))</f>
        <v/>
      </c>
      <c r="AB850" s="6" t="n"/>
      <c r="AC8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0" s="10">
        <f>IF(tblOrdenes[[#This Row],[orden]]="","",_xlfn.XLOOKUP(tblOrdenes[[#This Row],[id_operacion]],tblEjecucion[id_operacion],tblEjecucion[precio],0))</f>
        <v/>
      </c>
      <c r="AG850" s="10">
        <f>IF(tblOrdenes[[#This Row],[orden]]="","",MAX(0,_xlfn.XLOOKUP(tblOrdenes[[#This Row],[id_operacion]],tblEjecucion[id_operacion],tblEjecucion[costo_plan_total],0)-tblOrdenes[[#This Row],[costo_servicio]]))</f>
        <v/>
      </c>
      <c r="AH850" s="10">
        <f>IF(tblOrdenes[[#This Row],[orden]]="","",tblOrdenes[[#This Row],[costo_servicio]]+tblOrdenes[[#This Row],[costo_materiales]])</f>
        <v/>
      </c>
      <c r="AI850" s="6" t="n"/>
      <c r="AJ850" s="6" t="n"/>
      <c r="AK850" s="6" t="n"/>
      <c r="AL850" s="3">
        <f>IF(tblOrdenes[[#This Row],[link_checklist]]="","",HYPERLINK(p_ruta_base_checklists&amp;tblOrdenes[[#This Row],[link_checklist]],"abrir"))</f>
        <v/>
      </c>
      <c r="AM850" s="6" t="n"/>
      <c r="AN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Row],[tipo_ot]]="","",_xlfn.XLOOKUP(tblOrdenes[[#This Row],[tipo_ot]],tblTiposOT[codigo],tblTiposOT[clasificacion],"sin_clasificar"))</f>
        <v/>
      </c>
      <c r="T851" s="3">
        <f>IF(tblOrdenes[[#This Row],[centro_costo]]="","",_xlfn.XLOOKUP(tblOrdenes[[#This Row],[centro_costo]],tblCECO[codigo],tblCECO[linea],"(sin catálogo)"))</f>
        <v/>
      </c>
      <c r="U851" s="3">
        <f>IF(tblOrdenes[[#This Row],[centro_costo]]="","",_xlfn.XLOOKUP(tblOrdenes[[#This Row],[centro_costo]],tblCECO[codigo],tblCECO[area],"(sin catálogo)"))</f>
        <v/>
      </c>
      <c r="V851" s="3">
        <f>IF(tblOrdenes[[#This Row],[centro_costo]]="","",_xlfn.XLOOKUP(tblOrdenes[[#This Row],[centro_costo]],tblCECO[codigo],tblCECO[coordinador],"(sin catálogo)"))</f>
        <v/>
      </c>
      <c r="W851" s="3">
        <f>IF(tblOrdenes[[#This Row],[puesto_trabajo]]="","",_xlfn.XLOOKUP(tblOrdenes[[#This Row],[puesto_trabajo]],tblPuestos[codigo],tblPuestos[especialidad],"(sin catálogo)"))</f>
        <v/>
      </c>
      <c r="X851" s="3">
        <f>IF(tblOrdenes[[#This Row],[cod_actividad]]="","",_xlfn.XLOOKUP(tblOrdenes[[#This Row],[cod_actividad]],tblActividades[codigo],tblActividades[descripcion],"(sin catálogo)"))</f>
        <v/>
      </c>
      <c r="Y851" s="12">
        <f>IF(tblOrdenes[[#This Row],[fecha_inicio]]="","",TODAY()-tblOrdenes[[#This Row],[fecha_inicio]])</f>
        <v/>
      </c>
      <c r="Z851" s="3">
        <f>IF(tblOrdenes[[#This Row],[backlog_dias]]="","",IF(tblOrdenes[[#This Row],[backlog_dias]]&lt;0,"FUTURO",IF(tblOrdenes[[#This Row],[backlog_dias]]&gt;p_dias_backlog_max,"BACKLOG","MES CORRIENTE")))</f>
        <v/>
      </c>
      <c r="AA851" s="3">
        <f>IF(tblOrdenes[[#This Row],[backlog_dias]]="",FALSE,AND(tblOrdenes[[#This Row],[backlog_dias]]&gt;p_dias_backlog_min,tblOrdenes[[#This Row],[backlog_dias]]&lt;=p_dias_backlog_max))</f>
        <v/>
      </c>
      <c r="AB851" s="6" t="n"/>
      <c r="AC8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1" s="10">
        <f>IF(tblOrdenes[[#This Row],[orden]]="","",_xlfn.XLOOKUP(tblOrdenes[[#This Row],[id_operacion]],tblEjecucion[id_operacion],tblEjecucion[precio],0))</f>
        <v/>
      </c>
      <c r="AG851" s="10">
        <f>IF(tblOrdenes[[#This Row],[orden]]="","",MAX(0,_xlfn.XLOOKUP(tblOrdenes[[#This Row],[id_operacion]],tblEjecucion[id_operacion],tblEjecucion[costo_plan_total],0)-tblOrdenes[[#This Row],[costo_servicio]]))</f>
        <v/>
      </c>
      <c r="AH851" s="10">
        <f>IF(tblOrdenes[[#This Row],[orden]]="","",tblOrdenes[[#This Row],[costo_servicio]]+tblOrdenes[[#This Row],[costo_materiales]])</f>
        <v/>
      </c>
      <c r="AI851" s="6" t="n"/>
      <c r="AJ851" s="6" t="n"/>
      <c r="AK851" s="6" t="n"/>
      <c r="AL851" s="3">
        <f>IF(tblOrdenes[[#This Row],[link_checklist]]="","",HYPERLINK(p_ruta_base_checklists&amp;tblOrdenes[[#This Row],[link_checklist]],"abrir"))</f>
        <v/>
      </c>
      <c r="AM851" s="6" t="n"/>
      <c r="AN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Row],[tipo_ot]]="","",_xlfn.XLOOKUP(tblOrdenes[[#This Row],[tipo_ot]],tblTiposOT[codigo],tblTiposOT[clasificacion],"sin_clasificar"))</f>
        <v/>
      </c>
      <c r="T852" s="3">
        <f>IF(tblOrdenes[[#This Row],[centro_costo]]="","",_xlfn.XLOOKUP(tblOrdenes[[#This Row],[centro_costo]],tblCECO[codigo],tblCECO[linea],"(sin catálogo)"))</f>
        <v/>
      </c>
      <c r="U852" s="3">
        <f>IF(tblOrdenes[[#This Row],[centro_costo]]="","",_xlfn.XLOOKUP(tblOrdenes[[#This Row],[centro_costo]],tblCECO[codigo],tblCECO[area],"(sin catálogo)"))</f>
        <v/>
      </c>
      <c r="V852" s="3">
        <f>IF(tblOrdenes[[#This Row],[centro_costo]]="","",_xlfn.XLOOKUP(tblOrdenes[[#This Row],[centro_costo]],tblCECO[codigo],tblCECO[coordinador],"(sin catálogo)"))</f>
        <v/>
      </c>
      <c r="W852" s="3">
        <f>IF(tblOrdenes[[#This Row],[puesto_trabajo]]="","",_xlfn.XLOOKUP(tblOrdenes[[#This Row],[puesto_trabajo]],tblPuestos[codigo],tblPuestos[especialidad],"(sin catálogo)"))</f>
        <v/>
      </c>
      <c r="X852" s="3">
        <f>IF(tblOrdenes[[#This Row],[cod_actividad]]="","",_xlfn.XLOOKUP(tblOrdenes[[#This Row],[cod_actividad]],tblActividades[codigo],tblActividades[descripcion],"(sin catálogo)"))</f>
        <v/>
      </c>
      <c r="Y852" s="12">
        <f>IF(tblOrdenes[[#This Row],[fecha_inicio]]="","",TODAY()-tblOrdenes[[#This Row],[fecha_inicio]])</f>
        <v/>
      </c>
      <c r="Z852" s="3">
        <f>IF(tblOrdenes[[#This Row],[backlog_dias]]="","",IF(tblOrdenes[[#This Row],[backlog_dias]]&lt;0,"FUTURO",IF(tblOrdenes[[#This Row],[backlog_dias]]&gt;p_dias_backlog_max,"BACKLOG","MES CORRIENTE")))</f>
        <v/>
      </c>
      <c r="AA852" s="3">
        <f>IF(tblOrdenes[[#This Row],[backlog_dias]]="",FALSE,AND(tblOrdenes[[#This Row],[backlog_dias]]&gt;p_dias_backlog_min,tblOrdenes[[#This Row],[backlog_dias]]&lt;=p_dias_backlog_max))</f>
        <v/>
      </c>
      <c r="AB852" s="6" t="n"/>
      <c r="AC8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2" s="10">
        <f>IF(tblOrdenes[[#This Row],[orden]]="","",_xlfn.XLOOKUP(tblOrdenes[[#This Row],[id_operacion]],tblEjecucion[id_operacion],tblEjecucion[precio],0))</f>
        <v/>
      </c>
      <c r="AG852" s="10">
        <f>IF(tblOrdenes[[#This Row],[orden]]="","",MAX(0,_xlfn.XLOOKUP(tblOrdenes[[#This Row],[id_operacion]],tblEjecucion[id_operacion],tblEjecucion[costo_plan_total],0)-tblOrdenes[[#This Row],[costo_servicio]]))</f>
        <v/>
      </c>
      <c r="AH852" s="10">
        <f>IF(tblOrdenes[[#This Row],[orden]]="","",tblOrdenes[[#This Row],[costo_servicio]]+tblOrdenes[[#This Row],[costo_materiales]])</f>
        <v/>
      </c>
      <c r="AI852" s="6" t="n"/>
      <c r="AJ852" s="6" t="n"/>
      <c r="AK852" s="6" t="n"/>
      <c r="AL852" s="3">
        <f>IF(tblOrdenes[[#This Row],[link_checklist]]="","",HYPERLINK(p_ruta_base_checklists&amp;tblOrdenes[[#This Row],[link_checklist]],"abrir"))</f>
        <v/>
      </c>
      <c r="AM852" s="6" t="n"/>
      <c r="AN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Row],[tipo_ot]]="","",_xlfn.XLOOKUP(tblOrdenes[[#This Row],[tipo_ot]],tblTiposOT[codigo],tblTiposOT[clasificacion],"sin_clasificar"))</f>
        <v/>
      </c>
      <c r="T853" s="3">
        <f>IF(tblOrdenes[[#This Row],[centro_costo]]="","",_xlfn.XLOOKUP(tblOrdenes[[#This Row],[centro_costo]],tblCECO[codigo],tblCECO[linea],"(sin catálogo)"))</f>
        <v/>
      </c>
      <c r="U853" s="3">
        <f>IF(tblOrdenes[[#This Row],[centro_costo]]="","",_xlfn.XLOOKUP(tblOrdenes[[#This Row],[centro_costo]],tblCECO[codigo],tblCECO[area],"(sin catálogo)"))</f>
        <v/>
      </c>
      <c r="V853" s="3">
        <f>IF(tblOrdenes[[#This Row],[centro_costo]]="","",_xlfn.XLOOKUP(tblOrdenes[[#This Row],[centro_costo]],tblCECO[codigo],tblCECO[coordinador],"(sin catálogo)"))</f>
        <v/>
      </c>
      <c r="W853" s="3">
        <f>IF(tblOrdenes[[#This Row],[puesto_trabajo]]="","",_xlfn.XLOOKUP(tblOrdenes[[#This Row],[puesto_trabajo]],tblPuestos[codigo],tblPuestos[especialidad],"(sin catálogo)"))</f>
        <v/>
      </c>
      <c r="X853" s="3">
        <f>IF(tblOrdenes[[#This Row],[cod_actividad]]="","",_xlfn.XLOOKUP(tblOrdenes[[#This Row],[cod_actividad]],tblActividades[codigo],tblActividades[descripcion],"(sin catálogo)"))</f>
        <v/>
      </c>
      <c r="Y853" s="12">
        <f>IF(tblOrdenes[[#This Row],[fecha_inicio]]="","",TODAY()-tblOrdenes[[#This Row],[fecha_inicio]])</f>
        <v/>
      </c>
      <c r="Z853" s="3">
        <f>IF(tblOrdenes[[#This Row],[backlog_dias]]="","",IF(tblOrdenes[[#This Row],[backlog_dias]]&lt;0,"FUTURO",IF(tblOrdenes[[#This Row],[backlog_dias]]&gt;p_dias_backlog_max,"BACKLOG","MES CORRIENTE")))</f>
        <v/>
      </c>
      <c r="AA853" s="3">
        <f>IF(tblOrdenes[[#This Row],[backlog_dias]]="",FALSE,AND(tblOrdenes[[#This Row],[backlog_dias]]&gt;p_dias_backlog_min,tblOrdenes[[#This Row],[backlog_dias]]&lt;=p_dias_backlog_max))</f>
        <v/>
      </c>
      <c r="AB853" s="6" t="n"/>
      <c r="AC8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3" s="10">
        <f>IF(tblOrdenes[[#This Row],[orden]]="","",_xlfn.XLOOKUP(tblOrdenes[[#This Row],[id_operacion]],tblEjecucion[id_operacion],tblEjecucion[precio],0))</f>
        <v/>
      </c>
      <c r="AG853" s="10">
        <f>IF(tblOrdenes[[#This Row],[orden]]="","",MAX(0,_xlfn.XLOOKUP(tblOrdenes[[#This Row],[id_operacion]],tblEjecucion[id_operacion],tblEjecucion[costo_plan_total],0)-tblOrdenes[[#This Row],[costo_servicio]]))</f>
        <v/>
      </c>
      <c r="AH853" s="10">
        <f>IF(tblOrdenes[[#This Row],[orden]]="","",tblOrdenes[[#This Row],[costo_servicio]]+tblOrdenes[[#This Row],[costo_materiales]])</f>
        <v/>
      </c>
      <c r="AI853" s="6" t="n"/>
      <c r="AJ853" s="6" t="n"/>
      <c r="AK853" s="6" t="n"/>
      <c r="AL853" s="3">
        <f>IF(tblOrdenes[[#This Row],[link_checklist]]="","",HYPERLINK(p_ruta_base_checklists&amp;tblOrdenes[[#This Row],[link_checklist]],"abrir"))</f>
        <v/>
      </c>
      <c r="AM853" s="6" t="n"/>
      <c r="AN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Row],[tipo_ot]]="","",_xlfn.XLOOKUP(tblOrdenes[[#This Row],[tipo_ot]],tblTiposOT[codigo],tblTiposOT[clasificacion],"sin_clasificar"))</f>
        <v/>
      </c>
      <c r="T854" s="3">
        <f>IF(tblOrdenes[[#This Row],[centro_costo]]="","",_xlfn.XLOOKUP(tblOrdenes[[#This Row],[centro_costo]],tblCECO[codigo],tblCECO[linea],"(sin catálogo)"))</f>
        <v/>
      </c>
      <c r="U854" s="3">
        <f>IF(tblOrdenes[[#This Row],[centro_costo]]="","",_xlfn.XLOOKUP(tblOrdenes[[#This Row],[centro_costo]],tblCECO[codigo],tblCECO[area],"(sin catálogo)"))</f>
        <v/>
      </c>
      <c r="V854" s="3">
        <f>IF(tblOrdenes[[#This Row],[centro_costo]]="","",_xlfn.XLOOKUP(tblOrdenes[[#This Row],[centro_costo]],tblCECO[codigo],tblCECO[coordinador],"(sin catálogo)"))</f>
        <v/>
      </c>
      <c r="W854" s="3">
        <f>IF(tblOrdenes[[#This Row],[puesto_trabajo]]="","",_xlfn.XLOOKUP(tblOrdenes[[#This Row],[puesto_trabajo]],tblPuestos[codigo],tblPuestos[especialidad],"(sin catálogo)"))</f>
        <v/>
      </c>
      <c r="X854" s="3">
        <f>IF(tblOrdenes[[#This Row],[cod_actividad]]="","",_xlfn.XLOOKUP(tblOrdenes[[#This Row],[cod_actividad]],tblActividades[codigo],tblActividades[descripcion],"(sin catálogo)"))</f>
        <v/>
      </c>
      <c r="Y854" s="12">
        <f>IF(tblOrdenes[[#This Row],[fecha_inicio]]="","",TODAY()-tblOrdenes[[#This Row],[fecha_inicio]])</f>
        <v/>
      </c>
      <c r="Z854" s="3">
        <f>IF(tblOrdenes[[#This Row],[backlog_dias]]="","",IF(tblOrdenes[[#This Row],[backlog_dias]]&lt;0,"FUTURO",IF(tblOrdenes[[#This Row],[backlog_dias]]&gt;p_dias_backlog_max,"BACKLOG","MES CORRIENTE")))</f>
        <v/>
      </c>
      <c r="AA854" s="3">
        <f>IF(tblOrdenes[[#This Row],[backlog_dias]]="",FALSE,AND(tblOrdenes[[#This Row],[backlog_dias]]&gt;p_dias_backlog_min,tblOrdenes[[#This Row],[backlog_dias]]&lt;=p_dias_backlog_max))</f>
        <v/>
      </c>
      <c r="AB854" s="6" t="n"/>
      <c r="AC8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4" s="10">
        <f>IF(tblOrdenes[[#This Row],[orden]]="","",_xlfn.XLOOKUP(tblOrdenes[[#This Row],[id_operacion]],tblEjecucion[id_operacion],tblEjecucion[precio],0))</f>
        <v/>
      </c>
      <c r="AG854" s="10">
        <f>IF(tblOrdenes[[#This Row],[orden]]="","",MAX(0,_xlfn.XLOOKUP(tblOrdenes[[#This Row],[id_operacion]],tblEjecucion[id_operacion],tblEjecucion[costo_plan_total],0)-tblOrdenes[[#This Row],[costo_servicio]]))</f>
        <v/>
      </c>
      <c r="AH854" s="10">
        <f>IF(tblOrdenes[[#This Row],[orden]]="","",tblOrdenes[[#This Row],[costo_servicio]]+tblOrdenes[[#This Row],[costo_materiales]])</f>
        <v/>
      </c>
      <c r="AI854" s="6" t="n"/>
      <c r="AJ854" s="6" t="n"/>
      <c r="AK854" s="6" t="n"/>
      <c r="AL854" s="3">
        <f>IF(tblOrdenes[[#This Row],[link_checklist]]="","",HYPERLINK(p_ruta_base_checklists&amp;tblOrdenes[[#This Row],[link_checklist]],"abrir"))</f>
        <v/>
      </c>
      <c r="AM854" s="6" t="n"/>
      <c r="AN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Row],[tipo_ot]]="","",_xlfn.XLOOKUP(tblOrdenes[[#This Row],[tipo_ot]],tblTiposOT[codigo],tblTiposOT[clasificacion],"sin_clasificar"))</f>
        <v/>
      </c>
      <c r="T855" s="3">
        <f>IF(tblOrdenes[[#This Row],[centro_costo]]="","",_xlfn.XLOOKUP(tblOrdenes[[#This Row],[centro_costo]],tblCECO[codigo],tblCECO[linea],"(sin catálogo)"))</f>
        <v/>
      </c>
      <c r="U855" s="3">
        <f>IF(tblOrdenes[[#This Row],[centro_costo]]="","",_xlfn.XLOOKUP(tblOrdenes[[#This Row],[centro_costo]],tblCECO[codigo],tblCECO[area],"(sin catálogo)"))</f>
        <v/>
      </c>
      <c r="V855" s="3">
        <f>IF(tblOrdenes[[#This Row],[centro_costo]]="","",_xlfn.XLOOKUP(tblOrdenes[[#This Row],[centro_costo]],tblCECO[codigo],tblCECO[coordinador],"(sin catálogo)"))</f>
        <v/>
      </c>
      <c r="W855" s="3">
        <f>IF(tblOrdenes[[#This Row],[puesto_trabajo]]="","",_xlfn.XLOOKUP(tblOrdenes[[#This Row],[puesto_trabajo]],tblPuestos[codigo],tblPuestos[especialidad],"(sin catálogo)"))</f>
        <v/>
      </c>
      <c r="X855" s="3">
        <f>IF(tblOrdenes[[#This Row],[cod_actividad]]="","",_xlfn.XLOOKUP(tblOrdenes[[#This Row],[cod_actividad]],tblActividades[codigo],tblActividades[descripcion],"(sin catálogo)"))</f>
        <v/>
      </c>
      <c r="Y855" s="12">
        <f>IF(tblOrdenes[[#This Row],[fecha_inicio]]="","",TODAY()-tblOrdenes[[#This Row],[fecha_inicio]])</f>
        <v/>
      </c>
      <c r="Z855" s="3">
        <f>IF(tblOrdenes[[#This Row],[backlog_dias]]="","",IF(tblOrdenes[[#This Row],[backlog_dias]]&lt;0,"FUTURO",IF(tblOrdenes[[#This Row],[backlog_dias]]&gt;p_dias_backlog_max,"BACKLOG","MES CORRIENTE")))</f>
        <v/>
      </c>
      <c r="AA855" s="3">
        <f>IF(tblOrdenes[[#This Row],[backlog_dias]]="",FALSE,AND(tblOrdenes[[#This Row],[backlog_dias]]&gt;p_dias_backlog_min,tblOrdenes[[#This Row],[backlog_dias]]&lt;=p_dias_backlog_max))</f>
        <v/>
      </c>
      <c r="AB855" s="6" t="n"/>
      <c r="AC8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5" s="10">
        <f>IF(tblOrdenes[[#This Row],[orden]]="","",_xlfn.XLOOKUP(tblOrdenes[[#This Row],[id_operacion]],tblEjecucion[id_operacion],tblEjecucion[precio],0))</f>
        <v/>
      </c>
      <c r="AG855" s="10">
        <f>IF(tblOrdenes[[#This Row],[orden]]="","",MAX(0,_xlfn.XLOOKUP(tblOrdenes[[#This Row],[id_operacion]],tblEjecucion[id_operacion],tblEjecucion[costo_plan_total],0)-tblOrdenes[[#This Row],[costo_servicio]]))</f>
        <v/>
      </c>
      <c r="AH855" s="10">
        <f>IF(tblOrdenes[[#This Row],[orden]]="","",tblOrdenes[[#This Row],[costo_servicio]]+tblOrdenes[[#This Row],[costo_materiales]])</f>
        <v/>
      </c>
      <c r="AI855" s="6" t="n"/>
      <c r="AJ855" s="6" t="n"/>
      <c r="AK855" s="6" t="n"/>
      <c r="AL855" s="3">
        <f>IF(tblOrdenes[[#This Row],[link_checklist]]="","",HYPERLINK(p_ruta_base_checklists&amp;tblOrdenes[[#This Row],[link_checklist]],"abrir"))</f>
        <v/>
      </c>
      <c r="AM855" s="6" t="n"/>
      <c r="AN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Row],[tipo_ot]]="","",_xlfn.XLOOKUP(tblOrdenes[[#This Row],[tipo_ot]],tblTiposOT[codigo],tblTiposOT[clasificacion],"sin_clasificar"))</f>
        <v/>
      </c>
      <c r="T856" s="3">
        <f>IF(tblOrdenes[[#This Row],[centro_costo]]="","",_xlfn.XLOOKUP(tblOrdenes[[#This Row],[centro_costo]],tblCECO[codigo],tblCECO[linea],"(sin catálogo)"))</f>
        <v/>
      </c>
      <c r="U856" s="3">
        <f>IF(tblOrdenes[[#This Row],[centro_costo]]="","",_xlfn.XLOOKUP(tblOrdenes[[#This Row],[centro_costo]],tblCECO[codigo],tblCECO[area],"(sin catálogo)"))</f>
        <v/>
      </c>
      <c r="V856" s="3">
        <f>IF(tblOrdenes[[#This Row],[centro_costo]]="","",_xlfn.XLOOKUP(tblOrdenes[[#This Row],[centro_costo]],tblCECO[codigo],tblCECO[coordinador],"(sin catálogo)"))</f>
        <v/>
      </c>
      <c r="W856" s="3">
        <f>IF(tblOrdenes[[#This Row],[puesto_trabajo]]="","",_xlfn.XLOOKUP(tblOrdenes[[#This Row],[puesto_trabajo]],tblPuestos[codigo],tblPuestos[especialidad],"(sin catálogo)"))</f>
        <v/>
      </c>
      <c r="X856" s="3">
        <f>IF(tblOrdenes[[#This Row],[cod_actividad]]="","",_xlfn.XLOOKUP(tblOrdenes[[#This Row],[cod_actividad]],tblActividades[codigo],tblActividades[descripcion],"(sin catálogo)"))</f>
        <v/>
      </c>
      <c r="Y856" s="12">
        <f>IF(tblOrdenes[[#This Row],[fecha_inicio]]="","",TODAY()-tblOrdenes[[#This Row],[fecha_inicio]])</f>
        <v/>
      </c>
      <c r="Z856" s="3">
        <f>IF(tblOrdenes[[#This Row],[backlog_dias]]="","",IF(tblOrdenes[[#This Row],[backlog_dias]]&lt;0,"FUTURO",IF(tblOrdenes[[#This Row],[backlog_dias]]&gt;p_dias_backlog_max,"BACKLOG","MES CORRIENTE")))</f>
        <v/>
      </c>
      <c r="AA856" s="3">
        <f>IF(tblOrdenes[[#This Row],[backlog_dias]]="",FALSE,AND(tblOrdenes[[#This Row],[backlog_dias]]&gt;p_dias_backlog_min,tblOrdenes[[#This Row],[backlog_dias]]&lt;=p_dias_backlog_max))</f>
        <v/>
      </c>
      <c r="AB856" s="6" t="n"/>
      <c r="AC8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6" s="10">
        <f>IF(tblOrdenes[[#This Row],[orden]]="","",_xlfn.XLOOKUP(tblOrdenes[[#This Row],[id_operacion]],tblEjecucion[id_operacion],tblEjecucion[precio],0))</f>
        <v/>
      </c>
      <c r="AG856" s="10">
        <f>IF(tblOrdenes[[#This Row],[orden]]="","",MAX(0,_xlfn.XLOOKUP(tblOrdenes[[#This Row],[id_operacion]],tblEjecucion[id_operacion],tblEjecucion[costo_plan_total],0)-tblOrdenes[[#This Row],[costo_servicio]]))</f>
        <v/>
      </c>
      <c r="AH856" s="10">
        <f>IF(tblOrdenes[[#This Row],[orden]]="","",tblOrdenes[[#This Row],[costo_servicio]]+tblOrdenes[[#This Row],[costo_materiales]])</f>
        <v/>
      </c>
      <c r="AI856" s="6" t="n"/>
      <c r="AJ856" s="6" t="n"/>
      <c r="AK856" s="6" t="n"/>
      <c r="AL856" s="3">
        <f>IF(tblOrdenes[[#This Row],[link_checklist]]="","",HYPERLINK(p_ruta_base_checklists&amp;tblOrdenes[[#This Row],[link_checklist]],"abrir"))</f>
        <v/>
      </c>
      <c r="AM856" s="6" t="n"/>
      <c r="AN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Row],[tipo_ot]]="","",_xlfn.XLOOKUP(tblOrdenes[[#This Row],[tipo_ot]],tblTiposOT[codigo],tblTiposOT[clasificacion],"sin_clasificar"))</f>
        <v/>
      </c>
      <c r="T857" s="3">
        <f>IF(tblOrdenes[[#This Row],[centro_costo]]="","",_xlfn.XLOOKUP(tblOrdenes[[#This Row],[centro_costo]],tblCECO[codigo],tblCECO[linea],"(sin catálogo)"))</f>
        <v/>
      </c>
      <c r="U857" s="3">
        <f>IF(tblOrdenes[[#This Row],[centro_costo]]="","",_xlfn.XLOOKUP(tblOrdenes[[#This Row],[centro_costo]],tblCECO[codigo],tblCECO[area],"(sin catálogo)"))</f>
        <v/>
      </c>
      <c r="V857" s="3">
        <f>IF(tblOrdenes[[#This Row],[centro_costo]]="","",_xlfn.XLOOKUP(tblOrdenes[[#This Row],[centro_costo]],tblCECO[codigo],tblCECO[coordinador],"(sin catálogo)"))</f>
        <v/>
      </c>
      <c r="W857" s="3">
        <f>IF(tblOrdenes[[#This Row],[puesto_trabajo]]="","",_xlfn.XLOOKUP(tblOrdenes[[#This Row],[puesto_trabajo]],tblPuestos[codigo],tblPuestos[especialidad],"(sin catálogo)"))</f>
        <v/>
      </c>
      <c r="X857" s="3">
        <f>IF(tblOrdenes[[#This Row],[cod_actividad]]="","",_xlfn.XLOOKUP(tblOrdenes[[#This Row],[cod_actividad]],tblActividades[codigo],tblActividades[descripcion],"(sin catálogo)"))</f>
        <v/>
      </c>
      <c r="Y857" s="12">
        <f>IF(tblOrdenes[[#This Row],[fecha_inicio]]="","",TODAY()-tblOrdenes[[#This Row],[fecha_inicio]])</f>
        <v/>
      </c>
      <c r="Z857" s="3">
        <f>IF(tblOrdenes[[#This Row],[backlog_dias]]="","",IF(tblOrdenes[[#This Row],[backlog_dias]]&lt;0,"FUTURO",IF(tblOrdenes[[#This Row],[backlog_dias]]&gt;p_dias_backlog_max,"BACKLOG","MES CORRIENTE")))</f>
        <v/>
      </c>
      <c r="AA857" s="3">
        <f>IF(tblOrdenes[[#This Row],[backlog_dias]]="",FALSE,AND(tblOrdenes[[#This Row],[backlog_dias]]&gt;p_dias_backlog_min,tblOrdenes[[#This Row],[backlog_dias]]&lt;=p_dias_backlog_max))</f>
        <v/>
      </c>
      <c r="AB857" s="6" t="n"/>
      <c r="AC8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7" s="10">
        <f>IF(tblOrdenes[[#This Row],[orden]]="","",_xlfn.XLOOKUP(tblOrdenes[[#This Row],[id_operacion]],tblEjecucion[id_operacion],tblEjecucion[precio],0))</f>
        <v/>
      </c>
      <c r="AG857" s="10">
        <f>IF(tblOrdenes[[#This Row],[orden]]="","",MAX(0,_xlfn.XLOOKUP(tblOrdenes[[#This Row],[id_operacion]],tblEjecucion[id_operacion],tblEjecucion[costo_plan_total],0)-tblOrdenes[[#This Row],[costo_servicio]]))</f>
        <v/>
      </c>
      <c r="AH857" s="10">
        <f>IF(tblOrdenes[[#This Row],[orden]]="","",tblOrdenes[[#This Row],[costo_servicio]]+tblOrdenes[[#This Row],[costo_materiales]])</f>
        <v/>
      </c>
      <c r="AI857" s="6" t="n"/>
      <c r="AJ857" s="6" t="n"/>
      <c r="AK857" s="6" t="n"/>
      <c r="AL857" s="3">
        <f>IF(tblOrdenes[[#This Row],[link_checklist]]="","",HYPERLINK(p_ruta_base_checklists&amp;tblOrdenes[[#This Row],[link_checklist]],"abrir"))</f>
        <v/>
      </c>
      <c r="AM857" s="6" t="n"/>
      <c r="AN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Row],[tipo_ot]]="","",_xlfn.XLOOKUP(tblOrdenes[[#This Row],[tipo_ot]],tblTiposOT[codigo],tblTiposOT[clasificacion],"sin_clasificar"))</f>
        <v/>
      </c>
      <c r="T858" s="3">
        <f>IF(tblOrdenes[[#This Row],[centro_costo]]="","",_xlfn.XLOOKUP(tblOrdenes[[#This Row],[centro_costo]],tblCECO[codigo],tblCECO[linea],"(sin catálogo)"))</f>
        <v/>
      </c>
      <c r="U858" s="3">
        <f>IF(tblOrdenes[[#This Row],[centro_costo]]="","",_xlfn.XLOOKUP(tblOrdenes[[#This Row],[centro_costo]],tblCECO[codigo],tblCECO[area],"(sin catálogo)"))</f>
        <v/>
      </c>
      <c r="V858" s="3">
        <f>IF(tblOrdenes[[#This Row],[centro_costo]]="","",_xlfn.XLOOKUP(tblOrdenes[[#This Row],[centro_costo]],tblCECO[codigo],tblCECO[coordinador],"(sin catálogo)"))</f>
        <v/>
      </c>
      <c r="W858" s="3">
        <f>IF(tblOrdenes[[#This Row],[puesto_trabajo]]="","",_xlfn.XLOOKUP(tblOrdenes[[#This Row],[puesto_trabajo]],tblPuestos[codigo],tblPuestos[especialidad],"(sin catálogo)"))</f>
        <v/>
      </c>
      <c r="X858" s="3">
        <f>IF(tblOrdenes[[#This Row],[cod_actividad]]="","",_xlfn.XLOOKUP(tblOrdenes[[#This Row],[cod_actividad]],tblActividades[codigo],tblActividades[descripcion],"(sin catálogo)"))</f>
        <v/>
      </c>
      <c r="Y858" s="12">
        <f>IF(tblOrdenes[[#This Row],[fecha_inicio]]="","",TODAY()-tblOrdenes[[#This Row],[fecha_inicio]])</f>
        <v/>
      </c>
      <c r="Z858" s="3">
        <f>IF(tblOrdenes[[#This Row],[backlog_dias]]="","",IF(tblOrdenes[[#This Row],[backlog_dias]]&lt;0,"FUTURO",IF(tblOrdenes[[#This Row],[backlog_dias]]&gt;p_dias_backlog_max,"BACKLOG","MES CORRIENTE")))</f>
        <v/>
      </c>
      <c r="AA858" s="3">
        <f>IF(tblOrdenes[[#This Row],[backlog_dias]]="",FALSE,AND(tblOrdenes[[#This Row],[backlog_dias]]&gt;p_dias_backlog_min,tblOrdenes[[#This Row],[backlog_dias]]&lt;=p_dias_backlog_max))</f>
        <v/>
      </c>
      <c r="AB858" s="6" t="n"/>
      <c r="AC8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8" s="10">
        <f>IF(tblOrdenes[[#This Row],[orden]]="","",_xlfn.XLOOKUP(tblOrdenes[[#This Row],[id_operacion]],tblEjecucion[id_operacion],tblEjecucion[precio],0))</f>
        <v/>
      </c>
      <c r="AG858" s="10">
        <f>IF(tblOrdenes[[#This Row],[orden]]="","",MAX(0,_xlfn.XLOOKUP(tblOrdenes[[#This Row],[id_operacion]],tblEjecucion[id_operacion],tblEjecucion[costo_plan_total],0)-tblOrdenes[[#This Row],[costo_servicio]]))</f>
        <v/>
      </c>
      <c r="AH858" s="10">
        <f>IF(tblOrdenes[[#This Row],[orden]]="","",tblOrdenes[[#This Row],[costo_servicio]]+tblOrdenes[[#This Row],[costo_materiales]])</f>
        <v/>
      </c>
      <c r="AI858" s="6" t="n"/>
      <c r="AJ858" s="6" t="n"/>
      <c r="AK858" s="6" t="n"/>
      <c r="AL858" s="3">
        <f>IF(tblOrdenes[[#This Row],[link_checklist]]="","",HYPERLINK(p_ruta_base_checklists&amp;tblOrdenes[[#This Row],[link_checklist]],"abrir"))</f>
        <v/>
      </c>
      <c r="AM858" s="6" t="n"/>
      <c r="AN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Row],[tipo_ot]]="","",_xlfn.XLOOKUP(tblOrdenes[[#This Row],[tipo_ot]],tblTiposOT[codigo],tblTiposOT[clasificacion],"sin_clasificar"))</f>
        <v/>
      </c>
      <c r="T859" s="3">
        <f>IF(tblOrdenes[[#This Row],[centro_costo]]="","",_xlfn.XLOOKUP(tblOrdenes[[#This Row],[centro_costo]],tblCECO[codigo],tblCECO[linea],"(sin catálogo)"))</f>
        <v/>
      </c>
      <c r="U859" s="3">
        <f>IF(tblOrdenes[[#This Row],[centro_costo]]="","",_xlfn.XLOOKUP(tblOrdenes[[#This Row],[centro_costo]],tblCECO[codigo],tblCECO[area],"(sin catálogo)"))</f>
        <v/>
      </c>
      <c r="V859" s="3">
        <f>IF(tblOrdenes[[#This Row],[centro_costo]]="","",_xlfn.XLOOKUP(tblOrdenes[[#This Row],[centro_costo]],tblCECO[codigo],tblCECO[coordinador],"(sin catálogo)"))</f>
        <v/>
      </c>
      <c r="W859" s="3">
        <f>IF(tblOrdenes[[#This Row],[puesto_trabajo]]="","",_xlfn.XLOOKUP(tblOrdenes[[#This Row],[puesto_trabajo]],tblPuestos[codigo],tblPuestos[especialidad],"(sin catálogo)"))</f>
        <v/>
      </c>
      <c r="X859" s="3">
        <f>IF(tblOrdenes[[#This Row],[cod_actividad]]="","",_xlfn.XLOOKUP(tblOrdenes[[#This Row],[cod_actividad]],tblActividades[codigo],tblActividades[descripcion],"(sin catálogo)"))</f>
        <v/>
      </c>
      <c r="Y859" s="12">
        <f>IF(tblOrdenes[[#This Row],[fecha_inicio]]="","",TODAY()-tblOrdenes[[#This Row],[fecha_inicio]])</f>
        <v/>
      </c>
      <c r="Z859" s="3">
        <f>IF(tblOrdenes[[#This Row],[backlog_dias]]="","",IF(tblOrdenes[[#This Row],[backlog_dias]]&lt;0,"FUTURO",IF(tblOrdenes[[#This Row],[backlog_dias]]&gt;p_dias_backlog_max,"BACKLOG","MES CORRIENTE")))</f>
        <v/>
      </c>
      <c r="AA859" s="3">
        <f>IF(tblOrdenes[[#This Row],[backlog_dias]]="",FALSE,AND(tblOrdenes[[#This Row],[backlog_dias]]&gt;p_dias_backlog_min,tblOrdenes[[#This Row],[backlog_dias]]&lt;=p_dias_backlog_max))</f>
        <v/>
      </c>
      <c r="AB859" s="6" t="n"/>
      <c r="AC8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9" s="10">
        <f>IF(tblOrdenes[[#This Row],[orden]]="","",_xlfn.XLOOKUP(tblOrdenes[[#This Row],[id_operacion]],tblEjecucion[id_operacion],tblEjecucion[precio],0))</f>
        <v/>
      </c>
      <c r="AG859" s="10">
        <f>IF(tblOrdenes[[#This Row],[orden]]="","",MAX(0,_xlfn.XLOOKUP(tblOrdenes[[#This Row],[id_operacion]],tblEjecucion[id_operacion],tblEjecucion[costo_plan_total],0)-tblOrdenes[[#This Row],[costo_servicio]]))</f>
        <v/>
      </c>
      <c r="AH859" s="10">
        <f>IF(tblOrdenes[[#This Row],[orden]]="","",tblOrdenes[[#This Row],[costo_servicio]]+tblOrdenes[[#This Row],[costo_materiales]])</f>
        <v/>
      </c>
      <c r="AI859" s="6" t="n"/>
      <c r="AJ859" s="6" t="n"/>
      <c r="AK859" s="6" t="n"/>
      <c r="AL859" s="3">
        <f>IF(tblOrdenes[[#This Row],[link_checklist]]="","",HYPERLINK(p_ruta_base_checklists&amp;tblOrdenes[[#This Row],[link_checklist]],"abrir"))</f>
        <v/>
      </c>
      <c r="AM859" s="6" t="n"/>
      <c r="AN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Row],[tipo_ot]]="","",_xlfn.XLOOKUP(tblOrdenes[[#This Row],[tipo_ot]],tblTiposOT[codigo],tblTiposOT[clasificacion],"sin_clasificar"))</f>
        <v/>
      </c>
      <c r="T860" s="3">
        <f>IF(tblOrdenes[[#This Row],[centro_costo]]="","",_xlfn.XLOOKUP(tblOrdenes[[#This Row],[centro_costo]],tblCECO[codigo],tblCECO[linea],"(sin catálogo)"))</f>
        <v/>
      </c>
      <c r="U860" s="3">
        <f>IF(tblOrdenes[[#This Row],[centro_costo]]="","",_xlfn.XLOOKUP(tblOrdenes[[#This Row],[centro_costo]],tblCECO[codigo],tblCECO[area],"(sin catálogo)"))</f>
        <v/>
      </c>
      <c r="V860" s="3">
        <f>IF(tblOrdenes[[#This Row],[centro_costo]]="","",_xlfn.XLOOKUP(tblOrdenes[[#This Row],[centro_costo]],tblCECO[codigo],tblCECO[coordinador],"(sin catálogo)"))</f>
        <v/>
      </c>
      <c r="W860" s="3">
        <f>IF(tblOrdenes[[#This Row],[puesto_trabajo]]="","",_xlfn.XLOOKUP(tblOrdenes[[#This Row],[puesto_trabajo]],tblPuestos[codigo],tblPuestos[especialidad],"(sin catálogo)"))</f>
        <v/>
      </c>
      <c r="X860" s="3">
        <f>IF(tblOrdenes[[#This Row],[cod_actividad]]="","",_xlfn.XLOOKUP(tblOrdenes[[#This Row],[cod_actividad]],tblActividades[codigo],tblActividades[descripcion],"(sin catálogo)"))</f>
        <v/>
      </c>
      <c r="Y860" s="12">
        <f>IF(tblOrdenes[[#This Row],[fecha_inicio]]="","",TODAY()-tblOrdenes[[#This Row],[fecha_inicio]])</f>
        <v/>
      </c>
      <c r="Z860" s="3">
        <f>IF(tblOrdenes[[#This Row],[backlog_dias]]="","",IF(tblOrdenes[[#This Row],[backlog_dias]]&lt;0,"FUTURO",IF(tblOrdenes[[#This Row],[backlog_dias]]&gt;p_dias_backlog_max,"BACKLOG","MES CORRIENTE")))</f>
        <v/>
      </c>
      <c r="AA860" s="3">
        <f>IF(tblOrdenes[[#This Row],[backlog_dias]]="",FALSE,AND(tblOrdenes[[#This Row],[backlog_dias]]&gt;p_dias_backlog_min,tblOrdenes[[#This Row],[backlog_dias]]&lt;=p_dias_backlog_max))</f>
        <v/>
      </c>
      <c r="AB860" s="6" t="n"/>
      <c r="AC8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0" s="10">
        <f>IF(tblOrdenes[[#This Row],[orden]]="","",_xlfn.XLOOKUP(tblOrdenes[[#This Row],[id_operacion]],tblEjecucion[id_operacion],tblEjecucion[precio],0))</f>
        <v/>
      </c>
      <c r="AG860" s="10">
        <f>IF(tblOrdenes[[#This Row],[orden]]="","",MAX(0,_xlfn.XLOOKUP(tblOrdenes[[#This Row],[id_operacion]],tblEjecucion[id_operacion],tblEjecucion[costo_plan_total],0)-tblOrdenes[[#This Row],[costo_servicio]]))</f>
        <v/>
      </c>
      <c r="AH860" s="10">
        <f>IF(tblOrdenes[[#This Row],[orden]]="","",tblOrdenes[[#This Row],[costo_servicio]]+tblOrdenes[[#This Row],[costo_materiales]])</f>
        <v/>
      </c>
      <c r="AI860" s="6" t="n"/>
      <c r="AJ860" s="6" t="n"/>
      <c r="AK860" s="6" t="n"/>
      <c r="AL860" s="3">
        <f>IF(tblOrdenes[[#This Row],[link_checklist]]="","",HYPERLINK(p_ruta_base_checklists&amp;tblOrdenes[[#This Row],[link_checklist]],"abrir"))</f>
        <v/>
      </c>
      <c r="AM860" s="6" t="n"/>
      <c r="AN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Row],[tipo_ot]]="","",_xlfn.XLOOKUP(tblOrdenes[[#This Row],[tipo_ot]],tblTiposOT[codigo],tblTiposOT[clasificacion],"sin_clasificar"))</f>
        <v/>
      </c>
      <c r="T861" s="3">
        <f>IF(tblOrdenes[[#This Row],[centro_costo]]="","",_xlfn.XLOOKUP(tblOrdenes[[#This Row],[centro_costo]],tblCECO[codigo],tblCECO[linea],"(sin catálogo)"))</f>
        <v/>
      </c>
      <c r="U861" s="3">
        <f>IF(tblOrdenes[[#This Row],[centro_costo]]="","",_xlfn.XLOOKUP(tblOrdenes[[#This Row],[centro_costo]],tblCECO[codigo],tblCECO[area],"(sin catálogo)"))</f>
        <v/>
      </c>
      <c r="V861" s="3">
        <f>IF(tblOrdenes[[#This Row],[centro_costo]]="","",_xlfn.XLOOKUP(tblOrdenes[[#This Row],[centro_costo]],tblCECO[codigo],tblCECO[coordinador],"(sin catálogo)"))</f>
        <v/>
      </c>
      <c r="W861" s="3">
        <f>IF(tblOrdenes[[#This Row],[puesto_trabajo]]="","",_xlfn.XLOOKUP(tblOrdenes[[#This Row],[puesto_trabajo]],tblPuestos[codigo],tblPuestos[especialidad],"(sin catálogo)"))</f>
        <v/>
      </c>
      <c r="X861" s="3">
        <f>IF(tblOrdenes[[#This Row],[cod_actividad]]="","",_xlfn.XLOOKUP(tblOrdenes[[#This Row],[cod_actividad]],tblActividades[codigo],tblActividades[descripcion],"(sin catálogo)"))</f>
        <v/>
      </c>
      <c r="Y861" s="12">
        <f>IF(tblOrdenes[[#This Row],[fecha_inicio]]="","",TODAY()-tblOrdenes[[#This Row],[fecha_inicio]])</f>
        <v/>
      </c>
      <c r="Z861" s="3">
        <f>IF(tblOrdenes[[#This Row],[backlog_dias]]="","",IF(tblOrdenes[[#This Row],[backlog_dias]]&lt;0,"FUTURO",IF(tblOrdenes[[#This Row],[backlog_dias]]&gt;p_dias_backlog_max,"BACKLOG","MES CORRIENTE")))</f>
        <v/>
      </c>
      <c r="AA861" s="3">
        <f>IF(tblOrdenes[[#This Row],[backlog_dias]]="",FALSE,AND(tblOrdenes[[#This Row],[backlog_dias]]&gt;p_dias_backlog_min,tblOrdenes[[#This Row],[backlog_dias]]&lt;=p_dias_backlog_max))</f>
        <v/>
      </c>
      <c r="AB861" s="6" t="n"/>
      <c r="AC8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1" s="10">
        <f>IF(tblOrdenes[[#This Row],[orden]]="","",_xlfn.XLOOKUP(tblOrdenes[[#This Row],[id_operacion]],tblEjecucion[id_operacion],tblEjecucion[precio],0))</f>
        <v/>
      </c>
      <c r="AG861" s="10">
        <f>IF(tblOrdenes[[#This Row],[orden]]="","",MAX(0,_xlfn.XLOOKUP(tblOrdenes[[#This Row],[id_operacion]],tblEjecucion[id_operacion],tblEjecucion[costo_plan_total],0)-tblOrdenes[[#This Row],[costo_servicio]]))</f>
        <v/>
      </c>
      <c r="AH861" s="10">
        <f>IF(tblOrdenes[[#This Row],[orden]]="","",tblOrdenes[[#This Row],[costo_servicio]]+tblOrdenes[[#This Row],[costo_materiales]])</f>
        <v/>
      </c>
      <c r="AI861" s="6" t="n"/>
      <c r="AJ861" s="6" t="n"/>
      <c r="AK861" s="6" t="n"/>
      <c r="AL861" s="3">
        <f>IF(tblOrdenes[[#This Row],[link_checklist]]="","",HYPERLINK(p_ruta_base_checklists&amp;tblOrdenes[[#This Row],[link_checklist]],"abrir"))</f>
        <v/>
      </c>
      <c r="AM861" s="6" t="n"/>
      <c r="AN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Row],[tipo_ot]]="","",_xlfn.XLOOKUP(tblOrdenes[[#This Row],[tipo_ot]],tblTiposOT[codigo],tblTiposOT[clasificacion],"sin_clasificar"))</f>
        <v/>
      </c>
      <c r="T862" s="3">
        <f>IF(tblOrdenes[[#This Row],[centro_costo]]="","",_xlfn.XLOOKUP(tblOrdenes[[#This Row],[centro_costo]],tblCECO[codigo],tblCECO[linea],"(sin catálogo)"))</f>
        <v/>
      </c>
      <c r="U862" s="3">
        <f>IF(tblOrdenes[[#This Row],[centro_costo]]="","",_xlfn.XLOOKUP(tblOrdenes[[#This Row],[centro_costo]],tblCECO[codigo],tblCECO[area],"(sin catálogo)"))</f>
        <v/>
      </c>
      <c r="V862" s="3">
        <f>IF(tblOrdenes[[#This Row],[centro_costo]]="","",_xlfn.XLOOKUP(tblOrdenes[[#This Row],[centro_costo]],tblCECO[codigo],tblCECO[coordinador],"(sin catálogo)"))</f>
        <v/>
      </c>
      <c r="W862" s="3">
        <f>IF(tblOrdenes[[#This Row],[puesto_trabajo]]="","",_xlfn.XLOOKUP(tblOrdenes[[#This Row],[puesto_trabajo]],tblPuestos[codigo],tblPuestos[especialidad],"(sin catálogo)"))</f>
        <v/>
      </c>
      <c r="X862" s="3">
        <f>IF(tblOrdenes[[#This Row],[cod_actividad]]="","",_xlfn.XLOOKUP(tblOrdenes[[#This Row],[cod_actividad]],tblActividades[codigo],tblActividades[descripcion],"(sin catálogo)"))</f>
        <v/>
      </c>
      <c r="Y862" s="12">
        <f>IF(tblOrdenes[[#This Row],[fecha_inicio]]="","",TODAY()-tblOrdenes[[#This Row],[fecha_inicio]])</f>
        <v/>
      </c>
      <c r="Z862" s="3">
        <f>IF(tblOrdenes[[#This Row],[backlog_dias]]="","",IF(tblOrdenes[[#This Row],[backlog_dias]]&lt;0,"FUTURO",IF(tblOrdenes[[#This Row],[backlog_dias]]&gt;p_dias_backlog_max,"BACKLOG","MES CORRIENTE")))</f>
        <v/>
      </c>
      <c r="AA862" s="3">
        <f>IF(tblOrdenes[[#This Row],[backlog_dias]]="",FALSE,AND(tblOrdenes[[#This Row],[backlog_dias]]&gt;p_dias_backlog_min,tblOrdenes[[#This Row],[backlog_dias]]&lt;=p_dias_backlog_max))</f>
        <v/>
      </c>
      <c r="AB862" s="6" t="n"/>
      <c r="AC8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2" s="10">
        <f>IF(tblOrdenes[[#This Row],[orden]]="","",_xlfn.XLOOKUP(tblOrdenes[[#This Row],[id_operacion]],tblEjecucion[id_operacion],tblEjecucion[precio],0))</f>
        <v/>
      </c>
      <c r="AG862" s="10">
        <f>IF(tblOrdenes[[#This Row],[orden]]="","",MAX(0,_xlfn.XLOOKUP(tblOrdenes[[#This Row],[id_operacion]],tblEjecucion[id_operacion],tblEjecucion[costo_plan_total],0)-tblOrdenes[[#This Row],[costo_servicio]]))</f>
        <v/>
      </c>
      <c r="AH862" s="10">
        <f>IF(tblOrdenes[[#This Row],[orden]]="","",tblOrdenes[[#This Row],[costo_servicio]]+tblOrdenes[[#This Row],[costo_materiales]])</f>
        <v/>
      </c>
      <c r="AI862" s="6" t="n"/>
      <c r="AJ862" s="6" t="n"/>
      <c r="AK862" s="6" t="n"/>
      <c r="AL862" s="3">
        <f>IF(tblOrdenes[[#This Row],[link_checklist]]="","",HYPERLINK(p_ruta_base_checklists&amp;tblOrdenes[[#This Row],[link_checklist]],"abrir"))</f>
        <v/>
      </c>
      <c r="AM862" s="6" t="n"/>
      <c r="AN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Row],[tipo_ot]]="","",_xlfn.XLOOKUP(tblOrdenes[[#This Row],[tipo_ot]],tblTiposOT[codigo],tblTiposOT[clasificacion],"sin_clasificar"))</f>
        <v/>
      </c>
      <c r="T863" s="3">
        <f>IF(tblOrdenes[[#This Row],[centro_costo]]="","",_xlfn.XLOOKUP(tblOrdenes[[#This Row],[centro_costo]],tblCECO[codigo],tblCECO[linea],"(sin catálogo)"))</f>
        <v/>
      </c>
      <c r="U863" s="3">
        <f>IF(tblOrdenes[[#This Row],[centro_costo]]="","",_xlfn.XLOOKUP(tblOrdenes[[#This Row],[centro_costo]],tblCECO[codigo],tblCECO[area],"(sin catálogo)"))</f>
        <v/>
      </c>
      <c r="V863" s="3">
        <f>IF(tblOrdenes[[#This Row],[centro_costo]]="","",_xlfn.XLOOKUP(tblOrdenes[[#This Row],[centro_costo]],tblCECO[codigo],tblCECO[coordinador],"(sin catálogo)"))</f>
        <v/>
      </c>
      <c r="W863" s="3">
        <f>IF(tblOrdenes[[#This Row],[puesto_trabajo]]="","",_xlfn.XLOOKUP(tblOrdenes[[#This Row],[puesto_trabajo]],tblPuestos[codigo],tblPuestos[especialidad],"(sin catálogo)"))</f>
        <v/>
      </c>
      <c r="X863" s="3">
        <f>IF(tblOrdenes[[#This Row],[cod_actividad]]="","",_xlfn.XLOOKUP(tblOrdenes[[#This Row],[cod_actividad]],tblActividades[codigo],tblActividades[descripcion],"(sin catálogo)"))</f>
        <v/>
      </c>
      <c r="Y863" s="12">
        <f>IF(tblOrdenes[[#This Row],[fecha_inicio]]="","",TODAY()-tblOrdenes[[#This Row],[fecha_inicio]])</f>
        <v/>
      </c>
      <c r="Z863" s="3">
        <f>IF(tblOrdenes[[#This Row],[backlog_dias]]="","",IF(tblOrdenes[[#This Row],[backlog_dias]]&lt;0,"FUTURO",IF(tblOrdenes[[#This Row],[backlog_dias]]&gt;p_dias_backlog_max,"BACKLOG","MES CORRIENTE")))</f>
        <v/>
      </c>
      <c r="AA863" s="3">
        <f>IF(tblOrdenes[[#This Row],[backlog_dias]]="",FALSE,AND(tblOrdenes[[#This Row],[backlog_dias]]&gt;p_dias_backlog_min,tblOrdenes[[#This Row],[backlog_dias]]&lt;=p_dias_backlog_max))</f>
        <v/>
      </c>
      <c r="AB863" s="6" t="n"/>
      <c r="AC8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3" s="10">
        <f>IF(tblOrdenes[[#This Row],[orden]]="","",_xlfn.XLOOKUP(tblOrdenes[[#This Row],[id_operacion]],tblEjecucion[id_operacion],tblEjecucion[precio],0))</f>
        <v/>
      </c>
      <c r="AG863" s="10">
        <f>IF(tblOrdenes[[#This Row],[orden]]="","",MAX(0,_xlfn.XLOOKUP(tblOrdenes[[#This Row],[id_operacion]],tblEjecucion[id_operacion],tblEjecucion[costo_plan_total],0)-tblOrdenes[[#This Row],[costo_servicio]]))</f>
        <v/>
      </c>
      <c r="AH863" s="10">
        <f>IF(tblOrdenes[[#This Row],[orden]]="","",tblOrdenes[[#This Row],[costo_servicio]]+tblOrdenes[[#This Row],[costo_materiales]])</f>
        <v/>
      </c>
      <c r="AI863" s="6" t="n"/>
      <c r="AJ863" s="6" t="n"/>
      <c r="AK863" s="6" t="n"/>
      <c r="AL863" s="3">
        <f>IF(tblOrdenes[[#This Row],[link_checklist]]="","",HYPERLINK(p_ruta_base_checklists&amp;tblOrdenes[[#This Row],[link_checklist]],"abrir"))</f>
        <v/>
      </c>
      <c r="AM863" s="6" t="n"/>
      <c r="AN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Row],[tipo_ot]]="","",_xlfn.XLOOKUP(tblOrdenes[[#This Row],[tipo_ot]],tblTiposOT[codigo],tblTiposOT[clasificacion],"sin_clasificar"))</f>
        <v/>
      </c>
      <c r="T864" s="3">
        <f>IF(tblOrdenes[[#This Row],[centro_costo]]="","",_xlfn.XLOOKUP(tblOrdenes[[#This Row],[centro_costo]],tblCECO[codigo],tblCECO[linea],"(sin catálogo)"))</f>
        <v/>
      </c>
      <c r="U864" s="3">
        <f>IF(tblOrdenes[[#This Row],[centro_costo]]="","",_xlfn.XLOOKUP(tblOrdenes[[#This Row],[centro_costo]],tblCECO[codigo],tblCECO[area],"(sin catálogo)"))</f>
        <v/>
      </c>
      <c r="V864" s="3">
        <f>IF(tblOrdenes[[#This Row],[centro_costo]]="","",_xlfn.XLOOKUP(tblOrdenes[[#This Row],[centro_costo]],tblCECO[codigo],tblCECO[coordinador],"(sin catálogo)"))</f>
        <v/>
      </c>
      <c r="W864" s="3">
        <f>IF(tblOrdenes[[#This Row],[puesto_trabajo]]="","",_xlfn.XLOOKUP(tblOrdenes[[#This Row],[puesto_trabajo]],tblPuestos[codigo],tblPuestos[especialidad],"(sin catálogo)"))</f>
        <v/>
      </c>
      <c r="X864" s="3">
        <f>IF(tblOrdenes[[#This Row],[cod_actividad]]="","",_xlfn.XLOOKUP(tblOrdenes[[#This Row],[cod_actividad]],tblActividades[codigo],tblActividades[descripcion],"(sin catálogo)"))</f>
        <v/>
      </c>
      <c r="Y864" s="12">
        <f>IF(tblOrdenes[[#This Row],[fecha_inicio]]="","",TODAY()-tblOrdenes[[#This Row],[fecha_inicio]])</f>
        <v/>
      </c>
      <c r="Z864" s="3">
        <f>IF(tblOrdenes[[#This Row],[backlog_dias]]="","",IF(tblOrdenes[[#This Row],[backlog_dias]]&lt;0,"FUTURO",IF(tblOrdenes[[#This Row],[backlog_dias]]&gt;p_dias_backlog_max,"BACKLOG","MES CORRIENTE")))</f>
        <v/>
      </c>
      <c r="AA864" s="3">
        <f>IF(tblOrdenes[[#This Row],[backlog_dias]]="",FALSE,AND(tblOrdenes[[#This Row],[backlog_dias]]&gt;p_dias_backlog_min,tblOrdenes[[#This Row],[backlog_dias]]&lt;=p_dias_backlog_max))</f>
        <v/>
      </c>
      <c r="AB864" s="6" t="n"/>
      <c r="AC8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4" s="10">
        <f>IF(tblOrdenes[[#This Row],[orden]]="","",_xlfn.XLOOKUP(tblOrdenes[[#This Row],[id_operacion]],tblEjecucion[id_operacion],tblEjecucion[precio],0))</f>
        <v/>
      </c>
      <c r="AG864" s="10">
        <f>IF(tblOrdenes[[#This Row],[orden]]="","",MAX(0,_xlfn.XLOOKUP(tblOrdenes[[#This Row],[id_operacion]],tblEjecucion[id_operacion],tblEjecucion[costo_plan_total],0)-tblOrdenes[[#This Row],[costo_servicio]]))</f>
        <v/>
      </c>
      <c r="AH864" s="10">
        <f>IF(tblOrdenes[[#This Row],[orden]]="","",tblOrdenes[[#This Row],[costo_servicio]]+tblOrdenes[[#This Row],[costo_materiales]])</f>
        <v/>
      </c>
      <c r="AI864" s="6" t="n"/>
      <c r="AJ864" s="6" t="n"/>
      <c r="AK864" s="6" t="n"/>
      <c r="AL864" s="3">
        <f>IF(tblOrdenes[[#This Row],[link_checklist]]="","",HYPERLINK(p_ruta_base_checklists&amp;tblOrdenes[[#This Row],[link_checklist]],"abrir"))</f>
        <v/>
      </c>
      <c r="AM864" s="6" t="n"/>
      <c r="AN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Row],[tipo_ot]]="","",_xlfn.XLOOKUP(tblOrdenes[[#This Row],[tipo_ot]],tblTiposOT[codigo],tblTiposOT[clasificacion],"sin_clasificar"))</f>
        <v/>
      </c>
      <c r="T865" s="3">
        <f>IF(tblOrdenes[[#This Row],[centro_costo]]="","",_xlfn.XLOOKUP(tblOrdenes[[#This Row],[centro_costo]],tblCECO[codigo],tblCECO[linea],"(sin catálogo)"))</f>
        <v/>
      </c>
      <c r="U865" s="3">
        <f>IF(tblOrdenes[[#This Row],[centro_costo]]="","",_xlfn.XLOOKUP(tblOrdenes[[#This Row],[centro_costo]],tblCECO[codigo],tblCECO[area],"(sin catálogo)"))</f>
        <v/>
      </c>
      <c r="V865" s="3">
        <f>IF(tblOrdenes[[#This Row],[centro_costo]]="","",_xlfn.XLOOKUP(tblOrdenes[[#This Row],[centro_costo]],tblCECO[codigo],tblCECO[coordinador],"(sin catálogo)"))</f>
        <v/>
      </c>
      <c r="W865" s="3">
        <f>IF(tblOrdenes[[#This Row],[puesto_trabajo]]="","",_xlfn.XLOOKUP(tblOrdenes[[#This Row],[puesto_trabajo]],tblPuestos[codigo],tblPuestos[especialidad],"(sin catálogo)"))</f>
        <v/>
      </c>
      <c r="X865" s="3">
        <f>IF(tblOrdenes[[#This Row],[cod_actividad]]="","",_xlfn.XLOOKUP(tblOrdenes[[#This Row],[cod_actividad]],tblActividades[codigo],tblActividades[descripcion],"(sin catálogo)"))</f>
        <v/>
      </c>
      <c r="Y865" s="12">
        <f>IF(tblOrdenes[[#This Row],[fecha_inicio]]="","",TODAY()-tblOrdenes[[#This Row],[fecha_inicio]])</f>
        <v/>
      </c>
      <c r="Z865" s="3">
        <f>IF(tblOrdenes[[#This Row],[backlog_dias]]="","",IF(tblOrdenes[[#This Row],[backlog_dias]]&lt;0,"FUTURO",IF(tblOrdenes[[#This Row],[backlog_dias]]&gt;p_dias_backlog_max,"BACKLOG","MES CORRIENTE")))</f>
        <v/>
      </c>
      <c r="AA865" s="3">
        <f>IF(tblOrdenes[[#This Row],[backlog_dias]]="",FALSE,AND(tblOrdenes[[#This Row],[backlog_dias]]&gt;p_dias_backlog_min,tblOrdenes[[#This Row],[backlog_dias]]&lt;=p_dias_backlog_max))</f>
        <v/>
      </c>
      <c r="AB865" s="6" t="n"/>
      <c r="AC8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5" s="10">
        <f>IF(tblOrdenes[[#This Row],[orden]]="","",_xlfn.XLOOKUP(tblOrdenes[[#This Row],[id_operacion]],tblEjecucion[id_operacion],tblEjecucion[precio],0))</f>
        <v/>
      </c>
      <c r="AG865" s="10">
        <f>IF(tblOrdenes[[#This Row],[orden]]="","",MAX(0,_xlfn.XLOOKUP(tblOrdenes[[#This Row],[id_operacion]],tblEjecucion[id_operacion],tblEjecucion[costo_plan_total],0)-tblOrdenes[[#This Row],[costo_servicio]]))</f>
        <v/>
      </c>
      <c r="AH865" s="10">
        <f>IF(tblOrdenes[[#This Row],[orden]]="","",tblOrdenes[[#This Row],[costo_servicio]]+tblOrdenes[[#This Row],[costo_materiales]])</f>
        <v/>
      </c>
      <c r="AI865" s="6" t="n"/>
      <c r="AJ865" s="6" t="n"/>
      <c r="AK865" s="6" t="n"/>
      <c r="AL865" s="3">
        <f>IF(tblOrdenes[[#This Row],[link_checklist]]="","",HYPERLINK(p_ruta_base_checklists&amp;tblOrdenes[[#This Row],[link_checklist]],"abrir"))</f>
        <v/>
      </c>
      <c r="AM865" s="6" t="n"/>
      <c r="AN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Row],[tipo_ot]]="","",_xlfn.XLOOKUP(tblOrdenes[[#This Row],[tipo_ot]],tblTiposOT[codigo],tblTiposOT[clasificacion],"sin_clasificar"))</f>
        <v/>
      </c>
      <c r="T866" s="3">
        <f>IF(tblOrdenes[[#This Row],[centro_costo]]="","",_xlfn.XLOOKUP(tblOrdenes[[#This Row],[centro_costo]],tblCECO[codigo],tblCECO[linea],"(sin catálogo)"))</f>
        <v/>
      </c>
      <c r="U866" s="3">
        <f>IF(tblOrdenes[[#This Row],[centro_costo]]="","",_xlfn.XLOOKUP(tblOrdenes[[#This Row],[centro_costo]],tblCECO[codigo],tblCECO[area],"(sin catálogo)"))</f>
        <v/>
      </c>
      <c r="V866" s="3">
        <f>IF(tblOrdenes[[#This Row],[centro_costo]]="","",_xlfn.XLOOKUP(tblOrdenes[[#This Row],[centro_costo]],tblCECO[codigo],tblCECO[coordinador],"(sin catálogo)"))</f>
        <v/>
      </c>
      <c r="W866" s="3">
        <f>IF(tblOrdenes[[#This Row],[puesto_trabajo]]="","",_xlfn.XLOOKUP(tblOrdenes[[#This Row],[puesto_trabajo]],tblPuestos[codigo],tblPuestos[especialidad],"(sin catálogo)"))</f>
        <v/>
      </c>
      <c r="X866" s="3">
        <f>IF(tblOrdenes[[#This Row],[cod_actividad]]="","",_xlfn.XLOOKUP(tblOrdenes[[#This Row],[cod_actividad]],tblActividades[codigo],tblActividades[descripcion],"(sin catálogo)"))</f>
        <v/>
      </c>
      <c r="Y866" s="12">
        <f>IF(tblOrdenes[[#This Row],[fecha_inicio]]="","",TODAY()-tblOrdenes[[#This Row],[fecha_inicio]])</f>
        <v/>
      </c>
      <c r="Z866" s="3">
        <f>IF(tblOrdenes[[#This Row],[backlog_dias]]="","",IF(tblOrdenes[[#This Row],[backlog_dias]]&lt;0,"FUTURO",IF(tblOrdenes[[#This Row],[backlog_dias]]&gt;p_dias_backlog_max,"BACKLOG","MES CORRIENTE")))</f>
        <v/>
      </c>
      <c r="AA866" s="3">
        <f>IF(tblOrdenes[[#This Row],[backlog_dias]]="",FALSE,AND(tblOrdenes[[#This Row],[backlog_dias]]&gt;p_dias_backlog_min,tblOrdenes[[#This Row],[backlog_dias]]&lt;=p_dias_backlog_max))</f>
        <v/>
      </c>
      <c r="AB866" s="6" t="n"/>
      <c r="AC8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6" s="10">
        <f>IF(tblOrdenes[[#This Row],[orden]]="","",_xlfn.XLOOKUP(tblOrdenes[[#This Row],[id_operacion]],tblEjecucion[id_operacion],tblEjecucion[precio],0))</f>
        <v/>
      </c>
      <c r="AG866" s="10">
        <f>IF(tblOrdenes[[#This Row],[orden]]="","",MAX(0,_xlfn.XLOOKUP(tblOrdenes[[#This Row],[id_operacion]],tblEjecucion[id_operacion],tblEjecucion[costo_plan_total],0)-tblOrdenes[[#This Row],[costo_servicio]]))</f>
        <v/>
      </c>
      <c r="AH866" s="10">
        <f>IF(tblOrdenes[[#This Row],[orden]]="","",tblOrdenes[[#This Row],[costo_servicio]]+tblOrdenes[[#This Row],[costo_materiales]])</f>
        <v/>
      </c>
      <c r="AI866" s="6" t="n"/>
      <c r="AJ866" s="6" t="n"/>
      <c r="AK866" s="6" t="n"/>
      <c r="AL866" s="3">
        <f>IF(tblOrdenes[[#This Row],[link_checklist]]="","",HYPERLINK(p_ruta_base_checklists&amp;tblOrdenes[[#This Row],[link_checklist]],"abrir"))</f>
        <v/>
      </c>
      <c r="AM866" s="6" t="n"/>
      <c r="AN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Row],[tipo_ot]]="","",_xlfn.XLOOKUP(tblOrdenes[[#This Row],[tipo_ot]],tblTiposOT[codigo],tblTiposOT[clasificacion],"sin_clasificar"))</f>
        <v/>
      </c>
      <c r="T867" s="3">
        <f>IF(tblOrdenes[[#This Row],[centro_costo]]="","",_xlfn.XLOOKUP(tblOrdenes[[#This Row],[centro_costo]],tblCECO[codigo],tblCECO[linea],"(sin catálogo)"))</f>
        <v/>
      </c>
      <c r="U867" s="3">
        <f>IF(tblOrdenes[[#This Row],[centro_costo]]="","",_xlfn.XLOOKUP(tblOrdenes[[#This Row],[centro_costo]],tblCECO[codigo],tblCECO[area],"(sin catálogo)"))</f>
        <v/>
      </c>
      <c r="V867" s="3">
        <f>IF(tblOrdenes[[#This Row],[centro_costo]]="","",_xlfn.XLOOKUP(tblOrdenes[[#This Row],[centro_costo]],tblCECO[codigo],tblCECO[coordinador],"(sin catálogo)"))</f>
        <v/>
      </c>
      <c r="W867" s="3">
        <f>IF(tblOrdenes[[#This Row],[puesto_trabajo]]="","",_xlfn.XLOOKUP(tblOrdenes[[#This Row],[puesto_trabajo]],tblPuestos[codigo],tblPuestos[especialidad],"(sin catálogo)"))</f>
        <v/>
      </c>
      <c r="X867" s="3">
        <f>IF(tblOrdenes[[#This Row],[cod_actividad]]="","",_xlfn.XLOOKUP(tblOrdenes[[#This Row],[cod_actividad]],tblActividades[codigo],tblActividades[descripcion],"(sin catálogo)"))</f>
        <v/>
      </c>
      <c r="Y867" s="12">
        <f>IF(tblOrdenes[[#This Row],[fecha_inicio]]="","",TODAY()-tblOrdenes[[#This Row],[fecha_inicio]])</f>
        <v/>
      </c>
      <c r="Z867" s="3">
        <f>IF(tblOrdenes[[#This Row],[backlog_dias]]="","",IF(tblOrdenes[[#This Row],[backlog_dias]]&lt;0,"FUTURO",IF(tblOrdenes[[#This Row],[backlog_dias]]&gt;p_dias_backlog_max,"BACKLOG","MES CORRIENTE")))</f>
        <v/>
      </c>
      <c r="AA867" s="3">
        <f>IF(tblOrdenes[[#This Row],[backlog_dias]]="",FALSE,AND(tblOrdenes[[#This Row],[backlog_dias]]&gt;p_dias_backlog_min,tblOrdenes[[#This Row],[backlog_dias]]&lt;=p_dias_backlog_max))</f>
        <v/>
      </c>
      <c r="AB867" s="6" t="n"/>
      <c r="AC8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7" s="10">
        <f>IF(tblOrdenes[[#This Row],[orden]]="","",_xlfn.XLOOKUP(tblOrdenes[[#This Row],[id_operacion]],tblEjecucion[id_operacion],tblEjecucion[precio],0))</f>
        <v/>
      </c>
      <c r="AG867" s="10">
        <f>IF(tblOrdenes[[#This Row],[orden]]="","",MAX(0,_xlfn.XLOOKUP(tblOrdenes[[#This Row],[id_operacion]],tblEjecucion[id_operacion],tblEjecucion[costo_plan_total],0)-tblOrdenes[[#This Row],[costo_servicio]]))</f>
        <v/>
      </c>
      <c r="AH867" s="10">
        <f>IF(tblOrdenes[[#This Row],[orden]]="","",tblOrdenes[[#This Row],[costo_servicio]]+tblOrdenes[[#This Row],[costo_materiales]])</f>
        <v/>
      </c>
      <c r="AI867" s="6" t="n"/>
      <c r="AJ867" s="6" t="n"/>
      <c r="AK867" s="6" t="n"/>
      <c r="AL867" s="3">
        <f>IF(tblOrdenes[[#This Row],[link_checklist]]="","",HYPERLINK(p_ruta_base_checklists&amp;tblOrdenes[[#This Row],[link_checklist]],"abrir"))</f>
        <v/>
      </c>
      <c r="AM867" s="6" t="n"/>
      <c r="AN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Row],[tipo_ot]]="","",_xlfn.XLOOKUP(tblOrdenes[[#This Row],[tipo_ot]],tblTiposOT[codigo],tblTiposOT[clasificacion],"sin_clasificar"))</f>
        <v/>
      </c>
      <c r="T868" s="3">
        <f>IF(tblOrdenes[[#This Row],[centro_costo]]="","",_xlfn.XLOOKUP(tblOrdenes[[#This Row],[centro_costo]],tblCECO[codigo],tblCECO[linea],"(sin catálogo)"))</f>
        <v/>
      </c>
      <c r="U868" s="3">
        <f>IF(tblOrdenes[[#This Row],[centro_costo]]="","",_xlfn.XLOOKUP(tblOrdenes[[#This Row],[centro_costo]],tblCECO[codigo],tblCECO[area],"(sin catálogo)"))</f>
        <v/>
      </c>
      <c r="V868" s="3">
        <f>IF(tblOrdenes[[#This Row],[centro_costo]]="","",_xlfn.XLOOKUP(tblOrdenes[[#This Row],[centro_costo]],tblCECO[codigo],tblCECO[coordinador],"(sin catálogo)"))</f>
        <v/>
      </c>
      <c r="W868" s="3">
        <f>IF(tblOrdenes[[#This Row],[puesto_trabajo]]="","",_xlfn.XLOOKUP(tblOrdenes[[#This Row],[puesto_trabajo]],tblPuestos[codigo],tblPuestos[especialidad],"(sin catálogo)"))</f>
        <v/>
      </c>
      <c r="X868" s="3">
        <f>IF(tblOrdenes[[#This Row],[cod_actividad]]="","",_xlfn.XLOOKUP(tblOrdenes[[#This Row],[cod_actividad]],tblActividades[codigo],tblActividades[descripcion],"(sin catálogo)"))</f>
        <v/>
      </c>
      <c r="Y868" s="12">
        <f>IF(tblOrdenes[[#This Row],[fecha_inicio]]="","",TODAY()-tblOrdenes[[#This Row],[fecha_inicio]])</f>
        <v/>
      </c>
      <c r="Z868" s="3">
        <f>IF(tblOrdenes[[#This Row],[backlog_dias]]="","",IF(tblOrdenes[[#This Row],[backlog_dias]]&lt;0,"FUTURO",IF(tblOrdenes[[#This Row],[backlog_dias]]&gt;p_dias_backlog_max,"BACKLOG","MES CORRIENTE")))</f>
        <v/>
      </c>
      <c r="AA868" s="3">
        <f>IF(tblOrdenes[[#This Row],[backlog_dias]]="",FALSE,AND(tblOrdenes[[#This Row],[backlog_dias]]&gt;p_dias_backlog_min,tblOrdenes[[#This Row],[backlog_dias]]&lt;=p_dias_backlog_max))</f>
        <v/>
      </c>
      <c r="AB868" s="6" t="n"/>
      <c r="AC8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8" s="10">
        <f>IF(tblOrdenes[[#This Row],[orden]]="","",_xlfn.XLOOKUP(tblOrdenes[[#This Row],[id_operacion]],tblEjecucion[id_operacion],tblEjecucion[precio],0))</f>
        <v/>
      </c>
      <c r="AG868" s="10">
        <f>IF(tblOrdenes[[#This Row],[orden]]="","",MAX(0,_xlfn.XLOOKUP(tblOrdenes[[#This Row],[id_operacion]],tblEjecucion[id_operacion],tblEjecucion[costo_plan_total],0)-tblOrdenes[[#This Row],[costo_servicio]]))</f>
        <v/>
      </c>
      <c r="AH868" s="10">
        <f>IF(tblOrdenes[[#This Row],[orden]]="","",tblOrdenes[[#This Row],[costo_servicio]]+tblOrdenes[[#This Row],[costo_materiales]])</f>
        <v/>
      </c>
      <c r="AI868" s="6" t="n"/>
      <c r="AJ868" s="6" t="n"/>
      <c r="AK868" s="6" t="n"/>
      <c r="AL868" s="3">
        <f>IF(tblOrdenes[[#This Row],[link_checklist]]="","",HYPERLINK(p_ruta_base_checklists&amp;tblOrdenes[[#This Row],[link_checklist]],"abrir"))</f>
        <v/>
      </c>
      <c r="AM868" s="6" t="n"/>
      <c r="AN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Row],[tipo_ot]]="","",_xlfn.XLOOKUP(tblOrdenes[[#This Row],[tipo_ot]],tblTiposOT[codigo],tblTiposOT[clasificacion],"sin_clasificar"))</f>
        <v/>
      </c>
      <c r="T869" s="3">
        <f>IF(tblOrdenes[[#This Row],[centro_costo]]="","",_xlfn.XLOOKUP(tblOrdenes[[#This Row],[centro_costo]],tblCECO[codigo],tblCECO[linea],"(sin catálogo)"))</f>
        <v/>
      </c>
      <c r="U869" s="3">
        <f>IF(tblOrdenes[[#This Row],[centro_costo]]="","",_xlfn.XLOOKUP(tblOrdenes[[#This Row],[centro_costo]],tblCECO[codigo],tblCECO[area],"(sin catálogo)"))</f>
        <v/>
      </c>
      <c r="V869" s="3">
        <f>IF(tblOrdenes[[#This Row],[centro_costo]]="","",_xlfn.XLOOKUP(tblOrdenes[[#This Row],[centro_costo]],tblCECO[codigo],tblCECO[coordinador],"(sin catálogo)"))</f>
        <v/>
      </c>
      <c r="W869" s="3">
        <f>IF(tblOrdenes[[#This Row],[puesto_trabajo]]="","",_xlfn.XLOOKUP(tblOrdenes[[#This Row],[puesto_trabajo]],tblPuestos[codigo],tblPuestos[especialidad],"(sin catálogo)"))</f>
        <v/>
      </c>
      <c r="X869" s="3">
        <f>IF(tblOrdenes[[#This Row],[cod_actividad]]="","",_xlfn.XLOOKUP(tblOrdenes[[#This Row],[cod_actividad]],tblActividades[codigo],tblActividades[descripcion],"(sin catálogo)"))</f>
        <v/>
      </c>
      <c r="Y869" s="12">
        <f>IF(tblOrdenes[[#This Row],[fecha_inicio]]="","",TODAY()-tblOrdenes[[#This Row],[fecha_inicio]])</f>
        <v/>
      </c>
      <c r="Z869" s="3">
        <f>IF(tblOrdenes[[#This Row],[backlog_dias]]="","",IF(tblOrdenes[[#This Row],[backlog_dias]]&lt;0,"FUTURO",IF(tblOrdenes[[#This Row],[backlog_dias]]&gt;p_dias_backlog_max,"BACKLOG","MES CORRIENTE")))</f>
        <v/>
      </c>
      <c r="AA869" s="3">
        <f>IF(tblOrdenes[[#This Row],[backlog_dias]]="",FALSE,AND(tblOrdenes[[#This Row],[backlog_dias]]&gt;p_dias_backlog_min,tblOrdenes[[#This Row],[backlog_dias]]&lt;=p_dias_backlog_max))</f>
        <v/>
      </c>
      <c r="AB869" s="6" t="n"/>
      <c r="AC8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9" s="10">
        <f>IF(tblOrdenes[[#This Row],[orden]]="","",_xlfn.XLOOKUP(tblOrdenes[[#This Row],[id_operacion]],tblEjecucion[id_operacion],tblEjecucion[precio],0))</f>
        <v/>
      </c>
      <c r="AG869" s="10">
        <f>IF(tblOrdenes[[#This Row],[orden]]="","",MAX(0,_xlfn.XLOOKUP(tblOrdenes[[#This Row],[id_operacion]],tblEjecucion[id_operacion],tblEjecucion[costo_plan_total],0)-tblOrdenes[[#This Row],[costo_servicio]]))</f>
        <v/>
      </c>
      <c r="AH869" s="10">
        <f>IF(tblOrdenes[[#This Row],[orden]]="","",tblOrdenes[[#This Row],[costo_servicio]]+tblOrdenes[[#This Row],[costo_materiales]])</f>
        <v/>
      </c>
      <c r="AI869" s="6" t="n"/>
      <c r="AJ869" s="6" t="n"/>
      <c r="AK869" s="6" t="n"/>
      <c r="AL869" s="3">
        <f>IF(tblOrdenes[[#This Row],[link_checklist]]="","",HYPERLINK(p_ruta_base_checklists&amp;tblOrdenes[[#This Row],[link_checklist]],"abrir"))</f>
        <v/>
      </c>
      <c r="AM869" s="6" t="n"/>
      <c r="AN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Row],[tipo_ot]]="","",_xlfn.XLOOKUP(tblOrdenes[[#This Row],[tipo_ot]],tblTiposOT[codigo],tblTiposOT[clasificacion],"sin_clasificar"))</f>
        <v/>
      </c>
      <c r="T870" s="3">
        <f>IF(tblOrdenes[[#This Row],[centro_costo]]="","",_xlfn.XLOOKUP(tblOrdenes[[#This Row],[centro_costo]],tblCECO[codigo],tblCECO[linea],"(sin catálogo)"))</f>
        <v/>
      </c>
      <c r="U870" s="3">
        <f>IF(tblOrdenes[[#This Row],[centro_costo]]="","",_xlfn.XLOOKUP(tblOrdenes[[#This Row],[centro_costo]],tblCECO[codigo],tblCECO[area],"(sin catálogo)"))</f>
        <v/>
      </c>
      <c r="V870" s="3">
        <f>IF(tblOrdenes[[#This Row],[centro_costo]]="","",_xlfn.XLOOKUP(tblOrdenes[[#This Row],[centro_costo]],tblCECO[codigo],tblCECO[coordinador],"(sin catálogo)"))</f>
        <v/>
      </c>
      <c r="W870" s="3">
        <f>IF(tblOrdenes[[#This Row],[puesto_trabajo]]="","",_xlfn.XLOOKUP(tblOrdenes[[#This Row],[puesto_trabajo]],tblPuestos[codigo],tblPuestos[especialidad],"(sin catálogo)"))</f>
        <v/>
      </c>
      <c r="X870" s="3">
        <f>IF(tblOrdenes[[#This Row],[cod_actividad]]="","",_xlfn.XLOOKUP(tblOrdenes[[#This Row],[cod_actividad]],tblActividades[codigo],tblActividades[descripcion],"(sin catálogo)"))</f>
        <v/>
      </c>
      <c r="Y870" s="12">
        <f>IF(tblOrdenes[[#This Row],[fecha_inicio]]="","",TODAY()-tblOrdenes[[#This Row],[fecha_inicio]])</f>
        <v/>
      </c>
      <c r="Z870" s="3">
        <f>IF(tblOrdenes[[#This Row],[backlog_dias]]="","",IF(tblOrdenes[[#This Row],[backlog_dias]]&lt;0,"FUTURO",IF(tblOrdenes[[#This Row],[backlog_dias]]&gt;p_dias_backlog_max,"BACKLOG","MES CORRIENTE")))</f>
        <v/>
      </c>
      <c r="AA870" s="3">
        <f>IF(tblOrdenes[[#This Row],[backlog_dias]]="",FALSE,AND(tblOrdenes[[#This Row],[backlog_dias]]&gt;p_dias_backlog_min,tblOrdenes[[#This Row],[backlog_dias]]&lt;=p_dias_backlog_max))</f>
        <v/>
      </c>
      <c r="AB870" s="6" t="n"/>
      <c r="AC8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0" s="10">
        <f>IF(tblOrdenes[[#This Row],[orden]]="","",_xlfn.XLOOKUP(tblOrdenes[[#This Row],[id_operacion]],tblEjecucion[id_operacion],tblEjecucion[precio],0))</f>
        <v/>
      </c>
      <c r="AG870" s="10">
        <f>IF(tblOrdenes[[#This Row],[orden]]="","",MAX(0,_xlfn.XLOOKUP(tblOrdenes[[#This Row],[id_operacion]],tblEjecucion[id_operacion],tblEjecucion[costo_plan_total],0)-tblOrdenes[[#This Row],[costo_servicio]]))</f>
        <v/>
      </c>
      <c r="AH870" s="10">
        <f>IF(tblOrdenes[[#This Row],[orden]]="","",tblOrdenes[[#This Row],[costo_servicio]]+tblOrdenes[[#This Row],[costo_materiales]])</f>
        <v/>
      </c>
      <c r="AI870" s="6" t="n"/>
      <c r="AJ870" s="6" t="n"/>
      <c r="AK870" s="6" t="n"/>
      <c r="AL870" s="3">
        <f>IF(tblOrdenes[[#This Row],[link_checklist]]="","",HYPERLINK(p_ruta_base_checklists&amp;tblOrdenes[[#This Row],[link_checklist]],"abrir"))</f>
        <v/>
      </c>
      <c r="AM870" s="6" t="n"/>
      <c r="AN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Row],[tipo_ot]]="","",_xlfn.XLOOKUP(tblOrdenes[[#This Row],[tipo_ot]],tblTiposOT[codigo],tblTiposOT[clasificacion],"sin_clasificar"))</f>
        <v/>
      </c>
      <c r="T871" s="3">
        <f>IF(tblOrdenes[[#This Row],[centro_costo]]="","",_xlfn.XLOOKUP(tblOrdenes[[#This Row],[centro_costo]],tblCECO[codigo],tblCECO[linea],"(sin catálogo)"))</f>
        <v/>
      </c>
      <c r="U871" s="3">
        <f>IF(tblOrdenes[[#This Row],[centro_costo]]="","",_xlfn.XLOOKUP(tblOrdenes[[#This Row],[centro_costo]],tblCECO[codigo],tblCECO[area],"(sin catálogo)"))</f>
        <v/>
      </c>
      <c r="V871" s="3">
        <f>IF(tblOrdenes[[#This Row],[centro_costo]]="","",_xlfn.XLOOKUP(tblOrdenes[[#This Row],[centro_costo]],tblCECO[codigo],tblCECO[coordinador],"(sin catálogo)"))</f>
        <v/>
      </c>
      <c r="W871" s="3">
        <f>IF(tblOrdenes[[#This Row],[puesto_trabajo]]="","",_xlfn.XLOOKUP(tblOrdenes[[#This Row],[puesto_trabajo]],tblPuestos[codigo],tblPuestos[especialidad],"(sin catálogo)"))</f>
        <v/>
      </c>
      <c r="X871" s="3">
        <f>IF(tblOrdenes[[#This Row],[cod_actividad]]="","",_xlfn.XLOOKUP(tblOrdenes[[#This Row],[cod_actividad]],tblActividades[codigo],tblActividades[descripcion],"(sin catálogo)"))</f>
        <v/>
      </c>
      <c r="Y871" s="12">
        <f>IF(tblOrdenes[[#This Row],[fecha_inicio]]="","",TODAY()-tblOrdenes[[#This Row],[fecha_inicio]])</f>
        <v/>
      </c>
      <c r="Z871" s="3">
        <f>IF(tblOrdenes[[#This Row],[backlog_dias]]="","",IF(tblOrdenes[[#This Row],[backlog_dias]]&lt;0,"FUTURO",IF(tblOrdenes[[#This Row],[backlog_dias]]&gt;p_dias_backlog_max,"BACKLOG","MES CORRIENTE")))</f>
        <v/>
      </c>
      <c r="AA871" s="3">
        <f>IF(tblOrdenes[[#This Row],[backlog_dias]]="",FALSE,AND(tblOrdenes[[#This Row],[backlog_dias]]&gt;p_dias_backlog_min,tblOrdenes[[#This Row],[backlog_dias]]&lt;=p_dias_backlog_max))</f>
        <v/>
      </c>
      <c r="AB871" s="6" t="n"/>
      <c r="AC8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1" s="10">
        <f>IF(tblOrdenes[[#This Row],[orden]]="","",_xlfn.XLOOKUP(tblOrdenes[[#This Row],[id_operacion]],tblEjecucion[id_operacion],tblEjecucion[precio],0))</f>
        <v/>
      </c>
      <c r="AG871" s="10">
        <f>IF(tblOrdenes[[#This Row],[orden]]="","",MAX(0,_xlfn.XLOOKUP(tblOrdenes[[#This Row],[id_operacion]],tblEjecucion[id_operacion],tblEjecucion[costo_plan_total],0)-tblOrdenes[[#This Row],[costo_servicio]]))</f>
        <v/>
      </c>
      <c r="AH871" s="10">
        <f>IF(tblOrdenes[[#This Row],[orden]]="","",tblOrdenes[[#This Row],[costo_servicio]]+tblOrdenes[[#This Row],[costo_materiales]])</f>
        <v/>
      </c>
      <c r="AI871" s="6" t="n"/>
      <c r="AJ871" s="6" t="n"/>
      <c r="AK871" s="6" t="n"/>
      <c r="AL871" s="3">
        <f>IF(tblOrdenes[[#This Row],[link_checklist]]="","",HYPERLINK(p_ruta_base_checklists&amp;tblOrdenes[[#This Row],[link_checklist]],"abrir"))</f>
        <v/>
      </c>
      <c r="AM871" s="6" t="n"/>
      <c r="AN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Row],[tipo_ot]]="","",_xlfn.XLOOKUP(tblOrdenes[[#This Row],[tipo_ot]],tblTiposOT[codigo],tblTiposOT[clasificacion],"sin_clasificar"))</f>
        <v/>
      </c>
      <c r="T872" s="3">
        <f>IF(tblOrdenes[[#This Row],[centro_costo]]="","",_xlfn.XLOOKUP(tblOrdenes[[#This Row],[centro_costo]],tblCECO[codigo],tblCECO[linea],"(sin catálogo)"))</f>
        <v/>
      </c>
      <c r="U872" s="3">
        <f>IF(tblOrdenes[[#This Row],[centro_costo]]="","",_xlfn.XLOOKUP(tblOrdenes[[#This Row],[centro_costo]],tblCECO[codigo],tblCECO[area],"(sin catálogo)"))</f>
        <v/>
      </c>
      <c r="V872" s="3">
        <f>IF(tblOrdenes[[#This Row],[centro_costo]]="","",_xlfn.XLOOKUP(tblOrdenes[[#This Row],[centro_costo]],tblCECO[codigo],tblCECO[coordinador],"(sin catálogo)"))</f>
        <v/>
      </c>
      <c r="W872" s="3">
        <f>IF(tblOrdenes[[#This Row],[puesto_trabajo]]="","",_xlfn.XLOOKUP(tblOrdenes[[#This Row],[puesto_trabajo]],tblPuestos[codigo],tblPuestos[especialidad],"(sin catálogo)"))</f>
        <v/>
      </c>
      <c r="X872" s="3">
        <f>IF(tblOrdenes[[#This Row],[cod_actividad]]="","",_xlfn.XLOOKUP(tblOrdenes[[#This Row],[cod_actividad]],tblActividades[codigo],tblActividades[descripcion],"(sin catálogo)"))</f>
        <v/>
      </c>
      <c r="Y872" s="12">
        <f>IF(tblOrdenes[[#This Row],[fecha_inicio]]="","",TODAY()-tblOrdenes[[#This Row],[fecha_inicio]])</f>
        <v/>
      </c>
      <c r="Z872" s="3">
        <f>IF(tblOrdenes[[#This Row],[backlog_dias]]="","",IF(tblOrdenes[[#This Row],[backlog_dias]]&lt;0,"FUTURO",IF(tblOrdenes[[#This Row],[backlog_dias]]&gt;p_dias_backlog_max,"BACKLOG","MES CORRIENTE")))</f>
        <v/>
      </c>
      <c r="AA872" s="3">
        <f>IF(tblOrdenes[[#This Row],[backlog_dias]]="",FALSE,AND(tblOrdenes[[#This Row],[backlog_dias]]&gt;p_dias_backlog_min,tblOrdenes[[#This Row],[backlog_dias]]&lt;=p_dias_backlog_max))</f>
        <v/>
      </c>
      <c r="AB872" s="6" t="n"/>
      <c r="AC8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2" s="10">
        <f>IF(tblOrdenes[[#This Row],[orden]]="","",_xlfn.XLOOKUP(tblOrdenes[[#This Row],[id_operacion]],tblEjecucion[id_operacion],tblEjecucion[precio],0))</f>
        <v/>
      </c>
      <c r="AG872" s="10">
        <f>IF(tblOrdenes[[#This Row],[orden]]="","",MAX(0,_xlfn.XLOOKUP(tblOrdenes[[#This Row],[id_operacion]],tblEjecucion[id_operacion],tblEjecucion[costo_plan_total],0)-tblOrdenes[[#This Row],[costo_servicio]]))</f>
        <v/>
      </c>
      <c r="AH872" s="10">
        <f>IF(tblOrdenes[[#This Row],[orden]]="","",tblOrdenes[[#This Row],[costo_servicio]]+tblOrdenes[[#This Row],[costo_materiales]])</f>
        <v/>
      </c>
      <c r="AI872" s="6" t="n"/>
      <c r="AJ872" s="6" t="n"/>
      <c r="AK872" s="6" t="n"/>
      <c r="AL872" s="3">
        <f>IF(tblOrdenes[[#This Row],[link_checklist]]="","",HYPERLINK(p_ruta_base_checklists&amp;tblOrdenes[[#This Row],[link_checklist]],"abrir"))</f>
        <v/>
      </c>
      <c r="AM872" s="6" t="n"/>
      <c r="AN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Row],[tipo_ot]]="","",_xlfn.XLOOKUP(tblOrdenes[[#This Row],[tipo_ot]],tblTiposOT[codigo],tblTiposOT[clasificacion],"sin_clasificar"))</f>
        <v/>
      </c>
      <c r="T873" s="3">
        <f>IF(tblOrdenes[[#This Row],[centro_costo]]="","",_xlfn.XLOOKUP(tblOrdenes[[#This Row],[centro_costo]],tblCECO[codigo],tblCECO[linea],"(sin catálogo)"))</f>
        <v/>
      </c>
      <c r="U873" s="3">
        <f>IF(tblOrdenes[[#This Row],[centro_costo]]="","",_xlfn.XLOOKUP(tblOrdenes[[#This Row],[centro_costo]],tblCECO[codigo],tblCECO[area],"(sin catálogo)"))</f>
        <v/>
      </c>
      <c r="V873" s="3">
        <f>IF(tblOrdenes[[#This Row],[centro_costo]]="","",_xlfn.XLOOKUP(tblOrdenes[[#This Row],[centro_costo]],tblCECO[codigo],tblCECO[coordinador],"(sin catálogo)"))</f>
        <v/>
      </c>
      <c r="W873" s="3">
        <f>IF(tblOrdenes[[#This Row],[puesto_trabajo]]="","",_xlfn.XLOOKUP(tblOrdenes[[#This Row],[puesto_trabajo]],tblPuestos[codigo],tblPuestos[especialidad],"(sin catálogo)"))</f>
        <v/>
      </c>
      <c r="X873" s="3">
        <f>IF(tblOrdenes[[#This Row],[cod_actividad]]="","",_xlfn.XLOOKUP(tblOrdenes[[#This Row],[cod_actividad]],tblActividades[codigo],tblActividades[descripcion],"(sin catálogo)"))</f>
        <v/>
      </c>
      <c r="Y873" s="12">
        <f>IF(tblOrdenes[[#This Row],[fecha_inicio]]="","",TODAY()-tblOrdenes[[#This Row],[fecha_inicio]])</f>
        <v/>
      </c>
      <c r="Z873" s="3">
        <f>IF(tblOrdenes[[#This Row],[backlog_dias]]="","",IF(tblOrdenes[[#This Row],[backlog_dias]]&lt;0,"FUTURO",IF(tblOrdenes[[#This Row],[backlog_dias]]&gt;p_dias_backlog_max,"BACKLOG","MES CORRIENTE")))</f>
        <v/>
      </c>
      <c r="AA873" s="3">
        <f>IF(tblOrdenes[[#This Row],[backlog_dias]]="",FALSE,AND(tblOrdenes[[#This Row],[backlog_dias]]&gt;p_dias_backlog_min,tblOrdenes[[#This Row],[backlog_dias]]&lt;=p_dias_backlog_max))</f>
        <v/>
      </c>
      <c r="AB873" s="6" t="n"/>
      <c r="AC8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3" s="10">
        <f>IF(tblOrdenes[[#This Row],[orden]]="","",_xlfn.XLOOKUP(tblOrdenes[[#This Row],[id_operacion]],tblEjecucion[id_operacion],tblEjecucion[precio],0))</f>
        <v/>
      </c>
      <c r="AG873" s="10">
        <f>IF(tblOrdenes[[#This Row],[orden]]="","",MAX(0,_xlfn.XLOOKUP(tblOrdenes[[#This Row],[id_operacion]],tblEjecucion[id_operacion],tblEjecucion[costo_plan_total],0)-tblOrdenes[[#This Row],[costo_servicio]]))</f>
        <v/>
      </c>
      <c r="AH873" s="10">
        <f>IF(tblOrdenes[[#This Row],[orden]]="","",tblOrdenes[[#This Row],[costo_servicio]]+tblOrdenes[[#This Row],[costo_materiales]])</f>
        <v/>
      </c>
      <c r="AI873" s="6" t="n"/>
      <c r="AJ873" s="6" t="n"/>
      <c r="AK873" s="6" t="n"/>
      <c r="AL873" s="3">
        <f>IF(tblOrdenes[[#This Row],[link_checklist]]="","",HYPERLINK(p_ruta_base_checklists&amp;tblOrdenes[[#This Row],[link_checklist]],"abrir"))</f>
        <v/>
      </c>
      <c r="AM873" s="6" t="n"/>
      <c r="AN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Row],[tipo_ot]]="","",_xlfn.XLOOKUP(tblOrdenes[[#This Row],[tipo_ot]],tblTiposOT[codigo],tblTiposOT[clasificacion],"sin_clasificar"))</f>
        <v/>
      </c>
      <c r="T874" s="3">
        <f>IF(tblOrdenes[[#This Row],[centro_costo]]="","",_xlfn.XLOOKUP(tblOrdenes[[#This Row],[centro_costo]],tblCECO[codigo],tblCECO[linea],"(sin catálogo)"))</f>
        <v/>
      </c>
      <c r="U874" s="3">
        <f>IF(tblOrdenes[[#This Row],[centro_costo]]="","",_xlfn.XLOOKUP(tblOrdenes[[#This Row],[centro_costo]],tblCECO[codigo],tblCECO[area],"(sin catálogo)"))</f>
        <v/>
      </c>
      <c r="V874" s="3">
        <f>IF(tblOrdenes[[#This Row],[centro_costo]]="","",_xlfn.XLOOKUP(tblOrdenes[[#This Row],[centro_costo]],tblCECO[codigo],tblCECO[coordinador],"(sin catálogo)"))</f>
        <v/>
      </c>
      <c r="W874" s="3">
        <f>IF(tblOrdenes[[#This Row],[puesto_trabajo]]="","",_xlfn.XLOOKUP(tblOrdenes[[#This Row],[puesto_trabajo]],tblPuestos[codigo],tblPuestos[especialidad],"(sin catálogo)"))</f>
        <v/>
      </c>
      <c r="X874" s="3">
        <f>IF(tblOrdenes[[#This Row],[cod_actividad]]="","",_xlfn.XLOOKUP(tblOrdenes[[#This Row],[cod_actividad]],tblActividades[codigo],tblActividades[descripcion],"(sin catálogo)"))</f>
        <v/>
      </c>
      <c r="Y874" s="12">
        <f>IF(tblOrdenes[[#This Row],[fecha_inicio]]="","",TODAY()-tblOrdenes[[#This Row],[fecha_inicio]])</f>
        <v/>
      </c>
      <c r="Z874" s="3">
        <f>IF(tblOrdenes[[#This Row],[backlog_dias]]="","",IF(tblOrdenes[[#This Row],[backlog_dias]]&lt;0,"FUTURO",IF(tblOrdenes[[#This Row],[backlog_dias]]&gt;p_dias_backlog_max,"BACKLOG","MES CORRIENTE")))</f>
        <v/>
      </c>
      <c r="AA874" s="3">
        <f>IF(tblOrdenes[[#This Row],[backlog_dias]]="",FALSE,AND(tblOrdenes[[#This Row],[backlog_dias]]&gt;p_dias_backlog_min,tblOrdenes[[#This Row],[backlog_dias]]&lt;=p_dias_backlog_max))</f>
        <v/>
      </c>
      <c r="AB874" s="6" t="n"/>
      <c r="AC8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4" s="10">
        <f>IF(tblOrdenes[[#This Row],[orden]]="","",_xlfn.XLOOKUP(tblOrdenes[[#This Row],[id_operacion]],tblEjecucion[id_operacion],tblEjecucion[precio],0))</f>
        <v/>
      </c>
      <c r="AG874" s="10">
        <f>IF(tblOrdenes[[#This Row],[orden]]="","",MAX(0,_xlfn.XLOOKUP(tblOrdenes[[#This Row],[id_operacion]],tblEjecucion[id_operacion],tblEjecucion[costo_plan_total],0)-tblOrdenes[[#This Row],[costo_servicio]]))</f>
        <v/>
      </c>
      <c r="AH874" s="10">
        <f>IF(tblOrdenes[[#This Row],[orden]]="","",tblOrdenes[[#This Row],[costo_servicio]]+tblOrdenes[[#This Row],[costo_materiales]])</f>
        <v/>
      </c>
      <c r="AI874" s="6" t="n"/>
      <c r="AJ874" s="6" t="n"/>
      <c r="AK874" s="6" t="n"/>
      <c r="AL874" s="3">
        <f>IF(tblOrdenes[[#This Row],[link_checklist]]="","",HYPERLINK(p_ruta_base_checklists&amp;tblOrdenes[[#This Row],[link_checklist]],"abrir"))</f>
        <v/>
      </c>
      <c r="AM874" s="6" t="n"/>
      <c r="AN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Row],[tipo_ot]]="","",_xlfn.XLOOKUP(tblOrdenes[[#This Row],[tipo_ot]],tblTiposOT[codigo],tblTiposOT[clasificacion],"sin_clasificar"))</f>
        <v/>
      </c>
      <c r="T875" s="3">
        <f>IF(tblOrdenes[[#This Row],[centro_costo]]="","",_xlfn.XLOOKUP(tblOrdenes[[#This Row],[centro_costo]],tblCECO[codigo],tblCECO[linea],"(sin catálogo)"))</f>
        <v/>
      </c>
      <c r="U875" s="3">
        <f>IF(tblOrdenes[[#This Row],[centro_costo]]="","",_xlfn.XLOOKUP(tblOrdenes[[#This Row],[centro_costo]],tblCECO[codigo],tblCECO[area],"(sin catálogo)"))</f>
        <v/>
      </c>
      <c r="V875" s="3">
        <f>IF(tblOrdenes[[#This Row],[centro_costo]]="","",_xlfn.XLOOKUP(tblOrdenes[[#This Row],[centro_costo]],tblCECO[codigo],tblCECO[coordinador],"(sin catálogo)"))</f>
        <v/>
      </c>
      <c r="W875" s="3">
        <f>IF(tblOrdenes[[#This Row],[puesto_trabajo]]="","",_xlfn.XLOOKUP(tblOrdenes[[#This Row],[puesto_trabajo]],tblPuestos[codigo],tblPuestos[especialidad],"(sin catálogo)"))</f>
        <v/>
      </c>
      <c r="X875" s="3">
        <f>IF(tblOrdenes[[#This Row],[cod_actividad]]="","",_xlfn.XLOOKUP(tblOrdenes[[#This Row],[cod_actividad]],tblActividades[codigo],tblActividades[descripcion],"(sin catálogo)"))</f>
        <v/>
      </c>
      <c r="Y875" s="12">
        <f>IF(tblOrdenes[[#This Row],[fecha_inicio]]="","",TODAY()-tblOrdenes[[#This Row],[fecha_inicio]])</f>
        <v/>
      </c>
      <c r="Z875" s="3">
        <f>IF(tblOrdenes[[#This Row],[backlog_dias]]="","",IF(tblOrdenes[[#This Row],[backlog_dias]]&lt;0,"FUTURO",IF(tblOrdenes[[#This Row],[backlog_dias]]&gt;p_dias_backlog_max,"BACKLOG","MES CORRIENTE")))</f>
        <v/>
      </c>
      <c r="AA875" s="3">
        <f>IF(tblOrdenes[[#This Row],[backlog_dias]]="",FALSE,AND(tblOrdenes[[#This Row],[backlog_dias]]&gt;p_dias_backlog_min,tblOrdenes[[#This Row],[backlog_dias]]&lt;=p_dias_backlog_max))</f>
        <v/>
      </c>
      <c r="AB875" s="6" t="n"/>
      <c r="AC8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5" s="10">
        <f>IF(tblOrdenes[[#This Row],[orden]]="","",_xlfn.XLOOKUP(tblOrdenes[[#This Row],[id_operacion]],tblEjecucion[id_operacion],tblEjecucion[precio],0))</f>
        <v/>
      </c>
      <c r="AG875" s="10">
        <f>IF(tblOrdenes[[#This Row],[orden]]="","",MAX(0,_xlfn.XLOOKUP(tblOrdenes[[#This Row],[id_operacion]],tblEjecucion[id_operacion],tblEjecucion[costo_plan_total],0)-tblOrdenes[[#This Row],[costo_servicio]]))</f>
        <v/>
      </c>
      <c r="AH875" s="10">
        <f>IF(tblOrdenes[[#This Row],[orden]]="","",tblOrdenes[[#This Row],[costo_servicio]]+tblOrdenes[[#This Row],[costo_materiales]])</f>
        <v/>
      </c>
      <c r="AI875" s="6" t="n"/>
      <c r="AJ875" s="6" t="n"/>
      <c r="AK875" s="6" t="n"/>
      <c r="AL875" s="3">
        <f>IF(tblOrdenes[[#This Row],[link_checklist]]="","",HYPERLINK(p_ruta_base_checklists&amp;tblOrdenes[[#This Row],[link_checklist]],"abrir"))</f>
        <v/>
      </c>
      <c r="AM875" s="6" t="n"/>
      <c r="AN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Row],[tipo_ot]]="","",_xlfn.XLOOKUP(tblOrdenes[[#This Row],[tipo_ot]],tblTiposOT[codigo],tblTiposOT[clasificacion],"sin_clasificar"))</f>
        <v/>
      </c>
      <c r="T876" s="3">
        <f>IF(tblOrdenes[[#This Row],[centro_costo]]="","",_xlfn.XLOOKUP(tblOrdenes[[#This Row],[centro_costo]],tblCECO[codigo],tblCECO[linea],"(sin catálogo)"))</f>
        <v/>
      </c>
      <c r="U876" s="3">
        <f>IF(tblOrdenes[[#This Row],[centro_costo]]="","",_xlfn.XLOOKUP(tblOrdenes[[#This Row],[centro_costo]],tblCECO[codigo],tblCECO[area],"(sin catálogo)"))</f>
        <v/>
      </c>
      <c r="V876" s="3">
        <f>IF(tblOrdenes[[#This Row],[centro_costo]]="","",_xlfn.XLOOKUP(tblOrdenes[[#This Row],[centro_costo]],tblCECO[codigo],tblCECO[coordinador],"(sin catálogo)"))</f>
        <v/>
      </c>
      <c r="W876" s="3">
        <f>IF(tblOrdenes[[#This Row],[puesto_trabajo]]="","",_xlfn.XLOOKUP(tblOrdenes[[#This Row],[puesto_trabajo]],tblPuestos[codigo],tblPuestos[especialidad],"(sin catálogo)"))</f>
        <v/>
      </c>
      <c r="X876" s="3">
        <f>IF(tblOrdenes[[#This Row],[cod_actividad]]="","",_xlfn.XLOOKUP(tblOrdenes[[#This Row],[cod_actividad]],tblActividades[codigo],tblActividades[descripcion],"(sin catálogo)"))</f>
        <v/>
      </c>
      <c r="Y876" s="12">
        <f>IF(tblOrdenes[[#This Row],[fecha_inicio]]="","",TODAY()-tblOrdenes[[#This Row],[fecha_inicio]])</f>
        <v/>
      </c>
      <c r="Z876" s="3">
        <f>IF(tblOrdenes[[#This Row],[backlog_dias]]="","",IF(tblOrdenes[[#This Row],[backlog_dias]]&lt;0,"FUTURO",IF(tblOrdenes[[#This Row],[backlog_dias]]&gt;p_dias_backlog_max,"BACKLOG","MES CORRIENTE")))</f>
        <v/>
      </c>
      <c r="AA876" s="3">
        <f>IF(tblOrdenes[[#This Row],[backlog_dias]]="",FALSE,AND(tblOrdenes[[#This Row],[backlog_dias]]&gt;p_dias_backlog_min,tblOrdenes[[#This Row],[backlog_dias]]&lt;=p_dias_backlog_max))</f>
        <v/>
      </c>
      <c r="AB876" s="6" t="n"/>
      <c r="AC8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6" s="10">
        <f>IF(tblOrdenes[[#This Row],[orden]]="","",_xlfn.XLOOKUP(tblOrdenes[[#This Row],[id_operacion]],tblEjecucion[id_operacion],tblEjecucion[precio],0))</f>
        <v/>
      </c>
      <c r="AG876" s="10">
        <f>IF(tblOrdenes[[#This Row],[orden]]="","",MAX(0,_xlfn.XLOOKUP(tblOrdenes[[#This Row],[id_operacion]],tblEjecucion[id_operacion],tblEjecucion[costo_plan_total],0)-tblOrdenes[[#This Row],[costo_servicio]]))</f>
        <v/>
      </c>
      <c r="AH876" s="10">
        <f>IF(tblOrdenes[[#This Row],[orden]]="","",tblOrdenes[[#This Row],[costo_servicio]]+tblOrdenes[[#This Row],[costo_materiales]])</f>
        <v/>
      </c>
      <c r="AI876" s="6" t="n"/>
      <c r="AJ876" s="6" t="n"/>
      <c r="AK876" s="6" t="n"/>
      <c r="AL876" s="3">
        <f>IF(tblOrdenes[[#This Row],[link_checklist]]="","",HYPERLINK(p_ruta_base_checklists&amp;tblOrdenes[[#This Row],[link_checklist]],"abrir"))</f>
        <v/>
      </c>
      <c r="AM876" s="6" t="n"/>
      <c r="AN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Row],[tipo_ot]]="","",_xlfn.XLOOKUP(tblOrdenes[[#This Row],[tipo_ot]],tblTiposOT[codigo],tblTiposOT[clasificacion],"sin_clasificar"))</f>
        <v/>
      </c>
      <c r="T877" s="3">
        <f>IF(tblOrdenes[[#This Row],[centro_costo]]="","",_xlfn.XLOOKUP(tblOrdenes[[#This Row],[centro_costo]],tblCECO[codigo],tblCECO[linea],"(sin catálogo)"))</f>
        <v/>
      </c>
      <c r="U877" s="3">
        <f>IF(tblOrdenes[[#This Row],[centro_costo]]="","",_xlfn.XLOOKUP(tblOrdenes[[#This Row],[centro_costo]],tblCECO[codigo],tblCECO[area],"(sin catálogo)"))</f>
        <v/>
      </c>
      <c r="V877" s="3">
        <f>IF(tblOrdenes[[#This Row],[centro_costo]]="","",_xlfn.XLOOKUP(tblOrdenes[[#This Row],[centro_costo]],tblCECO[codigo],tblCECO[coordinador],"(sin catálogo)"))</f>
        <v/>
      </c>
      <c r="W877" s="3">
        <f>IF(tblOrdenes[[#This Row],[puesto_trabajo]]="","",_xlfn.XLOOKUP(tblOrdenes[[#This Row],[puesto_trabajo]],tblPuestos[codigo],tblPuestos[especialidad],"(sin catálogo)"))</f>
        <v/>
      </c>
      <c r="X877" s="3">
        <f>IF(tblOrdenes[[#This Row],[cod_actividad]]="","",_xlfn.XLOOKUP(tblOrdenes[[#This Row],[cod_actividad]],tblActividades[codigo],tblActividades[descripcion],"(sin catálogo)"))</f>
        <v/>
      </c>
      <c r="Y877" s="12">
        <f>IF(tblOrdenes[[#This Row],[fecha_inicio]]="","",TODAY()-tblOrdenes[[#This Row],[fecha_inicio]])</f>
        <v/>
      </c>
      <c r="Z877" s="3">
        <f>IF(tblOrdenes[[#This Row],[backlog_dias]]="","",IF(tblOrdenes[[#This Row],[backlog_dias]]&lt;0,"FUTURO",IF(tblOrdenes[[#This Row],[backlog_dias]]&gt;p_dias_backlog_max,"BACKLOG","MES CORRIENTE")))</f>
        <v/>
      </c>
      <c r="AA877" s="3">
        <f>IF(tblOrdenes[[#This Row],[backlog_dias]]="",FALSE,AND(tblOrdenes[[#This Row],[backlog_dias]]&gt;p_dias_backlog_min,tblOrdenes[[#This Row],[backlog_dias]]&lt;=p_dias_backlog_max))</f>
        <v/>
      </c>
      <c r="AB877" s="6" t="n"/>
      <c r="AC8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7" s="10">
        <f>IF(tblOrdenes[[#This Row],[orden]]="","",_xlfn.XLOOKUP(tblOrdenes[[#This Row],[id_operacion]],tblEjecucion[id_operacion],tblEjecucion[precio],0))</f>
        <v/>
      </c>
      <c r="AG877" s="10">
        <f>IF(tblOrdenes[[#This Row],[orden]]="","",MAX(0,_xlfn.XLOOKUP(tblOrdenes[[#This Row],[id_operacion]],tblEjecucion[id_operacion],tblEjecucion[costo_plan_total],0)-tblOrdenes[[#This Row],[costo_servicio]]))</f>
        <v/>
      </c>
      <c r="AH877" s="10">
        <f>IF(tblOrdenes[[#This Row],[orden]]="","",tblOrdenes[[#This Row],[costo_servicio]]+tblOrdenes[[#This Row],[costo_materiales]])</f>
        <v/>
      </c>
      <c r="AI877" s="6" t="n"/>
      <c r="AJ877" s="6" t="n"/>
      <c r="AK877" s="6" t="n"/>
      <c r="AL877" s="3">
        <f>IF(tblOrdenes[[#This Row],[link_checklist]]="","",HYPERLINK(p_ruta_base_checklists&amp;tblOrdenes[[#This Row],[link_checklist]],"abrir"))</f>
        <v/>
      </c>
      <c r="AM877" s="6" t="n"/>
      <c r="AN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Row],[tipo_ot]]="","",_xlfn.XLOOKUP(tblOrdenes[[#This Row],[tipo_ot]],tblTiposOT[codigo],tblTiposOT[clasificacion],"sin_clasificar"))</f>
        <v/>
      </c>
      <c r="T878" s="3">
        <f>IF(tblOrdenes[[#This Row],[centro_costo]]="","",_xlfn.XLOOKUP(tblOrdenes[[#This Row],[centro_costo]],tblCECO[codigo],tblCECO[linea],"(sin catálogo)"))</f>
        <v/>
      </c>
      <c r="U878" s="3">
        <f>IF(tblOrdenes[[#This Row],[centro_costo]]="","",_xlfn.XLOOKUP(tblOrdenes[[#This Row],[centro_costo]],tblCECO[codigo],tblCECO[area],"(sin catálogo)"))</f>
        <v/>
      </c>
      <c r="V878" s="3">
        <f>IF(tblOrdenes[[#This Row],[centro_costo]]="","",_xlfn.XLOOKUP(tblOrdenes[[#This Row],[centro_costo]],tblCECO[codigo],tblCECO[coordinador],"(sin catálogo)"))</f>
        <v/>
      </c>
      <c r="W878" s="3">
        <f>IF(tblOrdenes[[#This Row],[puesto_trabajo]]="","",_xlfn.XLOOKUP(tblOrdenes[[#This Row],[puesto_trabajo]],tblPuestos[codigo],tblPuestos[especialidad],"(sin catálogo)"))</f>
        <v/>
      </c>
      <c r="X878" s="3">
        <f>IF(tblOrdenes[[#This Row],[cod_actividad]]="","",_xlfn.XLOOKUP(tblOrdenes[[#This Row],[cod_actividad]],tblActividades[codigo],tblActividades[descripcion],"(sin catálogo)"))</f>
        <v/>
      </c>
      <c r="Y878" s="12">
        <f>IF(tblOrdenes[[#This Row],[fecha_inicio]]="","",TODAY()-tblOrdenes[[#This Row],[fecha_inicio]])</f>
        <v/>
      </c>
      <c r="Z878" s="3">
        <f>IF(tblOrdenes[[#This Row],[backlog_dias]]="","",IF(tblOrdenes[[#This Row],[backlog_dias]]&lt;0,"FUTURO",IF(tblOrdenes[[#This Row],[backlog_dias]]&gt;p_dias_backlog_max,"BACKLOG","MES CORRIENTE")))</f>
        <v/>
      </c>
      <c r="AA878" s="3">
        <f>IF(tblOrdenes[[#This Row],[backlog_dias]]="",FALSE,AND(tblOrdenes[[#This Row],[backlog_dias]]&gt;p_dias_backlog_min,tblOrdenes[[#This Row],[backlog_dias]]&lt;=p_dias_backlog_max))</f>
        <v/>
      </c>
      <c r="AB878" s="6" t="n"/>
      <c r="AC8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8" s="10">
        <f>IF(tblOrdenes[[#This Row],[orden]]="","",_xlfn.XLOOKUP(tblOrdenes[[#This Row],[id_operacion]],tblEjecucion[id_operacion],tblEjecucion[precio],0))</f>
        <v/>
      </c>
      <c r="AG878" s="10">
        <f>IF(tblOrdenes[[#This Row],[orden]]="","",MAX(0,_xlfn.XLOOKUP(tblOrdenes[[#This Row],[id_operacion]],tblEjecucion[id_operacion],tblEjecucion[costo_plan_total],0)-tblOrdenes[[#This Row],[costo_servicio]]))</f>
        <v/>
      </c>
      <c r="AH878" s="10">
        <f>IF(tblOrdenes[[#This Row],[orden]]="","",tblOrdenes[[#This Row],[costo_servicio]]+tblOrdenes[[#This Row],[costo_materiales]])</f>
        <v/>
      </c>
      <c r="AI878" s="6" t="n"/>
      <c r="AJ878" s="6" t="n"/>
      <c r="AK878" s="6" t="n"/>
      <c r="AL878" s="3">
        <f>IF(tblOrdenes[[#This Row],[link_checklist]]="","",HYPERLINK(p_ruta_base_checklists&amp;tblOrdenes[[#This Row],[link_checklist]],"abrir"))</f>
        <v/>
      </c>
      <c r="AM878" s="6" t="n"/>
      <c r="AN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Row],[tipo_ot]]="","",_xlfn.XLOOKUP(tblOrdenes[[#This Row],[tipo_ot]],tblTiposOT[codigo],tblTiposOT[clasificacion],"sin_clasificar"))</f>
        <v/>
      </c>
      <c r="T879" s="3">
        <f>IF(tblOrdenes[[#This Row],[centro_costo]]="","",_xlfn.XLOOKUP(tblOrdenes[[#This Row],[centro_costo]],tblCECO[codigo],tblCECO[linea],"(sin catálogo)"))</f>
        <v/>
      </c>
      <c r="U879" s="3">
        <f>IF(tblOrdenes[[#This Row],[centro_costo]]="","",_xlfn.XLOOKUP(tblOrdenes[[#This Row],[centro_costo]],tblCECO[codigo],tblCECO[area],"(sin catálogo)"))</f>
        <v/>
      </c>
      <c r="V879" s="3">
        <f>IF(tblOrdenes[[#This Row],[centro_costo]]="","",_xlfn.XLOOKUP(tblOrdenes[[#This Row],[centro_costo]],tblCECO[codigo],tblCECO[coordinador],"(sin catálogo)"))</f>
        <v/>
      </c>
      <c r="W879" s="3">
        <f>IF(tblOrdenes[[#This Row],[puesto_trabajo]]="","",_xlfn.XLOOKUP(tblOrdenes[[#This Row],[puesto_trabajo]],tblPuestos[codigo],tblPuestos[especialidad],"(sin catálogo)"))</f>
        <v/>
      </c>
      <c r="X879" s="3">
        <f>IF(tblOrdenes[[#This Row],[cod_actividad]]="","",_xlfn.XLOOKUP(tblOrdenes[[#This Row],[cod_actividad]],tblActividades[codigo],tblActividades[descripcion],"(sin catálogo)"))</f>
        <v/>
      </c>
      <c r="Y879" s="12">
        <f>IF(tblOrdenes[[#This Row],[fecha_inicio]]="","",TODAY()-tblOrdenes[[#This Row],[fecha_inicio]])</f>
        <v/>
      </c>
      <c r="Z879" s="3">
        <f>IF(tblOrdenes[[#This Row],[backlog_dias]]="","",IF(tblOrdenes[[#This Row],[backlog_dias]]&lt;0,"FUTURO",IF(tblOrdenes[[#This Row],[backlog_dias]]&gt;p_dias_backlog_max,"BACKLOG","MES CORRIENTE")))</f>
        <v/>
      </c>
      <c r="AA879" s="3">
        <f>IF(tblOrdenes[[#This Row],[backlog_dias]]="",FALSE,AND(tblOrdenes[[#This Row],[backlog_dias]]&gt;p_dias_backlog_min,tblOrdenes[[#This Row],[backlog_dias]]&lt;=p_dias_backlog_max))</f>
        <v/>
      </c>
      <c r="AB879" s="6" t="n"/>
      <c r="AC8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9" s="10">
        <f>IF(tblOrdenes[[#This Row],[orden]]="","",_xlfn.XLOOKUP(tblOrdenes[[#This Row],[id_operacion]],tblEjecucion[id_operacion],tblEjecucion[precio],0))</f>
        <v/>
      </c>
      <c r="AG879" s="10">
        <f>IF(tblOrdenes[[#This Row],[orden]]="","",MAX(0,_xlfn.XLOOKUP(tblOrdenes[[#This Row],[id_operacion]],tblEjecucion[id_operacion],tblEjecucion[costo_plan_total],0)-tblOrdenes[[#This Row],[costo_servicio]]))</f>
        <v/>
      </c>
      <c r="AH879" s="10">
        <f>IF(tblOrdenes[[#This Row],[orden]]="","",tblOrdenes[[#This Row],[costo_servicio]]+tblOrdenes[[#This Row],[costo_materiales]])</f>
        <v/>
      </c>
      <c r="AI879" s="6" t="n"/>
      <c r="AJ879" s="6" t="n"/>
      <c r="AK879" s="6" t="n"/>
      <c r="AL879" s="3">
        <f>IF(tblOrdenes[[#This Row],[link_checklist]]="","",HYPERLINK(p_ruta_base_checklists&amp;tblOrdenes[[#This Row],[link_checklist]],"abrir"))</f>
        <v/>
      </c>
      <c r="AM879" s="6" t="n"/>
      <c r="AN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Row],[tipo_ot]]="","",_xlfn.XLOOKUP(tblOrdenes[[#This Row],[tipo_ot]],tblTiposOT[codigo],tblTiposOT[clasificacion],"sin_clasificar"))</f>
        <v/>
      </c>
      <c r="T880" s="3">
        <f>IF(tblOrdenes[[#This Row],[centro_costo]]="","",_xlfn.XLOOKUP(tblOrdenes[[#This Row],[centro_costo]],tblCECO[codigo],tblCECO[linea],"(sin catálogo)"))</f>
        <v/>
      </c>
      <c r="U880" s="3">
        <f>IF(tblOrdenes[[#This Row],[centro_costo]]="","",_xlfn.XLOOKUP(tblOrdenes[[#This Row],[centro_costo]],tblCECO[codigo],tblCECO[area],"(sin catálogo)"))</f>
        <v/>
      </c>
      <c r="V880" s="3">
        <f>IF(tblOrdenes[[#This Row],[centro_costo]]="","",_xlfn.XLOOKUP(tblOrdenes[[#This Row],[centro_costo]],tblCECO[codigo],tblCECO[coordinador],"(sin catálogo)"))</f>
        <v/>
      </c>
      <c r="W880" s="3">
        <f>IF(tblOrdenes[[#This Row],[puesto_trabajo]]="","",_xlfn.XLOOKUP(tblOrdenes[[#This Row],[puesto_trabajo]],tblPuestos[codigo],tblPuestos[especialidad],"(sin catálogo)"))</f>
        <v/>
      </c>
      <c r="X880" s="3">
        <f>IF(tblOrdenes[[#This Row],[cod_actividad]]="","",_xlfn.XLOOKUP(tblOrdenes[[#This Row],[cod_actividad]],tblActividades[codigo],tblActividades[descripcion],"(sin catálogo)"))</f>
        <v/>
      </c>
      <c r="Y880" s="12">
        <f>IF(tblOrdenes[[#This Row],[fecha_inicio]]="","",TODAY()-tblOrdenes[[#This Row],[fecha_inicio]])</f>
        <v/>
      </c>
      <c r="Z880" s="3">
        <f>IF(tblOrdenes[[#This Row],[backlog_dias]]="","",IF(tblOrdenes[[#This Row],[backlog_dias]]&lt;0,"FUTURO",IF(tblOrdenes[[#This Row],[backlog_dias]]&gt;p_dias_backlog_max,"BACKLOG","MES CORRIENTE")))</f>
        <v/>
      </c>
      <c r="AA880" s="3">
        <f>IF(tblOrdenes[[#This Row],[backlog_dias]]="",FALSE,AND(tblOrdenes[[#This Row],[backlog_dias]]&gt;p_dias_backlog_min,tblOrdenes[[#This Row],[backlog_dias]]&lt;=p_dias_backlog_max))</f>
        <v/>
      </c>
      <c r="AB880" s="6" t="n"/>
      <c r="AC8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0" s="10">
        <f>IF(tblOrdenes[[#This Row],[orden]]="","",_xlfn.XLOOKUP(tblOrdenes[[#This Row],[id_operacion]],tblEjecucion[id_operacion],tblEjecucion[precio],0))</f>
        <v/>
      </c>
      <c r="AG880" s="10">
        <f>IF(tblOrdenes[[#This Row],[orden]]="","",MAX(0,_xlfn.XLOOKUP(tblOrdenes[[#This Row],[id_operacion]],tblEjecucion[id_operacion],tblEjecucion[costo_plan_total],0)-tblOrdenes[[#This Row],[costo_servicio]]))</f>
        <v/>
      </c>
      <c r="AH880" s="10">
        <f>IF(tblOrdenes[[#This Row],[orden]]="","",tblOrdenes[[#This Row],[costo_servicio]]+tblOrdenes[[#This Row],[costo_materiales]])</f>
        <v/>
      </c>
      <c r="AI880" s="6" t="n"/>
      <c r="AJ880" s="6" t="n"/>
      <c r="AK880" s="6" t="n"/>
      <c r="AL880" s="3">
        <f>IF(tblOrdenes[[#This Row],[link_checklist]]="","",HYPERLINK(p_ruta_base_checklists&amp;tblOrdenes[[#This Row],[link_checklist]],"abrir"))</f>
        <v/>
      </c>
      <c r="AM880" s="6" t="n"/>
      <c r="AN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Row],[tipo_ot]]="","",_xlfn.XLOOKUP(tblOrdenes[[#This Row],[tipo_ot]],tblTiposOT[codigo],tblTiposOT[clasificacion],"sin_clasificar"))</f>
        <v/>
      </c>
      <c r="T881" s="3">
        <f>IF(tblOrdenes[[#This Row],[centro_costo]]="","",_xlfn.XLOOKUP(tblOrdenes[[#This Row],[centro_costo]],tblCECO[codigo],tblCECO[linea],"(sin catálogo)"))</f>
        <v/>
      </c>
      <c r="U881" s="3">
        <f>IF(tblOrdenes[[#This Row],[centro_costo]]="","",_xlfn.XLOOKUP(tblOrdenes[[#This Row],[centro_costo]],tblCECO[codigo],tblCECO[area],"(sin catálogo)"))</f>
        <v/>
      </c>
      <c r="V881" s="3">
        <f>IF(tblOrdenes[[#This Row],[centro_costo]]="","",_xlfn.XLOOKUP(tblOrdenes[[#This Row],[centro_costo]],tblCECO[codigo],tblCECO[coordinador],"(sin catálogo)"))</f>
        <v/>
      </c>
      <c r="W881" s="3">
        <f>IF(tblOrdenes[[#This Row],[puesto_trabajo]]="","",_xlfn.XLOOKUP(tblOrdenes[[#This Row],[puesto_trabajo]],tblPuestos[codigo],tblPuestos[especialidad],"(sin catálogo)"))</f>
        <v/>
      </c>
      <c r="X881" s="3">
        <f>IF(tblOrdenes[[#This Row],[cod_actividad]]="","",_xlfn.XLOOKUP(tblOrdenes[[#This Row],[cod_actividad]],tblActividades[codigo],tblActividades[descripcion],"(sin catálogo)"))</f>
        <v/>
      </c>
      <c r="Y881" s="12">
        <f>IF(tblOrdenes[[#This Row],[fecha_inicio]]="","",TODAY()-tblOrdenes[[#This Row],[fecha_inicio]])</f>
        <v/>
      </c>
      <c r="Z881" s="3">
        <f>IF(tblOrdenes[[#This Row],[backlog_dias]]="","",IF(tblOrdenes[[#This Row],[backlog_dias]]&lt;0,"FUTURO",IF(tblOrdenes[[#This Row],[backlog_dias]]&gt;p_dias_backlog_max,"BACKLOG","MES CORRIENTE")))</f>
        <v/>
      </c>
      <c r="AA881" s="3">
        <f>IF(tblOrdenes[[#This Row],[backlog_dias]]="",FALSE,AND(tblOrdenes[[#This Row],[backlog_dias]]&gt;p_dias_backlog_min,tblOrdenes[[#This Row],[backlog_dias]]&lt;=p_dias_backlog_max))</f>
        <v/>
      </c>
      <c r="AB881" s="6" t="n"/>
      <c r="AC8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1" s="10">
        <f>IF(tblOrdenes[[#This Row],[orden]]="","",_xlfn.XLOOKUP(tblOrdenes[[#This Row],[id_operacion]],tblEjecucion[id_operacion],tblEjecucion[precio],0))</f>
        <v/>
      </c>
      <c r="AG881" s="10">
        <f>IF(tblOrdenes[[#This Row],[orden]]="","",MAX(0,_xlfn.XLOOKUP(tblOrdenes[[#This Row],[id_operacion]],tblEjecucion[id_operacion],tblEjecucion[costo_plan_total],0)-tblOrdenes[[#This Row],[costo_servicio]]))</f>
        <v/>
      </c>
      <c r="AH881" s="10">
        <f>IF(tblOrdenes[[#This Row],[orden]]="","",tblOrdenes[[#This Row],[costo_servicio]]+tblOrdenes[[#This Row],[costo_materiales]])</f>
        <v/>
      </c>
      <c r="AI881" s="6" t="n"/>
      <c r="AJ881" s="6" t="n"/>
      <c r="AK881" s="6" t="n"/>
      <c r="AL881" s="3">
        <f>IF(tblOrdenes[[#This Row],[link_checklist]]="","",HYPERLINK(p_ruta_base_checklists&amp;tblOrdenes[[#This Row],[link_checklist]],"abrir"))</f>
        <v/>
      </c>
      <c r="AM881" s="6" t="n"/>
      <c r="AN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Row],[tipo_ot]]="","",_xlfn.XLOOKUP(tblOrdenes[[#This Row],[tipo_ot]],tblTiposOT[codigo],tblTiposOT[clasificacion],"sin_clasificar"))</f>
        <v/>
      </c>
      <c r="T882" s="3">
        <f>IF(tblOrdenes[[#This Row],[centro_costo]]="","",_xlfn.XLOOKUP(tblOrdenes[[#This Row],[centro_costo]],tblCECO[codigo],tblCECO[linea],"(sin catálogo)"))</f>
        <v/>
      </c>
      <c r="U882" s="3">
        <f>IF(tblOrdenes[[#This Row],[centro_costo]]="","",_xlfn.XLOOKUP(tblOrdenes[[#This Row],[centro_costo]],tblCECO[codigo],tblCECO[area],"(sin catálogo)"))</f>
        <v/>
      </c>
      <c r="V882" s="3">
        <f>IF(tblOrdenes[[#This Row],[centro_costo]]="","",_xlfn.XLOOKUP(tblOrdenes[[#This Row],[centro_costo]],tblCECO[codigo],tblCECO[coordinador],"(sin catálogo)"))</f>
        <v/>
      </c>
      <c r="W882" s="3">
        <f>IF(tblOrdenes[[#This Row],[puesto_trabajo]]="","",_xlfn.XLOOKUP(tblOrdenes[[#This Row],[puesto_trabajo]],tblPuestos[codigo],tblPuestos[especialidad],"(sin catálogo)"))</f>
        <v/>
      </c>
      <c r="X882" s="3">
        <f>IF(tblOrdenes[[#This Row],[cod_actividad]]="","",_xlfn.XLOOKUP(tblOrdenes[[#This Row],[cod_actividad]],tblActividades[codigo],tblActividades[descripcion],"(sin catálogo)"))</f>
        <v/>
      </c>
      <c r="Y882" s="12">
        <f>IF(tblOrdenes[[#This Row],[fecha_inicio]]="","",TODAY()-tblOrdenes[[#This Row],[fecha_inicio]])</f>
        <v/>
      </c>
      <c r="Z882" s="3">
        <f>IF(tblOrdenes[[#This Row],[backlog_dias]]="","",IF(tblOrdenes[[#This Row],[backlog_dias]]&lt;0,"FUTURO",IF(tblOrdenes[[#This Row],[backlog_dias]]&gt;p_dias_backlog_max,"BACKLOG","MES CORRIENTE")))</f>
        <v/>
      </c>
      <c r="AA882" s="3">
        <f>IF(tblOrdenes[[#This Row],[backlog_dias]]="",FALSE,AND(tblOrdenes[[#This Row],[backlog_dias]]&gt;p_dias_backlog_min,tblOrdenes[[#This Row],[backlog_dias]]&lt;=p_dias_backlog_max))</f>
        <v/>
      </c>
      <c r="AB882" s="6" t="n"/>
      <c r="AC8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2" s="10">
        <f>IF(tblOrdenes[[#This Row],[orden]]="","",_xlfn.XLOOKUP(tblOrdenes[[#This Row],[id_operacion]],tblEjecucion[id_operacion],tblEjecucion[precio],0))</f>
        <v/>
      </c>
      <c r="AG882" s="10">
        <f>IF(tblOrdenes[[#This Row],[orden]]="","",MAX(0,_xlfn.XLOOKUP(tblOrdenes[[#This Row],[id_operacion]],tblEjecucion[id_operacion],tblEjecucion[costo_plan_total],0)-tblOrdenes[[#This Row],[costo_servicio]]))</f>
        <v/>
      </c>
      <c r="AH882" s="10">
        <f>IF(tblOrdenes[[#This Row],[orden]]="","",tblOrdenes[[#This Row],[costo_servicio]]+tblOrdenes[[#This Row],[costo_materiales]])</f>
        <v/>
      </c>
      <c r="AI882" s="6" t="n"/>
      <c r="AJ882" s="6" t="n"/>
      <c r="AK882" s="6" t="n"/>
      <c r="AL882" s="3">
        <f>IF(tblOrdenes[[#This Row],[link_checklist]]="","",HYPERLINK(p_ruta_base_checklists&amp;tblOrdenes[[#This Row],[link_checklist]],"abrir"))</f>
        <v/>
      </c>
      <c r="AM882" s="6" t="n"/>
      <c r="AN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Row],[tipo_ot]]="","",_xlfn.XLOOKUP(tblOrdenes[[#This Row],[tipo_ot]],tblTiposOT[codigo],tblTiposOT[clasificacion],"sin_clasificar"))</f>
        <v/>
      </c>
      <c r="T883" s="3">
        <f>IF(tblOrdenes[[#This Row],[centro_costo]]="","",_xlfn.XLOOKUP(tblOrdenes[[#This Row],[centro_costo]],tblCECO[codigo],tblCECO[linea],"(sin catálogo)"))</f>
        <v/>
      </c>
      <c r="U883" s="3">
        <f>IF(tblOrdenes[[#This Row],[centro_costo]]="","",_xlfn.XLOOKUP(tblOrdenes[[#This Row],[centro_costo]],tblCECO[codigo],tblCECO[area],"(sin catálogo)"))</f>
        <v/>
      </c>
      <c r="V883" s="3">
        <f>IF(tblOrdenes[[#This Row],[centro_costo]]="","",_xlfn.XLOOKUP(tblOrdenes[[#This Row],[centro_costo]],tblCECO[codigo],tblCECO[coordinador],"(sin catálogo)"))</f>
        <v/>
      </c>
      <c r="W883" s="3">
        <f>IF(tblOrdenes[[#This Row],[puesto_trabajo]]="","",_xlfn.XLOOKUP(tblOrdenes[[#This Row],[puesto_trabajo]],tblPuestos[codigo],tblPuestos[especialidad],"(sin catálogo)"))</f>
        <v/>
      </c>
      <c r="X883" s="3">
        <f>IF(tblOrdenes[[#This Row],[cod_actividad]]="","",_xlfn.XLOOKUP(tblOrdenes[[#This Row],[cod_actividad]],tblActividades[codigo],tblActividades[descripcion],"(sin catálogo)"))</f>
        <v/>
      </c>
      <c r="Y883" s="12">
        <f>IF(tblOrdenes[[#This Row],[fecha_inicio]]="","",TODAY()-tblOrdenes[[#This Row],[fecha_inicio]])</f>
        <v/>
      </c>
      <c r="Z883" s="3">
        <f>IF(tblOrdenes[[#This Row],[backlog_dias]]="","",IF(tblOrdenes[[#This Row],[backlog_dias]]&lt;0,"FUTURO",IF(tblOrdenes[[#This Row],[backlog_dias]]&gt;p_dias_backlog_max,"BACKLOG","MES CORRIENTE")))</f>
        <v/>
      </c>
      <c r="AA883" s="3">
        <f>IF(tblOrdenes[[#This Row],[backlog_dias]]="",FALSE,AND(tblOrdenes[[#This Row],[backlog_dias]]&gt;p_dias_backlog_min,tblOrdenes[[#This Row],[backlog_dias]]&lt;=p_dias_backlog_max))</f>
        <v/>
      </c>
      <c r="AB883" s="6" t="n"/>
      <c r="AC8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3" s="10">
        <f>IF(tblOrdenes[[#This Row],[orden]]="","",_xlfn.XLOOKUP(tblOrdenes[[#This Row],[id_operacion]],tblEjecucion[id_operacion],tblEjecucion[precio],0))</f>
        <v/>
      </c>
      <c r="AG883" s="10">
        <f>IF(tblOrdenes[[#This Row],[orden]]="","",MAX(0,_xlfn.XLOOKUP(tblOrdenes[[#This Row],[id_operacion]],tblEjecucion[id_operacion],tblEjecucion[costo_plan_total],0)-tblOrdenes[[#This Row],[costo_servicio]]))</f>
        <v/>
      </c>
      <c r="AH883" s="10">
        <f>IF(tblOrdenes[[#This Row],[orden]]="","",tblOrdenes[[#This Row],[costo_servicio]]+tblOrdenes[[#This Row],[costo_materiales]])</f>
        <v/>
      </c>
      <c r="AI883" s="6" t="n"/>
      <c r="AJ883" s="6" t="n"/>
      <c r="AK883" s="6" t="n"/>
      <c r="AL883" s="3">
        <f>IF(tblOrdenes[[#This Row],[link_checklist]]="","",HYPERLINK(p_ruta_base_checklists&amp;tblOrdenes[[#This Row],[link_checklist]],"abrir"))</f>
        <v/>
      </c>
      <c r="AM883" s="6" t="n"/>
      <c r="AN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Row],[tipo_ot]]="","",_xlfn.XLOOKUP(tblOrdenes[[#This Row],[tipo_ot]],tblTiposOT[codigo],tblTiposOT[clasificacion],"sin_clasificar"))</f>
        <v/>
      </c>
      <c r="T884" s="3">
        <f>IF(tblOrdenes[[#This Row],[centro_costo]]="","",_xlfn.XLOOKUP(tblOrdenes[[#This Row],[centro_costo]],tblCECO[codigo],tblCECO[linea],"(sin catálogo)"))</f>
        <v/>
      </c>
      <c r="U884" s="3">
        <f>IF(tblOrdenes[[#This Row],[centro_costo]]="","",_xlfn.XLOOKUP(tblOrdenes[[#This Row],[centro_costo]],tblCECO[codigo],tblCECO[area],"(sin catálogo)"))</f>
        <v/>
      </c>
      <c r="V884" s="3">
        <f>IF(tblOrdenes[[#This Row],[centro_costo]]="","",_xlfn.XLOOKUP(tblOrdenes[[#This Row],[centro_costo]],tblCECO[codigo],tblCECO[coordinador],"(sin catálogo)"))</f>
        <v/>
      </c>
      <c r="W884" s="3">
        <f>IF(tblOrdenes[[#This Row],[puesto_trabajo]]="","",_xlfn.XLOOKUP(tblOrdenes[[#This Row],[puesto_trabajo]],tblPuestos[codigo],tblPuestos[especialidad],"(sin catálogo)"))</f>
        <v/>
      </c>
      <c r="X884" s="3">
        <f>IF(tblOrdenes[[#This Row],[cod_actividad]]="","",_xlfn.XLOOKUP(tblOrdenes[[#This Row],[cod_actividad]],tblActividades[codigo],tblActividades[descripcion],"(sin catálogo)"))</f>
        <v/>
      </c>
      <c r="Y884" s="12">
        <f>IF(tblOrdenes[[#This Row],[fecha_inicio]]="","",TODAY()-tblOrdenes[[#This Row],[fecha_inicio]])</f>
        <v/>
      </c>
      <c r="Z884" s="3">
        <f>IF(tblOrdenes[[#This Row],[backlog_dias]]="","",IF(tblOrdenes[[#This Row],[backlog_dias]]&lt;0,"FUTURO",IF(tblOrdenes[[#This Row],[backlog_dias]]&gt;p_dias_backlog_max,"BACKLOG","MES CORRIENTE")))</f>
        <v/>
      </c>
      <c r="AA884" s="3">
        <f>IF(tblOrdenes[[#This Row],[backlog_dias]]="",FALSE,AND(tblOrdenes[[#This Row],[backlog_dias]]&gt;p_dias_backlog_min,tblOrdenes[[#This Row],[backlog_dias]]&lt;=p_dias_backlog_max))</f>
        <v/>
      </c>
      <c r="AB884" s="6" t="n"/>
      <c r="AC8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4" s="10">
        <f>IF(tblOrdenes[[#This Row],[orden]]="","",_xlfn.XLOOKUP(tblOrdenes[[#This Row],[id_operacion]],tblEjecucion[id_operacion],tblEjecucion[precio],0))</f>
        <v/>
      </c>
      <c r="AG884" s="10">
        <f>IF(tblOrdenes[[#This Row],[orden]]="","",MAX(0,_xlfn.XLOOKUP(tblOrdenes[[#This Row],[id_operacion]],tblEjecucion[id_operacion],tblEjecucion[costo_plan_total],0)-tblOrdenes[[#This Row],[costo_servicio]]))</f>
        <v/>
      </c>
      <c r="AH884" s="10">
        <f>IF(tblOrdenes[[#This Row],[orden]]="","",tblOrdenes[[#This Row],[costo_servicio]]+tblOrdenes[[#This Row],[costo_materiales]])</f>
        <v/>
      </c>
      <c r="AI884" s="6" t="n"/>
      <c r="AJ884" s="6" t="n"/>
      <c r="AK884" s="6" t="n"/>
      <c r="AL884" s="3">
        <f>IF(tblOrdenes[[#This Row],[link_checklist]]="","",HYPERLINK(p_ruta_base_checklists&amp;tblOrdenes[[#This Row],[link_checklist]],"abrir"))</f>
        <v/>
      </c>
      <c r="AM884" s="6" t="n"/>
      <c r="AN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Row],[tipo_ot]]="","",_xlfn.XLOOKUP(tblOrdenes[[#This Row],[tipo_ot]],tblTiposOT[codigo],tblTiposOT[clasificacion],"sin_clasificar"))</f>
        <v/>
      </c>
      <c r="T885" s="3">
        <f>IF(tblOrdenes[[#This Row],[centro_costo]]="","",_xlfn.XLOOKUP(tblOrdenes[[#This Row],[centro_costo]],tblCECO[codigo],tblCECO[linea],"(sin catálogo)"))</f>
        <v/>
      </c>
      <c r="U885" s="3">
        <f>IF(tblOrdenes[[#This Row],[centro_costo]]="","",_xlfn.XLOOKUP(tblOrdenes[[#This Row],[centro_costo]],tblCECO[codigo],tblCECO[area],"(sin catálogo)"))</f>
        <v/>
      </c>
      <c r="V885" s="3">
        <f>IF(tblOrdenes[[#This Row],[centro_costo]]="","",_xlfn.XLOOKUP(tblOrdenes[[#This Row],[centro_costo]],tblCECO[codigo],tblCECO[coordinador],"(sin catálogo)"))</f>
        <v/>
      </c>
      <c r="W885" s="3">
        <f>IF(tblOrdenes[[#This Row],[puesto_trabajo]]="","",_xlfn.XLOOKUP(tblOrdenes[[#This Row],[puesto_trabajo]],tblPuestos[codigo],tblPuestos[especialidad],"(sin catálogo)"))</f>
        <v/>
      </c>
      <c r="X885" s="3">
        <f>IF(tblOrdenes[[#This Row],[cod_actividad]]="","",_xlfn.XLOOKUP(tblOrdenes[[#This Row],[cod_actividad]],tblActividades[codigo],tblActividades[descripcion],"(sin catálogo)"))</f>
        <v/>
      </c>
      <c r="Y885" s="12">
        <f>IF(tblOrdenes[[#This Row],[fecha_inicio]]="","",TODAY()-tblOrdenes[[#This Row],[fecha_inicio]])</f>
        <v/>
      </c>
      <c r="Z885" s="3">
        <f>IF(tblOrdenes[[#This Row],[backlog_dias]]="","",IF(tblOrdenes[[#This Row],[backlog_dias]]&lt;0,"FUTURO",IF(tblOrdenes[[#This Row],[backlog_dias]]&gt;p_dias_backlog_max,"BACKLOG","MES CORRIENTE")))</f>
        <v/>
      </c>
      <c r="AA885" s="3">
        <f>IF(tblOrdenes[[#This Row],[backlog_dias]]="",FALSE,AND(tblOrdenes[[#This Row],[backlog_dias]]&gt;p_dias_backlog_min,tblOrdenes[[#This Row],[backlog_dias]]&lt;=p_dias_backlog_max))</f>
        <v/>
      </c>
      <c r="AB885" s="6" t="n"/>
      <c r="AC8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5" s="10">
        <f>IF(tblOrdenes[[#This Row],[orden]]="","",_xlfn.XLOOKUP(tblOrdenes[[#This Row],[id_operacion]],tblEjecucion[id_operacion],tblEjecucion[precio],0))</f>
        <v/>
      </c>
      <c r="AG885" s="10">
        <f>IF(tblOrdenes[[#This Row],[orden]]="","",MAX(0,_xlfn.XLOOKUP(tblOrdenes[[#This Row],[id_operacion]],tblEjecucion[id_operacion],tblEjecucion[costo_plan_total],0)-tblOrdenes[[#This Row],[costo_servicio]]))</f>
        <v/>
      </c>
      <c r="AH885" s="10">
        <f>IF(tblOrdenes[[#This Row],[orden]]="","",tblOrdenes[[#This Row],[costo_servicio]]+tblOrdenes[[#This Row],[costo_materiales]])</f>
        <v/>
      </c>
      <c r="AI885" s="6" t="n"/>
      <c r="AJ885" s="6" t="n"/>
      <c r="AK885" s="6" t="n"/>
      <c r="AL885" s="3">
        <f>IF(tblOrdenes[[#This Row],[link_checklist]]="","",HYPERLINK(p_ruta_base_checklists&amp;tblOrdenes[[#This Row],[link_checklist]],"abrir"))</f>
        <v/>
      </c>
      <c r="AM885" s="6" t="n"/>
      <c r="AN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Row],[tipo_ot]]="","",_xlfn.XLOOKUP(tblOrdenes[[#This Row],[tipo_ot]],tblTiposOT[codigo],tblTiposOT[clasificacion],"sin_clasificar"))</f>
        <v/>
      </c>
      <c r="T886" s="3">
        <f>IF(tblOrdenes[[#This Row],[centro_costo]]="","",_xlfn.XLOOKUP(tblOrdenes[[#This Row],[centro_costo]],tblCECO[codigo],tblCECO[linea],"(sin catálogo)"))</f>
        <v/>
      </c>
      <c r="U886" s="3">
        <f>IF(tblOrdenes[[#This Row],[centro_costo]]="","",_xlfn.XLOOKUP(tblOrdenes[[#This Row],[centro_costo]],tblCECO[codigo],tblCECO[area],"(sin catálogo)"))</f>
        <v/>
      </c>
      <c r="V886" s="3">
        <f>IF(tblOrdenes[[#This Row],[centro_costo]]="","",_xlfn.XLOOKUP(tblOrdenes[[#This Row],[centro_costo]],tblCECO[codigo],tblCECO[coordinador],"(sin catálogo)"))</f>
        <v/>
      </c>
      <c r="W886" s="3">
        <f>IF(tblOrdenes[[#This Row],[puesto_trabajo]]="","",_xlfn.XLOOKUP(tblOrdenes[[#This Row],[puesto_trabajo]],tblPuestos[codigo],tblPuestos[especialidad],"(sin catálogo)"))</f>
        <v/>
      </c>
      <c r="X886" s="3">
        <f>IF(tblOrdenes[[#This Row],[cod_actividad]]="","",_xlfn.XLOOKUP(tblOrdenes[[#This Row],[cod_actividad]],tblActividades[codigo],tblActividades[descripcion],"(sin catálogo)"))</f>
        <v/>
      </c>
      <c r="Y886" s="12">
        <f>IF(tblOrdenes[[#This Row],[fecha_inicio]]="","",TODAY()-tblOrdenes[[#This Row],[fecha_inicio]])</f>
        <v/>
      </c>
      <c r="Z886" s="3">
        <f>IF(tblOrdenes[[#This Row],[backlog_dias]]="","",IF(tblOrdenes[[#This Row],[backlog_dias]]&lt;0,"FUTURO",IF(tblOrdenes[[#This Row],[backlog_dias]]&gt;p_dias_backlog_max,"BACKLOG","MES CORRIENTE")))</f>
        <v/>
      </c>
      <c r="AA886" s="3">
        <f>IF(tblOrdenes[[#This Row],[backlog_dias]]="",FALSE,AND(tblOrdenes[[#This Row],[backlog_dias]]&gt;p_dias_backlog_min,tblOrdenes[[#This Row],[backlog_dias]]&lt;=p_dias_backlog_max))</f>
        <v/>
      </c>
      <c r="AB886" s="6" t="n"/>
      <c r="AC8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6" s="10">
        <f>IF(tblOrdenes[[#This Row],[orden]]="","",_xlfn.XLOOKUP(tblOrdenes[[#This Row],[id_operacion]],tblEjecucion[id_operacion],tblEjecucion[precio],0))</f>
        <v/>
      </c>
      <c r="AG886" s="10">
        <f>IF(tblOrdenes[[#This Row],[orden]]="","",MAX(0,_xlfn.XLOOKUP(tblOrdenes[[#This Row],[id_operacion]],tblEjecucion[id_operacion],tblEjecucion[costo_plan_total],0)-tblOrdenes[[#This Row],[costo_servicio]]))</f>
        <v/>
      </c>
      <c r="AH886" s="10">
        <f>IF(tblOrdenes[[#This Row],[orden]]="","",tblOrdenes[[#This Row],[costo_servicio]]+tblOrdenes[[#This Row],[costo_materiales]])</f>
        <v/>
      </c>
      <c r="AI886" s="6" t="n"/>
      <c r="AJ886" s="6" t="n"/>
      <c r="AK886" s="6" t="n"/>
      <c r="AL886" s="3">
        <f>IF(tblOrdenes[[#This Row],[link_checklist]]="","",HYPERLINK(p_ruta_base_checklists&amp;tblOrdenes[[#This Row],[link_checklist]],"abrir"))</f>
        <v/>
      </c>
      <c r="AM886" s="6" t="n"/>
      <c r="AN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Row],[tipo_ot]]="","",_xlfn.XLOOKUP(tblOrdenes[[#This Row],[tipo_ot]],tblTiposOT[codigo],tblTiposOT[clasificacion],"sin_clasificar"))</f>
        <v/>
      </c>
      <c r="T887" s="3">
        <f>IF(tblOrdenes[[#This Row],[centro_costo]]="","",_xlfn.XLOOKUP(tblOrdenes[[#This Row],[centro_costo]],tblCECO[codigo],tblCECO[linea],"(sin catálogo)"))</f>
        <v/>
      </c>
      <c r="U887" s="3">
        <f>IF(tblOrdenes[[#This Row],[centro_costo]]="","",_xlfn.XLOOKUP(tblOrdenes[[#This Row],[centro_costo]],tblCECO[codigo],tblCECO[area],"(sin catálogo)"))</f>
        <v/>
      </c>
      <c r="V887" s="3">
        <f>IF(tblOrdenes[[#This Row],[centro_costo]]="","",_xlfn.XLOOKUP(tblOrdenes[[#This Row],[centro_costo]],tblCECO[codigo],tblCECO[coordinador],"(sin catálogo)"))</f>
        <v/>
      </c>
      <c r="W887" s="3">
        <f>IF(tblOrdenes[[#This Row],[puesto_trabajo]]="","",_xlfn.XLOOKUP(tblOrdenes[[#This Row],[puesto_trabajo]],tblPuestos[codigo],tblPuestos[especialidad],"(sin catálogo)"))</f>
        <v/>
      </c>
      <c r="X887" s="3">
        <f>IF(tblOrdenes[[#This Row],[cod_actividad]]="","",_xlfn.XLOOKUP(tblOrdenes[[#This Row],[cod_actividad]],tblActividades[codigo],tblActividades[descripcion],"(sin catálogo)"))</f>
        <v/>
      </c>
      <c r="Y887" s="12">
        <f>IF(tblOrdenes[[#This Row],[fecha_inicio]]="","",TODAY()-tblOrdenes[[#This Row],[fecha_inicio]])</f>
        <v/>
      </c>
      <c r="Z887" s="3">
        <f>IF(tblOrdenes[[#This Row],[backlog_dias]]="","",IF(tblOrdenes[[#This Row],[backlog_dias]]&lt;0,"FUTURO",IF(tblOrdenes[[#This Row],[backlog_dias]]&gt;p_dias_backlog_max,"BACKLOG","MES CORRIENTE")))</f>
        <v/>
      </c>
      <c r="AA887" s="3">
        <f>IF(tblOrdenes[[#This Row],[backlog_dias]]="",FALSE,AND(tblOrdenes[[#This Row],[backlog_dias]]&gt;p_dias_backlog_min,tblOrdenes[[#This Row],[backlog_dias]]&lt;=p_dias_backlog_max))</f>
        <v/>
      </c>
      <c r="AB887" s="6" t="n"/>
      <c r="AC8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7" s="10">
        <f>IF(tblOrdenes[[#This Row],[orden]]="","",_xlfn.XLOOKUP(tblOrdenes[[#This Row],[id_operacion]],tblEjecucion[id_operacion],tblEjecucion[precio],0))</f>
        <v/>
      </c>
      <c r="AG887" s="10">
        <f>IF(tblOrdenes[[#This Row],[orden]]="","",MAX(0,_xlfn.XLOOKUP(tblOrdenes[[#This Row],[id_operacion]],tblEjecucion[id_operacion],tblEjecucion[costo_plan_total],0)-tblOrdenes[[#This Row],[costo_servicio]]))</f>
        <v/>
      </c>
      <c r="AH887" s="10">
        <f>IF(tblOrdenes[[#This Row],[orden]]="","",tblOrdenes[[#This Row],[costo_servicio]]+tblOrdenes[[#This Row],[costo_materiales]])</f>
        <v/>
      </c>
      <c r="AI887" s="6" t="n"/>
      <c r="AJ887" s="6" t="n"/>
      <c r="AK887" s="6" t="n"/>
      <c r="AL887" s="3">
        <f>IF(tblOrdenes[[#This Row],[link_checklist]]="","",HYPERLINK(p_ruta_base_checklists&amp;tblOrdenes[[#This Row],[link_checklist]],"abrir"))</f>
        <v/>
      </c>
      <c r="AM887" s="6" t="n"/>
      <c r="AN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Row],[tipo_ot]]="","",_xlfn.XLOOKUP(tblOrdenes[[#This Row],[tipo_ot]],tblTiposOT[codigo],tblTiposOT[clasificacion],"sin_clasificar"))</f>
        <v/>
      </c>
      <c r="T888" s="3">
        <f>IF(tblOrdenes[[#This Row],[centro_costo]]="","",_xlfn.XLOOKUP(tblOrdenes[[#This Row],[centro_costo]],tblCECO[codigo],tblCECO[linea],"(sin catálogo)"))</f>
        <v/>
      </c>
      <c r="U888" s="3">
        <f>IF(tblOrdenes[[#This Row],[centro_costo]]="","",_xlfn.XLOOKUP(tblOrdenes[[#This Row],[centro_costo]],tblCECO[codigo],tblCECO[area],"(sin catálogo)"))</f>
        <v/>
      </c>
      <c r="V888" s="3">
        <f>IF(tblOrdenes[[#This Row],[centro_costo]]="","",_xlfn.XLOOKUP(tblOrdenes[[#This Row],[centro_costo]],tblCECO[codigo],tblCECO[coordinador],"(sin catálogo)"))</f>
        <v/>
      </c>
      <c r="W888" s="3">
        <f>IF(tblOrdenes[[#This Row],[puesto_trabajo]]="","",_xlfn.XLOOKUP(tblOrdenes[[#This Row],[puesto_trabajo]],tblPuestos[codigo],tblPuestos[especialidad],"(sin catálogo)"))</f>
        <v/>
      </c>
      <c r="X888" s="3">
        <f>IF(tblOrdenes[[#This Row],[cod_actividad]]="","",_xlfn.XLOOKUP(tblOrdenes[[#This Row],[cod_actividad]],tblActividades[codigo],tblActividades[descripcion],"(sin catálogo)"))</f>
        <v/>
      </c>
      <c r="Y888" s="12">
        <f>IF(tblOrdenes[[#This Row],[fecha_inicio]]="","",TODAY()-tblOrdenes[[#This Row],[fecha_inicio]])</f>
        <v/>
      </c>
      <c r="Z888" s="3">
        <f>IF(tblOrdenes[[#This Row],[backlog_dias]]="","",IF(tblOrdenes[[#This Row],[backlog_dias]]&lt;0,"FUTURO",IF(tblOrdenes[[#This Row],[backlog_dias]]&gt;p_dias_backlog_max,"BACKLOG","MES CORRIENTE")))</f>
        <v/>
      </c>
      <c r="AA888" s="3">
        <f>IF(tblOrdenes[[#This Row],[backlog_dias]]="",FALSE,AND(tblOrdenes[[#This Row],[backlog_dias]]&gt;p_dias_backlog_min,tblOrdenes[[#This Row],[backlog_dias]]&lt;=p_dias_backlog_max))</f>
        <v/>
      </c>
      <c r="AB888" s="6" t="n"/>
      <c r="AC8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8" s="10">
        <f>IF(tblOrdenes[[#This Row],[orden]]="","",_xlfn.XLOOKUP(tblOrdenes[[#This Row],[id_operacion]],tblEjecucion[id_operacion],tblEjecucion[precio],0))</f>
        <v/>
      </c>
      <c r="AG888" s="10">
        <f>IF(tblOrdenes[[#This Row],[orden]]="","",MAX(0,_xlfn.XLOOKUP(tblOrdenes[[#This Row],[id_operacion]],tblEjecucion[id_operacion],tblEjecucion[costo_plan_total],0)-tblOrdenes[[#This Row],[costo_servicio]]))</f>
        <v/>
      </c>
      <c r="AH888" s="10">
        <f>IF(tblOrdenes[[#This Row],[orden]]="","",tblOrdenes[[#This Row],[costo_servicio]]+tblOrdenes[[#This Row],[costo_materiales]])</f>
        <v/>
      </c>
      <c r="AI888" s="6" t="n"/>
      <c r="AJ888" s="6" t="n"/>
      <c r="AK888" s="6" t="n"/>
      <c r="AL888" s="3">
        <f>IF(tblOrdenes[[#This Row],[link_checklist]]="","",HYPERLINK(p_ruta_base_checklists&amp;tblOrdenes[[#This Row],[link_checklist]],"abrir"))</f>
        <v/>
      </c>
      <c r="AM888" s="6" t="n"/>
      <c r="AN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Row],[tipo_ot]]="","",_xlfn.XLOOKUP(tblOrdenes[[#This Row],[tipo_ot]],tblTiposOT[codigo],tblTiposOT[clasificacion],"sin_clasificar"))</f>
        <v/>
      </c>
      <c r="T889" s="3">
        <f>IF(tblOrdenes[[#This Row],[centro_costo]]="","",_xlfn.XLOOKUP(tblOrdenes[[#This Row],[centro_costo]],tblCECO[codigo],tblCECO[linea],"(sin catálogo)"))</f>
        <v/>
      </c>
      <c r="U889" s="3">
        <f>IF(tblOrdenes[[#This Row],[centro_costo]]="","",_xlfn.XLOOKUP(tblOrdenes[[#This Row],[centro_costo]],tblCECO[codigo],tblCECO[area],"(sin catálogo)"))</f>
        <v/>
      </c>
      <c r="V889" s="3">
        <f>IF(tblOrdenes[[#This Row],[centro_costo]]="","",_xlfn.XLOOKUP(tblOrdenes[[#This Row],[centro_costo]],tblCECO[codigo],tblCECO[coordinador],"(sin catálogo)"))</f>
        <v/>
      </c>
      <c r="W889" s="3">
        <f>IF(tblOrdenes[[#This Row],[puesto_trabajo]]="","",_xlfn.XLOOKUP(tblOrdenes[[#This Row],[puesto_trabajo]],tblPuestos[codigo],tblPuestos[especialidad],"(sin catálogo)"))</f>
        <v/>
      </c>
      <c r="X889" s="3">
        <f>IF(tblOrdenes[[#This Row],[cod_actividad]]="","",_xlfn.XLOOKUP(tblOrdenes[[#This Row],[cod_actividad]],tblActividades[codigo],tblActividades[descripcion],"(sin catálogo)"))</f>
        <v/>
      </c>
      <c r="Y889" s="12">
        <f>IF(tblOrdenes[[#This Row],[fecha_inicio]]="","",TODAY()-tblOrdenes[[#This Row],[fecha_inicio]])</f>
        <v/>
      </c>
      <c r="Z889" s="3">
        <f>IF(tblOrdenes[[#This Row],[backlog_dias]]="","",IF(tblOrdenes[[#This Row],[backlog_dias]]&lt;0,"FUTURO",IF(tblOrdenes[[#This Row],[backlog_dias]]&gt;p_dias_backlog_max,"BACKLOG","MES CORRIENTE")))</f>
        <v/>
      </c>
      <c r="AA889" s="3">
        <f>IF(tblOrdenes[[#This Row],[backlog_dias]]="",FALSE,AND(tblOrdenes[[#This Row],[backlog_dias]]&gt;p_dias_backlog_min,tblOrdenes[[#This Row],[backlog_dias]]&lt;=p_dias_backlog_max))</f>
        <v/>
      </c>
      <c r="AB889" s="6" t="n"/>
      <c r="AC8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9" s="10">
        <f>IF(tblOrdenes[[#This Row],[orden]]="","",_xlfn.XLOOKUP(tblOrdenes[[#This Row],[id_operacion]],tblEjecucion[id_operacion],tblEjecucion[precio],0))</f>
        <v/>
      </c>
      <c r="AG889" s="10">
        <f>IF(tblOrdenes[[#This Row],[orden]]="","",MAX(0,_xlfn.XLOOKUP(tblOrdenes[[#This Row],[id_operacion]],tblEjecucion[id_operacion],tblEjecucion[costo_plan_total],0)-tblOrdenes[[#This Row],[costo_servicio]]))</f>
        <v/>
      </c>
      <c r="AH889" s="10">
        <f>IF(tblOrdenes[[#This Row],[orden]]="","",tblOrdenes[[#This Row],[costo_servicio]]+tblOrdenes[[#This Row],[costo_materiales]])</f>
        <v/>
      </c>
      <c r="AI889" s="6" t="n"/>
      <c r="AJ889" s="6" t="n"/>
      <c r="AK889" s="6" t="n"/>
      <c r="AL889" s="3">
        <f>IF(tblOrdenes[[#This Row],[link_checklist]]="","",HYPERLINK(p_ruta_base_checklists&amp;tblOrdenes[[#This Row],[link_checklist]],"abrir"))</f>
        <v/>
      </c>
      <c r="AM889" s="6" t="n"/>
      <c r="AN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Row],[tipo_ot]]="","",_xlfn.XLOOKUP(tblOrdenes[[#This Row],[tipo_ot]],tblTiposOT[codigo],tblTiposOT[clasificacion],"sin_clasificar"))</f>
        <v/>
      </c>
      <c r="T890" s="3">
        <f>IF(tblOrdenes[[#This Row],[centro_costo]]="","",_xlfn.XLOOKUP(tblOrdenes[[#This Row],[centro_costo]],tblCECO[codigo],tblCECO[linea],"(sin catálogo)"))</f>
        <v/>
      </c>
      <c r="U890" s="3">
        <f>IF(tblOrdenes[[#This Row],[centro_costo]]="","",_xlfn.XLOOKUP(tblOrdenes[[#This Row],[centro_costo]],tblCECO[codigo],tblCECO[area],"(sin catálogo)"))</f>
        <v/>
      </c>
      <c r="V890" s="3">
        <f>IF(tblOrdenes[[#This Row],[centro_costo]]="","",_xlfn.XLOOKUP(tblOrdenes[[#This Row],[centro_costo]],tblCECO[codigo],tblCECO[coordinador],"(sin catálogo)"))</f>
        <v/>
      </c>
      <c r="W890" s="3">
        <f>IF(tblOrdenes[[#This Row],[puesto_trabajo]]="","",_xlfn.XLOOKUP(tblOrdenes[[#This Row],[puesto_trabajo]],tblPuestos[codigo],tblPuestos[especialidad],"(sin catálogo)"))</f>
        <v/>
      </c>
      <c r="X890" s="3">
        <f>IF(tblOrdenes[[#This Row],[cod_actividad]]="","",_xlfn.XLOOKUP(tblOrdenes[[#This Row],[cod_actividad]],tblActividades[codigo],tblActividades[descripcion],"(sin catálogo)"))</f>
        <v/>
      </c>
      <c r="Y890" s="12">
        <f>IF(tblOrdenes[[#This Row],[fecha_inicio]]="","",TODAY()-tblOrdenes[[#This Row],[fecha_inicio]])</f>
        <v/>
      </c>
      <c r="Z890" s="3">
        <f>IF(tblOrdenes[[#This Row],[backlog_dias]]="","",IF(tblOrdenes[[#This Row],[backlog_dias]]&lt;0,"FUTURO",IF(tblOrdenes[[#This Row],[backlog_dias]]&gt;p_dias_backlog_max,"BACKLOG","MES CORRIENTE")))</f>
        <v/>
      </c>
      <c r="AA890" s="3">
        <f>IF(tblOrdenes[[#This Row],[backlog_dias]]="",FALSE,AND(tblOrdenes[[#This Row],[backlog_dias]]&gt;p_dias_backlog_min,tblOrdenes[[#This Row],[backlog_dias]]&lt;=p_dias_backlog_max))</f>
        <v/>
      </c>
      <c r="AB890" s="6" t="n"/>
      <c r="AC8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0" s="10">
        <f>IF(tblOrdenes[[#This Row],[orden]]="","",_xlfn.XLOOKUP(tblOrdenes[[#This Row],[id_operacion]],tblEjecucion[id_operacion],tblEjecucion[precio],0))</f>
        <v/>
      </c>
      <c r="AG890" s="10">
        <f>IF(tblOrdenes[[#This Row],[orden]]="","",MAX(0,_xlfn.XLOOKUP(tblOrdenes[[#This Row],[id_operacion]],tblEjecucion[id_operacion],tblEjecucion[costo_plan_total],0)-tblOrdenes[[#This Row],[costo_servicio]]))</f>
        <v/>
      </c>
      <c r="AH890" s="10">
        <f>IF(tblOrdenes[[#This Row],[orden]]="","",tblOrdenes[[#This Row],[costo_servicio]]+tblOrdenes[[#This Row],[costo_materiales]])</f>
        <v/>
      </c>
      <c r="AI890" s="6" t="n"/>
      <c r="AJ890" s="6" t="n"/>
      <c r="AK890" s="6" t="n"/>
      <c r="AL890" s="3">
        <f>IF(tblOrdenes[[#This Row],[link_checklist]]="","",HYPERLINK(p_ruta_base_checklists&amp;tblOrdenes[[#This Row],[link_checklist]],"abrir"))</f>
        <v/>
      </c>
      <c r="AM890" s="6" t="n"/>
      <c r="AN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Row],[tipo_ot]]="","",_xlfn.XLOOKUP(tblOrdenes[[#This Row],[tipo_ot]],tblTiposOT[codigo],tblTiposOT[clasificacion],"sin_clasificar"))</f>
        <v/>
      </c>
      <c r="T891" s="3">
        <f>IF(tblOrdenes[[#This Row],[centro_costo]]="","",_xlfn.XLOOKUP(tblOrdenes[[#This Row],[centro_costo]],tblCECO[codigo],tblCECO[linea],"(sin catálogo)"))</f>
        <v/>
      </c>
      <c r="U891" s="3">
        <f>IF(tblOrdenes[[#This Row],[centro_costo]]="","",_xlfn.XLOOKUP(tblOrdenes[[#This Row],[centro_costo]],tblCECO[codigo],tblCECO[area],"(sin catálogo)"))</f>
        <v/>
      </c>
      <c r="V891" s="3">
        <f>IF(tblOrdenes[[#This Row],[centro_costo]]="","",_xlfn.XLOOKUP(tblOrdenes[[#This Row],[centro_costo]],tblCECO[codigo],tblCECO[coordinador],"(sin catálogo)"))</f>
        <v/>
      </c>
      <c r="W891" s="3">
        <f>IF(tblOrdenes[[#This Row],[puesto_trabajo]]="","",_xlfn.XLOOKUP(tblOrdenes[[#This Row],[puesto_trabajo]],tblPuestos[codigo],tblPuestos[especialidad],"(sin catálogo)"))</f>
        <v/>
      </c>
      <c r="X891" s="3">
        <f>IF(tblOrdenes[[#This Row],[cod_actividad]]="","",_xlfn.XLOOKUP(tblOrdenes[[#This Row],[cod_actividad]],tblActividades[codigo],tblActividades[descripcion],"(sin catálogo)"))</f>
        <v/>
      </c>
      <c r="Y891" s="12">
        <f>IF(tblOrdenes[[#This Row],[fecha_inicio]]="","",TODAY()-tblOrdenes[[#This Row],[fecha_inicio]])</f>
        <v/>
      </c>
      <c r="Z891" s="3">
        <f>IF(tblOrdenes[[#This Row],[backlog_dias]]="","",IF(tblOrdenes[[#This Row],[backlog_dias]]&lt;0,"FUTURO",IF(tblOrdenes[[#This Row],[backlog_dias]]&gt;p_dias_backlog_max,"BACKLOG","MES CORRIENTE")))</f>
        <v/>
      </c>
      <c r="AA891" s="3">
        <f>IF(tblOrdenes[[#This Row],[backlog_dias]]="",FALSE,AND(tblOrdenes[[#This Row],[backlog_dias]]&gt;p_dias_backlog_min,tblOrdenes[[#This Row],[backlog_dias]]&lt;=p_dias_backlog_max))</f>
        <v/>
      </c>
      <c r="AB891" s="6" t="n"/>
      <c r="AC8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1" s="10">
        <f>IF(tblOrdenes[[#This Row],[orden]]="","",_xlfn.XLOOKUP(tblOrdenes[[#This Row],[id_operacion]],tblEjecucion[id_operacion],tblEjecucion[precio],0))</f>
        <v/>
      </c>
      <c r="AG891" s="10">
        <f>IF(tblOrdenes[[#This Row],[orden]]="","",MAX(0,_xlfn.XLOOKUP(tblOrdenes[[#This Row],[id_operacion]],tblEjecucion[id_operacion],tblEjecucion[costo_plan_total],0)-tblOrdenes[[#This Row],[costo_servicio]]))</f>
        <v/>
      </c>
      <c r="AH891" s="10">
        <f>IF(tblOrdenes[[#This Row],[orden]]="","",tblOrdenes[[#This Row],[costo_servicio]]+tblOrdenes[[#This Row],[costo_materiales]])</f>
        <v/>
      </c>
      <c r="AI891" s="6" t="n"/>
      <c r="AJ891" s="6" t="n"/>
      <c r="AK891" s="6" t="n"/>
      <c r="AL891" s="3">
        <f>IF(tblOrdenes[[#This Row],[link_checklist]]="","",HYPERLINK(p_ruta_base_checklists&amp;tblOrdenes[[#This Row],[link_checklist]],"abrir"))</f>
        <v/>
      </c>
      <c r="AM891" s="6" t="n"/>
      <c r="AN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Row],[tipo_ot]]="","",_xlfn.XLOOKUP(tblOrdenes[[#This Row],[tipo_ot]],tblTiposOT[codigo],tblTiposOT[clasificacion],"sin_clasificar"))</f>
        <v/>
      </c>
      <c r="T892" s="3">
        <f>IF(tblOrdenes[[#This Row],[centro_costo]]="","",_xlfn.XLOOKUP(tblOrdenes[[#This Row],[centro_costo]],tblCECO[codigo],tblCECO[linea],"(sin catálogo)"))</f>
        <v/>
      </c>
      <c r="U892" s="3">
        <f>IF(tblOrdenes[[#This Row],[centro_costo]]="","",_xlfn.XLOOKUP(tblOrdenes[[#This Row],[centro_costo]],tblCECO[codigo],tblCECO[area],"(sin catálogo)"))</f>
        <v/>
      </c>
      <c r="V892" s="3">
        <f>IF(tblOrdenes[[#This Row],[centro_costo]]="","",_xlfn.XLOOKUP(tblOrdenes[[#This Row],[centro_costo]],tblCECO[codigo],tblCECO[coordinador],"(sin catálogo)"))</f>
        <v/>
      </c>
      <c r="W892" s="3">
        <f>IF(tblOrdenes[[#This Row],[puesto_trabajo]]="","",_xlfn.XLOOKUP(tblOrdenes[[#This Row],[puesto_trabajo]],tblPuestos[codigo],tblPuestos[especialidad],"(sin catálogo)"))</f>
        <v/>
      </c>
      <c r="X892" s="3">
        <f>IF(tblOrdenes[[#This Row],[cod_actividad]]="","",_xlfn.XLOOKUP(tblOrdenes[[#This Row],[cod_actividad]],tblActividades[codigo],tblActividades[descripcion],"(sin catálogo)"))</f>
        <v/>
      </c>
      <c r="Y892" s="12">
        <f>IF(tblOrdenes[[#This Row],[fecha_inicio]]="","",TODAY()-tblOrdenes[[#This Row],[fecha_inicio]])</f>
        <v/>
      </c>
      <c r="Z892" s="3">
        <f>IF(tblOrdenes[[#This Row],[backlog_dias]]="","",IF(tblOrdenes[[#This Row],[backlog_dias]]&lt;0,"FUTURO",IF(tblOrdenes[[#This Row],[backlog_dias]]&gt;p_dias_backlog_max,"BACKLOG","MES CORRIENTE")))</f>
        <v/>
      </c>
      <c r="AA892" s="3">
        <f>IF(tblOrdenes[[#This Row],[backlog_dias]]="",FALSE,AND(tblOrdenes[[#This Row],[backlog_dias]]&gt;p_dias_backlog_min,tblOrdenes[[#This Row],[backlog_dias]]&lt;=p_dias_backlog_max))</f>
        <v/>
      </c>
      <c r="AB892" s="6" t="n"/>
      <c r="AC8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2" s="10">
        <f>IF(tblOrdenes[[#This Row],[orden]]="","",_xlfn.XLOOKUP(tblOrdenes[[#This Row],[id_operacion]],tblEjecucion[id_operacion],tblEjecucion[precio],0))</f>
        <v/>
      </c>
      <c r="AG892" s="10">
        <f>IF(tblOrdenes[[#This Row],[orden]]="","",MAX(0,_xlfn.XLOOKUP(tblOrdenes[[#This Row],[id_operacion]],tblEjecucion[id_operacion],tblEjecucion[costo_plan_total],0)-tblOrdenes[[#This Row],[costo_servicio]]))</f>
        <v/>
      </c>
      <c r="AH892" s="10">
        <f>IF(tblOrdenes[[#This Row],[orden]]="","",tblOrdenes[[#This Row],[costo_servicio]]+tblOrdenes[[#This Row],[costo_materiales]])</f>
        <v/>
      </c>
      <c r="AI892" s="6" t="n"/>
      <c r="AJ892" s="6" t="n"/>
      <c r="AK892" s="6" t="n"/>
      <c r="AL892" s="3">
        <f>IF(tblOrdenes[[#This Row],[link_checklist]]="","",HYPERLINK(p_ruta_base_checklists&amp;tblOrdenes[[#This Row],[link_checklist]],"abrir"))</f>
        <v/>
      </c>
      <c r="AM892" s="6" t="n"/>
      <c r="AN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Row],[tipo_ot]]="","",_xlfn.XLOOKUP(tblOrdenes[[#This Row],[tipo_ot]],tblTiposOT[codigo],tblTiposOT[clasificacion],"sin_clasificar"))</f>
        <v/>
      </c>
      <c r="T893" s="3">
        <f>IF(tblOrdenes[[#This Row],[centro_costo]]="","",_xlfn.XLOOKUP(tblOrdenes[[#This Row],[centro_costo]],tblCECO[codigo],tblCECO[linea],"(sin catálogo)"))</f>
        <v/>
      </c>
      <c r="U893" s="3">
        <f>IF(tblOrdenes[[#This Row],[centro_costo]]="","",_xlfn.XLOOKUP(tblOrdenes[[#This Row],[centro_costo]],tblCECO[codigo],tblCECO[area],"(sin catálogo)"))</f>
        <v/>
      </c>
      <c r="V893" s="3">
        <f>IF(tblOrdenes[[#This Row],[centro_costo]]="","",_xlfn.XLOOKUP(tblOrdenes[[#This Row],[centro_costo]],tblCECO[codigo],tblCECO[coordinador],"(sin catálogo)"))</f>
        <v/>
      </c>
      <c r="W893" s="3">
        <f>IF(tblOrdenes[[#This Row],[puesto_trabajo]]="","",_xlfn.XLOOKUP(tblOrdenes[[#This Row],[puesto_trabajo]],tblPuestos[codigo],tblPuestos[especialidad],"(sin catálogo)"))</f>
        <v/>
      </c>
      <c r="X893" s="3">
        <f>IF(tblOrdenes[[#This Row],[cod_actividad]]="","",_xlfn.XLOOKUP(tblOrdenes[[#This Row],[cod_actividad]],tblActividades[codigo],tblActividades[descripcion],"(sin catálogo)"))</f>
        <v/>
      </c>
      <c r="Y893" s="12">
        <f>IF(tblOrdenes[[#This Row],[fecha_inicio]]="","",TODAY()-tblOrdenes[[#This Row],[fecha_inicio]])</f>
        <v/>
      </c>
      <c r="Z893" s="3">
        <f>IF(tblOrdenes[[#This Row],[backlog_dias]]="","",IF(tblOrdenes[[#This Row],[backlog_dias]]&lt;0,"FUTURO",IF(tblOrdenes[[#This Row],[backlog_dias]]&gt;p_dias_backlog_max,"BACKLOG","MES CORRIENTE")))</f>
        <v/>
      </c>
      <c r="AA893" s="3">
        <f>IF(tblOrdenes[[#This Row],[backlog_dias]]="",FALSE,AND(tblOrdenes[[#This Row],[backlog_dias]]&gt;p_dias_backlog_min,tblOrdenes[[#This Row],[backlog_dias]]&lt;=p_dias_backlog_max))</f>
        <v/>
      </c>
      <c r="AB893" s="6" t="n"/>
      <c r="AC8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3" s="10">
        <f>IF(tblOrdenes[[#This Row],[orden]]="","",_xlfn.XLOOKUP(tblOrdenes[[#This Row],[id_operacion]],tblEjecucion[id_operacion],tblEjecucion[precio],0))</f>
        <v/>
      </c>
      <c r="AG893" s="10">
        <f>IF(tblOrdenes[[#This Row],[orden]]="","",MAX(0,_xlfn.XLOOKUP(tblOrdenes[[#This Row],[id_operacion]],tblEjecucion[id_operacion],tblEjecucion[costo_plan_total],0)-tblOrdenes[[#This Row],[costo_servicio]]))</f>
        <v/>
      </c>
      <c r="AH893" s="10">
        <f>IF(tblOrdenes[[#This Row],[orden]]="","",tblOrdenes[[#This Row],[costo_servicio]]+tblOrdenes[[#This Row],[costo_materiales]])</f>
        <v/>
      </c>
      <c r="AI893" s="6" t="n"/>
      <c r="AJ893" s="6" t="n"/>
      <c r="AK893" s="6" t="n"/>
      <c r="AL893" s="3">
        <f>IF(tblOrdenes[[#This Row],[link_checklist]]="","",HYPERLINK(p_ruta_base_checklists&amp;tblOrdenes[[#This Row],[link_checklist]],"abrir"))</f>
        <v/>
      </c>
      <c r="AM893" s="6" t="n"/>
      <c r="AN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Row],[tipo_ot]]="","",_xlfn.XLOOKUP(tblOrdenes[[#This Row],[tipo_ot]],tblTiposOT[codigo],tblTiposOT[clasificacion],"sin_clasificar"))</f>
        <v/>
      </c>
      <c r="T894" s="3">
        <f>IF(tblOrdenes[[#This Row],[centro_costo]]="","",_xlfn.XLOOKUP(tblOrdenes[[#This Row],[centro_costo]],tblCECO[codigo],tblCECO[linea],"(sin catálogo)"))</f>
        <v/>
      </c>
      <c r="U894" s="3">
        <f>IF(tblOrdenes[[#This Row],[centro_costo]]="","",_xlfn.XLOOKUP(tblOrdenes[[#This Row],[centro_costo]],tblCECO[codigo],tblCECO[area],"(sin catálogo)"))</f>
        <v/>
      </c>
      <c r="V894" s="3">
        <f>IF(tblOrdenes[[#This Row],[centro_costo]]="","",_xlfn.XLOOKUP(tblOrdenes[[#This Row],[centro_costo]],tblCECO[codigo],tblCECO[coordinador],"(sin catálogo)"))</f>
        <v/>
      </c>
      <c r="W894" s="3">
        <f>IF(tblOrdenes[[#This Row],[puesto_trabajo]]="","",_xlfn.XLOOKUP(tblOrdenes[[#This Row],[puesto_trabajo]],tblPuestos[codigo],tblPuestos[especialidad],"(sin catálogo)"))</f>
        <v/>
      </c>
      <c r="X894" s="3">
        <f>IF(tblOrdenes[[#This Row],[cod_actividad]]="","",_xlfn.XLOOKUP(tblOrdenes[[#This Row],[cod_actividad]],tblActividades[codigo],tblActividades[descripcion],"(sin catálogo)"))</f>
        <v/>
      </c>
      <c r="Y894" s="12">
        <f>IF(tblOrdenes[[#This Row],[fecha_inicio]]="","",TODAY()-tblOrdenes[[#This Row],[fecha_inicio]])</f>
        <v/>
      </c>
      <c r="Z894" s="3">
        <f>IF(tblOrdenes[[#This Row],[backlog_dias]]="","",IF(tblOrdenes[[#This Row],[backlog_dias]]&lt;0,"FUTURO",IF(tblOrdenes[[#This Row],[backlog_dias]]&gt;p_dias_backlog_max,"BACKLOG","MES CORRIENTE")))</f>
        <v/>
      </c>
      <c r="AA894" s="3">
        <f>IF(tblOrdenes[[#This Row],[backlog_dias]]="",FALSE,AND(tblOrdenes[[#This Row],[backlog_dias]]&gt;p_dias_backlog_min,tblOrdenes[[#This Row],[backlog_dias]]&lt;=p_dias_backlog_max))</f>
        <v/>
      </c>
      <c r="AB894" s="6" t="n"/>
      <c r="AC8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4" s="10">
        <f>IF(tblOrdenes[[#This Row],[orden]]="","",_xlfn.XLOOKUP(tblOrdenes[[#This Row],[id_operacion]],tblEjecucion[id_operacion],tblEjecucion[precio],0))</f>
        <v/>
      </c>
      <c r="AG894" s="10">
        <f>IF(tblOrdenes[[#This Row],[orden]]="","",MAX(0,_xlfn.XLOOKUP(tblOrdenes[[#This Row],[id_operacion]],tblEjecucion[id_operacion],tblEjecucion[costo_plan_total],0)-tblOrdenes[[#This Row],[costo_servicio]]))</f>
        <v/>
      </c>
      <c r="AH894" s="10">
        <f>IF(tblOrdenes[[#This Row],[orden]]="","",tblOrdenes[[#This Row],[costo_servicio]]+tblOrdenes[[#This Row],[costo_materiales]])</f>
        <v/>
      </c>
      <c r="AI894" s="6" t="n"/>
      <c r="AJ894" s="6" t="n"/>
      <c r="AK894" s="6" t="n"/>
      <c r="AL894" s="3">
        <f>IF(tblOrdenes[[#This Row],[link_checklist]]="","",HYPERLINK(p_ruta_base_checklists&amp;tblOrdenes[[#This Row],[link_checklist]],"abrir"))</f>
        <v/>
      </c>
      <c r="AM894" s="6" t="n"/>
      <c r="AN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Row],[tipo_ot]]="","",_xlfn.XLOOKUP(tblOrdenes[[#This Row],[tipo_ot]],tblTiposOT[codigo],tblTiposOT[clasificacion],"sin_clasificar"))</f>
        <v/>
      </c>
      <c r="T895" s="3">
        <f>IF(tblOrdenes[[#This Row],[centro_costo]]="","",_xlfn.XLOOKUP(tblOrdenes[[#This Row],[centro_costo]],tblCECO[codigo],tblCECO[linea],"(sin catálogo)"))</f>
        <v/>
      </c>
      <c r="U895" s="3">
        <f>IF(tblOrdenes[[#This Row],[centro_costo]]="","",_xlfn.XLOOKUP(tblOrdenes[[#This Row],[centro_costo]],tblCECO[codigo],tblCECO[area],"(sin catálogo)"))</f>
        <v/>
      </c>
      <c r="V895" s="3">
        <f>IF(tblOrdenes[[#This Row],[centro_costo]]="","",_xlfn.XLOOKUP(tblOrdenes[[#This Row],[centro_costo]],tblCECO[codigo],tblCECO[coordinador],"(sin catálogo)"))</f>
        <v/>
      </c>
      <c r="W895" s="3">
        <f>IF(tblOrdenes[[#This Row],[puesto_trabajo]]="","",_xlfn.XLOOKUP(tblOrdenes[[#This Row],[puesto_trabajo]],tblPuestos[codigo],tblPuestos[especialidad],"(sin catálogo)"))</f>
        <v/>
      </c>
      <c r="X895" s="3">
        <f>IF(tblOrdenes[[#This Row],[cod_actividad]]="","",_xlfn.XLOOKUP(tblOrdenes[[#This Row],[cod_actividad]],tblActividades[codigo],tblActividades[descripcion],"(sin catálogo)"))</f>
        <v/>
      </c>
      <c r="Y895" s="12">
        <f>IF(tblOrdenes[[#This Row],[fecha_inicio]]="","",TODAY()-tblOrdenes[[#This Row],[fecha_inicio]])</f>
        <v/>
      </c>
      <c r="Z895" s="3">
        <f>IF(tblOrdenes[[#This Row],[backlog_dias]]="","",IF(tblOrdenes[[#This Row],[backlog_dias]]&lt;0,"FUTURO",IF(tblOrdenes[[#This Row],[backlog_dias]]&gt;p_dias_backlog_max,"BACKLOG","MES CORRIENTE")))</f>
        <v/>
      </c>
      <c r="AA895" s="3">
        <f>IF(tblOrdenes[[#This Row],[backlog_dias]]="",FALSE,AND(tblOrdenes[[#This Row],[backlog_dias]]&gt;p_dias_backlog_min,tblOrdenes[[#This Row],[backlog_dias]]&lt;=p_dias_backlog_max))</f>
        <v/>
      </c>
      <c r="AB895" s="6" t="n"/>
      <c r="AC8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5" s="10">
        <f>IF(tblOrdenes[[#This Row],[orden]]="","",_xlfn.XLOOKUP(tblOrdenes[[#This Row],[id_operacion]],tblEjecucion[id_operacion],tblEjecucion[precio],0))</f>
        <v/>
      </c>
      <c r="AG895" s="10">
        <f>IF(tblOrdenes[[#This Row],[orden]]="","",MAX(0,_xlfn.XLOOKUP(tblOrdenes[[#This Row],[id_operacion]],tblEjecucion[id_operacion],tblEjecucion[costo_plan_total],0)-tblOrdenes[[#This Row],[costo_servicio]]))</f>
        <v/>
      </c>
      <c r="AH895" s="10">
        <f>IF(tblOrdenes[[#This Row],[orden]]="","",tblOrdenes[[#This Row],[costo_servicio]]+tblOrdenes[[#This Row],[costo_materiales]])</f>
        <v/>
      </c>
      <c r="AI895" s="6" t="n"/>
      <c r="AJ895" s="6" t="n"/>
      <c r="AK895" s="6" t="n"/>
      <c r="AL895" s="3">
        <f>IF(tblOrdenes[[#This Row],[link_checklist]]="","",HYPERLINK(p_ruta_base_checklists&amp;tblOrdenes[[#This Row],[link_checklist]],"abrir"))</f>
        <v/>
      </c>
      <c r="AM895" s="6" t="n"/>
      <c r="AN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Row],[tipo_ot]]="","",_xlfn.XLOOKUP(tblOrdenes[[#This Row],[tipo_ot]],tblTiposOT[codigo],tblTiposOT[clasificacion],"sin_clasificar"))</f>
        <v/>
      </c>
      <c r="T896" s="3">
        <f>IF(tblOrdenes[[#This Row],[centro_costo]]="","",_xlfn.XLOOKUP(tblOrdenes[[#This Row],[centro_costo]],tblCECO[codigo],tblCECO[linea],"(sin catálogo)"))</f>
        <v/>
      </c>
      <c r="U896" s="3">
        <f>IF(tblOrdenes[[#This Row],[centro_costo]]="","",_xlfn.XLOOKUP(tblOrdenes[[#This Row],[centro_costo]],tblCECO[codigo],tblCECO[area],"(sin catálogo)"))</f>
        <v/>
      </c>
      <c r="V896" s="3">
        <f>IF(tblOrdenes[[#This Row],[centro_costo]]="","",_xlfn.XLOOKUP(tblOrdenes[[#This Row],[centro_costo]],tblCECO[codigo],tblCECO[coordinador],"(sin catálogo)"))</f>
        <v/>
      </c>
      <c r="W896" s="3">
        <f>IF(tblOrdenes[[#This Row],[puesto_trabajo]]="","",_xlfn.XLOOKUP(tblOrdenes[[#This Row],[puesto_trabajo]],tblPuestos[codigo],tblPuestos[especialidad],"(sin catálogo)"))</f>
        <v/>
      </c>
      <c r="X896" s="3">
        <f>IF(tblOrdenes[[#This Row],[cod_actividad]]="","",_xlfn.XLOOKUP(tblOrdenes[[#This Row],[cod_actividad]],tblActividades[codigo],tblActividades[descripcion],"(sin catálogo)"))</f>
        <v/>
      </c>
      <c r="Y896" s="12">
        <f>IF(tblOrdenes[[#This Row],[fecha_inicio]]="","",TODAY()-tblOrdenes[[#This Row],[fecha_inicio]])</f>
        <v/>
      </c>
      <c r="Z896" s="3">
        <f>IF(tblOrdenes[[#This Row],[backlog_dias]]="","",IF(tblOrdenes[[#This Row],[backlog_dias]]&lt;0,"FUTURO",IF(tblOrdenes[[#This Row],[backlog_dias]]&gt;p_dias_backlog_max,"BACKLOG","MES CORRIENTE")))</f>
        <v/>
      </c>
      <c r="AA896" s="3">
        <f>IF(tblOrdenes[[#This Row],[backlog_dias]]="",FALSE,AND(tblOrdenes[[#This Row],[backlog_dias]]&gt;p_dias_backlog_min,tblOrdenes[[#This Row],[backlog_dias]]&lt;=p_dias_backlog_max))</f>
        <v/>
      </c>
      <c r="AB896" s="6" t="n"/>
      <c r="AC8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6" s="10">
        <f>IF(tblOrdenes[[#This Row],[orden]]="","",_xlfn.XLOOKUP(tblOrdenes[[#This Row],[id_operacion]],tblEjecucion[id_operacion],tblEjecucion[precio],0))</f>
        <v/>
      </c>
      <c r="AG896" s="10">
        <f>IF(tblOrdenes[[#This Row],[orden]]="","",MAX(0,_xlfn.XLOOKUP(tblOrdenes[[#This Row],[id_operacion]],tblEjecucion[id_operacion],tblEjecucion[costo_plan_total],0)-tblOrdenes[[#This Row],[costo_servicio]]))</f>
        <v/>
      </c>
      <c r="AH896" s="10">
        <f>IF(tblOrdenes[[#This Row],[orden]]="","",tblOrdenes[[#This Row],[costo_servicio]]+tblOrdenes[[#This Row],[costo_materiales]])</f>
        <v/>
      </c>
      <c r="AI896" s="6" t="n"/>
      <c r="AJ896" s="6" t="n"/>
      <c r="AK896" s="6" t="n"/>
      <c r="AL896" s="3">
        <f>IF(tblOrdenes[[#This Row],[link_checklist]]="","",HYPERLINK(p_ruta_base_checklists&amp;tblOrdenes[[#This Row],[link_checklist]],"abrir"))</f>
        <v/>
      </c>
      <c r="AM896" s="6" t="n"/>
      <c r="AN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Row],[tipo_ot]]="","",_xlfn.XLOOKUP(tblOrdenes[[#This Row],[tipo_ot]],tblTiposOT[codigo],tblTiposOT[clasificacion],"sin_clasificar"))</f>
        <v/>
      </c>
      <c r="T897" s="3">
        <f>IF(tblOrdenes[[#This Row],[centro_costo]]="","",_xlfn.XLOOKUP(tblOrdenes[[#This Row],[centro_costo]],tblCECO[codigo],tblCECO[linea],"(sin catálogo)"))</f>
        <v/>
      </c>
      <c r="U897" s="3">
        <f>IF(tblOrdenes[[#This Row],[centro_costo]]="","",_xlfn.XLOOKUP(tblOrdenes[[#This Row],[centro_costo]],tblCECO[codigo],tblCECO[area],"(sin catálogo)"))</f>
        <v/>
      </c>
      <c r="V897" s="3">
        <f>IF(tblOrdenes[[#This Row],[centro_costo]]="","",_xlfn.XLOOKUP(tblOrdenes[[#This Row],[centro_costo]],tblCECO[codigo],tblCECO[coordinador],"(sin catálogo)"))</f>
        <v/>
      </c>
      <c r="W897" s="3">
        <f>IF(tblOrdenes[[#This Row],[puesto_trabajo]]="","",_xlfn.XLOOKUP(tblOrdenes[[#This Row],[puesto_trabajo]],tblPuestos[codigo],tblPuestos[especialidad],"(sin catálogo)"))</f>
        <v/>
      </c>
      <c r="X897" s="3">
        <f>IF(tblOrdenes[[#This Row],[cod_actividad]]="","",_xlfn.XLOOKUP(tblOrdenes[[#This Row],[cod_actividad]],tblActividades[codigo],tblActividades[descripcion],"(sin catálogo)"))</f>
        <v/>
      </c>
      <c r="Y897" s="12">
        <f>IF(tblOrdenes[[#This Row],[fecha_inicio]]="","",TODAY()-tblOrdenes[[#This Row],[fecha_inicio]])</f>
        <v/>
      </c>
      <c r="Z897" s="3">
        <f>IF(tblOrdenes[[#This Row],[backlog_dias]]="","",IF(tblOrdenes[[#This Row],[backlog_dias]]&lt;0,"FUTURO",IF(tblOrdenes[[#This Row],[backlog_dias]]&gt;p_dias_backlog_max,"BACKLOG","MES CORRIENTE")))</f>
        <v/>
      </c>
      <c r="AA897" s="3">
        <f>IF(tblOrdenes[[#This Row],[backlog_dias]]="",FALSE,AND(tblOrdenes[[#This Row],[backlog_dias]]&gt;p_dias_backlog_min,tblOrdenes[[#This Row],[backlog_dias]]&lt;=p_dias_backlog_max))</f>
        <v/>
      </c>
      <c r="AB897" s="6" t="n"/>
      <c r="AC8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7" s="10">
        <f>IF(tblOrdenes[[#This Row],[orden]]="","",_xlfn.XLOOKUP(tblOrdenes[[#This Row],[id_operacion]],tblEjecucion[id_operacion],tblEjecucion[precio],0))</f>
        <v/>
      </c>
      <c r="AG897" s="10">
        <f>IF(tblOrdenes[[#This Row],[orden]]="","",MAX(0,_xlfn.XLOOKUP(tblOrdenes[[#This Row],[id_operacion]],tblEjecucion[id_operacion],tblEjecucion[costo_plan_total],0)-tblOrdenes[[#This Row],[costo_servicio]]))</f>
        <v/>
      </c>
      <c r="AH897" s="10">
        <f>IF(tblOrdenes[[#This Row],[orden]]="","",tblOrdenes[[#This Row],[costo_servicio]]+tblOrdenes[[#This Row],[costo_materiales]])</f>
        <v/>
      </c>
      <c r="AI897" s="6" t="n"/>
      <c r="AJ897" s="6" t="n"/>
      <c r="AK897" s="6" t="n"/>
      <c r="AL897" s="3">
        <f>IF(tblOrdenes[[#This Row],[link_checklist]]="","",HYPERLINK(p_ruta_base_checklists&amp;tblOrdenes[[#This Row],[link_checklist]],"abrir"))</f>
        <v/>
      </c>
      <c r="AM897" s="6" t="n"/>
      <c r="AN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Row],[tipo_ot]]="","",_xlfn.XLOOKUP(tblOrdenes[[#This Row],[tipo_ot]],tblTiposOT[codigo],tblTiposOT[clasificacion],"sin_clasificar"))</f>
        <v/>
      </c>
      <c r="T898" s="3">
        <f>IF(tblOrdenes[[#This Row],[centro_costo]]="","",_xlfn.XLOOKUP(tblOrdenes[[#This Row],[centro_costo]],tblCECO[codigo],tblCECO[linea],"(sin catálogo)"))</f>
        <v/>
      </c>
      <c r="U898" s="3">
        <f>IF(tblOrdenes[[#This Row],[centro_costo]]="","",_xlfn.XLOOKUP(tblOrdenes[[#This Row],[centro_costo]],tblCECO[codigo],tblCECO[area],"(sin catálogo)"))</f>
        <v/>
      </c>
      <c r="V898" s="3">
        <f>IF(tblOrdenes[[#This Row],[centro_costo]]="","",_xlfn.XLOOKUP(tblOrdenes[[#This Row],[centro_costo]],tblCECO[codigo],tblCECO[coordinador],"(sin catálogo)"))</f>
        <v/>
      </c>
      <c r="W898" s="3">
        <f>IF(tblOrdenes[[#This Row],[puesto_trabajo]]="","",_xlfn.XLOOKUP(tblOrdenes[[#This Row],[puesto_trabajo]],tblPuestos[codigo],tblPuestos[especialidad],"(sin catálogo)"))</f>
        <v/>
      </c>
      <c r="X898" s="3">
        <f>IF(tblOrdenes[[#This Row],[cod_actividad]]="","",_xlfn.XLOOKUP(tblOrdenes[[#This Row],[cod_actividad]],tblActividades[codigo],tblActividades[descripcion],"(sin catálogo)"))</f>
        <v/>
      </c>
      <c r="Y898" s="12">
        <f>IF(tblOrdenes[[#This Row],[fecha_inicio]]="","",TODAY()-tblOrdenes[[#This Row],[fecha_inicio]])</f>
        <v/>
      </c>
      <c r="Z898" s="3">
        <f>IF(tblOrdenes[[#This Row],[backlog_dias]]="","",IF(tblOrdenes[[#This Row],[backlog_dias]]&lt;0,"FUTURO",IF(tblOrdenes[[#This Row],[backlog_dias]]&gt;p_dias_backlog_max,"BACKLOG","MES CORRIENTE")))</f>
        <v/>
      </c>
      <c r="AA898" s="3">
        <f>IF(tblOrdenes[[#This Row],[backlog_dias]]="",FALSE,AND(tblOrdenes[[#This Row],[backlog_dias]]&gt;p_dias_backlog_min,tblOrdenes[[#This Row],[backlog_dias]]&lt;=p_dias_backlog_max))</f>
        <v/>
      </c>
      <c r="AB898" s="6" t="n"/>
      <c r="AC8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8" s="10">
        <f>IF(tblOrdenes[[#This Row],[orden]]="","",_xlfn.XLOOKUP(tblOrdenes[[#This Row],[id_operacion]],tblEjecucion[id_operacion],tblEjecucion[precio],0))</f>
        <v/>
      </c>
      <c r="AG898" s="10">
        <f>IF(tblOrdenes[[#This Row],[orden]]="","",MAX(0,_xlfn.XLOOKUP(tblOrdenes[[#This Row],[id_operacion]],tblEjecucion[id_operacion],tblEjecucion[costo_plan_total],0)-tblOrdenes[[#This Row],[costo_servicio]]))</f>
        <v/>
      </c>
      <c r="AH898" s="10">
        <f>IF(tblOrdenes[[#This Row],[orden]]="","",tblOrdenes[[#This Row],[costo_servicio]]+tblOrdenes[[#This Row],[costo_materiales]])</f>
        <v/>
      </c>
      <c r="AI898" s="6" t="n"/>
      <c r="AJ898" s="6" t="n"/>
      <c r="AK898" s="6" t="n"/>
      <c r="AL898" s="3">
        <f>IF(tblOrdenes[[#This Row],[link_checklist]]="","",HYPERLINK(p_ruta_base_checklists&amp;tblOrdenes[[#This Row],[link_checklist]],"abrir"))</f>
        <v/>
      </c>
      <c r="AM898" s="6" t="n"/>
      <c r="AN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Row],[tipo_ot]]="","",_xlfn.XLOOKUP(tblOrdenes[[#This Row],[tipo_ot]],tblTiposOT[codigo],tblTiposOT[clasificacion],"sin_clasificar"))</f>
        <v/>
      </c>
      <c r="T899" s="3">
        <f>IF(tblOrdenes[[#This Row],[centro_costo]]="","",_xlfn.XLOOKUP(tblOrdenes[[#This Row],[centro_costo]],tblCECO[codigo],tblCECO[linea],"(sin catálogo)"))</f>
        <v/>
      </c>
      <c r="U899" s="3">
        <f>IF(tblOrdenes[[#This Row],[centro_costo]]="","",_xlfn.XLOOKUP(tblOrdenes[[#This Row],[centro_costo]],tblCECO[codigo],tblCECO[area],"(sin catálogo)"))</f>
        <v/>
      </c>
      <c r="V899" s="3">
        <f>IF(tblOrdenes[[#This Row],[centro_costo]]="","",_xlfn.XLOOKUP(tblOrdenes[[#This Row],[centro_costo]],tblCECO[codigo],tblCECO[coordinador],"(sin catálogo)"))</f>
        <v/>
      </c>
      <c r="W899" s="3">
        <f>IF(tblOrdenes[[#This Row],[puesto_trabajo]]="","",_xlfn.XLOOKUP(tblOrdenes[[#This Row],[puesto_trabajo]],tblPuestos[codigo],tblPuestos[especialidad],"(sin catálogo)"))</f>
        <v/>
      </c>
      <c r="X899" s="3">
        <f>IF(tblOrdenes[[#This Row],[cod_actividad]]="","",_xlfn.XLOOKUP(tblOrdenes[[#This Row],[cod_actividad]],tblActividades[codigo],tblActividades[descripcion],"(sin catálogo)"))</f>
        <v/>
      </c>
      <c r="Y899" s="12">
        <f>IF(tblOrdenes[[#This Row],[fecha_inicio]]="","",TODAY()-tblOrdenes[[#This Row],[fecha_inicio]])</f>
        <v/>
      </c>
      <c r="Z899" s="3">
        <f>IF(tblOrdenes[[#This Row],[backlog_dias]]="","",IF(tblOrdenes[[#This Row],[backlog_dias]]&lt;0,"FUTURO",IF(tblOrdenes[[#This Row],[backlog_dias]]&gt;p_dias_backlog_max,"BACKLOG","MES CORRIENTE")))</f>
        <v/>
      </c>
      <c r="AA899" s="3">
        <f>IF(tblOrdenes[[#This Row],[backlog_dias]]="",FALSE,AND(tblOrdenes[[#This Row],[backlog_dias]]&gt;p_dias_backlog_min,tblOrdenes[[#This Row],[backlog_dias]]&lt;=p_dias_backlog_max))</f>
        <v/>
      </c>
      <c r="AB899" s="6" t="n"/>
      <c r="AC8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9" s="10">
        <f>IF(tblOrdenes[[#This Row],[orden]]="","",_xlfn.XLOOKUP(tblOrdenes[[#This Row],[id_operacion]],tblEjecucion[id_operacion],tblEjecucion[precio],0))</f>
        <v/>
      </c>
      <c r="AG899" s="10">
        <f>IF(tblOrdenes[[#This Row],[orden]]="","",MAX(0,_xlfn.XLOOKUP(tblOrdenes[[#This Row],[id_operacion]],tblEjecucion[id_operacion],tblEjecucion[costo_plan_total],0)-tblOrdenes[[#This Row],[costo_servicio]]))</f>
        <v/>
      </c>
      <c r="AH899" s="10">
        <f>IF(tblOrdenes[[#This Row],[orden]]="","",tblOrdenes[[#This Row],[costo_servicio]]+tblOrdenes[[#This Row],[costo_materiales]])</f>
        <v/>
      </c>
      <c r="AI899" s="6" t="n"/>
      <c r="AJ899" s="6" t="n"/>
      <c r="AK899" s="6" t="n"/>
      <c r="AL899" s="3">
        <f>IF(tblOrdenes[[#This Row],[link_checklist]]="","",HYPERLINK(p_ruta_base_checklists&amp;tblOrdenes[[#This Row],[link_checklist]],"abrir"))</f>
        <v/>
      </c>
      <c r="AM899" s="6" t="n"/>
      <c r="AN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Row],[tipo_ot]]="","",_xlfn.XLOOKUP(tblOrdenes[[#This Row],[tipo_ot]],tblTiposOT[codigo],tblTiposOT[clasificacion],"sin_clasificar"))</f>
        <v/>
      </c>
      <c r="T900" s="3">
        <f>IF(tblOrdenes[[#This Row],[centro_costo]]="","",_xlfn.XLOOKUP(tblOrdenes[[#This Row],[centro_costo]],tblCECO[codigo],tblCECO[linea],"(sin catálogo)"))</f>
        <v/>
      </c>
      <c r="U900" s="3">
        <f>IF(tblOrdenes[[#This Row],[centro_costo]]="","",_xlfn.XLOOKUP(tblOrdenes[[#This Row],[centro_costo]],tblCECO[codigo],tblCECO[area],"(sin catálogo)"))</f>
        <v/>
      </c>
      <c r="V900" s="3">
        <f>IF(tblOrdenes[[#This Row],[centro_costo]]="","",_xlfn.XLOOKUP(tblOrdenes[[#This Row],[centro_costo]],tblCECO[codigo],tblCECO[coordinador],"(sin catálogo)"))</f>
        <v/>
      </c>
      <c r="W900" s="3">
        <f>IF(tblOrdenes[[#This Row],[puesto_trabajo]]="","",_xlfn.XLOOKUP(tblOrdenes[[#This Row],[puesto_trabajo]],tblPuestos[codigo],tblPuestos[especialidad],"(sin catálogo)"))</f>
        <v/>
      </c>
      <c r="X900" s="3">
        <f>IF(tblOrdenes[[#This Row],[cod_actividad]]="","",_xlfn.XLOOKUP(tblOrdenes[[#This Row],[cod_actividad]],tblActividades[codigo],tblActividades[descripcion],"(sin catálogo)"))</f>
        <v/>
      </c>
      <c r="Y900" s="12">
        <f>IF(tblOrdenes[[#This Row],[fecha_inicio]]="","",TODAY()-tblOrdenes[[#This Row],[fecha_inicio]])</f>
        <v/>
      </c>
      <c r="Z900" s="3">
        <f>IF(tblOrdenes[[#This Row],[backlog_dias]]="","",IF(tblOrdenes[[#This Row],[backlog_dias]]&lt;0,"FUTURO",IF(tblOrdenes[[#This Row],[backlog_dias]]&gt;p_dias_backlog_max,"BACKLOG","MES CORRIENTE")))</f>
        <v/>
      </c>
      <c r="AA900" s="3">
        <f>IF(tblOrdenes[[#This Row],[backlog_dias]]="",FALSE,AND(tblOrdenes[[#This Row],[backlog_dias]]&gt;p_dias_backlog_min,tblOrdenes[[#This Row],[backlog_dias]]&lt;=p_dias_backlog_max))</f>
        <v/>
      </c>
      <c r="AB900" s="6" t="n"/>
      <c r="AC9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0" s="10">
        <f>IF(tblOrdenes[[#This Row],[orden]]="","",_xlfn.XLOOKUP(tblOrdenes[[#This Row],[id_operacion]],tblEjecucion[id_operacion],tblEjecucion[precio],0))</f>
        <v/>
      </c>
      <c r="AG900" s="10">
        <f>IF(tblOrdenes[[#This Row],[orden]]="","",MAX(0,_xlfn.XLOOKUP(tblOrdenes[[#This Row],[id_operacion]],tblEjecucion[id_operacion],tblEjecucion[costo_plan_total],0)-tblOrdenes[[#This Row],[costo_servicio]]))</f>
        <v/>
      </c>
      <c r="AH900" s="10">
        <f>IF(tblOrdenes[[#This Row],[orden]]="","",tblOrdenes[[#This Row],[costo_servicio]]+tblOrdenes[[#This Row],[costo_materiales]])</f>
        <v/>
      </c>
      <c r="AI900" s="6" t="n"/>
      <c r="AJ900" s="6" t="n"/>
      <c r="AK900" s="6" t="n"/>
      <c r="AL900" s="3">
        <f>IF(tblOrdenes[[#This Row],[link_checklist]]="","",HYPERLINK(p_ruta_base_checklists&amp;tblOrdenes[[#This Row],[link_checklist]],"abrir"))</f>
        <v/>
      </c>
      <c r="AM900" s="6" t="n"/>
      <c r="AN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Row],[tipo_ot]]="","",_xlfn.XLOOKUP(tblOrdenes[[#This Row],[tipo_ot]],tblTiposOT[codigo],tblTiposOT[clasificacion],"sin_clasificar"))</f>
        <v/>
      </c>
      <c r="T901" s="3">
        <f>IF(tblOrdenes[[#This Row],[centro_costo]]="","",_xlfn.XLOOKUP(tblOrdenes[[#This Row],[centro_costo]],tblCECO[codigo],tblCECO[linea],"(sin catálogo)"))</f>
        <v/>
      </c>
      <c r="U901" s="3">
        <f>IF(tblOrdenes[[#This Row],[centro_costo]]="","",_xlfn.XLOOKUP(tblOrdenes[[#This Row],[centro_costo]],tblCECO[codigo],tblCECO[area],"(sin catálogo)"))</f>
        <v/>
      </c>
      <c r="V901" s="3">
        <f>IF(tblOrdenes[[#This Row],[centro_costo]]="","",_xlfn.XLOOKUP(tblOrdenes[[#This Row],[centro_costo]],tblCECO[codigo],tblCECO[coordinador],"(sin catálogo)"))</f>
        <v/>
      </c>
      <c r="W901" s="3">
        <f>IF(tblOrdenes[[#This Row],[puesto_trabajo]]="","",_xlfn.XLOOKUP(tblOrdenes[[#This Row],[puesto_trabajo]],tblPuestos[codigo],tblPuestos[especialidad],"(sin catálogo)"))</f>
        <v/>
      </c>
      <c r="X901" s="3">
        <f>IF(tblOrdenes[[#This Row],[cod_actividad]]="","",_xlfn.XLOOKUP(tblOrdenes[[#This Row],[cod_actividad]],tblActividades[codigo],tblActividades[descripcion],"(sin catálogo)"))</f>
        <v/>
      </c>
      <c r="Y901" s="12">
        <f>IF(tblOrdenes[[#This Row],[fecha_inicio]]="","",TODAY()-tblOrdenes[[#This Row],[fecha_inicio]])</f>
        <v/>
      </c>
      <c r="Z901" s="3">
        <f>IF(tblOrdenes[[#This Row],[backlog_dias]]="","",IF(tblOrdenes[[#This Row],[backlog_dias]]&lt;0,"FUTURO",IF(tblOrdenes[[#This Row],[backlog_dias]]&gt;p_dias_backlog_max,"BACKLOG","MES CORRIENTE")))</f>
        <v/>
      </c>
      <c r="AA901" s="3">
        <f>IF(tblOrdenes[[#This Row],[backlog_dias]]="",FALSE,AND(tblOrdenes[[#This Row],[backlog_dias]]&gt;p_dias_backlog_min,tblOrdenes[[#This Row],[backlog_dias]]&lt;=p_dias_backlog_max))</f>
        <v/>
      </c>
      <c r="AB901" s="6" t="n"/>
      <c r="AC9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1" s="10">
        <f>IF(tblOrdenes[[#This Row],[orden]]="","",_xlfn.XLOOKUP(tblOrdenes[[#This Row],[id_operacion]],tblEjecucion[id_operacion],tblEjecucion[precio],0))</f>
        <v/>
      </c>
      <c r="AG901" s="10">
        <f>IF(tblOrdenes[[#This Row],[orden]]="","",MAX(0,_xlfn.XLOOKUP(tblOrdenes[[#This Row],[id_operacion]],tblEjecucion[id_operacion],tblEjecucion[costo_plan_total],0)-tblOrdenes[[#This Row],[costo_servicio]]))</f>
        <v/>
      </c>
      <c r="AH901" s="10">
        <f>IF(tblOrdenes[[#This Row],[orden]]="","",tblOrdenes[[#This Row],[costo_servicio]]+tblOrdenes[[#This Row],[costo_materiales]])</f>
        <v/>
      </c>
      <c r="AI901" s="6" t="n"/>
      <c r="AJ901" s="6" t="n"/>
      <c r="AK901" s="6" t="n"/>
      <c r="AL901" s="3">
        <f>IF(tblOrdenes[[#This Row],[link_checklist]]="","",HYPERLINK(p_ruta_base_checklists&amp;tblOrdenes[[#This Row],[link_checklist]],"abrir"))</f>
        <v/>
      </c>
      <c r="AM901" s="6" t="n"/>
      <c r="AN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Row],[tipo_ot]]="","",_xlfn.XLOOKUP(tblOrdenes[[#This Row],[tipo_ot]],tblTiposOT[codigo],tblTiposOT[clasificacion],"sin_clasificar"))</f>
        <v/>
      </c>
      <c r="T902" s="3">
        <f>IF(tblOrdenes[[#This Row],[centro_costo]]="","",_xlfn.XLOOKUP(tblOrdenes[[#This Row],[centro_costo]],tblCECO[codigo],tblCECO[linea],"(sin catálogo)"))</f>
        <v/>
      </c>
      <c r="U902" s="3">
        <f>IF(tblOrdenes[[#This Row],[centro_costo]]="","",_xlfn.XLOOKUP(tblOrdenes[[#This Row],[centro_costo]],tblCECO[codigo],tblCECO[area],"(sin catálogo)"))</f>
        <v/>
      </c>
      <c r="V902" s="3">
        <f>IF(tblOrdenes[[#This Row],[centro_costo]]="","",_xlfn.XLOOKUP(tblOrdenes[[#This Row],[centro_costo]],tblCECO[codigo],tblCECO[coordinador],"(sin catálogo)"))</f>
        <v/>
      </c>
      <c r="W902" s="3">
        <f>IF(tblOrdenes[[#This Row],[puesto_trabajo]]="","",_xlfn.XLOOKUP(tblOrdenes[[#This Row],[puesto_trabajo]],tblPuestos[codigo],tblPuestos[especialidad],"(sin catálogo)"))</f>
        <v/>
      </c>
      <c r="X902" s="3">
        <f>IF(tblOrdenes[[#This Row],[cod_actividad]]="","",_xlfn.XLOOKUP(tblOrdenes[[#This Row],[cod_actividad]],tblActividades[codigo],tblActividades[descripcion],"(sin catálogo)"))</f>
        <v/>
      </c>
      <c r="Y902" s="12">
        <f>IF(tblOrdenes[[#This Row],[fecha_inicio]]="","",TODAY()-tblOrdenes[[#This Row],[fecha_inicio]])</f>
        <v/>
      </c>
      <c r="Z902" s="3">
        <f>IF(tblOrdenes[[#This Row],[backlog_dias]]="","",IF(tblOrdenes[[#This Row],[backlog_dias]]&lt;0,"FUTURO",IF(tblOrdenes[[#This Row],[backlog_dias]]&gt;p_dias_backlog_max,"BACKLOG","MES CORRIENTE")))</f>
        <v/>
      </c>
      <c r="AA902" s="3">
        <f>IF(tblOrdenes[[#This Row],[backlog_dias]]="",FALSE,AND(tblOrdenes[[#This Row],[backlog_dias]]&gt;p_dias_backlog_min,tblOrdenes[[#This Row],[backlog_dias]]&lt;=p_dias_backlog_max))</f>
        <v/>
      </c>
      <c r="AB902" s="6" t="n"/>
      <c r="AC9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2" s="10">
        <f>IF(tblOrdenes[[#This Row],[orden]]="","",_xlfn.XLOOKUP(tblOrdenes[[#This Row],[id_operacion]],tblEjecucion[id_operacion],tblEjecucion[precio],0))</f>
        <v/>
      </c>
      <c r="AG902" s="10">
        <f>IF(tblOrdenes[[#This Row],[orden]]="","",MAX(0,_xlfn.XLOOKUP(tblOrdenes[[#This Row],[id_operacion]],tblEjecucion[id_operacion],tblEjecucion[costo_plan_total],0)-tblOrdenes[[#This Row],[costo_servicio]]))</f>
        <v/>
      </c>
      <c r="AH902" s="10">
        <f>IF(tblOrdenes[[#This Row],[orden]]="","",tblOrdenes[[#This Row],[costo_servicio]]+tblOrdenes[[#This Row],[costo_materiales]])</f>
        <v/>
      </c>
      <c r="AI902" s="6" t="n"/>
      <c r="AJ902" s="6" t="n"/>
      <c r="AK902" s="6" t="n"/>
      <c r="AL902" s="3">
        <f>IF(tblOrdenes[[#This Row],[link_checklist]]="","",HYPERLINK(p_ruta_base_checklists&amp;tblOrdenes[[#This Row],[link_checklist]],"abrir"))</f>
        <v/>
      </c>
      <c r="AM902" s="6" t="n"/>
      <c r="AN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Row],[tipo_ot]]="","",_xlfn.XLOOKUP(tblOrdenes[[#This Row],[tipo_ot]],tblTiposOT[codigo],tblTiposOT[clasificacion],"sin_clasificar"))</f>
        <v/>
      </c>
      <c r="T903" s="3">
        <f>IF(tblOrdenes[[#This Row],[centro_costo]]="","",_xlfn.XLOOKUP(tblOrdenes[[#This Row],[centro_costo]],tblCECO[codigo],tblCECO[linea],"(sin catálogo)"))</f>
        <v/>
      </c>
      <c r="U903" s="3">
        <f>IF(tblOrdenes[[#This Row],[centro_costo]]="","",_xlfn.XLOOKUP(tblOrdenes[[#This Row],[centro_costo]],tblCECO[codigo],tblCECO[area],"(sin catálogo)"))</f>
        <v/>
      </c>
      <c r="V903" s="3">
        <f>IF(tblOrdenes[[#This Row],[centro_costo]]="","",_xlfn.XLOOKUP(tblOrdenes[[#This Row],[centro_costo]],tblCECO[codigo],tblCECO[coordinador],"(sin catálogo)"))</f>
        <v/>
      </c>
      <c r="W903" s="3">
        <f>IF(tblOrdenes[[#This Row],[puesto_trabajo]]="","",_xlfn.XLOOKUP(tblOrdenes[[#This Row],[puesto_trabajo]],tblPuestos[codigo],tblPuestos[especialidad],"(sin catálogo)"))</f>
        <v/>
      </c>
      <c r="X903" s="3">
        <f>IF(tblOrdenes[[#This Row],[cod_actividad]]="","",_xlfn.XLOOKUP(tblOrdenes[[#This Row],[cod_actividad]],tblActividades[codigo],tblActividades[descripcion],"(sin catálogo)"))</f>
        <v/>
      </c>
      <c r="Y903" s="12">
        <f>IF(tblOrdenes[[#This Row],[fecha_inicio]]="","",TODAY()-tblOrdenes[[#This Row],[fecha_inicio]])</f>
        <v/>
      </c>
      <c r="Z903" s="3">
        <f>IF(tblOrdenes[[#This Row],[backlog_dias]]="","",IF(tblOrdenes[[#This Row],[backlog_dias]]&lt;0,"FUTURO",IF(tblOrdenes[[#This Row],[backlog_dias]]&gt;p_dias_backlog_max,"BACKLOG","MES CORRIENTE")))</f>
        <v/>
      </c>
      <c r="AA903" s="3">
        <f>IF(tblOrdenes[[#This Row],[backlog_dias]]="",FALSE,AND(tblOrdenes[[#This Row],[backlog_dias]]&gt;p_dias_backlog_min,tblOrdenes[[#This Row],[backlog_dias]]&lt;=p_dias_backlog_max))</f>
        <v/>
      </c>
      <c r="AB903" s="6" t="n"/>
      <c r="AC9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3" s="10">
        <f>IF(tblOrdenes[[#This Row],[orden]]="","",_xlfn.XLOOKUP(tblOrdenes[[#This Row],[id_operacion]],tblEjecucion[id_operacion],tblEjecucion[precio],0))</f>
        <v/>
      </c>
      <c r="AG903" s="10">
        <f>IF(tblOrdenes[[#This Row],[orden]]="","",MAX(0,_xlfn.XLOOKUP(tblOrdenes[[#This Row],[id_operacion]],tblEjecucion[id_operacion],tblEjecucion[costo_plan_total],0)-tblOrdenes[[#This Row],[costo_servicio]]))</f>
        <v/>
      </c>
      <c r="AH903" s="10">
        <f>IF(tblOrdenes[[#This Row],[orden]]="","",tblOrdenes[[#This Row],[costo_servicio]]+tblOrdenes[[#This Row],[costo_materiales]])</f>
        <v/>
      </c>
      <c r="AI903" s="6" t="n"/>
      <c r="AJ903" s="6" t="n"/>
      <c r="AK903" s="6" t="n"/>
      <c r="AL903" s="3">
        <f>IF(tblOrdenes[[#This Row],[link_checklist]]="","",HYPERLINK(p_ruta_base_checklists&amp;tblOrdenes[[#This Row],[link_checklist]],"abrir"))</f>
        <v/>
      </c>
      <c r="AM903" s="6" t="n"/>
      <c r="AN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Row],[tipo_ot]]="","",_xlfn.XLOOKUP(tblOrdenes[[#This Row],[tipo_ot]],tblTiposOT[codigo],tblTiposOT[clasificacion],"sin_clasificar"))</f>
        <v/>
      </c>
      <c r="T904" s="3">
        <f>IF(tblOrdenes[[#This Row],[centro_costo]]="","",_xlfn.XLOOKUP(tblOrdenes[[#This Row],[centro_costo]],tblCECO[codigo],tblCECO[linea],"(sin catálogo)"))</f>
        <v/>
      </c>
      <c r="U904" s="3">
        <f>IF(tblOrdenes[[#This Row],[centro_costo]]="","",_xlfn.XLOOKUP(tblOrdenes[[#This Row],[centro_costo]],tblCECO[codigo],tblCECO[area],"(sin catálogo)"))</f>
        <v/>
      </c>
      <c r="V904" s="3">
        <f>IF(tblOrdenes[[#This Row],[centro_costo]]="","",_xlfn.XLOOKUP(tblOrdenes[[#This Row],[centro_costo]],tblCECO[codigo],tblCECO[coordinador],"(sin catálogo)"))</f>
        <v/>
      </c>
      <c r="W904" s="3">
        <f>IF(tblOrdenes[[#This Row],[puesto_trabajo]]="","",_xlfn.XLOOKUP(tblOrdenes[[#This Row],[puesto_trabajo]],tblPuestos[codigo],tblPuestos[especialidad],"(sin catálogo)"))</f>
        <v/>
      </c>
      <c r="X904" s="3">
        <f>IF(tblOrdenes[[#This Row],[cod_actividad]]="","",_xlfn.XLOOKUP(tblOrdenes[[#This Row],[cod_actividad]],tblActividades[codigo],tblActividades[descripcion],"(sin catálogo)"))</f>
        <v/>
      </c>
      <c r="Y904" s="12">
        <f>IF(tblOrdenes[[#This Row],[fecha_inicio]]="","",TODAY()-tblOrdenes[[#This Row],[fecha_inicio]])</f>
        <v/>
      </c>
      <c r="Z904" s="3">
        <f>IF(tblOrdenes[[#This Row],[backlog_dias]]="","",IF(tblOrdenes[[#This Row],[backlog_dias]]&lt;0,"FUTURO",IF(tblOrdenes[[#This Row],[backlog_dias]]&gt;p_dias_backlog_max,"BACKLOG","MES CORRIENTE")))</f>
        <v/>
      </c>
      <c r="AA904" s="3">
        <f>IF(tblOrdenes[[#This Row],[backlog_dias]]="",FALSE,AND(tblOrdenes[[#This Row],[backlog_dias]]&gt;p_dias_backlog_min,tblOrdenes[[#This Row],[backlog_dias]]&lt;=p_dias_backlog_max))</f>
        <v/>
      </c>
      <c r="AB904" s="6" t="n"/>
      <c r="AC9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4" s="10">
        <f>IF(tblOrdenes[[#This Row],[orden]]="","",_xlfn.XLOOKUP(tblOrdenes[[#This Row],[id_operacion]],tblEjecucion[id_operacion],tblEjecucion[precio],0))</f>
        <v/>
      </c>
      <c r="AG904" s="10">
        <f>IF(tblOrdenes[[#This Row],[orden]]="","",MAX(0,_xlfn.XLOOKUP(tblOrdenes[[#This Row],[id_operacion]],tblEjecucion[id_operacion],tblEjecucion[costo_plan_total],0)-tblOrdenes[[#This Row],[costo_servicio]]))</f>
        <v/>
      </c>
      <c r="AH904" s="10">
        <f>IF(tblOrdenes[[#This Row],[orden]]="","",tblOrdenes[[#This Row],[costo_servicio]]+tblOrdenes[[#This Row],[costo_materiales]])</f>
        <v/>
      </c>
      <c r="AI904" s="6" t="n"/>
      <c r="AJ904" s="6" t="n"/>
      <c r="AK904" s="6" t="n"/>
      <c r="AL904" s="3">
        <f>IF(tblOrdenes[[#This Row],[link_checklist]]="","",HYPERLINK(p_ruta_base_checklists&amp;tblOrdenes[[#This Row],[link_checklist]],"abrir"))</f>
        <v/>
      </c>
      <c r="AM904" s="6" t="n"/>
      <c r="AN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Row],[tipo_ot]]="","",_xlfn.XLOOKUP(tblOrdenes[[#This Row],[tipo_ot]],tblTiposOT[codigo],tblTiposOT[clasificacion],"sin_clasificar"))</f>
        <v/>
      </c>
      <c r="T905" s="3">
        <f>IF(tblOrdenes[[#This Row],[centro_costo]]="","",_xlfn.XLOOKUP(tblOrdenes[[#This Row],[centro_costo]],tblCECO[codigo],tblCECO[linea],"(sin catálogo)"))</f>
        <v/>
      </c>
      <c r="U905" s="3">
        <f>IF(tblOrdenes[[#This Row],[centro_costo]]="","",_xlfn.XLOOKUP(tblOrdenes[[#This Row],[centro_costo]],tblCECO[codigo],tblCECO[area],"(sin catálogo)"))</f>
        <v/>
      </c>
      <c r="V905" s="3">
        <f>IF(tblOrdenes[[#This Row],[centro_costo]]="","",_xlfn.XLOOKUP(tblOrdenes[[#This Row],[centro_costo]],tblCECO[codigo],tblCECO[coordinador],"(sin catálogo)"))</f>
        <v/>
      </c>
      <c r="W905" s="3">
        <f>IF(tblOrdenes[[#This Row],[puesto_trabajo]]="","",_xlfn.XLOOKUP(tblOrdenes[[#This Row],[puesto_trabajo]],tblPuestos[codigo],tblPuestos[especialidad],"(sin catálogo)"))</f>
        <v/>
      </c>
      <c r="X905" s="3">
        <f>IF(tblOrdenes[[#This Row],[cod_actividad]]="","",_xlfn.XLOOKUP(tblOrdenes[[#This Row],[cod_actividad]],tblActividades[codigo],tblActividades[descripcion],"(sin catálogo)"))</f>
        <v/>
      </c>
      <c r="Y905" s="12">
        <f>IF(tblOrdenes[[#This Row],[fecha_inicio]]="","",TODAY()-tblOrdenes[[#This Row],[fecha_inicio]])</f>
        <v/>
      </c>
      <c r="Z905" s="3">
        <f>IF(tblOrdenes[[#This Row],[backlog_dias]]="","",IF(tblOrdenes[[#This Row],[backlog_dias]]&lt;0,"FUTURO",IF(tblOrdenes[[#This Row],[backlog_dias]]&gt;p_dias_backlog_max,"BACKLOG","MES CORRIENTE")))</f>
        <v/>
      </c>
      <c r="AA905" s="3">
        <f>IF(tblOrdenes[[#This Row],[backlog_dias]]="",FALSE,AND(tblOrdenes[[#This Row],[backlog_dias]]&gt;p_dias_backlog_min,tblOrdenes[[#This Row],[backlog_dias]]&lt;=p_dias_backlog_max))</f>
        <v/>
      </c>
      <c r="AB905" s="6" t="n"/>
      <c r="AC9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5" s="10">
        <f>IF(tblOrdenes[[#This Row],[orden]]="","",_xlfn.XLOOKUP(tblOrdenes[[#This Row],[id_operacion]],tblEjecucion[id_operacion],tblEjecucion[precio],0))</f>
        <v/>
      </c>
      <c r="AG905" s="10">
        <f>IF(tblOrdenes[[#This Row],[orden]]="","",MAX(0,_xlfn.XLOOKUP(tblOrdenes[[#This Row],[id_operacion]],tblEjecucion[id_operacion],tblEjecucion[costo_plan_total],0)-tblOrdenes[[#This Row],[costo_servicio]]))</f>
        <v/>
      </c>
      <c r="AH905" s="10">
        <f>IF(tblOrdenes[[#This Row],[orden]]="","",tblOrdenes[[#This Row],[costo_servicio]]+tblOrdenes[[#This Row],[costo_materiales]])</f>
        <v/>
      </c>
      <c r="AI905" s="6" t="n"/>
      <c r="AJ905" s="6" t="n"/>
      <c r="AK905" s="6" t="n"/>
      <c r="AL905" s="3">
        <f>IF(tblOrdenes[[#This Row],[link_checklist]]="","",HYPERLINK(p_ruta_base_checklists&amp;tblOrdenes[[#This Row],[link_checklist]],"abrir"))</f>
        <v/>
      </c>
      <c r="AM905" s="6" t="n"/>
      <c r="AN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Row],[tipo_ot]]="","",_xlfn.XLOOKUP(tblOrdenes[[#This Row],[tipo_ot]],tblTiposOT[codigo],tblTiposOT[clasificacion],"sin_clasificar"))</f>
        <v/>
      </c>
      <c r="T906" s="3">
        <f>IF(tblOrdenes[[#This Row],[centro_costo]]="","",_xlfn.XLOOKUP(tblOrdenes[[#This Row],[centro_costo]],tblCECO[codigo],tblCECO[linea],"(sin catálogo)"))</f>
        <v/>
      </c>
      <c r="U906" s="3">
        <f>IF(tblOrdenes[[#This Row],[centro_costo]]="","",_xlfn.XLOOKUP(tblOrdenes[[#This Row],[centro_costo]],tblCECO[codigo],tblCECO[area],"(sin catálogo)"))</f>
        <v/>
      </c>
      <c r="V906" s="3">
        <f>IF(tblOrdenes[[#This Row],[centro_costo]]="","",_xlfn.XLOOKUP(tblOrdenes[[#This Row],[centro_costo]],tblCECO[codigo],tblCECO[coordinador],"(sin catálogo)"))</f>
        <v/>
      </c>
      <c r="W906" s="3">
        <f>IF(tblOrdenes[[#This Row],[puesto_trabajo]]="","",_xlfn.XLOOKUP(tblOrdenes[[#This Row],[puesto_trabajo]],tblPuestos[codigo],tblPuestos[especialidad],"(sin catálogo)"))</f>
        <v/>
      </c>
      <c r="X906" s="3">
        <f>IF(tblOrdenes[[#This Row],[cod_actividad]]="","",_xlfn.XLOOKUP(tblOrdenes[[#This Row],[cod_actividad]],tblActividades[codigo],tblActividades[descripcion],"(sin catálogo)"))</f>
        <v/>
      </c>
      <c r="Y906" s="12">
        <f>IF(tblOrdenes[[#This Row],[fecha_inicio]]="","",TODAY()-tblOrdenes[[#This Row],[fecha_inicio]])</f>
        <v/>
      </c>
      <c r="Z906" s="3">
        <f>IF(tblOrdenes[[#This Row],[backlog_dias]]="","",IF(tblOrdenes[[#This Row],[backlog_dias]]&lt;0,"FUTURO",IF(tblOrdenes[[#This Row],[backlog_dias]]&gt;p_dias_backlog_max,"BACKLOG","MES CORRIENTE")))</f>
        <v/>
      </c>
      <c r="AA906" s="3">
        <f>IF(tblOrdenes[[#This Row],[backlog_dias]]="",FALSE,AND(tblOrdenes[[#This Row],[backlog_dias]]&gt;p_dias_backlog_min,tblOrdenes[[#This Row],[backlog_dias]]&lt;=p_dias_backlog_max))</f>
        <v/>
      </c>
      <c r="AB906" s="6" t="n"/>
      <c r="AC9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6" s="10">
        <f>IF(tblOrdenes[[#This Row],[orden]]="","",_xlfn.XLOOKUP(tblOrdenes[[#This Row],[id_operacion]],tblEjecucion[id_operacion],tblEjecucion[precio],0))</f>
        <v/>
      </c>
      <c r="AG906" s="10">
        <f>IF(tblOrdenes[[#This Row],[orden]]="","",MAX(0,_xlfn.XLOOKUP(tblOrdenes[[#This Row],[id_operacion]],tblEjecucion[id_operacion],tblEjecucion[costo_plan_total],0)-tblOrdenes[[#This Row],[costo_servicio]]))</f>
        <v/>
      </c>
      <c r="AH906" s="10">
        <f>IF(tblOrdenes[[#This Row],[orden]]="","",tblOrdenes[[#This Row],[costo_servicio]]+tblOrdenes[[#This Row],[costo_materiales]])</f>
        <v/>
      </c>
      <c r="AI906" s="6" t="n"/>
      <c r="AJ906" s="6" t="n"/>
      <c r="AK906" s="6" t="n"/>
      <c r="AL906" s="3">
        <f>IF(tblOrdenes[[#This Row],[link_checklist]]="","",HYPERLINK(p_ruta_base_checklists&amp;tblOrdenes[[#This Row],[link_checklist]],"abrir"))</f>
        <v/>
      </c>
      <c r="AM906" s="6" t="n"/>
      <c r="AN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Row],[tipo_ot]]="","",_xlfn.XLOOKUP(tblOrdenes[[#This Row],[tipo_ot]],tblTiposOT[codigo],tblTiposOT[clasificacion],"sin_clasificar"))</f>
        <v/>
      </c>
      <c r="T907" s="3">
        <f>IF(tblOrdenes[[#This Row],[centro_costo]]="","",_xlfn.XLOOKUP(tblOrdenes[[#This Row],[centro_costo]],tblCECO[codigo],tblCECO[linea],"(sin catálogo)"))</f>
        <v/>
      </c>
      <c r="U907" s="3">
        <f>IF(tblOrdenes[[#This Row],[centro_costo]]="","",_xlfn.XLOOKUP(tblOrdenes[[#This Row],[centro_costo]],tblCECO[codigo],tblCECO[area],"(sin catálogo)"))</f>
        <v/>
      </c>
      <c r="V907" s="3">
        <f>IF(tblOrdenes[[#This Row],[centro_costo]]="","",_xlfn.XLOOKUP(tblOrdenes[[#This Row],[centro_costo]],tblCECO[codigo],tblCECO[coordinador],"(sin catálogo)"))</f>
        <v/>
      </c>
      <c r="W907" s="3">
        <f>IF(tblOrdenes[[#This Row],[puesto_trabajo]]="","",_xlfn.XLOOKUP(tblOrdenes[[#This Row],[puesto_trabajo]],tblPuestos[codigo],tblPuestos[especialidad],"(sin catálogo)"))</f>
        <v/>
      </c>
      <c r="X907" s="3">
        <f>IF(tblOrdenes[[#This Row],[cod_actividad]]="","",_xlfn.XLOOKUP(tblOrdenes[[#This Row],[cod_actividad]],tblActividades[codigo],tblActividades[descripcion],"(sin catálogo)"))</f>
        <v/>
      </c>
      <c r="Y907" s="12">
        <f>IF(tblOrdenes[[#This Row],[fecha_inicio]]="","",TODAY()-tblOrdenes[[#This Row],[fecha_inicio]])</f>
        <v/>
      </c>
      <c r="Z907" s="3">
        <f>IF(tblOrdenes[[#This Row],[backlog_dias]]="","",IF(tblOrdenes[[#This Row],[backlog_dias]]&lt;0,"FUTURO",IF(tblOrdenes[[#This Row],[backlog_dias]]&gt;p_dias_backlog_max,"BACKLOG","MES CORRIENTE")))</f>
        <v/>
      </c>
      <c r="AA907" s="3">
        <f>IF(tblOrdenes[[#This Row],[backlog_dias]]="",FALSE,AND(tblOrdenes[[#This Row],[backlog_dias]]&gt;p_dias_backlog_min,tblOrdenes[[#This Row],[backlog_dias]]&lt;=p_dias_backlog_max))</f>
        <v/>
      </c>
      <c r="AB907" s="6" t="n"/>
      <c r="AC9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7" s="10">
        <f>IF(tblOrdenes[[#This Row],[orden]]="","",_xlfn.XLOOKUP(tblOrdenes[[#This Row],[id_operacion]],tblEjecucion[id_operacion],tblEjecucion[precio],0))</f>
        <v/>
      </c>
      <c r="AG907" s="10">
        <f>IF(tblOrdenes[[#This Row],[orden]]="","",MAX(0,_xlfn.XLOOKUP(tblOrdenes[[#This Row],[id_operacion]],tblEjecucion[id_operacion],tblEjecucion[costo_plan_total],0)-tblOrdenes[[#This Row],[costo_servicio]]))</f>
        <v/>
      </c>
      <c r="AH907" s="10">
        <f>IF(tblOrdenes[[#This Row],[orden]]="","",tblOrdenes[[#This Row],[costo_servicio]]+tblOrdenes[[#This Row],[costo_materiales]])</f>
        <v/>
      </c>
      <c r="AI907" s="6" t="n"/>
      <c r="AJ907" s="6" t="n"/>
      <c r="AK907" s="6" t="n"/>
      <c r="AL907" s="3">
        <f>IF(tblOrdenes[[#This Row],[link_checklist]]="","",HYPERLINK(p_ruta_base_checklists&amp;tblOrdenes[[#This Row],[link_checklist]],"abrir"))</f>
        <v/>
      </c>
      <c r="AM907" s="6" t="n"/>
      <c r="AN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Row],[tipo_ot]]="","",_xlfn.XLOOKUP(tblOrdenes[[#This Row],[tipo_ot]],tblTiposOT[codigo],tblTiposOT[clasificacion],"sin_clasificar"))</f>
        <v/>
      </c>
      <c r="T908" s="3">
        <f>IF(tblOrdenes[[#This Row],[centro_costo]]="","",_xlfn.XLOOKUP(tblOrdenes[[#This Row],[centro_costo]],tblCECO[codigo],tblCECO[linea],"(sin catálogo)"))</f>
        <v/>
      </c>
      <c r="U908" s="3">
        <f>IF(tblOrdenes[[#This Row],[centro_costo]]="","",_xlfn.XLOOKUP(tblOrdenes[[#This Row],[centro_costo]],tblCECO[codigo],tblCECO[area],"(sin catálogo)"))</f>
        <v/>
      </c>
      <c r="V908" s="3">
        <f>IF(tblOrdenes[[#This Row],[centro_costo]]="","",_xlfn.XLOOKUP(tblOrdenes[[#This Row],[centro_costo]],tblCECO[codigo],tblCECO[coordinador],"(sin catálogo)"))</f>
        <v/>
      </c>
      <c r="W908" s="3">
        <f>IF(tblOrdenes[[#This Row],[puesto_trabajo]]="","",_xlfn.XLOOKUP(tblOrdenes[[#This Row],[puesto_trabajo]],tblPuestos[codigo],tblPuestos[especialidad],"(sin catálogo)"))</f>
        <v/>
      </c>
      <c r="X908" s="3">
        <f>IF(tblOrdenes[[#This Row],[cod_actividad]]="","",_xlfn.XLOOKUP(tblOrdenes[[#This Row],[cod_actividad]],tblActividades[codigo],tblActividades[descripcion],"(sin catálogo)"))</f>
        <v/>
      </c>
      <c r="Y908" s="12">
        <f>IF(tblOrdenes[[#This Row],[fecha_inicio]]="","",TODAY()-tblOrdenes[[#This Row],[fecha_inicio]])</f>
        <v/>
      </c>
      <c r="Z908" s="3">
        <f>IF(tblOrdenes[[#This Row],[backlog_dias]]="","",IF(tblOrdenes[[#This Row],[backlog_dias]]&lt;0,"FUTURO",IF(tblOrdenes[[#This Row],[backlog_dias]]&gt;p_dias_backlog_max,"BACKLOG","MES CORRIENTE")))</f>
        <v/>
      </c>
      <c r="AA908" s="3">
        <f>IF(tblOrdenes[[#This Row],[backlog_dias]]="",FALSE,AND(tblOrdenes[[#This Row],[backlog_dias]]&gt;p_dias_backlog_min,tblOrdenes[[#This Row],[backlog_dias]]&lt;=p_dias_backlog_max))</f>
        <v/>
      </c>
      <c r="AB908" s="6" t="n"/>
      <c r="AC9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8" s="10">
        <f>IF(tblOrdenes[[#This Row],[orden]]="","",_xlfn.XLOOKUP(tblOrdenes[[#This Row],[id_operacion]],tblEjecucion[id_operacion],tblEjecucion[precio],0))</f>
        <v/>
      </c>
      <c r="AG908" s="10">
        <f>IF(tblOrdenes[[#This Row],[orden]]="","",MAX(0,_xlfn.XLOOKUP(tblOrdenes[[#This Row],[id_operacion]],tblEjecucion[id_operacion],tblEjecucion[costo_plan_total],0)-tblOrdenes[[#This Row],[costo_servicio]]))</f>
        <v/>
      </c>
      <c r="AH908" s="10">
        <f>IF(tblOrdenes[[#This Row],[orden]]="","",tblOrdenes[[#This Row],[costo_servicio]]+tblOrdenes[[#This Row],[costo_materiales]])</f>
        <v/>
      </c>
      <c r="AI908" s="6" t="n"/>
      <c r="AJ908" s="6" t="n"/>
      <c r="AK908" s="6" t="n"/>
      <c r="AL908" s="3">
        <f>IF(tblOrdenes[[#This Row],[link_checklist]]="","",HYPERLINK(p_ruta_base_checklists&amp;tblOrdenes[[#This Row],[link_checklist]],"abrir"))</f>
        <v/>
      </c>
      <c r="AM908" s="6" t="n"/>
      <c r="AN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Row],[tipo_ot]]="","",_xlfn.XLOOKUP(tblOrdenes[[#This Row],[tipo_ot]],tblTiposOT[codigo],tblTiposOT[clasificacion],"sin_clasificar"))</f>
        <v/>
      </c>
      <c r="T909" s="3">
        <f>IF(tblOrdenes[[#This Row],[centro_costo]]="","",_xlfn.XLOOKUP(tblOrdenes[[#This Row],[centro_costo]],tblCECO[codigo],tblCECO[linea],"(sin catálogo)"))</f>
        <v/>
      </c>
      <c r="U909" s="3">
        <f>IF(tblOrdenes[[#This Row],[centro_costo]]="","",_xlfn.XLOOKUP(tblOrdenes[[#This Row],[centro_costo]],tblCECO[codigo],tblCECO[area],"(sin catálogo)"))</f>
        <v/>
      </c>
      <c r="V909" s="3">
        <f>IF(tblOrdenes[[#This Row],[centro_costo]]="","",_xlfn.XLOOKUP(tblOrdenes[[#This Row],[centro_costo]],tblCECO[codigo],tblCECO[coordinador],"(sin catálogo)"))</f>
        <v/>
      </c>
      <c r="W909" s="3">
        <f>IF(tblOrdenes[[#This Row],[puesto_trabajo]]="","",_xlfn.XLOOKUP(tblOrdenes[[#This Row],[puesto_trabajo]],tblPuestos[codigo],tblPuestos[especialidad],"(sin catálogo)"))</f>
        <v/>
      </c>
      <c r="X909" s="3">
        <f>IF(tblOrdenes[[#This Row],[cod_actividad]]="","",_xlfn.XLOOKUP(tblOrdenes[[#This Row],[cod_actividad]],tblActividades[codigo],tblActividades[descripcion],"(sin catálogo)"))</f>
        <v/>
      </c>
      <c r="Y909" s="12">
        <f>IF(tblOrdenes[[#This Row],[fecha_inicio]]="","",TODAY()-tblOrdenes[[#This Row],[fecha_inicio]])</f>
        <v/>
      </c>
      <c r="Z909" s="3">
        <f>IF(tblOrdenes[[#This Row],[backlog_dias]]="","",IF(tblOrdenes[[#This Row],[backlog_dias]]&lt;0,"FUTURO",IF(tblOrdenes[[#This Row],[backlog_dias]]&gt;p_dias_backlog_max,"BACKLOG","MES CORRIENTE")))</f>
        <v/>
      </c>
      <c r="AA909" s="3">
        <f>IF(tblOrdenes[[#This Row],[backlog_dias]]="",FALSE,AND(tblOrdenes[[#This Row],[backlog_dias]]&gt;p_dias_backlog_min,tblOrdenes[[#This Row],[backlog_dias]]&lt;=p_dias_backlog_max))</f>
        <v/>
      </c>
      <c r="AB909" s="6" t="n"/>
      <c r="AC9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9" s="10">
        <f>IF(tblOrdenes[[#This Row],[orden]]="","",_xlfn.XLOOKUP(tblOrdenes[[#This Row],[id_operacion]],tblEjecucion[id_operacion],tblEjecucion[precio],0))</f>
        <v/>
      </c>
      <c r="AG909" s="10">
        <f>IF(tblOrdenes[[#This Row],[orden]]="","",MAX(0,_xlfn.XLOOKUP(tblOrdenes[[#This Row],[id_operacion]],tblEjecucion[id_operacion],tblEjecucion[costo_plan_total],0)-tblOrdenes[[#This Row],[costo_servicio]]))</f>
        <v/>
      </c>
      <c r="AH909" s="10">
        <f>IF(tblOrdenes[[#This Row],[orden]]="","",tblOrdenes[[#This Row],[costo_servicio]]+tblOrdenes[[#This Row],[costo_materiales]])</f>
        <v/>
      </c>
      <c r="AI909" s="6" t="n"/>
      <c r="AJ909" s="6" t="n"/>
      <c r="AK909" s="6" t="n"/>
      <c r="AL909" s="3">
        <f>IF(tblOrdenes[[#This Row],[link_checklist]]="","",HYPERLINK(p_ruta_base_checklists&amp;tblOrdenes[[#This Row],[link_checklist]],"abrir"))</f>
        <v/>
      </c>
      <c r="AM909" s="6" t="n"/>
      <c r="AN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Row],[tipo_ot]]="","",_xlfn.XLOOKUP(tblOrdenes[[#This Row],[tipo_ot]],tblTiposOT[codigo],tblTiposOT[clasificacion],"sin_clasificar"))</f>
        <v/>
      </c>
      <c r="T910" s="3">
        <f>IF(tblOrdenes[[#This Row],[centro_costo]]="","",_xlfn.XLOOKUP(tblOrdenes[[#This Row],[centro_costo]],tblCECO[codigo],tblCECO[linea],"(sin catálogo)"))</f>
        <v/>
      </c>
      <c r="U910" s="3">
        <f>IF(tblOrdenes[[#This Row],[centro_costo]]="","",_xlfn.XLOOKUP(tblOrdenes[[#This Row],[centro_costo]],tblCECO[codigo],tblCECO[area],"(sin catálogo)"))</f>
        <v/>
      </c>
      <c r="V910" s="3">
        <f>IF(tblOrdenes[[#This Row],[centro_costo]]="","",_xlfn.XLOOKUP(tblOrdenes[[#This Row],[centro_costo]],tblCECO[codigo],tblCECO[coordinador],"(sin catálogo)"))</f>
        <v/>
      </c>
      <c r="W910" s="3">
        <f>IF(tblOrdenes[[#This Row],[puesto_trabajo]]="","",_xlfn.XLOOKUP(tblOrdenes[[#This Row],[puesto_trabajo]],tblPuestos[codigo],tblPuestos[especialidad],"(sin catálogo)"))</f>
        <v/>
      </c>
      <c r="X910" s="3">
        <f>IF(tblOrdenes[[#This Row],[cod_actividad]]="","",_xlfn.XLOOKUP(tblOrdenes[[#This Row],[cod_actividad]],tblActividades[codigo],tblActividades[descripcion],"(sin catálogo)"))</f>
        <v/>
      </c>
      <c r="Y910" s="12">
        <f>IF(tblOrdenes[[#This Row],[fecha_inicio]]="","",TODAY()-tblOrdenes[[#This Row],[fecha_inicio]])</f>
        <v/>
      </c>
      <c r="Z910" s="3">
        <f>IF(tblOrdenes[[#This Row],[backlog_dias]]="","",IF(tblOrdenes[[#This Row],[backlog_dias]]&lt;0,"FUTURO",IF(tblOrdenes[[#This Row],[backlog_dias]]&gt;p_dias_backlog_max,"BACKLOG","MES CORRIENTE")))</f>
        <v/>
      </c>
      <c r="AA910" s="3">
        <f>IF(tblOrdenes[[#This Row],[backlog_dias]]="",FALSE,AND(tblOrdenes[[#This Row],[backlog_dias]]&gt;p_dias_backlog_min,tblOrdenes[[#This Row],[backlog_dias]]&lt;=p_dias_backlog_max))</f>
        <v/>
      </c>
      <c r="AB910" s="6" t="n"/>
      <c r="AC9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0" s="10">
        <f>IF(tblOrdenes[[#This Row],[orden]]="","",_xlfn.XLOOKUP(tblOrdenes[[#This Row],[id_operacion]],tblEjecucion[id_operacion],tblEjecucion[precio],0))</f>
        <v/>
      </c>
      <c r="AG910" s="10">
        <f>IF(tblOrdenes[[#This Row],[orden]]="","",MAX(0,_xlfn.XLOOKUP(tblOrdenes[[#This Row],[id_operacion]],tblEjecucion[id_operacion],tblEjecucion[costo_plan_total],0)-tblOrdenes[[#This Row],[costo_servicio]]))</f>
        <v/>
      </c>
      <c r="AH910" s="10">
        <f>IF(tblOrdenes[[#This Row],[orden]]="","",tblOrdenes[[#This Row],[costo_servicio]]+tblOrdenes[[#This Row],[costo_materiales]])</f>
        <v/>
      </c>
      <c r="AI910" s="6" t="n"/>
      <c r="AJ910" s="6" t="n"/>
      <c r="AK910" s="6" t="n"/>
      <c r="AL910" s="3">
        <f>IF(tblOrdenes[[#This Row],[link_checklist]]="","",HYPERLINK(p_ruta_base_checklists&amp;tblOrdenes[[#This Row],[link_checklist]],"abrir"))</f>
        <v/>
      </c>
      <c r="AM910" s="6" t="n"/>
      <c r="AN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Row],[tipo_ot]]="","",_xlfn.XLOOKUP(tblOrdenes[[#This Row],[tipo_ot]],tblTiposOT[codigo],tblTiposOT[clasificacion],"sin_clasificar"))</f>
        <v/>
      </c>
      <c r="T911" s="3">
        <f>IF(tblOrdenes[[#This Row],[centro_costo]]="","",_xlfn.XLOOKUP(tblOrdenes[[#This Row],[centro_costo]],tblCECO[codigo],tblCECO[linea],"(sin catálogo)"))</f>
        <v/>
      </c>
      <c r="U911" s="3">
        <f>IF(tblOrdenes[[#This Row],[centro_costo]]="","",_xlfn.XLOOKUP(tblOrdenes[[#This Row],[centro_costo]],tblCECO[codigo],tblCECO[area],"(sin catálogo)"))</f>
        <v/>
      </c>
      <c r="V911" s="3">
        <f>IF(tblOrdenes[[#This Row],[centro_costo]]="","",_xlfn.XLOOKUP(tblOrdenes[[#This Row],[centro_costo]],tblCECO[codigo],tblCECO[coordinador],"(sin catálogo)"))</f>
        <v/>
      </c>
      <c r="W911" s="3">
        <f>IF(tblOrdenes[[#This Row],[puesto_trabajo]]="","",_xlfn.XLOOKUP(tblOrdenes[[#This Row],[puesto_trabajo]],tblPuestos[codigo],tblPuestos[especialidad],"(sin catálogo)"))</f>
        <v/>
      </c>
      <c r="X911" s="3">
        <f>IF(tblOrdenes[[#This Row],[cod_actividad]]="","",_xlfn.XLOOKUP(tblOrdenes[[#This Row],[cod_actividad]],tblActividades[codigo],tblActividades[descripcion],"(sin catálogo)"))</f>
        <v/>
      </c>
      <c r="Y911" s="12">
        <f>IF(tblOrdenes[[#This Row],[fecha_inicio]]="","",TODAY()-tblOrdenes[[#This Row],[fecha_inicio]])</f>
        <v/>
      </c>
      <c r="Z911" s="3">
        <f>IF(tblOrdenes[[#This Row],[backlog_dias]]="","",IF(tblOrdenes[[#This Row],[backlog_dias]]&lt;0,"FUTURO",IF(tblOrdenes[[#This Row],[backlog_dias]]&gt;p_dias_backlog_max,"BACKLOG","MES CORRIENTE")))</f>
        <v/>
      </c>
      <c r="AA911" s="3">
        <f>IF(tblOrdenes[[#This Row],[backlog_dias]]="",FALSE,AND(tblOrdenes[[#This Row],[backlog_dias]]&gt;p_dias_backlog_min,tblOrdenes[[#This Row],[backlog_dias]]&lt;=p_dias_backlog_max))</f>
        <v/>
      </c>
      <c r="AB911" s="6" t="n"/>
      <c r="AC9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1" s="10">
        <f>IF(tblOrdenes[[#This Row],[orden]]="","",_xlfn.XLOOKUP(tblOrdenes[[#This Row],[id_operacion]],tblEjecucion[id_operacion],tblEjecucion[precio],0))</f>
        <v/>
      </c>
      <c r="AG911" s="10">
        <f>IF(tblOrdenes[[#This Row],[orden]]="","",MAX(0,_xlfn.XLOOKUP(tblOrdenes[[#This Row],[id_operacion]],tblEjecucion[id_operacion],tblEjecucion[costo_plan_total],0)-tblOrdenes[[#This Row],[costo_servicio]]))</f>
        <v/>
      </c>
      <c r="AH911" s="10">
        <f>IF(tblOrdenes[[#This Row],[orden]]="","",tblOrdenes[[#This Row],[costo_servicio]]+tblOrdenes[[#This Row],[costo_materiales]])</f>
        <v/>
      </c>
      <c r="AI911" s="6" t="n"/>
      <c r="AJ911" s="6" t="n"/>
      <c r="AK911" s="6" t="n"/>
      <c r="AL911" s="3">
        <f>IF(tblOrdenes[[#This Row],[link_checklist]]="","",HYPERLINK(p_ruta_base_checklists&amp;tblOrdenes[[#This Row],[link_checklist]],"abrir"))</f>
        <v/>
      </c>
      <c r="AM911" s="6" t="n"/>
      <c r="AN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Row],[tipo_ot]]="","",_xlfn.XLOOKUP(tblOrdenes[[#This Row],[tipo_ot]],tblTiposOT[codigo],tblTiposOT[clasificacion],"sin_clasificar"))</f>
        <v/>
      </c>
      <c r="T912" s="3">
        <f>IF(tblOrdenes[[#This Row],[centro_costo]]="","",_xlfn.XLOOKUP(tblOrdenes[[#This Row],[centro_costo]],tblCECO[codigo],tblCECO[linea],"(sin catálogo)"))</f>
        <v/>
      </c>
      <c r="U912" s="3">
        <f>IF(tblOrdenes[[#This Row],[centro_costo]]="","",_xlfn.XLOOKUP(tblOrdenes[[#This Row],[centro_costo]],tblCECO[codigo],tblCECO[area],"(sin catálogo)"))</f>
        <v/>
      </c>
      <c r="V912" s="3">
        <f>IF(tblOrdenes[[#This Row],[centro_costo]]="","",_xlfn.XLOOKUP(tblOrdenes[[#This Row],[centro_costo]],tblCECO[codigo],tblCECO[coordinador],"(sin catálogo)"))</f>
        <v/>
      </c>
      <c r="W912" s="3">
        <f>IF(tblOrdenes[[#This Row],[puesto_trabajo]]="","",_xlfn.XLOOKUP(tblOrdenes[[#This Row],[puesto_trabajo]],tblPuestos[codigo],tblPuestos[especialidad],"(sin catálogo)"))</f>
        <v/>
      </c>
      <c r="X912" s="3">
        <f>IF(tblOrdenes[[#This Row],[cod_actividad]]="","",_xlfn.XLOOKUP(tblOrdenes[[#This Row],[cod_actividad]],tblActividades[codigo],tblActividades[descripcion],"(sin catálogo)"))</f>
        <v/>
      </c>
      <c r="Y912" s="12">
        <f>IF(tblOrdenes[[#This Row],[fecha_inicio]]="","",TODAY()-tblOrdenes[[#This Row],[fecha_inicio]])</f>
        <v/>
      </c>
      <c r="Z912" s="3">
        <f>IF(tblOrdenes[[#This Row],[backlog_dias]]="","",IF(tblOrdenes[[#This Row],[backlog_dias]]&lt;0,"FUTURO",IF(tblOrdenes[[#This Row],[backlog_dias]]&gt;p_dias_backlog_max,"BACKLOG","MES CORRIENTE")))</f>
        <v/>
      </c>
      <c r="AA912" s="3">
        <f>IF(tblOrdenes[[#This Row],[backlog_dias]]="",FALSE,AND(tblOrdenes[[#This Row],[backlog_dias]]&gt;p_dias_backlog_min,tblOrdenes[[#This Row],[backlog_dias]]&lt;=p_dias_backlog_max))</f>
        <v/>
      </c>
      <c r="AB912" s="6" t="n"/>
      <c r="AC9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2" s="10">
        <f>IF(tblOrdenes[[#This Row],[orden]]="","",_xlfn.XLOOKUP(tblOrdenes[[#This Row],[id_operacion]],tblEjecucion[id_operacion],tblEjecucion[precio],0))</f>
        <v/>
      </c>
      <c r="AG912" s="10">
        <f>IF(tblOrdenes[[#This Row],[orden]]="","",MAX(0,_xlfn.XLOOKUP(tblOrdenes[[#This Row],[id_operacion]],tblEjecucion[id_operacion],tblEjecucion[costo_plan_total],0)-tblOrdenes[[#This Row],[costo_servicio]]))</f>
        <v/>
      </c>
      <c r="AH912" s="10">
        <f>IF(tblOrdenes[[#This Row],[orden]]="","",tblOrdenes[[#This Row],[costo_servicio]]+tblOrdenes[[#This Row],[costo_materiales]])</f>
        <v/>
      </c>
      <c r="AI912" s="6" t="n"/>
      <c r="AJ912" s="6" t="n"/>
      <c r="AK912" s="6" t="n"/>
      <c r="AL912" s="3">
        <f>IF(tblOrdenes[[#This Row],[link_checklist]]="","",HYPERLINK(p_ruta_base_checklists&amp;tblOrdenes[[#This Row],[link_checklist]],"abrir"))</f>
        <v/>
      </c>
      <c r="AM912" s="6" t="n"/>
      <c r="AN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Row],[tipo_ot]]="","",_xlfn.XLOOKUP(tblOrdenes[[#This Row],[tipo_ot]],tblTiposOT[codigo],tblTiposOT[clasificacion],"sin_clasificar"))</f>
        <v/>
      </c>
      <c r="T913" s="3">
        <f>IF(tblOrdenes[[#This Row],[centro_costo]]="","",_xlfn.XLOOKUP(tblOrdenes[[#This Row],[centro_costo]],tblCECO[codigo],tblCECO[linea],"(sin catálogo)"))</f>
        <v/>
      </c>
      <c r="U913" s="3">
        <f>IF(tblOrdenes[[#This Row],[centro_costo]]="","",_xlfn.XLOOKUP(tblOrdenes[[#This Row],[centro_costo]],tblCECO[codigo],tblCECO[area],"(sin catálogo)"))</f>
        <v/>
      </c>
      <c r="V913" s="3">
        <f>IF(tblOrdenes[[#This Row],[centro_costo]]="","",_xlfn.XLOOKUP(tblOrdenes[[#This Row],[centro_costo]],tblCECO[codigo],tblCECO[coordinador],"(sin catálogo)"))</f>
        <v/>
      </c>
      <c r="W913" s="3">
        <f>IF(tblOrdenes[[#This Row],[puesto_trabajo]]="","",_xlfn.XLOOKUP(tblOrdenes[[#This Row],[puesto_trabajo]],tblPuestos[codigo],tblPuestos[especialidad],"(sin catálogo)"))</f>
        <v/>
      </c>
      <c r="X913" s="3">
        <f>IF(tblOrdenes[[#This Row],[cod_actividad]]="","",_xlfn.XLOOKUP(tblOrdenes[[#This Row],[cod_actividad]],tblActividades[codigo],tblActividades[descripcion],"(sin catálogo)"))</f>
        <v/>
      </c>
      <c r="Y913" s="12">
        <f>IF(tblOrdenes[[#This Row],[fecha_inicio]]="","",TODAY()-tblOrdenes[[#This Row],[fecha_inicio]])</f>
        <v/>
      </c>
      <c r="Z913" s="3">
        <f>IF(tblOrdenes[[#This Row],[backlog_dias]]="","",IF(tblOrdenes[[#This Row],[backlog_dias]]&lt;0,"FUTURO",IF(tblOrdenes[[#This Row],[backlog_dias]]&gt;p_dias_backlog_max,"BACKLOG","MES CORRIENTE")))</f>
        <v/>
      </c>
      <c r="AA913" s="3">
        <f>IF(tblOrdenes[[#This Row],[backlog_dias]]="",FALSE,AND(tblOrdenes[[#This Row],[backlog_dias]]&gt;p_dias_backlog_min,tblOrdenes[[#This Row],[backlog_dias]]&lt;=p_dias_backlog_max))</f>
        <v/>
      </c>
      <c r="AB913" s="6" t="n"/>
      <c r="AC9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3" s="10">
        <f>IF(tblOrdenes[[#This Row],[orden]]="","",_xlfn.XLOOKUP(tblOrdenes[[#This Row],[id_operacion]],tblEjecucion[id_operacion],tblEjecucion[precio],0))</f>
        <v/>
      </c>
      <c r="AG913" s="10">
        <f>IF(tblOrdenes[[#This Row],[orden]]="","",MAX(0,_xlfn.XLOOKUP(tblOrdenes[[#This Row],[id_operacion]],tblEjecucion[id_operacion],tblEjecucion[costo_plan_total],0)-tblOrdenes[[#This Row],[costo_servicio]]))</f>
        <v/>
      </c>
      <c r="AH913" s="10">
        <f>IF(tblOrdenes[[#This Row],[orden]]="","",tblOrdenes[[#This Row],[costo_servicio]]+tblOrdenes[[#This Row],[costo_materiales]])</f>
        <v/>
      </c>
      <c r="AI913" s="6" t="n"/>
      <c r="AJ913" s="6" t="n"/>
      <c r="AK913" s="6" t="n"/>
      <c r="AL913" s="3">
        <f>IF(tblOrdenes[[#This Row],[link_checklist]]="","",HYPERLINK(p_ruta_base_checklists&amp;tblOrdenes[[#This Row],[link_checklist]],"abrir"))</f>
        <v/>
      </c>
      <c r="AM913" s="6" t="n"/>
      <c r="AN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Row],[tipo_ot]]="","",_xlfn.XLOOKUP(tblOrdenes[[#This Row],[tipo_ot]],tblTiposOT[codigo],tblTiposOT[clasificacion],"sin_clasificar"))</f>
        <v/>
      </c>
      <c r="T914" s="3">
        <f>IF(tblOrdenes[[#This Row],[centro_costo]]="","",_xlfn.XLOOKUP(tblOrdenes[[#This Row],[centro_costo]],tblCECO[codigo],tblCECO[linea],"(sin catálogo)"))</f>
        <v/>
      </c>
      <c r="U914" s="3">
        <f>IF(tblOrdenes[[#This Row],[centro_costo]]="","",_xlfn.XLOOKUP(tblOrdenes[[#This Row],[centro_costo]],tblCECO[codigo],tblCECO[area],"(sin catálogo)"))</f>
        <v/>
      </c>
      <c r="V914" s="3">
        <f>IF(tblOrdenes[[#This Row],[centro_costo]]="","",_xlfn.XLOOKUP(tblOrdenes[[#This Row],[centro_costo]],tblCECO[codigo],tblCECO[coordinador],"(sin catálogo)"))</f>
        <v/>
      </c>
      <c r="W914" s="3">
        <f>IF(tblOrdenes[[#This Row],[puesto_trabajo]]="","",_xlfn.XLOOKUP(tblOrdenes[[#This Row],[puesto_trabajo]],tblPuestos[codigo],tblPuestos[especialidad],"(sin catálogo)"))</f>
        <v/>
      </c>
      <c r="X914" s="3">
        <f>IF(tblOrdenes[[#This Row],[cod_actividad]]="","",_xlfn.XLOOKUP(tblOrdenes[[#This Row],[cod_actividad]],tblActividades[codigo],tblActividades[descripcion],"(sin catálogo)"))</f>
        <v/>
      </c>
      <c r="Y914" s="12">
        <f>IF(tblOrdenes[[#This Row],[fecha_inicio]]="","",TODAY()-tblOrdenes[[#This Row],[fecha_inicio]])</f>
        <v/>
      </c>
      <c r="Z914" s="3">
        <f>IF(tblOrdenes[[#This Row],[backlog_dias]]="","",IF(tblOrdenes[[#This Row],[backlog_dias]]&lt;0,"FUTURO",IF(tblOrdenes[[#This Row],[backlog_dias]]&gt;p_dias_backlog_max,"BACKLOG","MES CORRIENTE")))</f>
        <v/>
      </c>
      <c r="AA914" s="3">
        <f>IF(tblOrdenes[[#This Row],[backlog_dias]]="",FALSE,AND(tblOrdenes[[#This Row],[backlog_dias]]&gt;p_dias_backlog_min,tblOrdenes[[#This Row],[backlog_dias]]&lt;=p_dias_backlog_max))</f>
        <v/>
      </c>
      <c r="AB914" s="6" t="n"/>
      <c r="AC9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4" s="10">
        <f>IF(tblOrdenes[[#This Row],[orden]]="","",_xlfn.XLOOKUP(tblOrdenes[[#This Row],[id_operacion]],tblEjecucion[id_operacion],tblEjecucion[precio],0))</f>
        <v/>
      </c>
      <c r="AG914" s="10">
        <f>IF(tblOrdenes[[#This Row],[orden]]="","",MAX(0,_xlfn.XLOOKUP(tblOrdenes[[#This Row],[id_operacion]],tblEjecucion[id_operacion],tblEjecucion[costo_plan_total],0)-tblOrdenes[[#This Row],[costo_servicio]]))</f>
        <v/>
      </c>
      <c r="AH914" s="10">
        <f>IF(tblOrdenes[[#This Row],[orden]]="","",tblOrdenes[[#This Row],[costo_servicio]]+tblOrdenes[[#This Row],[costo_materiales]])</f>
        <v/>
      </c>
      <c r="AI914" s="6" t="n"/>
      <c r="AJ914" s="6" t="n"/>
      <c r="AK914" s="6" t="n"/>
      <c r="AL914" s="3">
        <f>IF(tblOrdenes[[#This Row],[link_checklist]]="","",HYPERLINK(p_ruta_base_checklists&amp;tblOrdenes[[#This Row],[link_checklist]],"abrir"))</f>
        <v/>
      </c>
      <c r="AM914" s="6" t="n"/>
      <c r="AN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Row],[tipo_ot]]="","",_xlfn.XLOOKUP(tblOrdenes[[#This Row],[tipo_ot]],tblTiposOT[codigo],tblTiposOT[clasificacion],"sin_clasificar"))</f>
        <v/>
      </c>
      <c r="T915" s="3">
        <f>IF(tblOrdenes[[#This Row],[centro_costo]]="","",_xlfn.XLOOKUP(tblOrdenes[[#This Row],[centro_costo]],tblCECO[codigo],tblCECO[linea],"(sin catálogo)"))</f>
        <v/>
      </c>
      <c r="U915" s="3">
        <f>IF(tblOrdenes[[#This Row],[centro_costo]]="","",_xlfn.XLOOKUP(tblOrdenes[[#This Row],[centro_costo]],tblCECO[codigo],tblCECO[area],"(sin catálogo)"))</f>
        <v/>
      </c>
      <c r="V915" s="3">
        <f>IF(tblOrdenes[[#This Row],[centro_costo]]="","",_xlfn.XLOOKUP(tblOrdenes[[#This Row],[centro_costo]],tblCECO[codigo],tblCECO[coordinador],"(sin catálogo)"))</f>
        <v/>
      </c>
      <c r="W915" s="3">
        <f>IF(tblOrdenes[[#This Row],[puesto_trabajo]]="","",_xlfn.XLOOKUP(tblOrdenes[[#This Row],[puesto_trabajo]],tblPuestos[codigo],tblPuestos[especialidad],"(sin catálogo)"))</f>
        <v/>
      </c>
      <c r="X915" s="3">
        <f>IF(tblOrdenes[[#This Row],[cod_actividad]]="","",_xlfn.XLOOKUP(tblOrdenes[[#This Row],[cod_actividad]],tblActividades[codigo],tblActividades[descripcion],"(sin catálogo)"))</f>
        <v/>
      </c>
      <c r="Y915" s="12">
        <f>IF(tblOrdenes[[#This Row],[fecha_inicio]]="","",TODAY()-tblOrdenes[[#This Row],[fecha_inicio]])</f>
        <v/>
      </c>
      <c r="Z915" s="3">
        <f>IF(tblOrdenes[[#This Row],[backlog_dias]]="","",IF(tblOrdenes[[#This Row],[backlog_dias]]&lt;0,"FUTURO",IF(tblOrdenes[[#This Row],[backlog_dias]]&gt;p_dias_backlog_max,"BACKLOG","MES CORRIENTE")))</f>
        <v/>
      </c>
      <c r="AA915" s="3">
        <f>IF(tblOrdenes[[#This Row],[backlog_dias]]="",FALSE,AND(tblOrdenes[[#This Row],[backlog_dias]]&gt;p_dias_backlog_min,tblOrdenes[[#This Row],[backlog_dias]]&lt;=p_dias_backlog_max))</f>
        <v/>
      </c>
      <c r="AB915" s="6" t="n"/>
      <c r="AC9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5" s="10">
        <f>IF(tblOrdenes[[#This Row],[orden]]="","",_xlfn.XLOOKUP(tblOrdenes[[#This Row],[id_operacion]],tblEjecucion[id_operacion],tblEjecucion[precio],0))</f>
        <v/>
      </c>
      <c r="AG915" s="10">
        <f>IF(tblOrdenes[[#This Row],[orden]]="","",MAX(0,_xlfn.XLOOKUP(tblOrdenes[[#This Row],[id_operacion]],tblEjecucion[id_operacion],tblEjecucion[costo_plan_total],0)-tblOrdenes[[#This Row],[costo_servicio]]))</f>
        <v/>
      </c>
      <c r="AH915" s="10">
        <f>IF(tblOrdenes[[#This Row],[orden]]="","",tblOrdenes[[#This Row],[costo_servicio]]+tblOrdenes[[#This Row],[costo_materiales]])</f>
        <v/>
      </c>
      <c r="AI915" s="6" t="n"/>
      <c r="AJ915" s="6" t="n"/>
      <c r="AK915" s="6" t="n"/>
      <c r="AL915" s="3">
        <f>IF(tblOrdenes[[#This Row],[link_checklist]]="","",HYPERLINK(p_ruta_base_checklists&amp;tblOrdenes[[#This Row],[link_checklist]],"abrir"))</f>
        <v/>
      </c>
      <c r="AM915" s="6" t="n"/>
      <c r="AN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Row],[tipo_ot]]="","",_xlfn.XLOOKUP(tblOrdenes[[#This Row],[tipo_ot]],tblTiposOT[codigo],tblTiposOT[clasificacion],"sin_clasificar"))</f>
        <v/>
      </c>
      <c r="T916" s="3">
        <f>IF(tblOrdenes[[#This Row],[centro_costo]]="","",_xlfn.XLOOKUP(tblOrdenes[[#This Row],[centro_costo]],tblCECO[codigo],tblCECO[linea],"(sin catálogo)"))</f>
        <v/>
      </c>
      <c r="U916" s="3">
        <f>IF(tblOrdenes[[#This Row],[centro_costo]]="","",_xlfn.XLOOKUP(tblOrdenes[[#This Row],[centro_costo]],tblCECO[codigo],tblCECO[area],"(sin catálogo)"))</f>
        <v/>
      </c>
      <c r="V916" s="3">
        <f>IF(tblOrdenes[[#This Row],[centro_costo]]="","",_xlfn.XLOOKUP(tblOrdenes[[#This Row],[centro_costo]],tblCECO[codigo],tblCECO[coordinador],"(sin catálogo)"))</f>
        <v/>
      </c>
      <c r="W916" s="3">
        <f>IF(tblOrdenes[[#This Row],[puesto_trabajo]]="","",_xlfn.XLOOKUP(tblOrdenes[[#This Row],[puesto_trabajo]],tblPuestos[codigo],tblPuestos[especialidad],"(sin catálogo)"))</f>
        <v/>
      </c>
      <c r="X916" s="3">
        <f>IF(tblOrdenes[[#This Row],[cod_actividad]]="","",_xlfn.XLOOKUP(tblOrdenes[[#This Row],[cod_actividad]],tblActividades[codigo],tblActividades[descripcion],"(sin catálogo)"))</f>
        <v/>
      </c>
      <c r="Y916" s="12">
        <f>IF(tblOrdenes[[#This Row],[fecha_inicio]]="","",TODAY()-tblOrdenes[[#This Row],[fecha_inicio]])</f>
        <v/>
      </c>
      <c r="Z916" s="3">
        <f>IF(tblOrdenes[[#This Row],[backlog_dias]]="","",IF(tblOrdenes[[#This Row],[backlog_dias]]&lt;0,"FUTURO",IF(tblOrdenes[[#This Row],[backlog_dias]]&gt;p_dias_backlog_max,"BACKLOG","MES CORRIENTE")))</f>
        <v/>
      </c>
      <c r="AA916" s="3">
        <f>IF(tblOrdenes[[#This Row],[backlog_dias]]="",FALSE,AND(tblOrdenes[[#This Row],[backlog_dias]]&gt;p_dias_backlog_min,tblOrdenes[[#This Row],[backlog_dias]]&lt;=p_dias_backlog_max))</f>
        <v/>
      </c>
      <c r="AB916" s="6" t="n"/>
      <c r="AC9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6" s="10">
        <f>IF(tblOrdenes[[#This Row],[orden]]="","",_xlfn.XLOOKUP(tblOrdenes[[#This Row],[id_operacion]],tblEjecucion[id_operacion],tblEjecucion[precio],0))</f>
        <v/>
      </c>
      <c r="AG916" s="10">
        <f>IF(tblOrdenes[[#This Row],[orden]]="","",MAX(0,_xlfn.XLOOKUP(tblOrdenes[[#This Row],[id_operacion]],tblEjecucion[id_operacion],tblEjecucion[costo_plan_total],0)-tblOrdenes[[#This Row],[costo_servicio]]))</f>
        <v/>
      </c>
      <c r="AH916" s="10">
        <f>IF(tblOrdenes[[#This Row],[orden]]="","",tblOrdenes[[#This Row],[costo_servicio]]+tblOrdenes[[#This Row],[costo_materiales]])</f>
        <v/>
      </c>
      <c r="AI916" s="6" t="n"/>
      <c r="AJ916" s="6" t="n"/>
      <c r="AK916" s="6" t="n"/>
      <c r="AL916" s="3">
        <f>IF(tblOrdenes[[#This Row],[link_checklist]]="","",HYPERLINK(p_ruta_base_checklists&amp;tblOrdenes[[#This Row],[link_checklist]],"abrir"))</f>
        <v/>
      </c>
      <c r="AM916" s="6" t="n"/>
      <c r="AN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Row],[tipo_ot]]="","",_xlfn.XLOOKUP(tblOrdenes[[#This Row],[tipo_ot]],tblTiposOT[codigo],tblTiposOT[clasificacion],"sin_clasificar"))</f>
        <v/>
      </c>
      <c r="T917" s="3">
        <f>IF(tblOrdenes[[#This Row],[centro_costo]]="","",_xlfn.XLOOKUP(tblOrdenes[[#This Row],[centro_costo]],tblCECO[codigo],tblCECO[linea],"(sin catálogo)"))</f>
        <v/>
      </c>
      <c r="U917" s="3">
        <f>IF(tblOrdenes[[#This Row],[centro_costo]]="","",_xlfn.XLOOKUP(tblOrdenes[[#This Row],[centro_costo]],tblCECO[codigo],tblCECO[area],"(sin catálogo)"))</f>
        <v/>
      </c>
      <c r="V917" s="3">
        <f>IF(tblOrdenes[[#This Row],[centro_costo]]="","",_xlfn.XLOOKUP(tblOrdenes[[#This Row],[centro_costo]],tblCECO[codigo],tblCECO[coordinador],"(sin catálogo)"))</f>
        <v/>
      </c>
      <c r="W917" s="3">
        <f>IF(tblOrdenes[[#This Row],[puesto_trabajo]]="","",_xlfn.XLOOKUP(tblOrdenes[[#This Row],[puesto_trabajo]],tblPuestos[codigo],tblPuestos[especialidad],"(sin catálogo)"))</f>
        <v/>
      </c>
      <c r="X917" s="3">
        <f>IF(tblOrdenes[[#This Row],[cod_actividad]]="","",_xlfn.XLOOKUP(tblOrdenes[[#This Row],[cod_actividad]],tblActividades[codigo],tblActividades[descripcion],"(sin catálogo)"))</f>
        <v/>
      </c>
      <c r="Y917" s="12">
        <f>IF(tblOrdenes[[#This Row],[fecha_inicio]]="","",TODAY()-tblOrdenes[[#This Row],[fecha_inicio]])</f>
        <v/>
      </c>
      <c r="Z917" s="3">
        <f>IF(tblOrdenes[[#This Row],[backlog_dias]]="","",IF(tblOrdenes[[#This Row],[backlog_dias]]&lt;0,"FUTURO",IF(tblOrdenes[[#This Row],[backlog_dias]]&gt;p_dias_backlog_max,"BACKLOG","MES CORRIENTE")))</f>
        <v/>
      </c>
      <c r="AA917" s="3">
        <f>IF(tblOrdenes[[#This Row],[backlog_dias]]="",FALSE,AND(tblOrdenes[[#This Row],[backlog_dias]]&gt;p_dias_backlog_min,tblOrdenes[[#This Row],[backlog_dias]]&lt;=p_dias_backlog_max))</f>
        <v/>
      </c>
      <c r="AB917" s="6" t="n"/>
      <c r="AC9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7" s="10">
        <f>IF(tblOrdenes[[#This Row],[orden]]="","",_xlfn.XLOOKUP(tblOrdenes[[#This Row],[id_operacion]],tblEjecucion[id_operacion],tblEjecucion[precio],0))</f>
        <v/>
      </c>
      <c r="AG917" s="10">
        <f>IF(tblOrdenes[[#This Row],[orden]]="","",MAX(0,_xlfn.XLOOKUP(tblOrdenes[[#This Row],[id_operacion]],tblEjecucion[id_operacion],tblEjecucion[costo_plan_total],0)-tblOrdenes[[#This Row],[costo_servicio]]))</f>
        <v/>
      </c>
      <c r="AH917" s="10">
        <f>IF(tblOrdenes[[#This Row],[orden]]="","",tblOrdenes[[#This Row],[costo_servicio]]+tblOrdenes[[#This Row],[costo_materiales]])</f>
        <v/>
      </c>
      <c r="AI917" s="6" t="n"/>
      <c r="AJ917" s="6" t="n"/>
      <c r="AK917" s="6" t="n"/>
      <c r="AL917" s="3">
        <f>IF(tblOrdenes[[#This Row],[link_checklist]]="","",HYPERLINK(p_ruta_base_checklists&amp;tblOrdenes[[#This Row],[link_checklist]],"abrir"))</f>
        <v/>
      </c>
      <c r="AM917" s="6" t="n"/>
      <c r="AN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Row],[tipo_ot]]="","",_xlfn.XLOOKUP(tblOrdenes[[#This Row],[tipo_ot]],tblTiposOT[codigo],tblTiposOT[clasificacion],"sin_clasificar"))</f>
        <v/>
      </c>
      <c r="T918" s="3">
        <f>IF(tblOrdenes[[#This Row],[centro_costo]]="","",_xlfn.XLOOKUP(tblOrdenes[[#This Row],[centro_costo]],tblCECO[codigo],tblCECO[linea],"(sin catálogo)"))</f>
        <v/>
      </c>
      <c r="U918" s="3">
        <f>IF(tblOrdenes[[#This Row],[centro_costo]]="","",_xlfn.XLOOKUP(tblOrdenes[[#This Row],[centro_costo]],tblCECO[codigo],tblCECO[area],"(sin catálogo)"))</f>
        <v/>
      </c>
      <c r="V918" s="3">
        <f>IF(tblOrdenes[[#This Row],[centro_costo]]="","",_xlfn.XLOOKUP(tblOrdenes[[#This Row],[centro_costo]],tblCECO[codigo],tblCECO[coordinador],"(sin catálogo)"))</f>
        <v/>
      </c>
      <c r="W918" s="3">
        <f>IF(tblOrdenes[[#This Row],[puesto_trabajo]]="","",_xlfn.XLOOKUP(tblOrdenes[[#This Row],[puesto_trabajo]],tblPuestos[codigo],tblPuestos[especialidad],"(sin catálogo)"))</f>
        <v/>
      </c>
      <c r="X918" s="3">
        <f>IF(tblOrdenes[[#This Row],[cod_actividad]]="","",_xlfn.XLOOKUP(tblOrdenes[[#This Row],[cod_actividad]],tblActividades[codigo],tblActividades[descripcion],"(sin catálogo)"))</f>
        <v/>
      </c>
      <c r="Y918" s="12">
        <f>IF(tblOrdenes[[#This Row],[fecha_inicio]]="","",TODAY()-tblOrdenes[[#This Row],[fecha_inicio]])</f>
        <v/>
      </c>
      <c r="Z918" s="3">
        <f>IF(tblOrdenes[[#This Row],[backlog_dias]]="","",IF(tblOrdenes[[#This Row],[backlog_dias]]&lt;0,"FUTURO",IF(tblOrdenes[[#This Row],[backlog_dias]]&gt;p_dias_backlog_max,"BACKLOG","MES CORRIENTE")))</f>
        <v/>
      </c>
      <c r="AA918" s="3">
        <f>IF(tblOrdenes[[#This Row],[backlog_dias]]="",FALSE,AND(tblOrdenes[[#This Row],[backlog_dias]]&gt;p_dias_backlog_min,tblOrdenes[[#This Row],[backlog_dias]]&lt;=p_dias_backlog_max))</f>
        <v/>
      </c>
      <c r="AB918" s="6" t="n"/>
      <c r="AC9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8" s="10">
        <f>IF(tblOrdenes[[#This Row],[orden]]="","",_xlfn.XLOOKUP(tblOrdenes[[#This Row],[id_operacion]],tblEjecucion[id_operacion],tblEjecucion[precio],0))</f>
        <v/>
      </c>
      <c r="AG918" s="10">
        <f>IF(tblOrdenes[[#This Row],[orden]]="","",MAX(0,_xlfn.XLOOKUP(tblOrdenes[[#This Row],[id_operacion]],tblEjecucion[id_operacion],tblEjecucion[costo_plan_total],0)-tblOrdenes[[#This Row],[costo_servicio]]))</f>
        <v/>
      </c>
      <c r="AH918" s="10">
        <f>IF(tblOrdenes[[#This Row],[orden]]="","",tblOrdenes[[#This Row],[costo_servicio]]+tblOrdenes[[#This Row],[costo_materiales]])</f>
        <v/>
      </c>
      <c r="AI918" s="6" t="n"/>
      <c r="AJ918" s="6" t="n"/>
      <c r="AK918" s="6" t="n"/>
      <c r="AL918" s="3">
        <f>IF(tblOrdenes[[#This Row],[link_checklist]]="","",HYPERLINK(p_ruta_base_checklists&amp;tblOrdenes[[#This Row],[link_checklist]],"abrir"))</f>
        <v/>
      </c>
      <c r="AM918" s="6" t="n"/>
      <c r="AN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Row],[tipo_ot]]="","",_xlfn.XLOOKUP(tblOrdenes[[#This Row],[tipo_ot]],tblTiposOT[codigo],tblTiposOT[clasificacion],"sin_clasificar"))</f>
        <v/>
      </c>
      <c r="T919" s="3">
        <f>IF(tblOrdenes[[#This Row],[centro_costo]]="","",_xlfn.XLOOKUP(tblOrdenes[[#This Row],[centro_costo]],tblCECO[codigo],tblCECO[linea],"(sin catálogo)"))</f>
        <v/>
      </c>
      <c r="U919" s="3">
        <f>IF(tblOrdenes[[#This Row],[centro_costo]]="","",_xlfn.XLOOKUP(tblOrdenes[[#This Row],[centro_costo]],tblCECO[codigo],tblCECO[area],"(sin catálogo)"))</f>
        <v/>
      </c>
      <c r="V919" s="3">
        <f>IF(tblOrdenes[[#This Row],[centro_costo]]="","",_xlfn.XLOOKUP(tblOrdenes[[#This Row],[centro_costo]],tblCECO[codigo],tblCECO[coordinador],"(sin catálogo)"))</f>
        <v/>
      </c>
      <c r="W919" s="3">
        <f>IF(tblOrdenes[[#This Row],[puesto_trabajo]]="","",_xlfn.XLOOKUP(tblOrdenes[[#This Row],[puesto_trabajo]],tblPuestos[codigo],tblPuestos[especialidad],"(sin catálogo)"))</f>
        <v/>
      </c>
      <c r="X919" s="3">
        <f>IF(tblOrdenes[[#This Row],[cod_actividad]]="","",_xlfn.XLOOKUP(tblOrdenes[[#This Row],[cod_actividad]],tblActividades[codigo],tblActividades[descripcion],"(sin catálogo)"))</f>
        <v/>
      </c>
      <c r="Y919" s="12">
        <f>IF(tblOrdenes[[#This Row],[fecha_inicio]]="","",TODAY()-tblOrdenes[[#This Row],[fecha_inicio]])</f>
        <v/>
      </c>
      <c r="Z919" s="3">
        <f>IF(tblOrdenes[[#This Row],[backlog_dias]]="","",IF(tblOrdenes[[#This Row],[backlog_dias]]&lt;0,"FUTURO",IF(tblOrdenes[[#This Row],[backlog_dias]]&gt;p_dias_backlog_max,"BACKLOG","MES CORRIENTE")))</f>
        <v/>
      </c>
      <c r="AA919" s="3">
        <f>IF(tblOrdenes[[#This Row],[backlog_dias]]="",FALSE,AND(tblOrdenes[[#This Row],[backlog_dias]]&gt;p_dias_backlog_min,tblOrdenes[[#This Row],[backlog_dias]]&lt;=p_dias_backlog_max))</f>
        <v/>
      </c>
      <c r="AB919" s="6" t="n"/>
      <c r="AC9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9" s="10">
        <f>IF(tblOrdenes[[#This Row],[orden]]="","",_xlfn.XLOOKUP(tblOrdenes[[#This Row],[id_operacion]],tblEjecucion[id_operacion],tblEjecucion[precio],0))</f>
        <v/>
      </c>
      <c r="AG919" s="10">
        <f>IF(tblOrdenes[[#This Row],[orden]]="","",MAX(0,_xlfn.XLOOKUP(tblOrdenes[[#This Row],[id_operacion]],tblEjecucion[id_operacion],tblEjecucion[costo_plan_total],0)-tblOrdenes[[#This Row],[costo_servicio]]))</f>
        <v/>
      </c>
      <c r="AH919" s="10">
        <f>IF(tblOrdenes[[#This Row],[orden]]="","",tblOrdenes[[#This Row],[costo_servicio]]+tblOrdenes[[#This Row],[costo_materiales]])</f>
        <v/>
      </c>
      <c r="AI919" s="6" t="n"/>
      <c r="AJ919" s="6" t="n"/>
      <c r="AK919" s="6" t="n"/>
      <c r="AL919" s="3">
        <f>IF(tblOrdenes[[#This Row],[link_checklist]]="","",HYPERLINK(p_ruta_base_checklists&amp;tblOrdenes[[#This Row],[link_checklist]],"abrir"))</f>
        <v/>
      </c>
      <c r="AM919" s="6" t="n"/>
      <c r="AN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Row],[tipo_ot]]="","",_xlfn.XLOOKUP(tblOrdenes[[#This Row],[tipo_ot]],tblTiposOT[codigo],tblTiposOT[clasificacion],"sin_clasificar"))</f>
        <v/>
      </c>
      <c r="T920" s="3">
        <f>IF(tblOrdenes[[#This Row],[centro_costo]]="","",_xlfn.XLOOKUP(tblOrdenes[[#This Row],[centro_costo]],tblCECO[codigo],tblCECO[linea],"(sin catálogo)"))</f>
        <v/>
      </c>
      <c r="U920" s="3">
        <f>IF(tblOrdenes[[#This Row],[centro_costo]]="","",_xlfn.XLOOKUP(tblOrdenes[[#This Row],[centro_costo]],tblCECO[codigo],tblCECO[area],"(sin catálogo)"))</f>
        <v/>
      </c>
      <c r="V920" s="3">
        <f>IF(tblOrdenes[[#This Row],[centro_costo]]="","",_xlfn.XLOOKUP(tblOrdenes[[#This Row],[centro_costo]],tblCECO[codigo],tblCECO[coordinador],"(sin catálogo)"))</f>
        <v/>
      </c>
      <c r="W920" s="3">
        <f>IF(tblOrdenes[[#This Row],[puesto_trabajo]]="","",_xlfn.XLOOKUP(tblOrdenes[[#This Row],[puesto_trabajo]],tblPuestos[codigo],tblPuestos[especialidad],"(sin catálogo)"))</f>
        <v/>
      </c>
      <c r="X920" s="3">
        <f>IF(tblOrdenes[[#This Row],[cod_actividad]]="","",_xlfn.XLOOKUP(tblOrdenes[[#This Row],[cod_actividad]],tblActividades[codigo],tblActividades[descripcion],"(sin catálogo)"))</f>
        <v/>
      </c>
      <c r="Y920" s="12">
        <f>IF(tblOrdenes[[#This Row],[fecha_inicio]]="","",TODAY()-tblOrdenes[[#This Row],[fecha_inicio]])</f>
        <v/>
      </c>
      <c r="Z920" s="3">
        <f>IF(tblOrdenes[[#This Row],[backlog_dias]]="","",IF(tblOrdenes[[#This Row],[backlog_dias]]&lt;0,"FUTURO",IF(tblOrdenes[[#This Row],[backlog_dias]]&gt;p_dias_backlog_max,"BACKLOG","MES CORRIENTE")))</f>
        <v/>
      </c>
      <c r="AA920" s="3">
        <f>IF(tblOrdenes[[#This Row],[backlog_dias]]="",FALSE,AND(tblOrdenes[[#This Row],[backlog_dias]]&gt;p_dias_backlog_min,tblOrdenes[[#This Row],[backlog_dias]]&lt;=p_dias_backlog_max))</f>
        <v/>
      </c>
      <c r="AB920" s="6" t="n"/>
      <c r="AC9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0" s="10">
        <f>IF(tblOrdenes[[#This Row],[orden]]="","",_xlfn.XLOOKUP(tblOrdenes[[#This Row],[id_operacion]],tblEjecucion[id_operacion],tblEjecucion[precio],0))</f>
        <v/>
      </c>
      <c r="AG920" s="10">
        <f>IF(tblOrdenes[[#This Row],[orden]]="","",MAX(0,_xlfn.XLOOKUP(tblOrdenes[[#This Row],[id_operacion]],tblEjecucion[id_operacion],tblEjecucion[costo_plan_total],0)-tblOrdenes[[#This Row],[costo_servicio]]))</f>
        <v/>
      </c>
      <c r="AH920" s="10">
        <f>IF(tblOrdenes[[#This Row],[orden]]="","",tblOrdenes[[#This Row],[costo_servicio]]+tblOrdenes[[#This Row],[costo_materiales]])</f>
        <v/>
      </c>
      <c r="AI920" s="6" t="n"/>
      <c r="AJ920" s="6" t="n"/>
      <c r="AK920" s="6" t="n"/>
      <c r="AL920" s="3">
        <f>IF(tblOrdenes[[#This Row],[link_checklist]]="","",HYPERLINK(p_ruta_base_checklists&amp;tblOrdenes[[#This Row],[link_checklist]],"abrir"))</f>
        <v/>
      </c>
      <c r="AM920" s="6" t="n"/>
      <c r="AN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Row],[tipo_ot]]="","",_xlfn.XLOOKUP(tblOrdenes[[#This Row],[tipo_ot]],tblTiposOT[codigo],tblTiposOT[clasificacion],"sin_clasificar"))</f>
        <v/>
      </c>
      <c r="T921" s="3">
        <f>IF(tblOrdenes[[#This Row],[centro_costo]]="","",_xlfn.XLOOKUP(tblOrdenes[[#This Row],[centro_costo]],tblCECO[codigo],tblCECO[linea],"(sin catálogo)"))</f>
        <v/>
      </c>
      <c r="U921" s="3">
        <f>IF(tblOrdenes[[#This Row],[centro_costo]]="","",_xlfn.XLOOKUP(tblOrdenes[[#This Row],[centro_costo]],tblCECO[codigo],tblCECO[area],"(sin catálogo)"))</f>
        <v/>
      </c>
      <c r="V921" s="3">
        <f>IF(tblOrdenes[[#This Row],[centro_costo]]="","",_xlfn.XLOOKUP(tblOrdenes[[#This Row],[centro_costo]],tblCECO[codigo],tblCECO[coordinador],"(sin catálogo)"))</f>
        <v/>
      </c>
      <c r="W921" s="3">
        <f>IF(tblOrdenes[[#This Row],[puesto_trabajo]]="","",_xlfn.XLOOKUP(tblOrdenes[[#This Row],[puesto_trabajo]],tblPuestos[codigo],tblPuestos[especialidad],"(sin catálogo)"))</f>
        <v/>
      </c>
      <c r="X921" s="3">
        <f>IF(tblOrdenes[[#This Row],[cod_actividad]]="","",_xlfn.XLOOKUP(tblOrdenes[[#This Row],[cod_actividad]],tblActividades[codigo],tblActividades[descripcion],"(sin catálogo)"))</f>
        <v/>
      </c>
      <c r="Y921" s="12">
        <f>IF(tblOrdenes[[#This Row],[fecha_inicio]]="","",TODAY()-tblOrdenes[[#This Row],[fecha_inicio]])</f>
        <v/>
      </c>
      <c r="Z921" s="3">
        <f>IF(tblOrdenes[[#This Row],[backlog_dias]]="","",IF(tblOrdenes[[#This Row],[backlog_dias]]&lt;0,"FUTURO",IF(tblOrdenes[[#This Row],[backlog_dias]]&gt;p_dias_backlog_max,"BACKLOG","MES CORRIENTE")))</f>
        <v/>
      </c>
      <c r="AA921" s="3">
        <f>IF(tblOrdenes[[#This Row],[backlog_dias]]="",FALSE,AND(tblOrdenes[[#This Row],[backlog_dias]]&gt;p_dias_backlog_min,tblOrdenes[[#This Row],[backlog_dias]]&lt;=p_dias_backlog_max))</f>
        <v/>
      </c>
      <c r="AB921" s="6" t="n"/>
      <c r="AC9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1" s="10">
        <f>IF(tblOrdenes[[#This Row],[orden]]="","",_xlfn.XLOOKUP(tblOrdenes[[#This Row],[id_operacion]],tblEjecucion[id_operacion],tblEjecucion[precio],0))</f>
        <v/>
      </c>
      <c r="AG921" s="10">
        <f>IF(tblOrdenes[[#This Row],[orden]]="","",MAX(0,_xlfn.XLOOKUP(tblOrdenes[[#This Row],[id_operacion]],tblEjecucion[id_operacion],tblEjecucion[costo_plan_total],0)-tblOrdenes[[#This Row],[costo_servicio]]))</f>
        <v/>
      </c>
      <c r="AH921" s="10">
        <f>IF(tblOrdenes[[#This Row],[orden]]="","",tblOrdenes[[#This Row],[costo_servicio]]+tblOrdenes[[#This Row],[costo_materiales]])</f>
        <v/>
      </c>
      <c r="AI921" s="6" t="n"/>
      <c r="AJ921" s="6" t="n"/>
      <c r="AK921" s="6" t="n"/>
      <c r="AL921" s="3">
        <f>IF(tblOrdenes[[#This Row],[link_checklist]]="","",HYPERLINK(p_ruta_base_checklists&amp;tblOrdenes[[#This Row],[link_checklist]],"abrir"))</f>
        <v/>
      </c>
      <c r="AM921" s="6" t="n"/>
      <c r="AN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Row],[tipo_ot]]="","",_xlfn.XLOOKUP(tblOrdenes[[#This Row],[tipo_ot]],tblTiposOT[codigo],tblTiposOT[clasificacion],"sin_clasificar"))</f>
        <v/>
      </c>
      <c r="T922" s="3">
        <f>IF(tblOrdenes[[#This Row],[centro_costo]]="","",_xlfn.XLOOKUP(tblOrdenes[[#This Row],[centro_costo]],tblCECO[codigo],tblCECO[linea],"(sin catálogo)"))</f>
        <v/>
      </c>
      <c r="U922" s="3">
        <f>IF(tblOrdenes[[#This Row],[centro_costo]]="","",_xlfn.XLOOKUP(tblOrdenes[[#This Row],[centro_costo]],tblCECO[codigo],tblCECO[area],"(sin catálogo)"))</f>
        <v/>
      </c>
      <c r="V922" s="3">
        <f>IF(tblOrdenes[[#This Row],[centro_costo]]="","",_xlfn.XLOOKUP(tblOrdenes[[#This Row],[centro_costo]],tblCECO[codigo],tblCECO[coordinador],"(sin catálogo)"))</f>
        <v/>
      </c>
      <c r="W922" s="3">
        <f>IF(tblOrdenes[[#This Row],[puesto_trabajo]]="","",_xlfn.XLOOKUP(tblOrdenes[[#This Row],[puesto_trabajo]],tblPuestos[codigo],tblPuestos[especialidad],"(sin catálogo)"))</f>
        <v/>
      </c>
      <c r="X922" s="3">
        <f>IF(tblOrdenes[[#This Row],[cod_actividad]]="","",_xlfn.XLOOKUP(tblOrdenes[[#This Row],[cod_actividad]],tblActividades[codigo],tblActividades[descripcion],"(sin catálogo)"))</f>
        <v/>
      </c>
      <c r="Y922" s="12">
        <f>IF(tblOrdenes[[#This Row],[fecha_inicio]]="","",TODAY()-tblOrdenes[[#This Row],[fecha_inicio]])</f>
        <v/>
      </c>
      <c r="Z922" s="3">
        <f>IF(tblOrdenes[[#This Row],[backlog_dias]]="","",IF(tblOrdenes[[#This Row],[backlog_dias]]&lt;0,"FUTURO",IF(tblOrdenes[[#This Row],[backlog_dias]]&gt;p_dias_backlog_max,"BACKLOG","MES CORRIENTE")))</f>
        <v/>
      </c>
      <c r="AA922" s="3">
        <f>IF(tblOrdenes[[#This Row],[backlog_dias]]="",FALSE,AND(tblOrdenes[[#This Row],[backlog_dias]]&gt;p_dias_backlog_min,tblOrdenes[[#This Row],[backlog_dias]]&lt;=p_dias_backlog_max))</f>
        <v/>
      </c>
      <c r="AB922" s="6" t="n"/>
      <c r="AC9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2" s="10">
        <f>IF(tblOrdenes[[#This Row],[orden]]="","",_xlfn.XLOOKUP(tblOrdenes[[#This Row],[id_operacion]],tblEjecucion[id_operacion],tblEjecucion[precio],0))</f>
        <v/>
      </c>
      <c r="AG922" s="10">
        <f>IF(tblOrdenes[[#This Row],[orden]]="","",MAX(0,_xlfn.XLOOKUP(tblOrdenes[[#This Row],[id_operacion]],tblEjecucion[id_operacion],tblEjecucion[costo_plan_total],0)-tblOrdenes[[#This Row],[costo_servicio]]))</f>
        <v/>
      </c>
      <c r="AH922" s="10">
        <f>IF(tblOrdenes[[#This Row],[orden]]="","",tblOrdenes[[#This Row],[costo_servicio]]+tblOrdenes[[#This Row],[costo_materiales]])</f>
        <v/>
      </c>
      <c r="AI922" s="6" t="n"/>
      <c r="AJ922" s="6" t="n"/>
      <c r="AK922" s="6" t="n"/>
      <c r="AL922" s="3">
        <f>IF(tblOrdenes[[#This Row],[link_checklist]]="","",HYPERLINK(p_ruta_base_checklists&amp;tblOrdenes[[#This Row],[link_checklist]],"abrir"))</f>
        <v/>
      </c>
      <c r="AM922" s="6" t="n"/>
      <c r="AN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Row],[tipo_ot]]="","",_xlfn.XLOOKUP(tblOrdenes[[#This Row],[tipo_ot]],tblTiposOT[codigo],tblTiposOT[clasificacion],"sin_clasificar"))</f>
        <v/>
      </c>
      <c r="T923" s="3">
        <f>IF(tblOrdenes[[#This Row],[centro_costo]]="","",_xlfn.XLOOKUP(tblOrdenes[[#This Row],[centro_costo]],tblCECO[codigo],tblCECO[linea],"(sin catálogo)"))</f>
        <v/>
      </c>
      <c r="U923" s="3">
        <f>IF(tblOrdenes[[#This Row],[centro_costo]]="","",_xlfn.XLOOKUP(tblOrdenes[[#This Row],[centro_costo]],tblCECO[codigo],tblCECO[area],"(sin catálogo)"))</f>
        <v/>
      </c>
      <c r="V923" s="3">
        <f>IF(tblOrdenes[[#This Row],[centro_costo]]="","",_xlfn.XLOOKUP(tblOrdenes[[#This Row],[centro_costo]],tblCECO[codigo],tblCECO[coordinador],"(sin catálogo)"))</f>
        <v/>
      </c>
      <c r="W923" s="3">
        <f>IF(tblOrdenes[[#This Row],[puesto_trabajo]]="","",_xlfn.XLOOKUP(tblOrdenes[[#This Row],[puesto_trabajo]],tblPuestos[codigo],tblPuestos[especialidad],"(sin catálogo)"))</f>
        <v/>
      </c>
      <c r="X923" s="3">
        <f>IF(tblOrdenes[[#This Row],[cod_actividad]]="","",_xlfn.XLOOKUP(tblOrdenes[[#This Row],[cod_actividad]],tblActividades[codigo],tblActividades[descripcion],"(sin catálogo)"))</f>
        <v/>
      </c>
      <c r="Y923" s="12">
        <f>IF(tblOrdenes[[#This Row],[fecha_inicio]]="","",TODAY()-tblOrdenes[[#This Row],[fecha_inicio]])</f>
        <v/>
      </c>
      <c r="Z923" s="3">
        <f>IF(tblOrdenes[[#This Row],[backlog_dias]]="","",IF(tblOrdenes[[#This Row],[backlog_dias]]&lt;0,"FUTURO",IF(tblOrdenes[[#This Row],[backlog_dias]]&gt;p_dias_backlog_max,"BACKLOG","MES CORRIENTE")))</f>
        <v/>
      </c>
      <c r="AA923" s="3">
        <f>IF(tblOrdenes[[#This Row],[backlog_dias]]="",FALSE,AND(tblOrdenes[[#This Row],[backlog_dias]]&gt;p_dias_backlog_min,tblOrdenes[[#This Row],[backlog_dias]]&lt;=p_dias_backlog_max))</f>
        <v/>
      </c>
      <c r="AB923" s="6" t="n"/>
      <c r="AC9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3" s="10">
        <f>IF(tblOrdenes[[#This Row],[orden]]="","",_xlfn.XLOOKUP(tblOrdenes[[#This Row],[id_operacion]],tblEjecucion[id_operacion],tblEjecucion[precio],0))</f>
        <v/>
      </c>
      <c r="AG923" s="10">
        <f>IF(tblOrdenes[[#This Row],[orden]]="","",MAX(0,_xlfn.XLOOKUP(tblOrdenes[[#This Row],[id_operacion]],tblEjecucion[id_operacion],tblEjecucion[costo_plan_total],0)-tblOrdenes[[#This Row],[costo_servicio]]))</f>
        <v/>
      </c>
      <c r="AH923" s="10">
        <f>IF(tblOrdenes[[#This Row],[orden]]="","",tblOrdenes[[#This Row],[costo_servicio]]+tblOrdenes[[#This Row],[costo_materiales]])</f>
        <v/>
      </c>
      <c r="AI923" s="6" t="n"/>
      <c r="AJ923" s="6" t="n"/>
      <c r="AK923" s="6" t="n"/>
      <c r="AL923" s="3">
        <f>IF(tblOrdenes[[#This Row],[link_checklist]]="","",HYPERLINK(p_ruta_base_checklists&amp;tblOrdenes[[#This Row],[link_checklist]],"abrir"))</f>
        <v/>
      </c>
      <c r="AM923" s="6" t="n"/>
      <c r="AN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Row],[tipo_ot]]="","",_xlfn.XLOOKUP(tblOrdenes[[#This Row],[tipo_ot]],tblTiposOT[codigo],tblTiposOT[clasificacion],"sin_clasificar"))</f>
        <v/>
      </c>
      <c r="T924" s="3">
        <f>IF(tblOrdenes[[#This Row],[centro_costo]]="","",_xlfn.XLOOKUP(tblOrdenes[[#This Row],[centro_costo]],tblCECO[codigo],tblCECO[linea],"(sin catálogo)"))</f>
        <v/>
      </c>
      <c r="U924" s="3">
        <f>IF(tblOrdenes[[#This Row],[centro_costo]]="","",_xlfn.XLOOKUP(tblOrdenes[[#This Row],[centro_costo]],tblCECO[codigo],tblCECO[area],"(sin catálogo)"))</f>
        <v/>
      </c>
      <c r="V924" s="3">
        <f>IF(tblOrdenes[[#This Row],[centro_costo]]="","",_xlfn.XLOOKUP(tblOrdenes[[#This Row],[centro_costo]],tblCECO[codigo],tblCECO[coordinador],"(sin catálogo)"))</f>
        <v/>
      </c>
      <c r="W924" s="3">
        <f>IF(tblOrdenes[[#This Row],[puesto_trabajo]]="","",_xlfn.XLOOKUP(tblOrdenes[[#This Row],[puesto_trabajo]],tblPuestos[codigo],tblPuestos[especialidad],"(sin catálogo)"))</f>
        <v/>
      </c>
      <c r="X924" s="3">
        <f>IF(tblOrdenes[[#This Row],[cod_actividad]]="","",_xlfn.XLOOKUP(tblOrdenes[[#This Row],[cod_actividad]],tblActividades[codigo],tblActividades[descripcion],"(sin catálogo)"))</f>
        <v/>
      </c>
      <c r="Y924" s="12">
        <f>IF(tblOrdenes[[#This Row],[fecha_inicio]]="","",TODAY()-tblOrdenes[[#This Row],[fecha_inicio]])</f>
        <v/>
      </c>
      <c r="Z924" s="3">
        <f>IF(tblOrdenes[[#This Row],[backlog_dias]]="","",IF(tblOrdenes[[#This Row],[backlog_dias]]&lt;0,"FUTURO",IF(tblOrdenes[[#This Row],[backlog_dias]]&gt;p_dias_backlog_max,"BACKLOG","MES CORRIENTE")))</f>
        <v/>
      </c>
      <c r="AA924" s="3">
        <f>IF(tblOrdenes[[#This Row],[backlog_dias]]="",FALSE,AND(tblOrdenes[[#This Row],[backlog_dias]]&gt;p_dias_backlog_min,tblOrdenes[[#This Row],[backlog_dias]]&lt;=p_dias_backlog_max))</f>
        <v/>
      </c>
      <c r="AB924" s="6" t="n"/>
      <c r="AC9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4" s="10">
        <f>IF(tblOrdenes[[#This Row],[orden]]="","",_xlfn.XLOOKUP(tblOrdenes[[#This Row],[id_operacion]],tblEjecucion[id_operacion],tblEjecucion[precio],0))</f>
        <v/>
      </c>
      <c r="AG924" s="10">
        <f>IF(tblOrdenes[[#This Row],[orden]]="","",MAX(0,_xlfn.XLOOKUP(tblOrdenes[[#This Row],[id_operacion]],tblEjecucion[id_operacion],tblEjecucion[costo_plan_total],0)-tblOrdenes[[#This Row],[costo_servicio]]))</f>
        <v/>
      </c>
      <c r="AH924" s="10">
        <f>IF(tblOrdenes[[#This Row],[orden]]="","",tblOrdenes[[#This Row],[costo_servicio]]+tblOrdenes[[#This Row],[costo_materiales]])</f>
        <v/>
      </c>
      <c r="AI924" s="6" t="n"/>
      <c r="AJ924" s="6" t="n"/>
      <c r="AK924" s="6" t="n"/>
      <c r="AL924" s="3">
        <f>IF(tblOrdenes[[#This Row],[link_checklist]]="","",HYPERLINK(p_ruta_base_checklists&amp;tblOrdenes[[#This Row],[link_checklist]],"abrir"))</f>
        <v/>
      </c>
      <c r="AM924" s="6" t="n"/>
      <c r="AN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Row],[tipo_ot]]="","",_xlfn.XLOOKUP(tblOrdenes[[#This Row],[tipo_ot]],tblTiposOT[codigo],tblTiposOT[clasificacion],"sin_clasificar"))</f>
        <v/>
      </c>
      <c r="T925" s="3">
        <f>IF(tblOrdenes[[#This Row],[centro_costo]]="","",_xlfn.XLOOKUP(tblOrdenes[[#This Row],[centro_costo]],tblCECO[codigo],tblCECO[linea],"(sin catálogo)"))</f>
        <v/>
      </c>
      <c r="U925" s="3">
        <f>IF(tblOrdenes[[#This Row],[centro_costo]]="","",_xlfn.XLOOKUP(tblOrdenes[[#This Row],[centro_costo]],tblCECO[codigo],tblCECO[area],"(sin catálogo)"))</f>
        <v/>
      </c>
      <c r="V925" s="3">
        <f>IF(tblOrdenes[[#This Row],[centro_costo]]="","",_xlfn.XLOOKUP(tblOrdenes[[#This Row],[centro_costo]],tblCECO[codigo],tblCECO[coordinador],"(sin catálogo)"))</f>
        <v/>
      </c>
      <c r="W925" s="3">
        <f>IF(tblOrdenes[[#This Row],[puesto_trabajo]]="","",_xlfn.XLOOKUP(tblOrdenes[[#This Row],[puesto_trabajo]],tblPuestos[codigo],tblPuestos[especialidad],"(sin catálogo)"))</f>
        <v/>
      </c>
      <c r="X925" s="3">
        <f>IF(tblOrdenes[[#This Row],[cod_actividad]]="","",_xlfn.XLOOKUP(tblOrdenes[[#This Row],[cod_actividad]],tblActividades[codigo],tblActividades[descripcion],"(sin catálogo)"))</f>
        <v/>
      </c>
      <c r="Y925" s="12">
        <f>IF(tblOrdenes[[#This Row],[fecha_inicio]]="","",TODAY()-tblOrdenes[[#This Row],[fecha_inicio]])</f>
        <v/>
      </c>
      <c r="Z925" s="3">
        <f>IF(tblOrdenes[[#This Row],[backlog_dias]]="","",IF(tblOrdenes[[#This Row],[backlog_dias]]&lt;0,"FUTURO",IF(tblOrdenes[[#This Row],[backlog_dias]]&gt;p_dias_backlog_max,"BACKLOG","MES CORRIENTE")))</f>
        <v/>
      </c>
      <c r="AA925" s="3">
        <f>IF(tblOrdenes[[#This Row],[backlog_dias]]="",FALSE,AND(tblOrdenes[[#This Row],[backlog_dias]]&gt;p_dias_backlog_min,tblOrdenes[[#This Row],[backlog_dias]]&lt;=p_dias_backlog_max))</f>
        <v/>
      </c>
      <c r="AB925" s="6" t="n"/>
      <c r="AC9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5" s="10">
        <f>IF(tblOrdenes[[#This Row],[orden]]="","",_xlfn.XLOOKUP(tblOrdenes[[#This Row],[id_operacion]],tblEjecucion[id_operacion],tblEjecucion[precio],0))</f>
        <v/>
      </c>
      <c r="AG925" s="10">
        <f>IF(tblOrdenes[[#This Row],[orden]]="","",MAX(0,_xlfn.XLOOKUP(tblOrdenes[[#This Row],[id_operacion]],tblEjecucion[id_operacion],tblEjecucion[costo_plan_total],0)-tblOrdenes[[#This Row],[costo_servicio]]))</f>
        <v/>
      </c>
      <c r="AH925" s="10">
        <f>IF(tblOrdenes[[#This Row],[orden]]="","",tblOrdenes[[#This Row],[costo_servicio]]+tblOrdenes[[#This Row],[costo_materiales]])</f>
        <v/>
      </c>
      <c r="AI925" s="6" t="n"/>
      <c r="AJ925" s="6" t="n"/>
      <c r="AK925" s="6" t="n"/>
      <c r="AL925" s="3">
        <f>IF(tblOrdenes[[#This Row],[link_checklist]]="","",HYPERLINK(p_ruta_base_checklists&amp;tblOrdenes[[#This Row],[link_checklist]],"abrir"))</f>
        <v/>
      </c>
      <c r="AM925" s="6" t="n"/>
      <c r="AN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Row],[tipo_ot]]="","",_xlfn.XLOOKUP(tblOrdenes[[#This Row],[tipo_ot]],tblTiposOT[codigo],tblTiposOT[clasificacion],"sin_clasificar"))</f>
        <v/>
      </c>
      <c r="T926" s="3">
        <f>IF(tblOrdenes[[#This Row],[centro_costo]]="","",_xlfn.XLOOKUP(tblOrdenes[[#This Row],[centro_costo]],tblCECO[codigo],tblCECO[linea],"(sin catálogo)"))</f>
        <v/>
      </c>
      <c r="U926" s="3">
        <f>IF(tblOrdenes[[#This Row],[centro_costo]]="","",_xlfn.XLOOKUP(tblOrdenes[[#This Row],[centro_costo]],tblCECO[codigo],tblCECO[area],"(sin catálogo)"))</f>
        <v/>
      </c>
      <c r="V926" s="3">
        <f>IF(tblOrdenes[[#This Row],[centro_costo]]="","",_xlfn.XLOOKUP(tblOrdenes[[#This Row],[centro_costo]],tblCECO[codigo],tblCECO[coordinador],"(sin catálogo)"))</f>
        <v/>
      </c>
      <c r="W926" s="3">
        <f>IF(tblOrdenes[[#This Row],[puesto_trabajo]]="","",_xlfn.XLOOKUP(tblOrdenes[[#This Row],[puesto_trabajo]],tblPuestos[codigo],tblPuestos[especialidad],"(sin catálogo)"))</f>
        <v/>
      </c>
      <c r="X926" s="3">
        <f>IF(tblOrdenes[[#This Row],[cod_actividad]]="","",_xlfn.XLOOKUP(tblOrdenes[[#This Row],[cod_actividad]],tblActividades[codigo],tblActividades[descripcion],"(sin catálogo)"))</f>
        <v/>
      </c>
      <c r="Y926" s="12">
        <f>IF(tblOrdenes[[#This Row],[fecha_inicio]]="","",TODAY()-tblOrdenes[[#This Row],[fecha_inicio]])</f>
        <v/>
      </c>
      <c r="Z926" s="3">
        <f>IF(tblOrdenes[[#This Row],[backlog_dias]]="","",IF(tblOrdenes[[#This Row],[backlog_dias]]&lt;0,"FUTURO",IF(tblOrdenes[[#This Row],[backlog_dias]]&gt;p_dias_backlog_max,"BACKLOG","MES CORRIENTE")))</f>
        <v/>
      </c>
      <c r="AA926" s="3">
        <f>IF(tblOrdenes[[#This Row],[backlog_dias]]="",FALSE,AND(tblOrdenes[[#This Row],[backlog_dias]]&gt;p_dias_backlog_min,tblOrdenes[[#This Row],[backlog_dias]]&lt;=p_dias_backlog_max))</f>
        <v/>
      </c>
      <c r="AB926" s="6" t="n"/>
      <c r="AC9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6" s="10">
        <f>IF(tblOrdenes[[#This Row],[orden]]="","",_xlfn.XLOOKUP(tblOrdenes[[#This Row],[id_operacion]],tblEjecucion[id_operacion],tblEjecucion[precio],0))</f>
        <v/>
      </c>
      <c r="AG926" s="10">
        <f>IF(tblOrdenes[[#This Row],[orden]]="","",MAX(0,_xlfn.XLOOKUP(tblOrdenes[[#This Row],[id_operacion]],tblEjecucion[id_operacion],tblEjecucion[costo_plan_total],0)-tblOrdenes[[#This Row],[costo_servicio]]))</f>
        <v/>
      </c>
      <c r="AH926" s="10">
        <f>IF(tblOrdenes[[#This Row],[orden]]="","",tblOrdenes[[#This Row],[costo_servicio]]+tblOrdenes[[#This Row],[costo_materiales]])</f>
        <v/>
      </c>
      <c r="AI926" s="6" t="n"/>
      <c r="AJ926" s="6" t="n"/>
      <c r="AK926" s="6" t="n"/>
      <c r="AL926" s="3">
        <f>IF(tblOrdenes[[#This Row],[link_checklist]]="","",HYPERLINK(p_ruta_base_checklists&amp;tblOrdenes[[#This Row],[link_checklist]],"abrir"))</f>
        <v/>
      </c>
      <c r="AM926" s="6" t="n"/>
      <c r="AN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Row],[tipo_ot]]="","",_xlfn.XLOOKUP(tblOrdenes[[#This Row],[tipo_ot]],tblTiposOT[codigo],tblTiposOT[clasificacion],"sin_clasificar"))</f>
        <v/>
      </c>
      <c r="T927" s="3">
        <f>IF(tblOrdenes[[#This Row],[centro_costo]]="","",_xlfn.XLOOKUP(tblOrdenes[[#This Row],[centro_costo]],tblCECO[codigo],tblCECO[linea],"(sin catálogo)"))</f>
        <v/>
      </c>
      <c r="U927" s="3">
        <f>IF(tblOrdenes[[#This Row],[centro_costo]]="","",_xlfn.XLOOKUP(tblOrdenes[[#This Row],[centro_costo]],tblCECO[codigo],tblCECO[area],"(sin catálogo)"))</f>
        <v/>
      </c>
      <c r="V927" s="3">
        <f>IF(tblOrdenes[[#This Row],[centro_costo]]="","",_xlfn.XLOOKUP(tblOrdenes[[#This Row],[centro_costo]],tblCECO[codigo],tblCECO[coordinador],"(sin catálogo)"))</f>
        <v/>
      </c>
      <c r="W927" s="3">
        <f>IF(tblOrdenes[[#This Row],[puesto_trabajo]]="","",_xlfn.XLOOKUP(tblOrdenes[[#This Row],[puesto_trabajo]],tblPuestos[codigo],tblPuestos[especialidad],"(sin catálogo)"))</f>
        <v/>
      </c>
      <c r="X927" s="3">
        <f>IF(tblOrdenes[[#This Row],[cod_actividad]]="","",_xlfn.XLOOKUP(tblOrdenes[[#This Row],[cod_actividad]],tblActividades[codigo],tblActividades[descripcion],"(sin catálogo)"))</f>
        <v/>
      </c>
      <c r="Y927" s="12">
        <f>IF(tblOrdenes[[#This Row],[fecha_inicio]]="","",TODAY()-tblOrdenes[[#This Row],[fecha_inicio]])</f>
        <v/>
      </c>
      <c r="Z927" s="3">
        <f>IF(tblOrdenes[[#This Row],[backlog_dias]]="","",IF(tblOrdenes[[#This Row],[backlog_dias]]&lt;0,"FUTURO",IF(tblOrdenes[[#This Row],[backlog_dias]]&gt;p_dias_backlog_max,"BACKLOG","MES CORRIENTE")))</f>
        <v/>
      </c>
      <c r="AA927" s="3">
        <f>IF(tblOrdenes[[#This Row],[backlog_dias]]="",FALSE,AND(tblOrdenes[[#This Row],[backlog_dias]]&gt;p_dias_backlog_min,tblOrdenes[[#This Row],[backlog_dias]]&lt;=p_dias_backlog_max))</f>
        <v/>
      </c>
      <c r="AB927" s="6" t="n"/>
      <c r="AC9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7" s="10">
        <f>IF(tblOrdenes[[#This Row],[orden]]="","",_xlfn.XLOOKUP(tblOrdenes[[#This Row],[id_operacion]],tblEjecucion[id_operacion],tblEjecucion[precio],0))</f>
        <v/>
      </c>
      <c r="AG927" s="10">
        <f>IF(tblOrdenes[[#This Row],[orden]]="","",MAX(0,_xlfn.XLOOKUP(tblOrdenes[[#This Row],[id_operacion]],tblEjecucion[id_operacion],tblEjecucion[costo_plan_total],0)-tblOrdenes[[#This Row],[costo_servicio]]))</f>
        <v/>
      </c>
      <c r="AH927" s="10">
        <f>IF(tblOrdenes[[#This Row],[orden]]="","",tblOrdenes[[#This Row],[costo_servicio]]+tblOrdenes[[#This Row],[costo_materiales]])</f>
        <v/>
      </c>
      <c r="AI927" s="6" t="n"/>
      <c r="AJ927" s="6" t="n"/>
      <c r="AK927" s="6" t="n"/>
      <c r="AL927" s="3">
        <f>IF(tblOrdenes[[#This Row],[link_checklist]]="","",HYPERLINK(p_ruta_base_checklists&amp;tblOrdenes[[#This Row],[link_checklist]],"abrir"))</f>
        <v/>
      </c>
      <c r="AM927" s="6" t="n"/>
      <c r="AN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Row],[tipo_ot]]="","",_xlfn.XLOOKUP(tblOrdenes[[#This Row],[tipo_ot]],tblTiposOT[codigo],tblTiposOT[clasificacion],"sin_clasificar"))</f>
        <v/>
      </c>
      <c r="T928" s="3">
        <f>IF(tblOrdenes[[#This Row],[centro_costo]]="","",_xlfn.XLOOKUP(tblOrdenes[[#This Row],[centro_costo]],tblCECO[codigo],tblCECO[linea],"(sin catálogo)"))</f>
        <v/>
      </c>
      <c r="U928" s="3">
        <f>IF(tblOrdenes[[#This Row],[centro_costo]]="","",_xlfn.XLOOKUP(tblOrdenes[[#This Row],[centro_costo]],tblCECO[codigo],tblCECO[area],"(sin catálogo)"))</f>
        <v/>
      </c>
      <c r="V928" s="3">
        <f>IF(tblOrdenes[[#This Row],[centro_costo]]="","",_xlfn.XLOOKUP(tblOrdenes[[#This Row],[centro_costo]],tblCECO[codigo],tblCECO[coordinador],"(sin catálogo)"))</f>
        <v/>
      </c>
      <c r="W928" s="3">
        <f>IF(tblOrdenes[[#This Row],[puesto_trabajo]]="","",_xlfn.XLOOKUP(tblOrdenes[[#This Row],[puesto_trabajo]],tblPuestos[codigo],tblPuestos[especialidad],"(sin catálogo)"))</f>
        <v/>
      </c>
      <c r="X928" s="3">
        <f>IF(tblOrdenes[[#This Row],[cod_actividad]]="","",_xlfn.XLOOKUP(tblOrdenes[[#This Row],[cod_actividad]],tblActividades[codigo],tblActividades[descripcion],"(sin catálogo)"))</f>
        <v/>
      </c>
      <c r="Y928" s="12">
        <f>IF(tblOrdenes[[#This Row],[fecha_inicio]]="","",TODAY()-tblOrdenes[[#This Row],[fecha_inicio]])</f>
        <v/>
      </c>
      <c r="Z928" s="3">
        <f>IF(tblOrdenes[[#This Row],[backlog_dias]]="","",IF(tblOrdenes[[#This Row],[backlog_dias]]&lt;0,"FUTURO",IF(tblOrdenes[[#This Row],[backlog_dias]]&gt;p_dias_backlog_max,"BACKLOG","MES CORRIENTE")))</f>
        <v/>
      </c>
      <c r="AA928" s="3">
        <f>IF(tblOrdenes[[#This Row],[backlog_dias]]="",FALSE,AND(tblOrdenes[[#This Row],[backlog_dias]]&gt;p_dias_backlog_min,tblOrdenes[[#This Row],[backlog_dias]]&lt;=p_dias_backlog_max))</f>
        <v/>
      </c>
      <c r="AB928" s="6" t="n"/>
      <c r="AC9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8" s="10">
        <f>IF(tblOrdenes[[#This Row],[orden]]="","",_xlfn.XLOOKUP(tblOrdenes[[#This Row],[id_operacion]],tblEjecucion[id_operacion],tblEjecucion[precio],0))</f>
        <v/>
      </c>
      <c r="AG928" s="10">
        <f>IF(tblOrdenes[[#This Row],[orden]]="","",MAX(0,_xlfn.XLOOKUP(tblOrdenes[[#This Row],[id_operacion]],tblEjecucion[id_operacion],tblEjecucion[costo_plan_total],0)-tblOrdenes[[#This Row],[costo_servicio]]))</f>
        <v/>
      </c>
      <c r="AH928" s="10">
        <f>IF(tblOrdenes[[#This Row],[orden]]="","",tblOrdenes[[#This Row],[costo_servicio]]+tblOrdenes[[#This Row],[costo_materiales]])</f>
        <v/>
      </c>
      <c r="AI928" s="6" t="n"/>
      <c r="AJ928" s="6" t="n"/>
      <c r="AK928" s="6" t="n"/>
      <c r="AL928" s="3">
        <f>IF(tblOrdenes[[#This Row],[link_checklist]]="","",HYPERLINK(p_ruta_base_checklists&amp;tblOrdenes[[#This Row],[link_checklist]],"abrir"))</f>
        <v/>
      </c>
      <c r="AM928" s="6" t="n"/>
      <c r="AN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Row],[tipo_ot]]="","",_xlfn.XLOOKUP(tblOrdenes[[#This Row],[tipo_ot]],tblTiposOT[codigo],tblTiposOT[clasificacion],"sin_clasificar"))</f>
        <v/>
      </c>
      <c r="T929" s="3">
        <f>IF(tblOrdenes[[#This Row],[centro_costo]]="","",_xlfn.XLOOKUP(tblOrdenes[[#This Row],[centro_costo]],tblCECO[codigo],tblCECO[linea],"(sin catálogo)"))</f>
        <v/>
      </c>
      <c r="U929" s="3">
        <f>IF(tblOrdenes[[#This Row],[centro_costo]]="","",_xlfn.XLOOKUP(tblOrdenes[[#This Row],[centro_costo]],tblCECO[codigo],tblCECO[area],"(sin catálogo)"))</f>
        <v/>
      </c>
      <c r="V929" s="3">
        <f>IF(tblOrdenes[[#This Row],[centro_costo]]="","",_xlfn.XLOOKUP(tblOrdenes[[#This Row],[centro_costo]],tblCECO[codigo],tblCECO[coordinador],"(sin catálogo)"))</f>
        <v/>
      </c>
      <c r="W929" s="3">
        <f>IF(tblOrdenes[[#This Row],[puesto_trabajo]]="","",_xlfn.XLOOKUP(tblOrdenes[[#This Row],[puesto_trabajo]],tblPuestos[codigo],tblPuestos[especialidad],"(sin catálogo)"))</f>
        <v/>
      </c>
      <c r="X929" s="3">
        <f>IF(tblOrdenes[[#This Row],[cod_actividad]]="","",_xlfn.XLOOKUP(tblOrdenes[[#This Row],[cod_actividad]],tblActividades[codigo],tblActividades[descripcion],"(sin catálogo)"))</f>
        <v/>
      </c>
      <c r="Y929" s="12">
        <f>IF(tblOrdenes[[#This Row],[fecha_inicio]]="","",TODAY()-tblOrdenes[[#This Row],[fecha_inicio]])</f>
        <v/>
      </c>
      <c r="Z929" s="3">
        <f>IF(tblOrdenes[[#This Row],[backlog_dias]]="","",IF(tblOrdenes[[#This Row],[backlog_dias]]&lt;0,"FUTURO",IF(tblOrdenes[[#This Row],[backlog_dias]]&gt;p_dias_backlog_max,"BACKLOG","MES CORRIENTE")))</f>
        <v/>
      </c>
      <c r="AA929" s="3">
        <f>IF(tblOrdenes[[#This Row],[backlog_dias]]="",FALSE,AND(tblOrdenes[[#This Row],[backlog_dias]]&gt;p_dias_backlog_min,tblOrdenes[[#This Row],[backlog_dias]]&lt;=p_dias_backlog_max))</f>
        <v/>
      </c>
      <c r="AB929" s="6" t="n"/>
      <c r="AC9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9" s="10">
        <f>IF(tblOrdenes[[#This Row],[orden]]="","",_xlfn.XLOOKUP(tblOrdenes[[#This Row],[id_operacion]],tblEjecucion[id_operacion],tblEjecucion[precio],0))</f>
        <v/>
      </c>
      <c r="AG929" s="10">
        <f>IF(tblOrdenes[[#This Row],[orden]]="","",MAX(0,_xlfn.XLOOKUP(tblOrdenes[[#This Row],[id_operacion]],tblEjecucion[id_operacion],tblEjecucion[costo_plan_total],0)-tblOrdenes[[#This Row],[costo_servicio]]))</f>
        <v/>
      </c>
      <c r="AH929" s="10">
        <f>IF(tblOrdenes[[#This Row],[orden]]="","",tblOrdenes[[#This Row],[costo_servicio]]+tblOrdenes[[#This Row],[costo_materiales]])</f>
        <v/>
      </c>
      <c r="AI929" s="6" t="n"/>
      <c r="AJ929" s="6" t="n"/>
      <c r="AK929" s="6" t="n"/>
      <c r="AL929" s="3">
        <f>IF(tblOrdenes[[#This Row],[link_checklist]]="","",HYPERLINK(p_ruta_base_checklists&amp;tblOrdenes[[#This Row],[link_checklist]],"abrir"))</f>
        <v/>
      </c>
      <c r="AM929" s="6" t="n"/>
      <c r="AN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Row],[tipo_ot]]="","",_xlfn.XLOOKUP(tblOrdenes[[#This Row],[tipo_ot]],tblTiposOT[codigo],tblTiposOT[clasificacion],"sin_clasificar"))</f>
        <v/>
      </c>
      <c r="T930" s="3">
        <f>IF(tblOrdenes[[#This Row],[centro_costo]]="","",_xlfn.XLOOKUP(tblOrdenes[[#This Row],[centro_costo]],tblCECO[codigo],tblCECO[linea],"(sin catálogo)"))</f>
        <v/>
      </c>
      <c r="U930" s="3">
        <f>IF(tblOrdenes[[#This Row],[centro_costo]]="","",_xlfn.XLOOKUP(tblOrdenes[[#This Row],[centro_costo]],tblCECO[codigo],tblCECO[area],"(sin catálogo)"))</f>
        <v/>
      </c>
      <c r="V930" s="3">
        <f>IF(tblOrdenes[[#This Row],[centro_costo]]="","",_xlfn.XLOOKUP(tblOrdenes[[#This Row],[centro_costo]],tblCECO[codigo],tblCECO[coordinador],"(sin catálogo)"))</f>
        <v/>
      </c>
      <c r="W930" s="3">
        <f>IF(tblOrdenes[[#This Row],[puesto_trabajo]]="","",_xlfn.XLOOKUP(tblOrdenes[[#This Row],[puesto_trabajo]],tblPuestos[codigo],tblPuestos[especialidad],"(sin catálogo)"))</f>
        <v/>
      </c>
      <c r="X930" s="3">
        <f>IF(tblOrdenes[[#This Row],[cod_actividad]]="","",_xlfn.XLOOKUP(tblOrdenes[[#This Row],[cod_actividad]],tblActividades[codigo],tblActividades[descripcion],"(sin catálogo)"))</f>
        <v/>
      </c>
      <c r="Y930" s="12">
        <f>IF(tblOrdenes[[#This Row],[fecha_inicio]]="","",TODAY()-tblOrdenes[[#This Row],[fecha_inicio]])</f>
        <v/>
      </c>
      <c r="Z930" s="3">
        <f>IF(tblOrdenes[[#This Row],[backlog_dias]]="","",IF(tblOrdenes[[#This Row],[backlog_dias]]&lt;0,"FUTURO",IF(tblOrdenes[[#This Row],[backlog_dias]]&gt;p_dias_backlog_max,"BACKLOG","MES CORRIENTE")))</f>
        <v/>
      </c>
      <c r="AA930" s="3">
        <f>IF(tblOrdenes[[#This Row],[backlog_dias]]="",FALSE,AND(tblOrdenes[[#This Row],[backlog_dias]]&gt;p_dias_backlog_min,tblOrdenes[[#This Row],[backlog_dias]]&lt;=p_dias_backlog_max))</f>
        <v/>
      </c>
      <c r="AB930" s="6" t="n"/>
      <c r="AC9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0" s="10">
        <f>IF(tblOrdenes[[#This Row],[orden]]="","",_xlfn.XLOOKUP(tblOrdenes[[#This Row],[id_operacion]],tblEjecucion[id_operacion],tblEjecucion[precio],0))</f>
        <v/>
      </c>
      <c r="AG930" s="10">
        <f>IF(tblOrdenes[[#This Row],[orden]]="","",MAX(0,_xlfn.XLOOKUP(tblOrdenes[[#This Row],[id_operacion]],tblEjecucion[id_operacion],tblEjecucion[costo_plan_total],0)-tblOrdenes[[#This Row],[costo_servicio]]))</f>
        <v/>
      </c>
      <c r="AH930" s="10">
        <f>IF(tblOrdenes[[#This Row],[orden]]="","",tblOrdenes[[#This Row],[costo_servicio]]+tblOrdenes[[#This Row],[costo_materiales]])</f>
        <v/>
      </c>
      <c r="AI930" s="6" t="n"/>
      <c r="AJ930" s="6" t="n"/>
      <c r="AK930" s="6" t="n"/>
      <c r="AL930" s="3">
        <f>IF(tblOrdenes[[#This Row],[link_checklist]]="","",HYPERLINK(p_ruta_base_checklists&amp;tblOrdenes[[#This Row],[link_checklist]],"abrir"))</f>
        <v/>
      </c>
      <c r="AM930" s="6" t="n"/>
      <c r="AN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Row],[tipo_ot]]="","",_xlfn.XLOOKUP(tblOrdenes[[#This Row],[tipo_ot]],tblTiposOT[codigo],tblTiposOT[clasificacion],"sin_clasificar"))</f>
        <v/>
      </c>
      <c r="T931" s="3">
        <f>IF(tblOrdenes[[#This Row],[centro_costo]]="","",_xlfn.XLOOKUP(tblOrdenes[[#This Row],[centro_costo]],tblCECO[codigo],tblCECO[linea],"(sin catálogo)"))</f>
        <v/>
      </c>
      <c r="U931" s="3">
        <f>IF(tblOrdenes[[#This Row],[centro_costo]]="","",_xlfn.XLOOKUP(tblOrdenes[[#This Row],[centro_costo]],tblCECO[codigo],tblCECO[area],"(sin catálogo)"))</f>
        <v/>
      </c>
      <c r="V931" s="3">
        <f>IF(tblOrdenes[[#This Row],[centro_costo]]="","",_xlfn.XLOOKUP(tblOrdenes[[#This Row],[centro_costo]],tblCECO[codigo],tblCECO[coordinador],"(sin catálogo)"))</f>
        <v/>
      </c>
      <c r="W931" s="3">
        <f>IF(tblOrdenes[[#This Row],[puesto_trabajo]]="","",_xlfn.XLOOKUP(tblOrdenes[[#This Row],[puesto_trabajo]],tblPuestos[codigo],tblPuestos[especialidad],"(sin catálogo)"))</f>
        <v/>
      </c>
      <c r="X931" s="3">
        <f>IF(tblOrdenes[[#This Row],[cod_actividad]]="","",_xlfn.XLOOKUP(tblOrdenes[[#This Row],[cod_actividad]],tblActividades[codigo],tblActividades[descripcion],"(sin catálogo)"))</f>
        <v/>
      </c>
      <c r="Y931" s="12">
        <f>IF(tblOrdenes[[#This Row],[fecha_inicio]]="","",TODAY()-tblOrdenes[[#This Row],[fecha_inicio]])</f>
        <v/>
      </c>
      <c r="Z931" s="3">
        <f>IF(tblOrdenes[[#This Row],[backlog_dias]]="","",IF(tblOrdenes[[#This Row],[backlog_dias]]&lt;0,"FUTURO",IF(tblOrdenes[[#This Row],[backlog_dias]]&gt;p_dias_backlog_max,"BACKLOG","MES CORRIENTE")))</f>
        <v/>
      </c>
      <c r="AA931" s="3">
        <f>IF(tblOrdenes[[#This Row],[backlog_dias]]="",FALSE,AND(tblOrdenes[[#This Row],[backlog_dias]]&gt;p_dias_backlog_min,tblOrdenes[[#This Row],[backlog_dias]]&lt;=p_dias_backlog_max))</f>
        <v/>
      </c>
      <c r="AB931" s="6" t="n"/>
      <c r="AC9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1" s="10">
        <f>IF(tblOrdenes[[#This Row],[orden]]="","",_xlfn.XLOOKUP(tblOrdenes[[#This Row],[id_operacion]],tblEjecucion[id_operacion],tblEjecucion[precio],0))</f>
        <v/>
      </c>
      <c r="AG931" s="10">
        <f>IF(tblOrdenes[[#This Row],[orden]]="","",MAX(0,_xlfn.XLOOKUP(tblOrdenes[[#This Row],[id_operacion]],tblEjecucion[id_operacion],tblEjecucion[costo_plan_total],0)-tblOrdenes[[#This Row],[costo_servicio]]))</f>
        <v/>
      </c>
      <c r="AH931" s="10">
        <f>IF(tblOrdenes[[#This Row],[orden]]="","",tblOrdenes[[#This Row],[costo_servicio]]+tblOrdenes[[#This Row],[costo_materiales]])</f>
        <v/>
      </c>
      <c r="AI931" s="6" t="n"/>
      <c r="AJ931" s="6" t="n"/>
      <c r="AK931" s="6" t="n"/>
      <c r="AL931" s="3">
        <f>IF(tblOrdenes[[#This Row],[link_checklist]]="","",HYPERLINK(p_ruta_base_checklists&amp;tblOrdenes[[#This Row],[link_checklist]],"abrir"))</f>
        <v/>
      </c>
      <c r="AM931" s="6" t="n"/>
      <c r="AN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Row],[tipo_ot]]="","",_xlfn.XLOOKUP(tblOrdenes[[#This Row],[tipo_ot]],tblTiposOT[codigo],tblTiposOT[clasificacion],"sin_clasificar"))</f>
        <v/>
      </c>
      <c r="T932" s="3">
        <f>IF(tblOrdenes[[#This Row],[centro_costo]]="","",_xlfn.XLOOKUP(tblOrdenes[[#This Row],[centro_costo]],tblCECO[codigo],tblCECO[linea],"(sin catálogo)"))</f>
        <v/>
      </c>
      <c r="U932" s="3">
        <f>IF(tblOrdenes[[#This Row],[centro_costo]]="","",_xlfn.XLOOKUP(tblOrdenes[[#This Row],[centro_costo]],tblCECO[codigo],tblCECO[area],"(sin catálogo)"))</f>
        <v/>
      </c>
      <c r="V932" s="3">
        <f>IF(tblOrdenes[[#This Row],[centro_costo]]="","",_xlfn.XLOOKUP(tblOrdenes[[#This Row],[centro_costo]],tblCECO[codigo],tblCECO[coordinador],"(sin catálogo)"))</f>
        <v/>
      </c>
      <c r="W932" s="3">
        <f>IF(tblOrdenes[[#This Row],[puesto_trabajo]]="","",_xlfn.XLOOKUP(tblOrdenes[[#This Row],[puesto_trabajo]],tblPuestos[codigo],tblPuestos[especialidad],"(sin catálogo)"))</f>
        <v/>
      </c>
      <c r="X932" s="3">
        <f>IF(tblOrdenes[[#This Row],[cod_actividad]]="","",_xlfn.XLOOKUP(tblOrdenes[[#This Row],[cod_actividad]],tblActividades[codigo],tblActividades[descripcion],"(sin catálogo)"))</f>
        <v/>
      </c>
      <c r="Y932" s="12">
        <f>IF(tblOrdenes[[#This Row],[fecha_inicio]]="","",TODAY()-tblOrdenes[[#This Row],[fecha_inicio]])</f>
        <v/>
      </c>
      <c r="Z932" s="3">
        <f>IF(tblOrdenes[[#This Row],[backlog_dias]]="","",IF(tblOrdenes[[#This Row],[backlog_dias]]&lt;0,"FUTURO",IF(tblOrdenes[[#This Row],[backlog_dias]]&gt;p_dias_backlog_max,"BACKLOG","MES CORRIENTE")))</f>
        <v/>
      </c>
      <c r="AA932" s="3">
        <f>IF(tblOrdenes[[#This Row],[backlog_dias]]="",FALSE,AND(tblOrdenes[[#This Row],[backlog_dias]]&gt;p_dias_backlog_min,tblOrdenes[[#This Row],[backlog_dias]]&lt;=p_dias_backlog_max))</f>
        <v/>
      </c>
      <c r="AB932" s="6" t="n"/>
      <c r="AC9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2" s="10">
        <f>IF(tblOrdenes[[#This Row],[orden]]="","",_xlfn.XLOOKUP(tblOrdenes[[#This Row],[id_operacion]],tblEjecucion[id_operacion],tblEjecucion[precio],0))</f>
        <v/>
      </c>
      <c r="AG932" s="10">
        <f>IF(tblOrdenes[[#This Row],[orden]]="","",MAX(0,_xlfn.XLOOKUP(tblOrdenes[[#This Row],[id_operacion]],tblEjecucion[id_operacion],tblEjecucion[costo_plan_total],0)-tblOrdenes[[#This Row],[costo_servicio]]))</f>
        <v/>
      </c>
      <c r="AH932" s="10">
        <f>IF(tblOrdenes[[#This Row],[orden]]="","",tblOrdenes[[#This Row],[costo_servicio]]+tblOrdenes[[#This Row],[costo_materiales]])</f>
        <v/>
      </c>
      <c r="AI932" s="6" t="n"/>
      <c r="AJ932" s="6" t="n"/>
      <c r="AK932" s="6" t="n"/>
      <c r="AL932" s="3">
        <f>IF(tblOrdenes[[#This Row],[link_checklist]]="","",HYPERLINK(p_ruta_base_checklists&amp;tblOrdenes[[#This Row],[link_checklist]],"abrir"))</f>
        <v/>
      </c>
      <c r="AM932" s="6" t="n"/>
      <c r="AN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Row],[tipo_ot]]="","",_xlfn.XLOOKUP(tblOrdenes[[#This Row],[tipo_ot]],tblTiposOT[codigo],tblTiposOT[clasificacion],"sin_clasificar"))</f>
        <v/>
      </c>
      <c r="T933" s="3">
        <f>IF(tblOrdenes[[#This Row],[centro_costo]]="","",_xlfn.XLOOKUP(tblOrdenes[[#This Row],[centro_costo]],tblCECO[codigo],tblCECO[linea],"(sin catálogo)"))</f>
        <v/>
      </c>
      <c r="U933" s="3">
        <f>IF(tblOrdenes[[#This Row],[centro_costo]]="","",_xlfn.XLOOKUP(tblOrdenes[[#This Row],[centro_costo]],tblCECO[codigo],tblCECO[area],"(sin catálogo)"))</f>
        <v/>
      </c>
      <c r="V933" s="3">
        <f>IF(tblOrdenes[[#This Row],[centro_costo]]="","",_xlfn.XLOOKUP(tblOrdenes[[#This Row],[centro_costo]],tblCECO[codigo],tblCECO[coordinador],"(sin catálogo)"))</f>
        <v/>
      </c>
      <c r="W933" s="3">
        <f>IF(tblOrdenes[[#This Row],[puesto_trabajo]]="","",_xlfn.XLOOKUP(tblOrdenes[[#This Row],[puesto_trabajo]],tblPuestos[codigo],tblPuestos[especialidad],"(sin catálogo)"))</f>
        <v/>
      </c>
      <c r="X933" s="3">
        <f>IF(tblOrdenes[[#This Row],[cod_actividad]]="","",_xlfn.XLOOKUP(tblOrdenes[[#This Row],[cod_actividad]],tblActividades[codigo],tblActividades[descripcion],"(sin catálogo)"))</f>
        <v/>
      </c>
      <c r="Y933" s="12">
        <f>IF(tblOrdenes[[#This Row],[fecha_inicio]]="","",TODAY()-tblOrdenes[[#This Row],[fecha_inicio]])</f>
        <v/>
      </c>
      <c r="Z933" s="3">
        <f>IF(tblOrdenes[[#This Row],[backlog_dias]]="","",IF(tblOrdenes[[#This Row],[backlog_dias]]&lt;0,"FUTURO",IF(tblOrdenes[[#This Row],[backlog_dias]]&gt;p_dias_backlog_max,"BACKLOG","MES CORRIENTE")))</f>
        <v/>
      </c>
      <c r="AA933" s="3">
        <f>IF(tblOrdenes[[#This Row],[backlog_dias]]="",FALSE,AND(tblOrdenes[[#This Row],[backlog_dias]]&gt;p_dias_backlog_min,tblOrdenes[[#This Row],[backlog_dias]]&lt;=p_dias_backlog_max))</f>
        <v/>
      </c>
      <c r="AB933" s="6" t="n"/>
      <c r="AC9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3" s="10">
        <f>IF(tblOrdenes[[#This Row],[orden]]="","",_xlfn.XLOOKUP(tblOrdenes[[#This Row],[id_operacion]],tblEjecucion[id_operacion],tblEjecucion[precio],0))</f>
        <v/>
      </c>
      <c r="AG933" s="10">
        <f>IF(tblOrdenes[[#This Row],[orden]]="","",MAX(0,_xlfn.XLOOKUP(tblOrdenes[[#This Row],[id_operacion]],tblEjecucion[id_operacion],tblEjecucion[costo_plan_total],0)-tblOrdenes[[#This Row],[costo_servicio]]))</f>
        <v/>
      </c>
      <c r="AH933" s="10">
        <f>IF(tblOrdenes[[#This Row],[orden]]="","",tblOrdenes[[#This Row],[costo_servicio]]+tblOrdenes[[#This Row],[costo_materiales]])</f>
        <v/>
      </c>
      <c r="AI933" s="6" t="n"/>
      <c r="AJ933" s="6" t="n"/>
      <c r="AK933" s="6" t="n"/>
      <c r="AL933" s="3">
        <f>IF(tblOrdenes[[#This Row],[link_checklist]]="","",HYPERLINK(p_ruta_base_checklists&amp;tblOrdenes[[#This Row],[link_checklist]],"abrir"))</f>
        <v/>
      </c>
      <c r="AM933" s="6" t="n"/>
      <c r="AN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Row],[tipo_ot]]="","",_xlfn.XLOOKUP(tblOrdenes[[#This Row],[tipo_ot]],tblTiposOT[codigo],tblTiposOT[clasificacion],"sin_clasificar"))</f>
        <v/>
      </c>
      <c r="T934" s="3">
        <f>IF(tblOrdenes[[#This Row],[centro_costo]]="","",_xlfn.XLOOKUP(tblOrdenes[[#This Row],[centro_costo]],tblCECO[codigo],tblCECO[linea],"(sin catálogo)"))</f>
        <v/>
      </c>
      <c r="U934" s="3">
        <f>IF(tblOrdenes[[#This Row],[centro_costo]]="","",_xlfn.XLOOKUP(tblOrdenes[[#This Row],[centro_costo]],tblCECO[codigo],tblCECO[area],"(sin catálogo)"))</f>
        <v/>
      </c>
      <c r="V934" s="3">
        <f>IF(tblOrdenes[[#This Row],[centro_costo]]="","",_xlfn.XLOOKUP(tblOrdenes[[#This Row],[centro_costo]],tblCECO[codigo],tblCECO[coordinador],"(sin catálogo)"))</f>
        <v/>
      </c>
      <c r="W934" s="3">
        <f>IF(tblOrdenes[[#This Row],[puesto_trabajo]]="","",_xlfn.XLOOKUP(tblOrdenes[[#This Row],[puesto_trabajo]],tblPuestos[codigo],tblPuestos[especialidad],"(sin catálogo)"))</f>
        <v/>
      </c>
      <c r="X934" s="3">
        <f>IF(tblOrdenes[[#This Row],[cod_actividad]]="","",_xlfn.XLOOKUP(tblOrdenes[[#This Row],[cod_actividad]],tblActividades[codigo],tblActividades[descripcion],"(sin catálogo)"))</f>
        <v/>
      </c>
      <c r="Y934" s="12">
        <f>IF(tblOrdenes[[#This Row],[fecha_inicio]]="","",TODAY()-tblOrdenes[[#This Row],[fecha_inicio]])</f>
        <v/>
      </c>
      <c r="Z934" s="3">
        <f>IF(tblOrdenes[[#This Row],[backlog_dias]]="","",IF(tblOrdenes[[#This Row],[backlog_dias]]&lt;0,"FUTURO",IF(tblOrdenes[[#This Row],[backlog_dias]]&gt;p_dias_backlog_max,"BACKLOG","MES CORRIENTE")))</f>
        <v/>
      </c>
      <c r="AA934" s="3">
        <f>IF(tblOrdenes[[#This Row],[backlog_dias]]="",FALSE,AND(tblOrdenes[[#This Row],[backlog_dias]]&gt;p_dias_backlog_min,tblOrdenes[[#This Row],[backlog_dias]]&lt;=p_dias_backlog_max))</f>
        <v/>
      </c>
      <c r="AB934" s="6" t="n"/>
      <c r="AC9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4" s="10">
        <f>IF(tblOrdenes[[#This Row],[orden]]="","",_xlfn.XLOOKUP(tblOrdenes[[#This Row],[id_operacion]],tblEjecucion[id_operacion],tblEjecucion[precio],0))</f>
        <v/>
      </c>
      <c r="AG934" s="10">
        <f>IF(tblOrdenes[[#This Row],[orden]]="","",MAX(0,_xlfn.XLOOKUP(tblOrdenes[[#This Row],[id_operacion]],tblEjecucion[id_operacion],tblEjecucion[costo_plan_total],0)-tblOrdenes[[#This Row],[costo_servicio]]))</f>
        <v/>
      </c>
      <c r="AH934" s="10">
        <f>IF(tblOrdenes[[#This Row],[orden]]="","",tblOrdenes[[#This Row],[costo_servicio]]+tblOrdenes[[#This Row],[costo_materiales]])</f>
        <v/>
      </c>
      <c r="AI934" s="6" t="n"/>
      <c r="AJ934" s="6" t="n"/>
      <c r="AK934" s="6" t="n"/>
      <c r="AL934" s="3">
        <f>IF(tblOrdenes[[#This Row],[link_checklist]]="","",HYPERLINK(p_ruta_base_checklists&amp;tblOrdenes[[#This Row],[link_checklist]],"abrir"))</f>
        <v/>
      </c>
      <c r="AM934" s="6" t="n"/>
      <c r="AN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Row],[tipo_ot]]="","",_xlfn.XLOOKUP(tblOrdenes[[#This Row],[tipo_ot]],tblTiposOT[codigo],tblTiposOT[clasificacion],"sin_clasificar"))</f>
        <v/>
      </c>
      <c r="T935" s="3">
        <f>IF(tblOrdenes[[#This Row],[centro_costo]]="","",_xlfn.XLOOKUP(tblOrdenes[[#This Row],[centro_costo]],tblCECO[codigo],tblCECO[linea],"(sin catálogo)"))</f>
        <v/>
      </c>
      <c r="U935" s="3">
        <f>IF(tblOrdenes[[#This Row],[centro_costo]]="","",_xlfn.XLOOKUP(tblOrdenes[[#This Row],[centro_costo]],tblCECO[codigo],tblCECO[area],"(sin catálogo)"))</f>
        <v/>
      </c>
      <c r="V935" s="3">
        <f>IF(tblOrdenes[[#This Row],[centro_costo]]="","",_xlfn.XLOOKUP(tblOrdenes[[#This Row],[centro_costo]],tblCECO[codigo],tblCECO[coordinador],"(sin catálogo)"))</f>
        <v/>
      </c>
      <c r="W935" s="3">
        <f>IF(tblOrdenes[[#This Row],[puesto_trabajo]]="","",_xlfn.XLOOKUP(tblOrdenes[[#This Row],[puesto_trabajo]],tblPuestos[codigo],tblPuestos[especialidad],"(sin catálogo)"))</f>
        <v/>
      </c>
      <c r="X935" s="3">
        <f>IF(tblOrdenes[[#This Row],[cod_actividad]]="","",_xlfn.XLOOKUP(tblOrdenes[[#This Row],[cod_actividad]],tblActividades[codigo],tblActividades[descripcion],"(sin catálogo)"))</f>
        <v/>
      </c>
      <c r="Y935" s="12">
        <f>IF(tblOrdenes[[#This Row],[fecha_inicio]]="","",TODAY()-tblOrdenes[[#This Row],[fecha_inicio]])</f>
        <v/>
      </c>
      <c r="Z935" s="3">
        <f>IF(tblOrdenes[[#This Row],[backlog_dias]]="","",IF(tblOrdenes[[#This Row],[backlog_dias]]&lt;0,"FUTURO",IF(tblOrdenes[[#This Row],[backlog_dias]]&gt;p_dias_backlog_max,"BACKLOG","MES CORRIENTE")))</f>
        <v/>
      </c>
      <c r="AA935" s="3">
        <f>IF(tblOrdenes[[#This Row],[backlog_dias]]="",FALSE,AND(tblOrdenes[[#This Row],[backlog_dias]]&gt;p_dias_backlog_min,tblOrdenes[[#This Row],[backlog_dias]]&lt;=p_dias_backlog_max))</f>
        <v/>
      </c>
      <c r="AB935" s="6" t="n"/>
      <c r="AC9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5" s="10">
        <f>IF(tblOrdenes[[#This Row],[orden]]="","",_xlfn.XLOOKUP(tblOrdenes[[#This Row],[id_operacion]],tblEjecucion[id_operacion],tblEjecucion[precio],0))</f>
        <v/>
      </c>
      <c r="AG935" s="10">
        <f>IF(tblOrdenes[[#This Row],[orden]]="","",MAX(0,_xlfn.XLOOKUP(tblOrdenes[[#This Row],[id_operacion]],tblEjecucion[id_operacion],tblEjecucion[costo_plan_total],0)-tblOrdenes[[#This Row],[costo_servicio]]))</f>
        <v/>
      </c>
      <c r="AH935" s="10">
        <f>IF(tblOrdenes[[#This Row],[orden]]="","",tblOrdenes[[#This Row],[costo_servicio]]+tblOrdenes[[#This Row],[costo_materiales]])</f>
        <v/>
      </c>
      <c r="AI935" s="6" t="n"/>
      <c r="AJ935" s="6" t="n"/>
      <c r="AK935" s="6" t="n"/>
      <c r="AL935" s="3">
        <f>IF(tblOrdenes[[#This Row],[link_checklist]]="","",HYPERLINK(p_ruta_base_checklists&amp;tblOrdenes[[#This Row],[link_checklist]],"abrir"))</f>
        <v/>
      </c>
      <c r="AM935" s="6" t="n"/>
      <c r="AN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Row],[tipo_ot]]="","",_xlfn.XLOOKUP(tblOrdenes[[#This Row],[tipo_ot]],tblTiposOT[codigo],tblTiposOT[clasificacion],"sin_clasificar"))</f>
        <v/>
      </c>
      <c r="T936" s="3">
        <f>IF(tblOrdenes[[#This Row],[centro_costo]]="","",_xlfn.XLOOKUP(tblOrdenes[[#This Row],[centro_costo]],tblCECO[codigo],tblCECO[linea],"(sin catálogo)"))</f>
        <v/>
      </c>
      <c r="U936" s="3">
        <f>IF(tblOrdenes[[#This Row],[centro_costo]]="","",_xlfn.XLOOKUP(tblOrdenes[[#This Row],[centro_costo]],tblCECO[codigo],tblCECO[area],"(sin catálogo)"))</f>
        <v/>
      </c>
      <c r="V936" s="3">
        <f>IF(tblOrdenes[[#This Row],[centro_costo]]="","",_xlfn.XLOOKUP(tblOrdenes[[#This Row],[centro_costo]],tblCECO[codigo],tblCECO[coordinador],"(sin catálogo)"))</f>
        <v/>
      </c>
      <c r="W936" s="3">
        <f>IF(tblOrdenes[[#This Row],[puesto_trabajo]]="","",_xlfn.XLOOKUP(tblOrdenes[[#This Row],[puesto_trabajo]],tblPuestos[codigo],tblPuestos[especialidad],"(sin catálogo)"))</f>
        <v/>
      </c>
      <c r="X936" s="3">
        <f>IF(tblOrdenes[[#This Row],[cod_actividad]]="","",_xlfn.XLOOKUP(tblOrdenes[[#This Row],[cod_actividad]],tblActividades[codigo],tblActividades[descripcion],"(sin catálogo)"))</f>
        <v/>
      </c>
      <c r="Y936" s="12">
        <f>IF(tblOrdenes[[#This Row],[fecha_inicio]]="","",TODAY()-tblOrdenes[[#This Row],[fecha_inicio]])</f>
        <v/>
      </c>
      <c r="Z936" s="3">
        <f>IF(tblOrdenes[[#This Row],[backlog_dias]]="","",IF(tblOrdenes[[#This Row],[backlog_dias]]&lt;0,"FUTURO",IF(tblOrdenes[[#This Row],[backlog_dias]]&gt;p_dias_backlog_max,"BACKLOG","MES CORRIENTE")))</f>
        <v/>
      </c>
      <c r="AA936" s="3">
        <f>IF(tblOrdenes[[#This Row],[backlog_dias]]="",FALSE,AND(tblOrdenes[[#This Row],[backlog_dias]]&gt;p_dias_backlog_min,tblOrdenes[[#This Row],[backlog_dias]]&lt;=p_dias_backlog_max))</f>
        <v/>
      </c>
      <c r="AB936" s="6" t="n"/>
      <c r="AC9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6" s="10">
        <f>IF(tblOrdenes[[#This Row],[orden]]="","",_xlfn.XLOOKUP(tblOrdenes[[#This Row],[id_operacion]],tblEjecucion[id_operacion],tblEjecucion[precio],0))</f>
        <v/>
      </c>
      <c r="AG936" s="10">
        <f>IF(tblOrdenes[[#This Row],[orden]]="","",MAX(0,_xlfn.XLOOKUP(tblOrdenes[[#This Row],[id_operacion]],tblEjecucion[id_operacion],tblEjecucion[costo_plan_total],0)-tblOrdenes[[#This Row],[costo_servicio]]))</f>
        <v/>
      </c>
      <c r="AH936" s="10">
        <f>IF(tblOrdenes[[#This Row],[orden]]="","",tblOrdenes[[#This Row],[costo_servicio]]+tblOrdenes[[#This Row],[costo_materiales]])</f>
        <v/>
      </c>
      <c r="AI936" s="6" t="n"/>
      <c r="AJ936" s="6" t="n"/>
      <c r="AK936" s="6" t="n"/>
      <c r="AL936" s="3">
        <f>IF(tblOrdenes[[#This Row],[link_checklist]]="","",HYPERLINK(p_ruta_base_checklists&amp;tblOrdenes[[#This Row],[link_checklist]],"abrir"))</f>
        <v/>
      </c>
      <c r="AM936" s="6" t="n"/>
      <c r="AN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Row],[tipo_ot]]="","",_xlfn.XLOOKUP(tblOrdenes[[#This Row],[tipo_ot]],tblTiposOT[codigo],tblTiposOT[clasificacion],"sin_clasificar"))</f>
        <v/>
      </c>
      <c r="T937" s="3">
        <f>IF(tblOrdenes[[#This Row],[centro_costo]]="","",_xlfn.XLOOKUP(tblOrdenes[[#This Row],[centro_costo]],tblCECO[codigo],tblCECO[linea],"(sin catálogo)"))</f>
        <v/>
      </c>
      <c r="U937" s="3">
        <f>IF(tblOrdenes[[#This Row],[centro_costo]]="","",_xlfn.XLOOKUP(tblOrdenes[[#This Row],[centro_costo]],tblCECO[codigo],tblCECO[area],"(sin catálogo)"))</f>
        <v/>
      </c>
      <c r="V937" s="3">
        <f>IF(tblOrdenes[[#This Row],[centro_costo]]="","",_xlfn.XLOOKUP(tblOrdenes[[#This Row],[centro_costo]],tblCECO[codigo],tblCECO[coordinador],"(sin catálogo)"))</f>
        <v/>
      </c>
      <c r="W937" s="3">
        <f>IF(tblOrdenes[[#This Row],[puesto_trabajo]]="","",_xlfn.XLOOKUP(tblOrdenes[[#This Row],[puesto_trabajo]],tblPuestos[codigo],tblPuestos[especialidad],"(sin catálogo)"))</f>
        <v/>
      </c>
      <c r="X937" s="3">
        <f>IF(tblOrdenes[[#This Row],[cod_actividad]]="","",_xlfn.XLOOKUP(tblOrdenes[[#This Row],[cod_actividad]],tblActividades[codigo],tblActividades[descripcion],"(sin catálogo)"))</f>
        <v/>
      </c>
      <c r="Y937" s="12">
        <f>IF(tblOrdenes[[#This Row],[fecha_inicio]]="","",TODAY()-tblOrdenes[[#This Row],[fecha_inicio]])</f>
        <v/>
      </c>
      <c r="Z937" s="3">
        <f>IF(tblOrdenes[[#This Row],[backlog_dias]]="","",IF(tblOrdenes[[#This Row],[backlog_dias]]&lt;0,"FUTURO",IF(tblOrdenes[[#This Row],[backlog_dias]]&gt;p_dias_backlog_max,"BACKLOG","MES CORRIENTE")))</f>
        <v/>
      </c>
      <c r="AA937" s="3">
        <f>IF(tblOrdenes[[#This Row],[backlog_dias]]="",FALSE,AND(tblOrdenes[[#This Row],[backlog_dias]]&gt;p_dias_backlog_min,tblOrdenes[[#This Row],[backlog_dias]]&lt;=p_dias_backlog_max))</f>
        <v/>
      </c>
      <c r="AB937" s="6" t="n"/>
      <c r="AC9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7" s="10">
        <f>IF(tblOrdenes[[#This Row],[orden]]="","",_xlfn.XLOOKUP(tblOrdenes[[#This Row],[id_operacion]],tblEjecucion[id_operacion],tblEjecucion[precio],0))</f>
        <v/>
      </c>
      <c r="AG937" s="10">
        <f>IF(tblOrdenes[[#This Row],[orden]]="","",MAX(0,_xlfn.XLOOKUP(tblOrdenes[[#This Row],[id_operacion]],tblEjecucion[id_operacion],tblEjecucion[costo_plan_total],0)-tblOrdenes[[#This Row],[costo_servicio]]))</f>
        <v/>
      </c>
      <c r="AH937" s="10">
        <f>IF(tblOrdenes[[#This Row],[orden]]="","",tblOrdenes[[#This Row],[costo_servicio]]+tblOrdenes[[#This Row],[costo_materiales]])</f>
        <v/>
      </c>
      <c r="AI937" s="6" t="n"/>
      <c r="AJ937" s="6" t="n"/>
      <c r="AK937" s="6" t="n"/>
      <c r="AL937" s="3">
        <f>IF(tblOrdenes[[#This Row],[link_checklist]]="","",HYPERLINK(p_ruta_base_checklists&amp;tblOrdenes[[#This Row],[link_checklist]],"abrir"))</f>
        <v/>
      </c>
      <c r="AM937" s="6" t="n"/>
      <c r="AN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Row],[tipo_ot]]="","",_xlfn.XLOOKUP(tblOrdenes[[#This Row],[tipo_ot]],tblTiposOT[codigo],tblTiposOT[clasificacion],"sin_clasificar"))</f>
        <v/>
      </c>
      <c r="T938" s="3">
        <f>IF(tblOrdenes[[#This Row],[centro_costo]]="","",_xlfn.XLOOKUP(tblOrdenes[[#This Row],[centro_costo]],tblCECO[codigo],tblCECO[linea],"(sin catálogo)"))</f>
        <v/>
      </c>
      <c r="U938" s="3">
        <f>IF(tblOrdenes[[#This Row],[centro_costo]]="","",_xlfn.XLOOKUP(tblOrdenes[[#This Row],[centro_costo]],tblCECO[codigo],tblCECO[area],"(sin catálogo)"))</f>
        <v/>
      </c>
      <c r="V938" s="3">
        <f>IF(tblOrdenes[[#This Row],[centro_costo]]="","",_xlfn.XLOOKUP(tblOrdenes[[#This Row],[centro_costo]],tblCECO[codigo],tblCECO[coordinador],"(sin catálogo)"))</f>
        <v/>
      </c>
      <c r="W938" s="3">
        <f>IF(tblOrdenes[[#This Row],[puesto_trabajo]]="","",_xlfn.XLOOKUP(tblOrdenes[[#This Row],[puesto_trabajo]],tblPuestos[codigo],tblPuestos[especialidad],"(sin catálogo)"))</f>
        <v/>
      </c>
      <c r="X938" s="3">
        <f>IF(tblOrdenes[[#This Row],[cod_actividad]]="","",_xlfn.XLOOKUP(tblOrdenes[[#This Row],[cod_actividad]],tblActividades[codigo],tblActividades[descripcion],"(sin catálogo)"))</f>
        <v/>
      </c>
      <c r="Y938" s="12">
        <f>IF(tblOrdenes[[#This Row],[fecha_inicio]]="","",TODAY()-tblOrdenes[[#This Row],[fecha_inicio]])</f>
        <v/>
      </c>
      <c r="Z938" s="3">
        <f>IF(tblOrdenes[[#This Row],[backlog_dias]]="","",IF(tblOrdenes[[#This Row],[backlog_dias]]&lt;0,"FUTURO",IF(tblOrdenes[[#This Row],[backlog_dias]]&gt;p_dias_backlog_max,"BACKLOG","MES CORRIENTE")))</f>
        <v/>
      </c>
      <c r="AA938" s="3">
        <f>IF(tblOrdenes[[#This Row],[backlog_dias]]="",FALSE,AND(tblOrdenes[[#This Row],[backlog_dias]]&gt;p_dias_backlog_min,tblOrdenes[[#This Row],[backlog_dias]]&lt;=p_dias_backlog_max))</f>
        <v/>
      </c>
      <c r="AB938" s="6" t="n"/>
      <c r="AC9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8" s="10">
        <f>IF(tblOrdenes[[#This Row],[orden]]="","",_xlfn.XLOOKUP(tblOrdenes[[#This Row],[id_operacion]],tblEjecucion[id_operacion],tblEjecucion[precio],0))</f>
        <v/>
      </c>
      <c r="AG938" s="10">
        <f>IF(tblOrdenes[[#This Row],[orden]]="","",MAX(0,_xlfn.XLOOKUP(tblOrdenes[[#This Row],[id_operacion]],tblEjecucion[id_operacion],tblEjecucion[costo_plan_total],0)-tblOrdenes[[#This Row],[costo_servicio]]))</f>
        <v/>
      </c>
      <c r="AH938" s="10">
        <f>IF(tblOrdenes[[#This Row],[orden]]="","",tblOrdenes[[#This Row],[costo_servicio]]+tblOrdenes[[#This Row],[costo_materiales]])</f>
        <v/>
      </c>
      <c r="AI938" s="6" t="n"/>
      <c r="AJ938" s="6" t="n"/>
      <c r="AK938" s="6" t="n"/>
      <c r="AL938" s="3">
        <f>IF(tblOrdenes[[#This Row],[link_checklist]]="","",HYPERLINK(p_ruta_base_checklists&amp;tblOrdenes[[#This Row],[link_checklist]],"abrir"))</f>
        <v/>
      </c>
      <c r="AM938" s="6" t="n"/>
      <c r="AN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Row],[tipo_ot]]="","",_xlfn.XLOOKUP(tblOrdenes[[#This Row],[tipo_ot]],tblTiposOT[codigo],tblTiposOT[clasificacion],"sin_clasificar"))</f>
        <v/>
      </c>
      <c r="T939" s="3">
        <f>IF(tblOrdenes[[#This Row],[centro_costo]]="","",_xlfn.XLOOKUP(tblOrdenes[[#This Row],[centro_costo]],tblCECO[codigo],tblCECO[linea],"(sin catálogo)"))</f>
        <v/>
      </c>
      <c r="U939" s="3">
        <f>IF(tblOrdenes[[#This Row],[centro_costo]]="","",_xlfn.XLOOKUP(tblOrdenes[[#This Row],[centro_costo]],tblCECO[codigo],tblCECO[area],"(sin catálogo)"))</f>
        <v/>
      </c>
      <c r="V939" s="3">
        <f>IF(tblOrdenes[[#This Row],[centro_costo]]="","",_xlfn.XLOOKUP(tblOrdenes[[#This Row],[centro_costo]],tblCECO[codigo],tblCECO[coordinador],"(sin catálogo)"))</f>
        <v/>
      </c>
      <c r="W939" s="3">
        <f>IF(tblOrdenes[[#This Row],[puesto_trabajo]]="","",_xlfn.XLOOKUP(tblOrdenes[[#This Row],[puesto_trabajo]],tblPuestos[codigo],tblPuestos[especialidad],"(sin catálogo)"))</f>
        <v/>
      </c>
      <c r="X939" s="3">
        <f>IF(tblOrdenes[[#This Row],[cod_actividad]]="","",_xlfn.XLOOKUP(tblOrdenes[[#This Row],[cod_actividad]],tblActividades[codigo],tblActividades[descripcion],"(sin catálogo)"))</f>
        <v/>
      </c>
      <c r="Y939" s="12">
        <f>IF(tblOrdenes[[#This Row],[fecha_inicio]]="","",TODAY()-tblOrdenes[[#This Row],[fecha_inicio]])</f>
        <v/>
      </c>
      <c r="Z939" s="3">
        <f>IF(tblOrdenes[[#This Row],[backlog_dias]]="","",IF(tblOrdenes[[#This Row],[backlog_dias]]&lt;0,"FUTURO",IF(tblOrdenes[[#This Row],[backlog_dias]]&gt;p_dias_backlog_max,"BACKLOG","MES CORRIENTE")))</f>
        <v/>
      </c>
      <c r="AA939" s="3">
        <f>IF(tblOrdenes[[#This Row],[backlog_dias]]="",FALSE,AND(tblOrdenes[[#This Row],[backlog_dias]]&gt;p_dias_backlog_min,tblOrdenes[[#This Row],[backlog_dias]]&lt;=p_dias_backlog_max))</f>
        <v/>
      </c>
      <c r="AB939" s="6" t="n"/>
      <c r="AC9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9" s="10">
        <f>IF(tblOrdenes[[#This Row],[orden]]="","",_xlfn.XLOOKUP(tblOrdenes[[#This Row],[id_operacion]],tblEjecucion[id_operacion],tblEjecucion[precio],0))</f>
        <v/>
      </c>
      <c r="AG939" s="10">
        <f>IF(tblOrdenes[[#This Row],[orden]]="","",MAX(0,_xlfn.XLOOKUP(tblOrdenes[[#This Row],[id_operacion]],tblEjecucion[id_operacion],tblEjecucion[costo_plan_total],0)-tblOrdenes[[#This Row],[costo_servicio]]))</f>
        <v/>
      </c>
      <c r="AH939" s="10">
        <f>IF(tblOrdenes[[#This Row],[orden]]="","",tblOrdenes[[#This Row],[costo_servicio]]+tblOrdenes[[#This Row],[costo_materiales]])</f>
        <v/>
      </c>
      <c r="AI939" s="6" t="n"/>
      <c r="AJ939" s="6" t="n"/>
      <c r="AK939" s="6" t="n"/>
      <c r="AL939" s="3">
        <f>IF(tblOrdenes[[#This Row],[link_checklist]]="","",HYPERLINK(p_ruta_base_checklists&amp;tblOrdenes[[#This Row],[link_checklist]],"abrir"))</f>
        <v/>
      </c>
      <c r="AM939" s="6" t="n"/>
      <c r="AN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Row],[tipo_ot]]="","",_xlfn.XLOOKUP(tblOrdenes[[#This Row],[tipo_ot]],tblTiposOT[codigo],tblTiposOT[clasificacion],"sin_clasificar"))</f>
        <v/>
      </c>
      <c r="T940" s="3">
        <f>IF(tblOrdenes[[#This Row],[centro_costo]]="","",_xlfn.XLOOKUP(tblOrdenes[[#This Row],[centro_costo]],tblCECO[codigo],tblCECO[linea],"(sin catálogo)"))</f>
        <v/>
      </c>
      <c r="U940" s="3">
        <f>IF(tblOrdenes[[#This Row],[centro_costo]]="","",_xlfn.XLOOKUP(tblOrdenes[[#This Row],[centro_costo]],tblCECO[codigo],tblCECO[area],"(sin catálogo)"))</f>
        <v/>
      </c>
      <c r="V940" s="3">
        <f>IF(tblOrdenes[[#This Row],[centro_costo]]="","",_xlfn.XLOOKUP(tblOrdenes[[#This Row],[centro_costo]],tblCECO[codigo],tblCECO[coordinador],"(sin catálogo)"))</f>
        <v/>
      </c>
      <c r="W940" s="3">
        <f>IF(tblOrdenes[[#This Row],[puesto_trabajo]]="","",_xlfn.XLOOKUP(tblOrdenes[[#This Row],[puesto_trabajo]],tblPuestos[codigo],tblPuestos[especialidad],"(sin catálogo)"))</f>
        <v/>
      </c>
      <c r="X940" s="3">
        <f>IF(tblOrdenes[[#This Row],[cod_actividad]]="","",_xlfn.XLOOKUP(tblOrdenes[[#This Row],[cod_actividad]],tblActividades[codigo],tblActividades[descripcion],"(sin catálogo)"))</f>
        <v/>
      </c>
      <c r="Y940" s="12">
        <f>IF(tblOrdenes[[#This Row],[fecha_inicio]]="","",TODAY()-tblOrdenes[[#This Row],[fecha_inicio]])</f>
        <v/>
      </c>
      <c r="Z940" s="3">
        <f>IF(tblOrdenes[[#This Row],[backlog_dias]]="","",IF(tblOrdenes[[#This Row],[backlog_dias]]&lt;0,"FUTURO",IF(tblOrdenes[[#This Row],[backlog_dias]]&gt;p_dias_backlog_max,"BACKLOG","MES CORRIENTE")))</f>
        <v/>
      </c>
      <c r="AA940" s="3">
        <f>IF(tblOrdenes[[#This Row],[backlog_dias]]="",FALSE,AND(tblOrdenes[[#This Row],[backlog_dias]]&gt;p_dias_backlog_min,tblOrdenes[[#This Row],[backlog_dias]]&lt;=p_dias_backlog_max))</f>
        <v/>
      </c>
      <c r="AB940" s="6" t="n"/>
      <c r="AC9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0" s="10">
        <f>IF(tblOrdenes[[#This Row],[orden]]="","",_xlfn.XLOOKUP(tblOrdenes[[#This Row],[id_operacion]],tblEjecucion[id_operacion],tblEjecucion[precio],0))</f>
        <v/>
      </c>
      <c r="AG940" s="10">
        <f>IF(tblOrdenes[[#This Row],[orden]]="","",MAX(0,_xlfn.XLOOKUP(tblOrdenes[[#This Row],[id_operacion]],tblEjecucion[id_operacion],tblEjecucion[costo_plan_total],0)-tblOrdenes[[#This Row],[costo_servicio]]))</f>
        <v/>
      </c>
      <c r="AH940" s="10">
        <f>IF(tblOrdenes[[#This Row],[orden]]="","",tblOrdenes[[#This Row],[costo_servicio]]+tblOrdenes[[#This Row],[costo_materiales]])</f>
        <v/>
      </c>
      <c r="AI940" s="6" t="n"/>
      <c r="AJ940" s="6" t="n"/>
      <c r="AK940" s="6" t="n"/>
      <c r="AL940" s="3">
        <f>IF(tblOrdenes[[#This Row],[link_checklist]]="","",HYPERLINK(p_ruta_base_checklists&amp;tblOrdenes[[#This Row],[link_checklist]],"abrir"))</f>
        <v/>
      </c>
      <c r="AM940" s="6" t="n"/>
      <c r="AN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Row],[tipo_ot]]="","",_xlfn.XLOOKUP(tblOrdenes[[#This Row],[tipo_ot]],tblTiposOT[codigo],tblTiposOT[clasificacion],"sin_clasificar"))</f>
        <v/>
      </c>
      <c r="T941" s="3">
        <f>IF(tblOrdenes[[#This Row],[centro_costo]]="","",_xlfn.XLOOKUP(tblOrdenes[[#This Row],[centro_costo]],tblCECO[codigo],tblCECO[linea],"(sin catálogo)"))</f>
        <v/>
      </c>
      <c r="U941" s="3">
        <f>IF(tblOrdenes[[#This Row],[centro_costo]]="","",_xlfn.XLOOKUP(tblOrdenes[[#This Row],[centro_costo]],tblCECO[codigo],tblCECO[area],"(sin catálogo)"))</f>
        <v/>
      </c>
      <c r="V941" s="3">
        <f>IF(tblOrdenes[[#This Row],[centro_costo]]="","",_xlfn.XLOOKUP(tblOrdenes[[#This Row],[centro_costo]],tblCECO[codigo],tblCECO[coordinador],"(sin catálogo)"))</f>
        <v/>
      </c>
      <c r="W941" s="3">
        <f>IF(tblOrdenes[[#This Row],[puesto_trabajo]]="","",_xlfn.XLOOKUP(tblOrdenes[[#This Row],[puesto_trabajo]],tblPuestos[codigo],tblPuestos[especialidad],"(sin catálogo)"))</f>
        <v/>
      </c>
      <c r="X941" s="3">
        <f>IF(tblOrdenes[[#This Row],[cod_actividad]]="","",_xlfn.XLOOKUP(tblOrdenes[[#This Row],[cod_actividad]],tblActividades[codigo],tblActividades[descripcion],"(sin catálogo)"))</f>
        <v/>
      </c>
      <c r="Y941" s="12">
        <f>IF(tblOrdenes[[#This Row],[fecha_inicio]]="","",TODAY()-tblOrdenes[[#This Row],[fecha_inicio]])</f>
        <v/>
      </c>
      <c r="Z941" s="3">
        <f>IF(tblOrdenes[[#This Row],[backlog_dias]]="","",IF(tblOrdenes[[#This Row],[backlog_dias]]&lt;0,"FUTURO",IF(tblOrdenes[[#This Row],[backlog_dias]]&gt;p_dias_backlog_max,"BACKLOG","MES CORRIENTE")))</f>
        <v/>
      </c>
      <c r="AA941" s="3">
        <f>IF(tblOrdenes[[#This Row],[backlog_dias]]="",FALSE,AND(tblOrdenes[[#This Row],[backlog_dias]]&gt;p_dias_backlog_min,tblOrdenes[[#This Row],[backlog_dias]]&lt;=p_dias_backlog_max))</f>
        <v/>
      </c>
      <c r="AB941" s="6" t="n"/>
      <c r="AC9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1" s="10">
        <f>IF(tblOrdenes[[#This Row],[orden]]="","",_xlfn.XLOOKUP(tblOrdenes[[#This Row],[id_operacion]],tblEjecucion[id_operacion],tblEjecucion[precio],0))</f>
        <v/>
      </c>
      <c r="AG941" s="10">
        <f>IF(tblOrdenes[[#This Row],[orden]]="","",MAX(0,_xlfn.XLOOKUP(tblOrdenes[[#This Row],[id_operacion]],tblEjecucion[id_operacion],tblEjecucion[costo_plan_total],0)-tblOrdenes[[#This Row],[costo_servicio]]))</f>
        <v/>
      </c>
      <c r="AH941" s="10">
        <f>IF(tblOrdenes[[#This Row],[orden]]="","",tblOrdenes[[#This Row],[costo_servicio]]+tblOrdenes[[#This Row],[costo_materiales]])</f>
        <v/>
      </c>
      <c r="AI941" s="6" t="n"/>
      <c r="AJ941" s="6" t="n"/>
      <c r="AK941" s="6" t="n"/>
      <c r="AL941" s="3">
        <f>IF(tblOrdenes[[#This Row],[link_checklist]]="","",HYPERLINK(p_ruta_base_checklists&amp;tblOrdenes[[#This Row],[link_checklist]],"abrir"))</f>
        <v/>
      </c>
      <c r="AM941" s="6" t="n"/>
      <c r="AN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Row],[tipo_ot]]="","",_xlfn.XLOOKUP(tblOrdenes[[#This Row],[tipo_ot]],tblTiposOT[codigo],tblTiposOT[clasificacion],"sin_clasificar"))</f>
        <v/>
      </c>
      <c r="T942" s="3">
        <f>IF(tblOrdenes[[#This Row],[centro_costo]]="","",_xlfn.XLOOKUP(tblOrdenes[[#This Row],[centro_costo]],tblCECO[codigo],tblCECO[linea],"(sin catálogo)"))</f>
        <v/>
      </c>
      <c r="U942" s="3">
        <f>IF(tblOrdenes[[#This Row],[centro_costo]]="","",_xlfn.XLOOKUP(tblOrdenes[[#This Row],[centro_costo]],tblCECO[codigo],tblCECO[area],"(sin catálogo)"))</f>
        <v/>
      </c>
      <c r="V942" s="3">
        <f>IF(tblOrdenes[[#This Row],[centro_costo]]="","",_xlfn.XLOOKUP(tblOrdenes[[#This Row],[centro_costo]],tblCECO[codigo],tblCECO[coordinador],"(sin catálogo)"))</f>
        <v/>
      </c>
      <c r="W942" s="3">
        <f>IF(tblOrdenes[[#This Row],[puesto_trabajo]]="","",_xlfn.XLOOKUP(tblOrdenes[[#This Row],[puesto_trabajo]],tblPuestos[codigo],tblPuestos[especialidad],"(sin catálogo)"))</f>
        <v/>
      </c>
      <c r="X942" s="3">
        <f>IF(tblOrdenes[[#This Row],[cod_actividad]]="","",_xlfn.XLOOKUP(tblOrdenes[[#This Row],[cod_actividad]],tblActividades[codigo],tblActividades[descripcion],"(sin catálogo)"))</f>
        <v/>
      </c>
      <c r="Y942" s="12">
        <f>IF(tblOrdenes[[#This Row],[fecha_inicio]]="","",TODAY()-tblOrdenes[[#This Row],[fecha_inicio]])</f>
        <v/>
      </c>
      <c r="Z942" s="3">
        <f>IF(tblOrdenes[[#This Row],[backlog_dias]]="","",IF(tblOrdenes[[#This Row],[backlog_dias]]&lt;0,"FUTURO",IF(tblOrdenes[[#This Row],[backlog_dias]]&gt;p_dias_backlog_max,"BACKLOG","MES CORRIENTE")))</f>
        <v/>
      </c>
      <c r="AA942" s="3">
        <f>IF(tblOrdenes[[#This Row],[backlog_dias]]="",FALSE,AND(tblOrdenes[[#This Row],[backlog_dias]]&gt;p_dias_backlog_min,tblOrdenes[[#This Row],[backlog_dias]]&lt;=p_dias_backlog_max))</f>
        <v/>
      </c>
      <c r="AB942" s="6" t="n"/>
      <c r="AC9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2" s="10">
        <f>IF(tblOrdenes[[#This Row],[orden]]="","",_xlfn.XLOOKUP(tblOrdenes[[#This Row],[id_operacion]],tblEjecucion[id_operacion],tblEjecucion[precio],0))</f>
        <v/>
      </c>
      <c r="AG942" s="10">
        <f>IF(tblOrdenes[[#This Row],[orden]]="","",MAX(0,_xlfn.XLOOKUP(tblOrdenes[[#This Row],[id_operacion]],tblEjecucion[id_operacion],tblEjecucion[costo_plan_total],0)-tblOrdenes[[#This Row],[costo_servicio]]))</f>
        <v/>
      </c>
      <c r="AH942" s="10">
        <f>IF(tblOrdenes[[#This Row],[orden]]="","",tblOrdenes[[#This Row],[costo_servicio]]+tblOrdenes[[#This Row],[costo_materiales]])</f>
        <v/>
      </c>
      <c r="AI942" s="6" t="n"/>
      <c r="AJ942" s="6" t="n"/>
      <c r="AK942" s="6" t="n"/>
      <c r="AL942" s="3">
        <f>IF(tblOrdenes[[#This Row],[link_checklist]]="","",HYPERLINK(p_ruta_base_checklists&amp;tblOrdenes[[#This Row],[link_checklist]],"abrir"))</f>
        <v/>
      </c>
      <c r="AM942" s="6" t="n"/>
      <c r="AN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Row],[tipo_ot]]="","",_xlfn.XLOOKUP(tblOrdenes[[#This Row],[tipo_ot]],tblTiposOT[codigo],tblTiposOT[clasificacion],"sin_clasificar"))</f>
        <v/>
      </c>
      <c r="T943" s="3">
        <f>IF(tblOrdenes[[#This Row],[centro_costo]]="","",_xlfn.XLOOKUP(tblOrdenes[[#This Row],[centro_costo]],tblCECO[codigo],tblCECO[linea],"(sin catálogo)"))</f>
        <v/>
      </c>
      <c r="U943" s="3">
        <f>IF(tblOrdenes[[#This Row],[centro_costo]]="","",_xlfn.XLOOKUP(tblOrdenes[[#This Row],[centro_costo]],tblCECO[codigo],tblCECO[area],"(sin catálogo)"))</f>
        <v/>
      </c>
      <c r="V943" s="3">
        <f>IF(tblOrdenes[[#This Row],[centro_costo]]="","",_xlfn.XLOOKUP(tblOrdenes[[#This Row],[centro_costo]],tblCECO[codigo],tblCECO[coordinador],"(sin catálogo)"))</f>
        <v/>
      </c>
      <c r="W943" s="3">
        <f>IF(tblOrdenes[[#This Row],[puesto_trabajo]]="","",_xlfn.XLOOKUP(tblOrdenes[[#This Row],[puesto_trabajo]],tblPuestos[codigo],tblPuestos[especialidad],"(sin catálogo)"))</f>
        <v/>
      </c>
      <c r="X943" s="3">
        <f>IF(tblOrdenes[[#This Row],[cod_actividad]]="","",_xlfn.XLOOKUP(tblOrdenes[[#This Row],[cod_actividad]],tblActividades[codigo],tblActividades[descripcion],"(sin catálogo)"))</f>
        <v/>
      </c>
      <c r="Y943" s="12">
        <f>IF(tblOrdenes[[#This Row],[fecha_inicio]]="","",TODAY()-tblOrdenes[[#This Row],[fecha_inicio]])</f>
        <v/>
      </c>
      <c r="Z943" s="3">
        <f>IF(tblOrdenes[[#This Row],[backlog_dias]]="","",IF(tblOrdenes[[#This Row],[backlog_dias]]&lt;0,"FUTURO",IF(tblOrdenes[[#This Row],[backlog_dias]]&gt;p_dias_backlog_max,"BACKLOG","MES CORRIENTE")))</f>
        <v/>
      </c>
      <c r="AA943" s="3">
        <f>IF(tblOrdenes[[#This Row],[backlog_dias]]="",FALSE,AND(tblOrdenes[[#This Row],[backlog_dias]]&gt;p_dias_backlog_min,tblOrdenes[[#This Row],[backlog_dias]]&lt;=p_dias_backlog_max))</f>
        <v/>
      </c>
      <c r="AB943" s="6" t="n"/>
      <c r="AC9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3" s="10">
        <f>IF(tblOrdenes[[#This Row],[orden]]="","",_xlfn.XLOOKUP(tblOrdenes[[#This Row],[id_operacion]],tblEjecucion[id_operacion],tblEjecucion[precio],0))</f>
        <v/>
      </c>
      <c r="AG943" s="10">
        <f>IF(tblOrdenes[[#This Row],[orden]]="","",MAX(0,_xlfn.XLOOKUP(tblOrdenes[[#This Row],[id_operacion]],tblEjecucion[id_operacion],tblEjecucion[costo_plan_total],0)-tblOrdenes[[#This Row],[costo_servicio]]))</f>
        <v/>
      </c>
      <c r="AH943" s="10">
        <f>IF(tblOrdenes[[#This Row],[orden]]="","",tblOrdenes[[#This Row],[costo_servicio]]+tblOrdenes[[#This Row],[costo_materiales]])</f>
        <v/>
      </c>
      <c r="AI943" s="6" t="n"/>
      <c r="AJ943" s="6" t="n"/>
      <c r="AK943" s="6" t="n"/>
      <c r="AL943" s="3">
        <f>IF(tblOrdenes[[#This Row],[link_checklist]]="","",HYPERLINK(p_ruta_base_checklists&amp;tblOrdenes[[#This Row],[link_checklist]],"abrir"))</f>
        <v/>
      </c>
      <c r="AM943" s="6" t="n"/>
      <c r="AN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Row],[tipo_ot]]="","",_xlfn.XLOOKUP(tblOrdenes[[#This Row],[tipo_ot]],tblTiposOT[codigo],tblTiposOT[clasificacion],"sin_clasificar"))</f>
        <v/>
      </c>
      <c r="T944" s="3">
        <f>IF(tblOrdenes[[#This Row],[centro_costo]]="","",_xlfn.XLOOKUP(tblOrdenes[[#This Row],[centro_costo]],tblCECO[codigo],tblCECO[linea],"(sin catálogo)"))</f>
        <v/>
      </c>
      <c r="U944" s="3">
        <f>IF(tblOrdenes[[#This Row],[centro_costo]]="","",_xlfn.XLOOKUP(tblOrdenes[[#This Row],[centro_costo]],tblCECO[codigo],tblCECO[area],"(sin catálogo)"))</f>
        <v/>
      </c>
      <c r="V944" s="3">
        <f>IF(tblOrdenes[[#This Row],[centro_costo]]="","",_xlfn.XLOOKUP(tblOrdenes[[#This Row],[centro_costo]],tblCECO[codigo],tblCECO[coordinador],"(sin catálogo)"))</f>
        <v/>
      </c>
      <c r="W944" s="3">
        <f>IF(tblOrdenes[[#This Row],[puesto_trabajo]]="","",_xlfn.XLOOKUP(tblOrdenes[[#This Row],[puesto_trabajo]],tblPuestos[codigo],tblPuestos[especialidad],"(sin catálogo)"))</f>
        <v/>
      </c>
      <c r="X944" s="3">
        <f>IF(tblOrdenes[[#This Row],[cod_actividad]]="","",_xlfn.XLOOKUP(tblOrdenes[[#This Row],[cod_actividad]],tblActividades[codigo],tblActividades[descripcion],"(sin catálogo)"))</f>
        <v/>
      </c>
      <c r="Y944" s="12">
        <f>IF(tblOrdenes[[#This Row],[fecha_inicio]]="","",TODAY()-tblOrdenes[[#This Row],[fecha_inicio]])</f>
        <v/>
      </c>
      <c r="Z944" s="3">
        <f>IF(tblOrdenes[[#This Row],[backlog_dias]]="","",IF(tblOrdenes[[#This Row],[backlog_dias]]&lt;0,"FUTURO",IF(tblOrdenes[[#This Row],[backlog_dias]]&gt;p_dias_backlog_max,"BACKLOG","MES CORRIENTE")))</f>
        <v/>
      </c>
      <c r="AA944" s="3">
        <f>IF(tblOrdenes[[#This Row],[backlog_dias]]="",FALSE,AND(tblOrdenes[[#This Row],[backlog_dias]]&gt;p_dias_backlog_min,tblOrdenes[[#This Row],[backlog_dias]]&lt;=p_dias_backlog_max))</f>
        <v/>
      </c>
      <c r="AB944" s="6" t="n"/>
      <c r="AC9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4" s="10">
        <f>IF(tblOrdenes[[#This Row],[orden]]="","",_xlfn.XLOOKUP(tblOrdenes[[#This Row],[id_operacion]],tblEjecucion[id_operacion],tblEjecucion[precio],0))</f>
        <v/>
      </c>
      <c r="AG944" s="10">
        <f>IF(tblOrdenes[[#This Row],[orden]]="","",MAX(0,_xlfn.XLOOKUP(tblOrdenes[[#This Row],[id_operacion]],tblEjecucion[id_operacion],tblEjecucion[costo_plan_total],0)-tblOrdenes[[#This Row],[costo_servicio]]))</f>
        <v/>
      </c>
      <c r="AH944" s="10">
        <f>IF(tblOrdenes[[#This Row],[orden]]="","",tblOrdenes[[#This Row],[costo_servicio]]+tblOrdenes[[#This Row],[costo_materiales]])</f>
        <v/>
      </c>
      <c r="AI944" s="6" t="n"/>
      <c r="AJ944" s="6" t="n"/>
      <c r="AK944" s="6" t="n"/>
      <c r="AL944" s="3">
        <f>IF(tblOrdenes[[#This Row],[link_checklist]]="","",HYPERLINK(p_ruta_base_checklists&amp;tblOrdenes[[#This Row],[link_checklist]],"abrir"))</f>
        <v/>
      </c>
      <c r="AM944" s="6" t="n"/>
      <c r="AN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Row],[tipo_ot]]="","",_xlfn.XLOOKUP(tblOrdenes[[#This Row],[tipo_ot]],tblTiposOT[codigo],tblTiposOT[clasificacion],"sin_clasificar"))</f>
        <v/>
      </c>
      <c r="T945" s="3">
        <f>IF(tblOrdenes[[#This Row],[centro_costo]]="","",_xlfn.XLOOKUP(tblOrdenes[[#This Row],[centro_costo]],tblCECO[codigo],tblCECO[linea],"(sin catálogo)"))</f>
        <v/>
      </c>
      <c r="U945" s="3">
        <f>IF(tblOrdenes[[#This Row],[centro_costo]]="","",_xlfn.XLOOKUP(tblOrdenes[[#This Row],[centro_costo]],tblCECO[codigo],tblCECO[area],"(sin catálogo)"))</f>
        <v/>
      </c>
      <c r="V945" s="3">
        <f>IF(tblOrdenes[[#This Row],[centro_costo]]="","",_xlfn.XLOOKUP(tblOrdenes[[#This Row],[centro_costo]],tblCECO[codigo],tblCECO[coordinador],"(sin catálogo)"))</f>
        <v/>
      </c>
      <c r="W945" s="3">
        <f>IF(tblOrdenes[[#This Row],[puesto_trabajo]]="","",_xlfn.XLOOKUP(tblOrdenes[[#This Row],[puesto_trabajo]],tblPuestos[codigo],tblPuestos[especialidad],"(sin catálogo)"))</f>
        <v/>
      </c>
      <c r="X945" s="3">
        <f>IF(tblOrdenes[[#This Row],[cod_actividad]]="","",_xlfn.XLOOKUP(tblOrdenes[[#This Row],[cod_actividad]],tblActividades[codigo],tblActividades[descripcion],"(sin catálogo)"))</f>
        <v/>
      </c>
      <c r="Y945" s="12">
        <f>IF(tblOrdenes[[#This Row],[fecha_inicio]]="","",TODAY()-tblOrdenes[[#This Row],[fecha_inicio]])</f>
        <v/>
      </c>
      <c r="Z945" s="3">
        <f>IF(tblOrdenes[[#This Row],[backlog_dias]]="","",IF(tblOrdenes[[#This Row],[backlog_dias]]&lt;0,"FUTURO",IF(tblOrdenes[[#This Row],[backlog_dias]]&gt;p_dias_backlog_max,"BACKLOG","MES CORRIENTE")))</f>
        <v/>
      </c>
      <c r="AA945" s="3">
        <f>IF(tblOrdenes[[#This Row],[backlog_dias]]="",FALSE,AND(tblOrdenes[[#This Row],[backlog_dias]]&gt;p_dias_backlog_min,tblOrdenes[[#This Row],[backlog_dias]]&lt;=p_dias_backlog_max))</f>
        <v/>
      </c>
      <c r="AB945" s="6" t="n"/>
      <c r="AC9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5" s="10">
        <f>IF(tblOrdenes[[#This Row],[orden]]="","",_xlfn.XLOOKUP(tblOrdenes[[#This Row],[id_operacion]],tblEjecucion[id_operacion],tblEjecucion[precio],0))</f>
        <v/>
      </c>
      <c r="AG945" s="10">
        <f>IF(tblOrdenes[[#This Row],[orden]]="","",MAX(0,_xlfn.XLOOKUP(tblOrdenes[[#This Row],[id_operacion]],tblEjecucion[id_operacion],tblEjecucion[costo_plan_total],0)-tblOrdenes[[#This Row],[costo_servicio]]))</f>
        <v/>
      </c>
      <c r="AH945" s="10">
        <f>IF(tblOrdenes[[#This Row],[orden]]="","",tblOrdenes[[#This Row],[costo_servicio]]+tblOrdenes[[#This Row],[costo_materiales]])</f>
        <v/>
      </c>
      <c r="AI945" s="6" t="n"/>
      <c r="AJ945" s="6" t="n"/>
      <c r="AK945" s="6" t="n"/>
      <c r="AL945" s="3">
        <f>IF(tblOrdenes[[#This Row],[link_checklist]]="","",HYPERLINK(p_ruta_base_checklists&amp;tblOrdenes[[#This Row],[link_checklist]],"abrir"))</f>
        <v/>
      </c>
      <c r="AM945" s="6" t="n"/>
      <c r="AN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Row],[tipo_ot]]="","",_xlfn.XLOOKUP(tblOrdenes[[#This Row],[tipo_ot]],tblTiposOT[codigo],tblTiposOT[clasificacion],"sin_clasificar"))</f>
        <v/>
      </c>
      <c r="T946" s="3">
        <f>IF(tblOrdenes[[#This Row],[centro_costo]]="","",_xlfn.XLOOKUP(tblOrdenes[[#This Row],[centro_costo]],tblCECO[codigo],tblCECO[linea],"(sin catálogo)"))</f>
        <v/>
      </c>
      <c r="U946" s="3">
        <f>IF(tblOrdenes[[#This Row],[centro_costo]]="","",_xlfn.XLOOKUP(tblOrdenes[[#This Row],[centro_costo]],tblCECO[codigo],tblCECO[area],"(sin catálogo)"))</f>
        <v/>
      </c>
      <c r="V946" s="3">
        <f>IF(tblOrdenes[[#This Row],[centro_costo]]="","",_xlfn.XLOOKUP(tblOrdenes[[#This Row],[centro_costo]],tblCECO[codigo],tblCECO[coordinador],"(sin catálogo)"))</f>
        <v/>
      </c>
      <c r="W946" s="3">
        <f>IF(tblOrdenes[[#This Row],[puesto_trabajo]]="","",_xlfn.XLOOKUP(tblOrdenes[[#This Row],[puesto_trabajo]],tblPuestos[codigo],tblPuestos[especialidad],"(sin catálogo)"))</f>
        <v/>
      </c>
      <c r="X946" s="3">
        <f>IF(tblOrdenes[[#This Row],[cod_actividad]]="","",_xlfn.XLOOKUP(tblOrdenes[[#This Row],[cod_actividad]],tblActividades[codigo],tblActividades[descripcion],"(sin catálogo)"))</f>
        <v/>
      </c>
      <c r="Y946" s="12">
        <f>IF(tblOrdenes[[#This Row],[fecha_inicio]]="","",TODAY()-tblOrdenes[[#This Row],[fecha_inicio]])</f>
        <v/>
      </c>
      <c r="Z946" s="3">
        <f>IF(tblOrdenes[[#This Row],[backlog_dias]]="","",IF(tblOrdenes[[#This Row],[backlog_dias]]&lt;0,"FUTURO",IF(tblOrdenes[[#This Row],[backlog_dias]]&gt;p_dias_backlog_max,"BACKLOG","MES CORRIENTE")))</f>
        <v/>
      </c>
      <c r="AA946" s="3">
        <f>IF(tblOrdenes[[#This Row],[backlog_dias]]="",FALSE,AND(tblOrdenes[[#This Row],[backlog_dias]]&gt;p_dias_backlog_min,tblOrdenes[[#This Row],[backlog_dias]]&lt;=p_dias_backlog_max))</f>
        <v/>
      </c>
      <c r="AB946" s="6" t="n"/>
      <c r="AC9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6" s="10">
        <f>IF(tblOrdenes[[#This Row],[orden]]="","",_xlfn.XLOOKUP(tblOrdenes[[#This Row],[id_operacion]],tblEjecucion[id_operacion],tblEjecucion[precio],0))</f>
        <v/>
      </c>
      <c r="AG946" s="10">
        <f>IF(tblOrdenes[[#This Row],[orden]]="","",MAX(0,_xlfn.XLOOKUP(tblOrdenes[[#This Row],[id_operacion]],tblEjecucion[id_operacion],tblEjecucion[costo_plan_total],0)-tblOrdenes[[#This Row],[costo_servicio]]))</f>
        <v/>
      </c>
      <c r="AH946" s="10">
        <f>IF(tblOrdenes[[#This Row],[orden]]="","",tblOrdenes[[#This Row],[costo_servicio]]+tblOrdenes[[#This Row],[costo_materiales]])</f>
        <v/>
      </c>
      <c r="AI946" s="6" t="n"/>
      <c r="AJ946" s="6" t="n"/>
      <c r="AK946" s="6" t="n"/>
      <c r="AL946" s="3">
        <f>IF(tblOrdenes[[#This Row],[link_checklist]]="","",HYPERLINK(p_ruta_base_checklists&amp;tblOrdenes[[#This Row],[link_checklist]],"abrir"))</f>
        <v/>
      </c>
      <c r="AM946" s="6" t="n"/>
      <c r="AN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Row],[tipo_ot]]="","",_xlfn.XLOOKUP(tblOrdenes[[#This Row],[tipo_ot]],tblTiposOT[codigo],tblTiposOT[clasificacion],"sin_clasificar"))</f>
        <v/>
      </c>
      <c r="T947" s="3">
        <f>IF(tblOrdenes[[#This Row],[centro_costo]]="","",_xlfn.XLOOKUP(tblOrdenes[[#This Row],[centro_costo]],tblCECO[codigo],tblCECO[linea],"(sin catálogo)"))</f>
        <v/>
      </c>
      <c r="U947" s="3">
        <f>IF(tblOrdenes[[#This Row],[centro_costo]]="","",_xlfn.XLOOKUP(tblOrdenes[[#This Row],[centro_costo]],tblCECO[codigo],tblCECO[area],"(sin catálogo)"))</f>
        <v/>
      </c>
      <c r="V947" s="3">
        <f>IF(tblOrdenes[[#This Row],[centro_costo]]="","",_xlfn.XLOOKUP(tblOrdenes[[#This Row],[centro_costo]],tblCECO[codigo],tblCECO[coordinador],"(sin catálogo)"))</f>
        <v/>
      </c>
      <c r="W947" s="3">
        <f>IF(tblOrdenes[[#This Row],[puesto_trabajo]]="","",_xlfn.XLOOKUP(tblOrdenes[[#This Row],[puesto_trabajo]],tblPuestos[codigo],tblPuestos[especialidad],"(sin catálogo)"))</f>
        <v/>
      </c>
      <c r="X947" s="3">
        <f>IF(tblOrdenes[[#This Row],[cod_actividad]]="","",_xlfn.XLOOKUP(tblOrdenes[[#This Row],[cod_actividad]],tblActividades[codigo],tblActividades[descripcion],"(sin catálogo)"))</f>
        <v/>
      </c>
      <c r="Y947" s="12">
        <f>IF(tblOrdenes[[#This Row],[fecha_inicio]]="","",TODAY()-tblOrdenes[[#This Row],[fecha_inicio]])</f>
        <v/>
      </c>
      <c r="Z947" s="3">
        <f>IF(tblOrdenes[[#This Row],[backlog_dias]]="","",IF(tblOrdenes[[#This Row],[backlog_dias]]&lt;0,"FUTURO",IF(tblOrdenes[[#This Row],[backlog_dias]]&gt;p_dias_backlog_max,"BACKLOG","MES CORRIENTE")))</f>
        <v/>
      </c>
      <c r="AA947" s="3">
        <f>IF(tblOrdenes[[#This Row],[backlog_dias]]="",FALSE,AND(tblOrdenes[[#This Row],[backlog_dias]]&gt;p_dias_backlog_min,tblOrdenes[[#This Row],[backlog_dias]]&lt;=p_dias_backlog_max))</f>
        <v/>
      </c>
      <c r="AB947" s="6" t="n"/>
      <c r="AC9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7" s="10">
        <f>IF(tblOrdenes[[#This Row],[orden]]="","",_xlfn.XLOOKUP(tblOrdenes[[#This Row],[id_operacion]],tblEjecucion[id_operacion],tblEjecucion[precio],0))</f>
        <v/>
      </c>
      <c r="AG947" s="10">
        <f>IF(tblOrdenes[[#This Row],[orden]]="","",MAX(0,_xlfn.XLOOKUP(tblOrdenes[[#This Row],[id_operacion]],tblEjecucion[id_operacion],tblEjecucion[costo_plan_total],0)-tblOrdenes[[#This Row],[costo_servicio]]))</f>
        <v/>
      </c>
      <c r="AH947" s="10">
        <f>IF(tblOrdenes[[#This Row],[orden]]="","",tblOrdenes[[#This Row],[costo_servicio]]+tblOrdenes[[#This Row],[costo_materiales]])</f>
        <v/>
      </c>
      <c r="AI947" s="6" t="n"/>
      <c r="AJ947" s="6" t="n"/>
      <c r="AK947" s="6" t="n"/>
      <c r="AL947" s="3">
        <f>IF(tblOrdenes[[#This Row],[link_checklist]]="","",HYPERLINK(p_ruta_base_checklists&amp;tblOrdenes[[#This Row],[link_checklist]],"abrir"))</f>
        <v/>
      </c>
      <c r="AM947" s="6" t="n"/>
      <c r="AN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Row],[tipo_ot]]="","",_xlfn.XLOOKUP(tblOrdenes[[#This Row],[tipo_ot]],tblTiposOT[codigo],tblTiposOT[clasificacion],"sin_clasificar"))</f>
        <v/>
      </c>
      <c r="T948" s="3">
        <f>IF(tblOrdenes[[#This Row],[centro_costo]]="","",_xlfn.XLOOKUP(tblOrdenes[[#This Row],[centro_costo]],tblCECO[codigo],tblCECO[linea],"(sin catálogo)"))</f>
        <v/>
      </c>
      <c r="U948" s="3">
        <f>IF(tblOrdenes[[#This Row],[centro_costo]]="","",_xlfn.XLOOKUP(tblOrdenes[[#This Row],[centro_costo]],tblCECO[codigo],tblCECO[area],"(sin catálogo)"))</f>
        <v/>
      </c>
      <c r="V948" s="3">
        <f>IF(tblOrdenes[[#This Row],[centro_costo]]="","",_xlfn.XLOOKUP(tblOrdenes[[#This Row],[centro_costo]],tblCECO[codigo],tblCECO[coordinador],"(sin catálogo)"))</f>
        <v/>
      </c>
      <c r="W948" s="3">
        <f>IF(tblOrdenes[[#This Row],[puesto_trabajo]]="","",_xlfn.XLOOKUP(tblOrdenes[[#This Row],[puesto_trabajo]],tblPuestos[codigo],tblPuestos[especialidad],"(sin catálogo)"))</f>
        <v/>
      </c>
      <c r="X948" s="3">
        <f>IF(tblOrdenes[[#This Row],[cod_actividad]]="","",_xlfn.XLOOKUP(tblOrdenes[[#This Row],[cod_actividad]],tblActividades[codigo],tblActividades[descripcion],"(sin catálogo)"))</f>
        <v/>
      </c>
      <c r="Y948" s="12">
        <f>IF(tblOrdenes[[#This Row],[fecha_inicio]]="","",TODAY()-tblOrdenes[[#This Row],[fecha_inicio]])</f>
        <v/>
      </c>
      <c r="Z948" s="3">
        <f>IF(tblOrdenes[[#This Row],[backlog_dias]]="","",IF(tblOrdenes[[#This Row],[backlog_dias]]&lt;0,"FUTURO",IF(tblOrdenes[[#This Row],[backlog_dias]]&gt;p_dias_backlog_max,"BACKLOG","MES CORRIENTE")))</f>
        <v/>
      </c>
      <c r="AA948" s="3">
        <f>IF(tblOrdenes[[#This Row],[backlog_dias]]="",FALSE,AND(tblOrdenes[[#This Row],[backlog_dias]]&gt;p_dias_backlog_min,tblOrdenes[[#This Row],[backlog_dias]]&lt;=p_dias_backlog_max))</f>
        <v/>
      </c>
      <c r="AB948" s="6" t="n"/>
      <c r="AC9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8" s="10">
        <f>IF(tblOrdenes[[#This Row],[orden]]="","",_xlfn.XLOOKUP(tblOrdenes[[#This Row],[id_operacion]],tblEjecucion[id_operacion],tblEjecucion[precio],0))</f>
        <v/>
      </c>
      <c r="AG948" s="10">
        <f>IF(tblOrdenes[[#This Row],[orden]]="","",MAX(0,_xlfn.XLOOKUP(tblOrdenes[[#This Row],[id_operacion]],tblEjecucion[id_operacion],tblEjecucion[costo_plan_total],0)-tblOrdenes[[#This Row],[costo_servicio]]))</f>
        <v/>
      </c>
      <c r="AH948" s="10">
        <f>IF(tblOrdenes[[#This Row],[orden]]="","",tblOrdenes[[#This Row],[costo_servicio]]+tblOrdenes[[#This Row],[costo_materiales]])</f>
        <v/>
      </c>
      <c r="AI948" s="6" t="n"/>
      <c r="AJ948" s="6" t="n"/>
      <c r="AK948" s="6" t="n"/>
      <c r="AL948" s="3">
        <f>IF(tblOrdenes[[#This Row],[link_checklist]]="","",HYPERLINK(p_ruta_base_checklists&amp;tblOrdenes[[#This Row],[link_checklist]],"abrir"))</f>
        <v/>
      </c>
      <c r="AM948" s="6" t="n"/>
      <c r="AN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Row],[tipo_ot]]="","",_xlfn.XLOOKUP(tblOrdenes[[#This Row],[tipo_ot]],tblTiposOT[codigo],tblTiposOT[clasificacion],"sin_clasificar"))</f>
        <v/>
      </c>
      <c r="T949" s="3">
        <f>IF(tblOrdenes[[#This Row],[centro_costo]]="","",_xlfn.XLOOKUP(tblOrdenes[[#This Row],[centro_costo]],tblCECO[codigo],tblCECO[linea],"(sin catálogo)"))</f>
        <v/>
      </c>
      <c r="U949" s="3">
        <f>IF(tblOrdenes[[#This Row],[centro_costo]]="","",_xlfn.XLOOKUP(tblOrdenes[[#This Row],[centro_costo]],tblCECO[codigo],tblCECO[area],"(sin catálogo)"))</f>
        <v/>
      </c>
      <c r="V949" s="3">
        <f>IF(tblOrdenes[[#This Row],[centro_costo]]="","",_xlfn.XLOOKUP(tblOrdenes[[#This Row],[centro_costo]],tblCECO[codigo],tblCECO[coordinador],"(sin catálogo)"))</f>
        <v/>
      </c>
      <c r="W949" s="3">
        <f>IF(tblOrdenes[[#This Row],[puesto_trabajo]]="","",_xlfn.XLOOKUP(tblOrdenes[[#This Row],[puesto_trabajo]],tblPuestos[codigo],tblPuestos[especialidad],"(sin catálogo)"))</f>
        <v/>
      </c>
      <c r="X949" s="3">
        <f>IF(tblOrdenes[[#This Row],[cod_actividad]]="","",_xlfn.XLOOKUP(tblOrdenes[[#This Row],[cod_actividad]],tblActividades[codigo],tblActividades[descripcion],"(sin catálogo)"))</f>
        <v/>
      </c>
      <c r="Y949" s="12">
        <f>IF(tblOrdenes[[#This Row],[fecha_inicio]]="","",TODAY()-tblOrdenes[[#This Row],[fecha_inicio]])</f>
        <v/>
      </c>
      <c r="Z949" s="3">
        <f>IF(tblOrdenes[[#This Row],[backlog_dias]]="","",IF(tblOrdenes[[#This Row],[backlog_dias]]&lt;0,"FUTURO",IF(tblOrdenes[[#This Row],[backlog_dias]]&gt;p_dias_backlog_max,"BACKLOG","MES CORRIENTE")))</f>
        <v/>
      </c>
      <c r="AA949" s="3">
        <f>IF(tblOrdenes[[#This Row],[backlog_dias]]="",FALSE,AND(tblOrdenes[[#This Row],[backlog_dias]]&gt;p_dias_backlog_min,tblOrdenes[[#This Row],[backlog_dias]]&lt;=p_dias_backlog_max))</f>
        <v/>
      </c>
      <c r="AB949" s="6" t="n"/>
      <c r="AC9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9" s="10">
        <f>IF(tblOrdenes[[#This Row],[orden]]="","",_xlfn.XLOOKUP(tblOrdenes[[#This Row],[id_operacion]],tblEjecucion[id_operacion],tblEjecucion[precio],0))</f>
        <v/>
      </c>
      <c r="AG949" s="10">
        <f>IF(tblOrdenes[[#This Row],[orden]]="","",MAX(0,_xlfn.XLOOKUP(tblOrdenes[[#This Row],[id_operacion]],tblEjecucion[id_operacion],tblEjecucion[costo_plan_total],0)-tblOrdenes[[#This Row],[costo_servicio]]))</f>
        <v/>
      </c>
      <c r="AH949" s="10">
        <f>IF(tblOrdenes[[#This Row],[orden]]="","",tblOrdenes[[#This Row],[costo_servicio]]+tblOrdenes[[#This Row],[costo_materiales]])</f>
        <v/>
      </c>
      <c r="AI949" s="6" t="n"/>
      <c r="AJ949" s="6" t="n"/>
      <c r="AK949" s="6" t="n"/>
      <c r="AL949" s="3">
        <f>IF(tblOrdenes[[#This Row],[link_checklist]]="","",HYPERLINK(p_ruta_base_checklists&amp;tblOrdenes[[#This Row],[link_checklist]],"abrir"))</f>
        <v/>
      </c>
      <c r="AM949" s="6" t="n"/>
      <c r="AN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Row],[tipo_ot]]="","",_xlfn.XLOOKUP(tblOrdenes[[#This Row],[tipo_ot]],tblTiposOT[codigo],tblTiposOT[clasificacion],"sin_clasificar"))</f>
        <v/>
      </c>
      <c r="T950" s="3">
        <f>IF(tblOrdenes[[#This Row],[centro_costo]]="","",_xlfn.XLOOKUP(tblOrdenes[[#This Row],[centro_costo]],tblCECO[codigo],tblCECO[linea],"(sin catálogo)"))</f>
        <v/>
      </c>
      <c r="U950" s="3">
        <f>IF(tblOrdenes[[#This Row],[centro_costo]]="","",_xlfn.XLOOKUP(tblOrdenes[[#This Row],[centro_costo]],tblCECO[codigo],tblCECO[area],"(sin catálogo)"))</f>
        <v/>
      </c>
      <c r="V950" s="3">
        <f>IF(tblOrdenes[[#This Row],[centro_costo]]="","",_xlfn.XLOOKUP(tblOrdenes[[#This Row],[centro_costo]],tblCECO[codigo],tblCECO[coordinador],"(sin catálogo)"))</f>
        <v/>
      </c>
      <c r="W950" s="3">
        <f>IF(tblOrdenes[[#This Row],[puesto_trabajo]]="","",_xlfn.XLOOKUP(tblOrdenes[[#This Row],[puesto_trabajo]],tblPuestos[codigo],tblPuestos[especialidad],"(sin catálogo)"))</f>
        <v/>
      </c>
      <c r="X950" s="3">
        <f>IF(tblOrdenes[[#This Row],[cod_actividad]]="","",_xlfn.XLOOKUP(tblOrdenes[[#This Row],[cod_actividad]],tblActividades[codigo],tblActividades[descripcion],"(sin catálogo)"))</f>
        <v/>
      </c>
      <c r="Y950" s="12">
        <f>IF(tblOrdenes[[#This Row],[fecha_inicio]]="","",TODAY()-tblOrdenes[[#This Row],[fecha_inicio]])</f>
        <v/>
      </c>
      <c r="Z950" s="3">
        <f>IF(tblOrdenes[[#This Row],[backlog_dias]]="","",IF(tblOrdenes[[#This Row],[backlog_dias]]&lt;0,"FUTURO",IF(tblOrdenes[[#This Row],[backlog_dias]]&gt;p_dias_backlog_max,"BACKLOG","MES CORRIENTE")))</f>
        <v/>
      </c>
      <c r="AA950" s="3">
        <f>IF(tblOrdenes[[#This Row],[backlog_dias]]="",FALSE,AND(tblOrdenes[[#This Row],[backlog_dias]]&gt;p_dias_backlog_min,tblOrdenes[[#This Row],[backlog_dias]]&lt;=p_dias_backlog_max))</f>
        <v/>
      </c>
      <c r="AB950" s="6" t="n"/>
      <c r="AC9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0" s="10">
        <f>IF(tblOrdenes[[#This Row],[orden]]="","",_xlfn.XLOOKUP(tblOrdenes[[#This Row],[id_operacion]],tblEjecucion[id_operacion],tblEjecucion[precio],0))</f>
        <v/>
      </c>
      <c r="AG950" s="10">
        <f>IF(tblOrdenes[[#This Row],[orden]]="","",MAX(0,_xlfn.XLOOKUP(tblOrdenes[[#This Row],[id_operacion]],tblEjecucion[id_operacion],tblEjecucion[costo_plan_total],0)-tblOrdenes[[#This Row],[costo_servicio]]))</f>
        <v/>
      </c>
      <c r="AH950" s="10">
        <f>IF(tblOrdenes[[#This Row],[orden]]="","",tblOrdenes[[#This Row],[costo_servicio]]+tblOrdenes[[#This Row],[costo_materiales]])</f>
        <v/>
      </c>
      <c r="AI950" s="6" t="n"/>
      <c r="AJ950" s="6" t="n"/>
      <c r="AK950" s="6" t="n"/>
      <c r="AL950" s="3">
        <f>IF(tblOrdenes[[#This Row],[link_checklist]]="","",HYPERLINK(p_ruta_base_checklists&amp;tblOrdenes[[#This Row],[link_checklist]],"abrir"))</f>
        <v/>
      </c>
      <c r="AM950" s="6" t="n"/>
      <c r="AN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Row],[tipo_ot]]="","",_xlfn.XLOOKUP(tblOrdenes[[#This Row],[tipo_ot]],tblTiposOT[codigo],tblTiposOT[clasificacion],"sin_clasificar"))</f>
        <v/>
      </c>
      <c r="T951" s="3">
        <f>IF(tblOrdenes[[#This Row],[centro_costo]]="","",_xlfn.XLOOKUP(tblOrdenes[[#This Row],[centro_costo]],tblCECO[codigo],tblCECO[linea],"(sin catálogo)"))</f>
        <v/>
      </c>
      <c r="U951" s="3">
        <f>IF(tblOrdenes[[#This Row],[centro_costo]]="","",_xlfn.XLOOKUP(tblOrdenes[[#This Row],[centro_costo]],tblCECO[codigo],tblCECO[area],"(sin catálogo)"))</f>
        <v/>
      </c>
      <c r="V951" s="3">
        <f>IF(tblOrdenes[[#This Row],[centro_costo]]="","",_xlfn.XLOOKUP(tblOrdenes[[#This Row],[centro_costo]],tblCECO[codigo],tblCECO[coordinador],"(sin catálogo)"))</f>
        <v/>
      </c>
      <c r="W951" s="3">
        <f>IF(tblOrdenes[[#This Row],[puesto_trabajo]]="","",_xlfn.XLOOKUP(tblOrdenes[[#This Row],[puesto_trabajo]],tblPuestos[codigo],tblPuestos[especialidad],"(sin catálogo)"))</f>
        <v/>
      </c>
      <c r="X951" s="3">
        <f>IF(tblOrdenes[[#This Row],[cod_actividad]]="","",_xlfn.XLOOKUP(tblOrdenes[[#This Row],[cod_actividad]],tblActividades[codigo],tblActividades[descripcion],"(sin catálogo)"))</f>
        <v/>
      </c>
      <c r="Y951" s="12">
        <f>IF(tblOrdenes[[#This Row],[fecha_inicio]]="","",TODAY()-tblOrdenes[[#This Row],[fecha_inicio]])</f>
        <v/>
      </c>
      <c r="Z951" s="3">
        <f>IF(tblOrdenes[[#This Row],[backlog_dias]]="","",IF(tblOrdenes[[#This Row],[backlog_dias]]&lt;0,"FUTURO",IF(tblOrdenes[[#This Row],[backlog_dias]]&gt;p_dias_backlog_max,"BACKLOG","MES CORRIENTE")))</f>
        <v/>
      </c>
      <c r="AA951" s="3">
        <f>IF(tblOrdenes[[#This Row],[backlog_dias]]="",FALSE,AND(tblOrdenes[[#This Row],[backlog_dias]]&gt;p_dias_backlog_min,tblOrdenes[[#This Row],[backlog_dias]]&lt;=p_dias_backlog_max))</f>
        <v/>
      </c>
      <c r="AB951" s="6" t="n"/>
      <c r="AC9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1" s="10">
        <f>IF(tblOrdenes[[#This Row],[orden]]="","",_xlfn.XLOOKUP(tblOrdenes[[#This Row],[id_operacion]],tblEjecucion[id_operacion],tblEjecucion[precio],0))</f>
        <v/>
      </c>
      <c r="AG951" s="10">
        <f>IF(tblOrdenes[[#This Row],[orden]]="","",MAX(0,_xlfn.XLOOKUP(tblOrdenes[[#This Row],[id_operacion]],tblEjecucion[id_operacion],tblEjecucion[costo_plan_total],0)-tblOrdenes[[#This Row],[costo_servicio]]))</f>
        <v/>
      </c>
      <c r="AH951" s="10">
        <f>IF(tblOrdenes[[#This Row],[orden]]="","",tblOrdenes[[#This Row],[costo_servicio]]+tblOrdenes[[#This Row],[costo_materiales]])</f>
        <v/>
      </c>
      <c r="AI951" s="6" t="n"/>
      <c r="AJ951" s="6" t="n"/>
      <c r="AK951" s="6" t="n"/>
      <c r="AL951" s="3">
        <f>IF(tblOrdenes[[#This Row],[link_checklist]]="","",HYPERLINK(p_ruta_base_checklists&amp;tblOrdenes[[#This Row],[link_checklist]],"abrir"))</f>
        <v/>
      </c>
      <c r="AM951" s="6" t="n"/>
      <c r="AN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Row],[tipo_ot]]="","",_xlfn.XLOOKUP(tblOrdenes[[#This Row],[tipo_ot]],tblTiposOT[codigo],tblTiposOT[clasificacion],"sin_clasificar"))</f>
        <v/>
      </c>
      <c r="T952" s="3">
        <f>IF(tblOrdenes[[#This Row],[centro_costo]]="","",_xlfn.XLOOKUP(tblOrdenes[[#This Row],[centro_costo]],tblCECO[codigo],tblCECO[linea],"(sin catálogo)"))</f>
        <v/>
      </c>
      <c r="U952" s="3">
        <f>IF(tblOrdenes[[#This Row],[centro_costo]]="","",_xlfn.XLOOKUP(tblOrdenes[[#This Row],[centro_costo]],tblCECO[codigo],tblCECO[area],"(sin catálogo)"))</f>
        <v/>
      </c>
      <c r="V952" s="3">
        <f>IF(tblOrdenes[[#This Row],[centro_costo]]="","",_xlfn.XLOOKUP(tblOrdenes[[#This Row],[centro_costo]],tblCECO[codigo],tblCECO[coordinador],"(sin catálogo)"))</f>
        <v/>
      </c>
      <c r="W952" s="3">
        <f>IF(tblOrdenes[[#This Row],[puesto_trabajo]]="","",_xlfn.XLOOKUP(tblOrdenes[[#This Row],[puesto_trabajo]],tblPuestos[codigo],tblPuestos[especialidad],"(sin catálogo)"))</f>
        <v/>
      </c>
      <c r="X952" s="3">
        <f>IF(tblOrdenes[[#This Row],[cod_actividad]]="","",_xlfn.XLOOKUP(tblOrdenes[[#This Row],[cod_actividad]],tblActividades[codigo],tblActividades[descripcion],"(sin catálogo)"))</f>
        <v/>
      </c>
      <c r="Y952" s="12">
        <f>IF(tblOrdenes[[#This Row],[fecha_inicio]]="","",TODAY()-tblOrdenes[[#This Row],[fecha_inicio]])</f>
        <v/>
      </c>
      <c r="Z952" s="3">
        <f>IF(tblOrdenes[[#This Row],[backlog_dias]]="","",IF(tblOrdenes[[#This Row],[backlog_dias]]&lt;0,"FUTURO",IF(tblOrdenes[[#This Row],[backlog_dias]]&gt;p_dias_backlog_max,"BACKLOG","MES CORRIENTE")))</f>
        <v/>
      </c>
      <c r="AA952" s="3">
        <f>IF(tblOrdenes[[#This Row],[backlog_dias]]="",FALSE,AND(tblOrdenes[[#This Row],[backlog_dias]]&gt;p_dias_backlog_min,tblOrdenes[[#This Row],[backlog_dias]]&lt;=p_dias_backlog_max))</f>
        <v/>
      </c>
      <c r="AB952" s="6" t="n"/>
      <c r="AC9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2" s="10">
        <f>IF(tblOrdenes[[#This Row],[orden]]="","",_xlfn.XLOOKUP(tblOrdenes[[#This Row],[id_operacion]],tblEjecucion[id_operacion],tblEjecucion[precio],0))</f>
        <v/>
      </c>
      <c r="AG952" s="10">
        <f>IF(tblOrdenes[[#This Row],[orden]]="","",MAX(0,_xlfn.XLOOKUP(tblOrdenes[[#This Row],[id_operacion]],tblEjecucion[id_operacion],tblEjecucion[costo_plan_total],0)-tblOrdenes[[#This Row],[costo_servicio]]))</f>
        <v/>
      </c>
      <c r="AH952" s="10">
        <f>IF(tblOrdenes[[#This Row],[orden]]="","",tblOrdenes[[#This Row],[costo_servicio]]+tblOrdenes[[#This Row],[costo_materiales]])</f>
        <v/>
      </c>
      <c r="AI952" s="6" t="n"/>
      <c r="AJ952" s="6" t="n"/>
      <c r="AK952" s="6" t="n"/>
      <c r="AL952" s="3">
        <f>IF(tblOrdenes[[#This Row],[link_checklist]]="","",HYPERLINK(p_ruta_base_checklists&amp;tblOrdenes[[#This Row],[link_checklist]],"abrir"))</f>
        <v/>
      </c>
      <c r="AM952" s="6" t="n"/>
      <c r="AN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Row],[tipo_ot]]="","",_xlfn.XLOOKUP(tblOrdenes[[#This Row],[tipo_ot]],tblTiposOT[codigo],tblTiposOT[clasificacion],"sin_clasificar"))</f>
        <v/>
      </c>
      <c r="T953" s="3">
        <f>IF(tblOrdenes[[#This Row],[centro_costo]]="","",_xlfn.XLOOKUP(tblOrdenes[[#This Row],[centro_costo]],tblCECO[codigo],tblCECO[linea],"(sin catálogo)"))</f>
        <v/>
      </c>
      <c r="U953" s="3">
        <f>IF(tblOrdenes[[#This Row],[centro_costo]]="","",_xlfn.XLOOKUP(tblOrdenes[[#This Row],[centro_costo]],tblCECO[codigo],tblCECO[area],"(sin catálogo)"))</f>
        <v/>
      </c>
      <c r="V953" s="3">
        <f>IF(tblOrdenes[[#This Row],[centro_costo]]="","",_xlfn.XLOOKUP(tblOrdenes[[#This Row],[centro_costo]],tblCECO[codigo],tblCECO[coordinador],"(sin catálogo)"))</f>
        <v/>
      </c>
      <c r="W953" s="3">
        <f>IF(tblOrdenes[[#This Row],[puesto_trabajo]]="","",_xlfn.XLOOKUP(tblOrdenes[[#This Row],[puesto_trabajo]],tblPuestos[codigo],tblPuestos[especialidad],"(sin catálogo)"))</f>
        <v/>
      </c>
      <c r="X953" s="3">
        <f>IF(tblOrdenes[[#This Row],[cod_actividad]]="","",_xlfn.XLOOKUP(tblOrdenes[[#This Row],[cod_actividad]],tblActividades[codigo],tblActividades[descripcion],"(sin catálogo)"))</f>
        <v/>
      </c>
      <c r="Y953" s="12">
        <f>IF(tblOrdenes[[#This Row],[fecha_inicio]]="","",TODAY()-tblOrdenes[[#This Row],[fecha_inicio]])</f>
        <v/>
      </c>
      <c r="Z953" s="3">
        <f>IF(tblOrdenes[[#This Row],[backlog_dias]]="","",IF(tblOrdenes[[#This Row],[backlog_dias]]&lt;0,"FUTURO",IF(tblOrdenes[[#This Row],[backlog_dias]]&gt;p_dias_backlog_max,"BACKLOG","MES CORRIENTE")))</f>
        <v/>
      </c>
      <c r="AA953" s="3">
        <f>IF(tblOrdenes[[#This Row],[backlog_dias]]="",FALSE,AND(tblOrdenes[[#This Row],[backlog_dias]]&gt;p_dias_backlog_min,tblOrdenes[[#This Row],[backlog_dias]]&lt;=p_dias_backlog_max))</f>
        <v/>
      </c>
      <c r="AB953" s="6" t="n"/>
      <c r="AC9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3" s="10">
        <f>IF(tblOrdenes[[#This Row],[orden]]="","",_xlfn.XLOOKUP(tblOrdenes[[#This Row],[id_operacion]],tblEjecucion[id_operacion],tblEjecucion[precio],0))</f>
        <v/>
      </c>
      <c r="AG953" s="10">
        <f>IF(tblOrdenes[[#This Row],[orden]]="","",MAX(0,_xlfn.XLOOKUP(tblOrdenes[[#This Row],[id_operacion]],tblEjecucion[id_operacion],tblEjecucion[costo_plan_total],0)-tblOrdenes[[#This Row],[costo_servicio]]))</f>
        <v/>
      </c>
      <c r="AH953" s="10">
        <f>IF(tblOrdenes[[#This Row],[orden]]="","",tblOrdenes[[#This Row],[costo_servicio]]+tblOrdenes[[#This Row],[costo_materiales]])</f>
        <v/>
      </c>
      <c r="AI953" s="6" t="n"/>
      <c r="AJ953" s="6" t="n"/>
      <c r="AK953" s="6" t="n"/>
      <c r="AL953" s="3">
        <f>IF(tblOrdenes[[#This Row],[link_checklist]]="","",HYPERLINK(p_ruta_base_checklists&amp;tblOrdenes[[#This Row],[link_checklist]],"abrir"))</f>
        <v/>
      </c>
      <c r="AM953" s="6" t="n"/>
      <c r="AN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Row],[tipo_ot]]="","",_xlfn.XLOOKUP(tblOrdenes[[#This Row],[tipo_ot]],tblTiposOT[codigo],tblTiposOT[clasificacion],"sin_clasificar"))</f>
        <v/>
      </c>
      <c r="T954" s="3">
        <f>IF(tblOrdenes[[#This Row],[centro_costo]]="","",_xlfn.XLOOKUP(tblOrdenes[[#This Row],[centro_costo]],tblCECO[codigo],tblCECO[linea],"(sin catálogo)"))</f>
        <v/>
      </c>
      <c r="U954" s="3">
        <f>IF(tblOrdenes[[#This Row],[centro_costo]]="","",_xlfn.XLOOKUP(tblOrdenes[[#This Row],[centro_costo]],tblCECO[codigo],tblCECO[area],"(sin catálogo)"))</f>
        <v/>
      </c>
      <c r="V954" s="3">
        <f>IF(tblOrdenes[[#This Row],[centro_costo]]="","",_xlfn.XLOOKUP(tblOrdenes[[#This Row],[centro_costo]],tblCECO[codigo],tblCECO[coordinador],"(sin catálogo)"))</f>
        <v/>
      </c>
      <c r="W954" s="3">
        <f>IF(tblOrdenes[[#This Row],[puesto_trabajo]]="","",_xlfn.XLOOKUP(tblOrdenes[[#This Row],[puesto_trabajo]],tblPuestos[codigo],tblPuestos[especialidad],"(sin catálogo)"))</f>
        <v/>
      </c>
      <c r="X954" s="3">
        <f>IF(tblOrdenes[[#This Row],[cod_actividad]]="","",_xlfn.XLOOKUP(tblOrdenes[[#This Row],[cod_actividad]],tblActividades[codigo],tblActividades[descripcion],"(sin catálogo)"))</f>
        <v/>
      </c>
      <c r="Y954" s="12">
        <f>IF(tblOrdenes[[#This Row],[fecha_inicio]]="","",TODAY()-tblOrdenes[[#This Row],[fecha_inicio]])</f>
        <v/>
      </c>
      <c r="Z954" s="3">
        <f>IF(tblOrdenes[[#This Row],[backlog_dias]]="","",IF(tblOrdenes[[#This Row],[backlog_dias]]&lt;0,"FUTURO",IF(tblOrdenes[[#This Row],[backlog_dias]]&gt;p_dias_backlog_max,"BACKLOG","MES CORRIENTE")))</f>
        <v/>
      </c>
      <c r="AA954" s="3">
        <f>IF(tblOrdenes[[#This Row],[backlog_dias]]="",FALSE,AND(tblOrdenes[[#This Row],[backlog_dias]]&gt;p_dias_backlog_min,tblOrdenes[[#This Row],[backlog_dias]]&lt;=p_dias_backlog_max))</f>
        <v/>
      </c>
      <c r="AB954" s="6" t="n"/>
      <c r="AC9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4" s="10">
        <f>IF(tblOrdenes[[#This Row],[orden]]="","",_xlfn.XLOOKUP(tblOrdenes[[#This Row],[id_operacion]],tblEjecucion[id_operacion],tblEjecucion[precio],0))</f>
        <v/>
      </c>
      <c r="AG954" s="10">
        <f>IF(tblOrdenes[[#This Row],[orden]]="","",MAX(0,_xlfn.XLOOKUP(tblOrdenes[[#This Row],[id_operacion]],tblEjecucion[id_operacion],tblEjecucion[costo_plan_total],0)-tblOrdenes[[#This Row],[costo_servicio]]))</f>
        <v/>
      </c>
      <c r="AH954" s="10">
        <f>IF(tblOrdenes[[#This Row],[orden]]="","",tblOrdenes[[#This Row],[costo_servicio]]+tblOrdenes[[#This Row],[costo_materiales]])</f>
        <v/>
      </c>
      <c r="AI954" s="6" t="n"/>
      <c r="AJ954" s="6" t="n"/>
      <c r="AK954" s="6" t="n"/>
      <c r="AL954" s="3">
        <f>IF(tblOrdenes[[#This Row],[link_checklist]]="","",HYPERLINK(p_ruta_base_checklists&amp;tblOrdenes[[#This Row],[link_checklist]],"abrir"))</f>
        <v/>
      </c>
      <c r="AM954" s="6" t="n"/>
      <c r="AN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Row],[tipo_ot]]="","",_xlfn.XLOOKUP(tblOrdenes[[#This Row],[tipo_ot]],tblTiposOT[codigo],tblTiposOT[clasificacion],"sin_clasificar"))</f>
        <v/>
      </c>
      <c r="T955" s="3">
        <f>IF(tblOrdenes[[#This Row],[centro_costo]]="","",_xlfn.XLOOKUP(tblOrdenes[[#This Row],[centro_costo]],tblCECO[codigo],tblCECO[linea],"(sin catálogo)"))</f>
        <v/>
      </c>
      <c r="U955" s="3">
        <f>IF(tblOrdenes[[#This Row],[centro_costo]]="","",_xlfn.XLOOKUP(tblOrdenes[[#This Row],[centro_costo]],tblCECO[codigo],tblCECO[area],"(sin catálogo)"))</f>
        <v/>
      </c>
      <c r="V955" s="3">
        <f>IF(tblOrdenes[[#This Row],[centro_costo]]="","",_xlfn.XLOOKUP(tblOrdenes[[#This Row],[centro_costo]],tblCECO[codigo],tblCECO[coordinador],"(sin catálogo)"))</f>
        <v/>
      </c>
      <c r="W955" s="3">
        <f>IF(tblOrdenes[[#This Row],[puesto_trabajo]]="","",_xlfn.XLOOKUP(tblOrdenes[[#This Row],[puesto_trabajo]],tblPuestos[codigo],tblPuestos[especialidad],"(sin catálogo)"))</f>
        <v/>
      </c>
      <c r="X955" s="3">
        <f>IF(tblOrdenes[[#This Row],[cod_actividad]]="","",_xlfn.XLOOKUP(tblOrdenes[[#This Row],[cod_actividad]],tblActividades[codigo],tblActividades[descripcion],"(sin catálogo)"))</f>
        <v/>
      </c>
      <c r="Y955" s="12">
        <f>IF(tblOrdenes[[#This Row],[fecha_inicio]]="","",TODAY()-tblOrdenes[[#This Row],[fecha_inicio]])</f>
        <v/>
      </c>
      <c r="Z955" s="3">
        <f>IF(tblOrdenes[[#This Row],[backlog_dias]]="","",IF(tblOrdenes[[#This Row],[backlog_dias]]&lt;0,"FUTURO",IF(tblOrdenes[[#This Row],[backlog_dias]]&gt;p_dias_backlog_max,"BACKLOG","MES CORRIENTE")))</f>
        <v/>
      </c>
      <c r="AA955" s="3">
        <f>IF(tblOrdenes[[#This Row],[backlog_dias]]="",FALSE,AND(tblOrdenes[[#This Row],[backlog_dias]]&gt;p_dias_backlog_min,tblOrdenes[[#This Row],[backlog_dias]]&lt;=p_dias_backlog_max))</f>
        <v/>
      </c>
      <c r="AB955" s="6" t="n"/>
      <c r="AC9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5" s="10">
        <f>IF(tblOrdenes[[#This Row],[orden]]="","",_xlfn.XLOOKUP(tblOrdenes[[#This Row],[id_operacion]],tblEjecucion[id_operacion],tblEjecucion[precio],0))</f>
        <v/>
      </c>
      <c r="AG955" s="10">
        <f>IF(tblOrdenes[[#This Row],[orden]]="","",MAX(0,_xlfn.XLOOKUP(tblOrdenes[[#This Row],[id_operacion]],tblEjecucion[id_operacion],tblEjecucion[costo_plan_total],0)-tblOrdenes[[#This Row],[costo_servicio]]))</f>
        <v/>
      </c>
      <c r="AH955" s="10">
        <f>IF(tblOrdenes[[#This Row],[orden]]="","",tblOrdenes[[#This Row],[costo_servicio]]+tblOrdenes[[#This Row],[costo_materiales]])</f>
        <v/>
      </c>
      <c r="AI955" s="6" t="n"/>
      <c r="AJ955" s="6" t="n"/>
      <c r="AK955" s="6" t="n"/>
      <c r="AL955" s="3">
        <f>IF(tblOrdenes[[#This Row],[link_checklist]]="","",HYPERLINK(p_ruta_base_checklists&amp;tblOrdenes[[#This Row],[link_checklist]],"abrir"))</f>
        <v/>
      </c>
      <c r="AM955" s="6" t="n"/>
      <c r="AN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Row],[tipo_ot]]="","",_xlfn.XLOOKUP(tblOrdenes[[#This Row],[tipo_ot]],tblTiposOT[codigo],tblTiposOT[clasificacion],"sin_clasificar"))</f>
        <v/>
      </c>
      <c r="T956" s="3">
        <f>IF(tblOrdenes[[#This Row],[centro_costo]]="","",_xlfn.XLOOKUP(tblOrdenes[[#This Row],[centro_costo]],tblCECO[codigo],tblCECO[linea],"(sin catálogo)"))</f>
        <v/>
      </c>
      <c r="U956" s="3">
        <f>IF(tblOrdenes[[#This Row],[centro_costo]]="","",_xlfn.XLOOKUP(tblOrdenes[[#This Row],[centro_costo]],tblCECO[codigo],tblCECO[area],"(sin catálogo)"))</f>
        <v/>
      </c>
      <c r="V956" s="3">
        <f>IF(tblOrdenes[[#This Row],[centro_costo]]="","",_xlfn.XLOOKUP(tblOrdenes[[#This Row],[centro_costo]],tblCECO[codigo],tblCECO[coordinador],"(sin catálogo)"))</f>
        <v/>
      </c>
      <c r="W956" s="3">
        <f>IF(tblOrdenes[[#This Row],[puesto_trabajo]]="","",_xlfn.XLOOKUP(tblOrdenes[[#This Row],[puesto_trabajo]],tblPuestos[codigo],tblPuestos[especialidad],"(sin catálogo)"))</f>
        <v/>
      </c>
      <c r="X956" s="3">
        <f>IF(tblOrdenes[[#This Row],[cod_actividad]]="","",_xlfn.XLOOKUP(tblOrdenes[[#This Row],[cod_actividad]],tblActividades[codigo],tblActividades[descripcion],"(sin catálogo)"))</f>
        <v/>
      </c>
      <c r="Y956" s="12">
        <f>IF(tblOrdenes[[#This Row],[fecha_inicio]]="","",TODAY()-tblOrdenes[[#This Row],[fecha_inicio]])</f>
        <v/>
      </c>
      <c r="Z956" s="3">
        <f>IF(tblOrdenes[[#This Row],[backlog_dias]]="","",IF(tblOrdenes[[#This Row],[backlog_dias]]&lt;0,"FUTURO",IF(tblOrdenes[[#This Row],[backlog_dias]]&gt;p_dias_backlog_max,"BACKLOG","MES CORRIENTE")))</f>
        <v/>
      </c>
      <c r="AA956" s="3">
        <f>IF(tblOrdenes[[#This Row],[backlog_dias]]="",FALSE,AND(tblOrdenes[[#This Row],[backlog_dias]]&gt;p_dias_backlog_min,tblOrdenes[[#This Row],[backlog_dias]]&lt;=p_dias_backlog_max))</f>
        <v/>
      </c>
      <c r="AB956" s="6" t="n"/>
      <c r="AC9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6" s="10">
        <f>IF(tblOrdenes[[#This Row],[orden]]="","",_xlfn.XLOOKUP(tblOrdenes[[#This Row],[id_operacion]],tblEjecucion[id_operacion],tblEjecucion[precio],0))</f>
        <v/>
      </c>
      <c r="AG956" s="10">
        <f>IF(tblOrdenes[[#This Row],[orden]]="","",MAX(0,_xlfn.XLOOKUP(tblOrdenes[[#This Row],[id_operacion]],tblEjecucion[id_operacion],tblEjecucion[costo_plan_total],0)-tblOrdenes[[#This Row],[costo_servicio]]))</f>
        <v/>
      </c>
      <c r="AH956" s="10">
        <f>IF(tblOrdenes[[#This Row],[orden]]="","",tblOrdenes[[#This Row],[costo_servicio]]+tblOrdenes[[#This Row],[costo_materiales]])</f>
        <v/>
      </c>
      <c r="AI956" s="6" t="n"/>
      <c r="AJ956" s="6" t="n"/>
      <c r="AK956" s="6" t="n"/>
      <c r="AL956" s="3">
        <f>IF(tblOrdenes[[#This Row],[link_checklist]]="","",HYPERLINK(p_ruta_base_checklists&amp;tblOrdenes[[#This Row],[link_checklist]],"abrir"))</f>
        <v/>
      </c>
      <c r="AM956" s="6" t="n"/>
      <c r="AN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Row],[tipo_ot]]="","",_xlfn.XLOOKUP(tblOrdenes[[#This Row],[tipo_ot]],tblTiposOT[codigo],tblTiposOT[clasificacion],"sin_clasificar"))</f>
        <v/>
      </c>
      <c r="T957" s="3">
        <f>IF(tblOrdenes[[#This Row],[centro_costo]]="","",_xlfn.XLOOKUP(tblOrdenes[[#This Row],[centro_costo]],tblCECO[codigo],tblCECO[linea],"(sin catálogo)"))</f>
        <v/>
      </c>
      <c r="U957" s="3">
        <f>IF(tblOrdenes[[#This Row],[centro_costo]]="","",_xlfn.XLOOKUP(tblOrdenes[[#This Row],[centro_costo]],tblCECO[codigo],tblCECO[area],"(sin catálogo)"))</f>
        <v/>
      </c>
      <c r="V957" s="3">
        <f>IF(tblOrdenes[[#This Row],[centro_costo]]="","",_xlfn.XLOOKUP(tblOrdenes[[#This Row],[centro_costo]],tblCECO[codigo],tblCECO[coordinador],"(sin catálogo)"))</f>
        <v/>
      </c>
      <c r="W957" s="3">
        <f>IF(tblOrdenes[[#This Row],[puesto_trabajo]]="","",_xlfn.XLOOKUP(tblOrdenes[[#This Row],[puesto_trabajo]],tblPuestos[codigo],tblPuestos[especialidad],"(sin catálogo)"))</f>
        <v/>
      </c>
      <c r="X957" s="3">
        <f>IF(tblOrdenes[[#This Row],[cod_actividad]]="","",_xlfn.XLOOKUP(tblOrdenes[[#This Row],[cod_actividad]],tblActividades[codigo],tblActividades[descripcion],"(sin catálogo)"))</f>
        <v/>
      </c>
      <c r="Y957" s="12">
        <f>IF(tblOrdenes[[#This Row],[fecha_inicio]]="","",TODAY()-tblOrdenes[[#This Row],[fecha_inicio]])</f>
        <v/>
      </c>
      <c r="Z957" s="3">
        <f>IF(tblOrdenes[[#This Row],[backlog_dias]]="","",IF(tblOrdenes[[#This Row],[backlog_dias]]&lt;0,"FUTURO",IF(tblOrdenes[[#This Row],[backlog_dias]]&gt;p_dias_backlog_max,"BACKLOG","MES CORRIENTE")))</f>
        <v/>
      </c>
      <c r="AA957" s="3">
        <f>IF(tblOrdenes[[#This Row],[backlog_dias]]="",FALSE,AND(tblOrdenes[[#This Row],[backlog_dias]]&gt;p_dias_backlog_min,tblOrdenes[[#This Row],[backlog_dias]]&lt;=p_dias_backlog_max))</f>
        <v/>
      </c>
      <c r="AB957" s="6" t="n"/>
      <c r="AC9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7" s="10">
        <f>IF(tblOrdenes[[#This Row],[orden]]="","",_xlfn.XLOOKUP(tblOrdenes[[#This Row],[id_operacion]],tblEjecucion[id_operacion],tblEjecucion[precio],0))</f>
        <v/>
      </c>
      <c r="AG957" s="10">
        <f>IF(tblOrdenes[[#This Row],[orden]]="","",MAX(0,_xlfn.XLOOKUP(tblOrdenes[[#This Row],[id_operacion]],tblEjecucion[id_operacion],tblEjecucion[costo_plan_total],0)-tblOrdenes[[#This Row],[costo_servicio]]))</f>
        <v/>
      </c>
      <c r="AH957" s="10">
        <f>IF(tblOrdenes[[#This Row],[orden]]="","",tblOrdenes[[#This Row],[costo_servicio]]+tblOrdenes[[#This Row],[costo_materiales]])</f>
        <v/>
      </c>
      <c r="AI957" s="6" t="n"/>
      <c r="AJ957" s="6" t="n"/>
      <c r="AK957" s="6" t="n"/>
      <c r="AL957" s="3">
        <f>IF(tblOrdenes[[#This Row],[link_checklist]]="","",HYPERLINK(p_ruta_base_checklists&amp;tblOrdenes[[#This Row],[link_checklist]],"abrir"))</f>
        <v/>
      </c>
      <c r="AM957" s="6" t="n"/>
      <c r="AN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Row],[tipo_ot]]="","",_xlfn.XLOOKUP(tblOrdenes[[#This Row],[tipo_ot]],tblTiposOT[codigo],tblTiposOT[clasificacion],"sin_clasificar"))</f>
        <v/>
      </c>
      <c r="T958" s="3">
        <f>IF(tblOrdenes[[#This Row],[centro_costo]]="","",_xlfn.XLOOKUP(tblOrdenes[[#This Row],[centro_costo]],tblCECO[codigo],tblCECO[linea],"(sin catálogo)"))</f>
        <v/>
      </c>
      <c r="U958" s="3">
        <f>IF(tblOrdenes[[#This Row],[centro_costo]]="","",_xlfn.XLOOKUP(tblOrdenes[[#This Row],[centro_costo]],tblCECO[codigo],tblCECO[area],"(sin catálogo)"))</f>
        <v/>
      </c>
      <c r="V958" s="3">
        <f>IF(tblOrdenes[[#This Row],[centro_costo]]="","",_xlfn.XLOOKUP(tblOrdenes[[#This Row],[centro_costo]],tblCECO[codigo],tblCECO[coordinador],"(sin catálogo)"))</f>
        <v/>
      </c>
      <c r="W958" s="3">
        <f>IF(tblOrdenes[[#This Row],[puesto_trabajo]]="","",_xlfn.XLOOKUP(tblOrdenes[[#This Row],[puesto_trabajo]],tblPuestos[codigo],tblPuestos[especialidad],"(sin catálogo)"))</f>
        <v/>
      </c>
      <c r="X958" s="3">
        <f>IF(tblOrdenes[[#This Row],[cod_actividad]]="","",_xlfn.XLOOKUP(tblOrdenes[[#This Row],[cod_actividad]],tblActividades[codigo],tblActividades[descripcion],"(sin catálogo)"))</f>
        <v/>
      </c>
      <c r="Y958" s="12">
        <f>IF(tblOrdenes[[#This Row],[fecha_inicio]]="","",TODAY()-tblOrdenes[[#This Row],[fecha_inicio]])</f>
        <v/>
      </c>
      <c r="Z958" s="3">
        <f>IF(tblOrdenes[[#This Row],[backlog_dias]]="","",IF(tblOrdenes[[#This Row],[backlog_dias]]&lt;0,"FUTURO",IF(tblOrdenes[[#This Row],[backlog_dias]]&gt;p_dias_backlog_max,"BACKLOG","MES CORRIENTE")))</f>
        <v/>
      </c>
      <c r="AA958" s="3">
        <f>IF(tblOrdenes[[#This Row],[backlog_dias]]="",FALSE,AND(tblOrdenes[[#This Row],[backlog_dias]]&gt;p_dias_backlog_min,tblOrdenes[[#This Row],[backlog_dias]]&lt;=p_dias_backlog_max))</f>
        <v/>
      </c>
      <c r="AB958" s="6" t="n"/>
      <c r="AC9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8" s="10">
        <f>IF(tblOrdenes[[#This Row],[orden]]="","",_xlfn.XLOOKUP(tblOrdenes[[#This Row],[id_operacion]],tblEjecucion[id_operacion],tblEjecucion[precio],0))</f>
        <v/>
      </c>
      <c r="AG958" s="10">
        <f>IF(tblOrdenes[[#This Row],[orden]]="","",MAX(0,_xlfn.XLOOKUP(tblOrdenes[[#This Row],[id_operacion]],tblEjecucion[id_operacion],tblEjecucion[costo_plan_total],0)-tblOrdenes[[#This Row],[costo_servicio]]))</f>
        <v/>
      </c>
      <c r="AH958" s="10">
        <f>IF(tblOrdenes[[#This Row],[orden]]="","",tblOrdenes[[#This Row],[costo_servicio]]+tblOrdenes[[#This Row],[costo_materiales]])</f>
        <v/>
      </c>
      <c r="AI958" s="6" t="n"/>
      <c r="AJ958" s="6" t="n"/>
      <c r="AK958" s="6" t="n"/>
      <c r="AL958" s="3">
        <f>IF(tblOrdenes[[#This Row],[link_checklist]]="","",HYPERLINK(p_ruta_base_checklists&amp;tblOrdenes[[#This Row],[link_checklist]],"abrir"))</f>
        <v/>
      </c>
      <c r="AM958" s="6" t="n"/>
      <c r="AN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Row],[tipo_ot]]="","",_xlfn.XLOOKUP(tblOrdenes[[#This Row],[tipo_ot]],tblTiposOT[codigo],tblTiposOT[clasificacion],"sin_clasificar"))</f>
        <v/>
      </c>
      <c r="T959" s="3">
        <f>IF(tblOrdenes[[#This Row],[centro_costo]]="","",_xlfn.XLOOKUP(tblOrdenes[[#This Row],[centro_costo]],tblCECO[codigo],tblCECO[linea],"(sin catálogo)"))</f>
        <v/>
      </c>
      <c r="U959" s="3">
        <f>IF(tblOrdenes[[#This Row],[centro_costo]]="","",_xlfn.XLOOKUP(tblOrdenes[[#This Row],[centro_costo]],tblCECO[codigo],tblCECO[area],"(sin catálogo)"))</f>
        <v/>
      </c>
      <c r="V959" s="3">
        <f>IF(tblOrdenes[[#This Row],[centro_costo]]="","",_xlfn.XLOOKUP(tblOrdenes[[#This Row],[centro_costo]],tblCECO[codigo],tblCECO[coordinador],"(sin catálogo)"))</f>
        <v/>
      </c>
      <c r="W959" s="3">
        <f>IF(tblOrdenes[[#This Row],[puesto_trabajo]]="","",_xlfn.XLOOKUP(tblOrdenes[[#This Row],[puesto_trabajo]],tblPuestos[codigo],tblPuestos[especialidad],"(sin catálogo)"))</f>
        <v/>
      </c>
      <c r="X959" s="3">
        <f>IF(tblOrdenes[[#This Row],[cod_actividad]]="","",_xlfn.XLOOKUP(tblOrdenes[[#This Row],[cod_actividad]],tblActividades[codigo],tblActividades[descripcion],"(sin catálogo)"))</f>
        <v/>
      </c>
      <c r="Y959" s="12">
        <f>IF(tblOrdenes[[#This Row],[fecha_inicio]]="","",TODAY()-tblOrdenes[[#This Row],[fecha_inicio]])</f>
        <v/>
      </c>
      <c r="Z959" s="3">
        <f>IF(tblOrdenes[[#This Row],[backlog_dias]]="","",IF(tblOrdenes[[#This Row],[backlog_dias]]&lt;0,"FUTURO",IF(tblOrdenes[[#This Row],[backlog_dias]]&gt;p_dias_backlog_max,"BACKLOG","MES CORRIENTE")))</f>
        <v/>
      </c>
      <c r="AA959" s="3">
        <f>IF(tblOrdenes[[#This Row],[backlog_dias]]="",FALSE,AND(tblOrdenes[[#This Row],[backlog_dias]]&gt;p_dias_backlog_min,tblOrdenes[[#This Row],[backlog_dias]]&lt;=p_dias_backlog_max))</f>
        <v/>
      </c>
      <c r="AB959" s="6" t="n"/>
      <c r="AC9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9" s="10">
        <f>IF(tblOrdenes[[#This Row],[orden]]="","",_xlfn.XLOOKUP(tblOrdenes[[#This Row],[id_operacion]],tblEjecucion[id_operacion],tblEjecucion[precio],0))</f>
        <v/>
      </c>
      <c r="AG959" s="10">
        <f>IF(tblOrdenes[[#This Row],[orden]]="","",MAX(0,_xlfn.XLOOKUP(tblOrdenes[[#This Row],[id_operacion]],tblEjecucion[id_operacion],tblEjecucion[costo_plan_total],0)-tblOrdenes[[#This Row],[costo_servicio]]))</f>
        <v/>
      </c>
      <c r="AH959" s="10">
        <f>IF(tblOrdenes[[#This Row],[orden]]="","",tblOrdenes[[#This Row],[costo_servicio]]+tblOrdenes[[#This Row],[costo_materiales]])</f>
        <v/>
      </c>
      <c r="AI959" s="6" t="n"/>
      <c r="AJ959" s="6" t="n"/>
      <c r="AK959" s="6" t="n"/>
      <c r="AL959" s="3">
        <f>IF(tblOrdenes[[#This Row],[link_checklist]]="","",HYPERLINK(p_ruta_base_checklists&amp;tblOrdenes[[#This Row],[link_checklist]],"abrir"))</f>
        <v/>
      </c>
      <c r="AM959" s="6" t="n"/>
      <c r="AN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Row],[tipo_ot]]="","",_xlfn.XLOOKUP(tblOrdenes[[#This Row],[tipo_ot]],tblTiposOT[codigo],tblTiposOT[clasificacion],"sin_clasificar"))</f>
        <v/>
      </c>
      <c r="T960" s="3">
        <f>IF(tblOrdenes[[#This Row],[centro_costo]]="","",_xlfn.XLOOKUP(tblOrdenes[[#This Row],[centro_costo]],tblCECO[codigo],tblCECO[linea],"(sin catálogo)"))</f>
        <v/>
      </c>
      <c r="U960" s="3">
        <f>IF(tblOrdenes[[#This Row],[centro_costo]]="","",_xlfn.XLOOKUP(tblOrdenes[[#This Row],[centro_costo]],tblCECO[codigo],tblCECO[area],"(sin catálogo)"))</f>
        <v/>
      </c>
      <c r="V960" s="3">
        <f>IF(tblOrdenes[[#This Row],[centro_costo]]="","",_xlfn.XLOOKUP(tblOrdenes[[#This Row],[centro_costo]],tblCECO[codigo],tblCECO[coordinador],"(sin catálogo)"))</f>
        <v/>
      </c>
      <c r="W960" s="3">
        <f>IF(tblOrdenes[[#This Row],[puesto_trabajo]]="","",_xlfn.XLOOKUP(tblOrdenes[[#This Row],[puesto_trabajo]],tblPuestos[codigo],tblPuestos[especialidad],"(sin catálogo)"))</f>
        <v/>
      </c>
      <c r="X960" s="3">
        <f>IF(tblOrdenes[[#This Row],[cod_actividad]]="","",_xlfn.XLOOKUP(tblOrdenes[[#This Row],[cod_actividad]],tblActividades[codigo],tblActividades[descripcion],"(sin catálogo)"))</f>
        <v/>
      </c>
      <c r="Y960" s="12">
        <f>IF(tblOrdenes[[#This Row],[fecha_inicio]]="","",TODAY()-tblOrdenes[[#This Row],[fecha_inicio]])</f>
        <v/>
      </c>
      <c r="Z960" s="3">
        <f>IF(tblOrdenes[[#This Row],[backlog_dias]]="","",IF(tblOrdenes[[#This Row],[backlog_dias]]&lt;0,"FUTURO",IF(tblOrdenes[[#This Row],[backlog_dias]]&gt;p_dias_backlog_max,"BACKLOG","MES CORRIENTE")))</f>
        <v/>
      </c>
      <c r="AA960" s="3">
        <f>IF(tblOrdenes[[#This Row],[backlog_dias]]="",FALSE,AND(tblOrdenes[[#This Row],[backlog_dias]]&gt;p_dias_backlog_min,tblOrdenes[[#This Row],[backlog_dias]]&lt;=p_dias_backlog_max))</f>
        <v/>
      </c>
      <c r="AB960" s="6" t="n"/>
      <c r="AC9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0" s="10">
        <f>IF(tblOrdenes[[#This Row],[orden]]="","",_xlfn.XLOOKUP(tblOrdenes[[#This Row],[id_operacion]],tblEjecucion[id_operacion],tblEjecucion[precio],0))</f>
        <v/>
      </c>
      <c r="AG960" s="10">
        <f>IF(tblOrdenes[[#This Row],[orden]]="","",MAX(0,_xlfn.XLOOKUP(tblOrdenes[[#This Row],[id_operacion]],tblEjecucion[id_operacion],tblEjecucion[costo_plan_total],0)-tblOrdenes[[#This Row],[costo_servicio]]))</f>
        <v/>
      </c>
      <c r="AH960" s="10">
        <f>IF(tblOrdenes[[#This Row],[orden]]="","",tblOrdenes[[#This Row],[costo_servicio]]+tblOrdenes[[#This Row],[costo_materiales]])</f>
        <v/>
      </c>
      <c r="AI960" s="6" t="n"/>
      <c r="AJ960" s="6" t="n"/>
      <c r="AK960" s="6" t="n"/>
      <c r="AL960" s="3">
        <f>IF(tblOrdenes[[#This Row],[link_checklist]]="","",HYPERLINK(p_ruta_base_checklists&amp;tblOrdenes[[#This Row],[link_checklist]],"abrir"))</f>
        <v/>
      </c>
      <c r="AM960" s="6" t="n"/>
      <c r="AN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Row],[tipo_ot]]="","",_xlfn.XLOOKUP(tblOrdenes[[#This Row],[tipo_ot]],tblTiposOT[codigo],tblTiposOT[clasificacion],"sin_clasificar"))</f>
        <v/>
      </c>
      <c r="T961" s="3">
        <f>IF(tblOrdenes[[#This Row],[centro_costo]]="","",_xlfn.XLOOKUP(tblOrdenes[[#This Row],[centro_costo]],tblCECO[codigo],tblCECO[linea],"(sin catálogo)"))</f>
        <v/>
      </c>
      <c r="U961" s="3">
        <f>IF(tblOrdenes[[#This Row],[centro_costo]]="","",_xlfn.XLOOKUP(tblOrdenes[[#This Row],[centro_costo]],tblCECO[codigo],tblCECO[area],"(sin catálogo)"))</f>
        <v/>
      </c>
      <c r="V961" s="3">
        <f>IF(tblOrdenes[[#This Row],[centro_costo]]="","",_xlfn.XLOOKUP(tblOrdenes[[#This Row],[centro_costo]],tblCECO[codigo],tblCECO[coordinador],"(sin catálogo)"))</f>
        <v/>
      </c>
      <c r="W961" s="3">
        <f>IF(tblOrdenes[[#This Row],[puesto_trabajo]]="","",_xlfn.XLOOKUP(tblOrdenes[[#This Row],[puesto_trabajo]],tblPuestos[codigo],tblPuestos[especialidad],"(sin catálogo)"))</f>
        <v/>
      </c>
      <c r="X961" s="3">
        <f>IF(tblOrdenes[[#This Row],[cod_actividad]]="","",_xlfn.XLOOKUP(tblOrdenes[[#This Row],[cod_actividad]],tblActividades[codigo],tblActividades[descripcion],"(sin catálogo)"))</f>
        <v/>
      </c>
      <c r="Y961" s="12">
        <f>IF(tblOrdenes[[#This Row],[fecha_inicio]]="","",TODAY()-tblOrdenes[[#This Row],[fecha_inicio]])</f>
        <v/>
      </c>
      <c r="Z961" s="3">
        <f>IF(tblOrdenes[[#This Row],[backlog_dias]]="","",IF(tblOrdenes[[#This Row],[backlog_dias]]&lt;0,"FUTURO",IF(tblOrdenes[[#This Row],[backlog_dias]]&gt;p_dias_backlog_max,"BACKLOG","MES CORRIENTE")))</f>
        <v/>
      </c>
      <c r="AA961" s="3">
        <f>IF(tblOrdenes[[#This Row],[backlog_dias]]="",FALSE,AND(tblOrdenes[[#This Row],[backlog_dias]]&gt;p_dias_backlog_min,tblOrdenes[[#This Row],[backlog_dias]]&lt;=p_dias_backlog_max))</f>
        <v/>
      </c>
      <c r="AB961" s="6" t="n"/>
      <c r="AC9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1" s="10">
        <f>IF(tblOrdenes[[#This Row],[orden]]="","",_xlfn.XLOOKUP(tblOrdenes[[#This Row],[id_operacion]],tblEjecucion[id_operacion],tblEjecucion[precio],0))</f>
        <v/>
      </c>
      <c r="AG961" s="10">
        <f>IF(tblOrdenes[[#This Row],[orden]]="","",MAX(0,_xlfn.XLOOKUP(tblOrdenes[[#This Row],[id_operacion]],tblEjecucion[id_operacion],tblEjecucion[costo_plan_total],0)-tblOrdenes[[#This Row],[costo_servicio]]))</f>
        <v/>
      </c>
      <c r="AH961" s="10">
        <f>IF(tblOrdenes[[#This Row],[orden]]="","",tblOrdenes[[#This Row],[costo_servicio]]+tblOrdenes[[#This Row],[costo_materiales]])</f>
        <v/>
      </c>
      <c r="AI961" s="6" t="n"/>
      <c r="AJ961" s="6" t="n"/>
      <c r="AK961" s="6" t="n"/>
      <c r="AL961" s="3">
        <f>IF(tblOrdenes[[#This Row],[link_checklist]]="","",HYPERLINK(p_ruta_base_checklists&amp;tblOrdenes[[#This Row],[link_checklist]],"abrir"))</f>
        <v/>
      </c>
      <c r="AM961" s="6" t="n"/>
      <c r="AN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Row],[tipo_ot]]="","",_xlfn.XLOOKUP(tblOrdenes[[#This Row],[tipo_ot]],tblTiposOT[codigo],tblTiposOT[clasificacion],"sin_clasificar"))</f>
        <v/>
      </c>
      <c r="T962" s="3">
        <f>IF(tblOrdenes[[#This Row],[centro_costo]]="","",_xlfn.XLOOKUP(tblOrdenes[[#This Row],[centro_costo]],tblCECO[codigo],tblCECO[linea],"(sin catálogo)"))</f>
        <v/>
      </c>
      <c r="U962" s="3">
        <f>IF(tblOrdenes[[#This Row],[centro_costo]]="","",_xlfn.XLOOKUP(tblOrdenes[[#This Row],[centro_costo]],tblCECO[codigo],tblCECO[area],"(sin catálogo)"))</f>
        <v/>
      </c>
      <c r="V962" s="3">
        <f>IF(tblOrdenes[[#This Row],[centro_costo]]="","",_xlfn.XLOOKUP(tblOrdenes[[#This Row],[centro_costo]],tblCECO[codigo],tblCECO[coordinador],"(sin catálogo)"))</f>
        <v/>
      </c>
      <c r="W962" s="3">
        <f>IF(tblOrdenes[[#This Row],[puesto_trabajo]]="","",_xlfn.XLOOKUP(tblOrdenes[[#This Row],[puesto_trabajo]],tblPuestos[codigo],tblPuestos[especialidad],"(sin catálogo)"))</f>
        <v/>
      </c>
      <c r="X962" s="3">
        <f>IF(tblOrdenes[[#This Row],[cod_actividad]]="","",_xlfn.XLOOKUP(tblOrdenes[[#This Row],[cod_actividad]],tblActividades[codigo],tblActividades[descripcion],"(sin catálogo)"))</f>
        <v/>
      </c>
      <c r="Y962" s="12">
        <f>IF(tblOrdenes[[#This Row],[fecha_inicio]]="","",TODAY()-tblOrdenes[[#This Row],[fecha_inicio]])</f>
        <v/>
      </c>
      <c r="Z962" s="3">
        <f>IF(tblOrdenes[[#This Row],[backlog_dias]]="","",IF(tblOrdenes[[#This Row],[backlog_dias]]&lt;0,"FUTURO",IF(tblOrdenes[[#This Row],[backlog_dias]]&gt;p_dias_backlog_max,"BACKLOG","MES CORRIENTE")))</f>
        <v/>
      </c>
      <c r="AA962" s="3">
        <f>IF(tblOrdenes[[#This Row],[backlog_dias]]="",FALSE,AND(tblOrdenes[[#This Row],[backlog_dias]]&gt;p_dias_backlog_min,tblOrdenes[[#This Row],[backlog_dias]]&lt;=p_dias_backlog_max))</f>
        <v/>
      </c>
      <c r="AB962" s="6" t="n"/>
      <c r="AC9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2" s="10">
        <f>IF(tblOrdenes[[#This Row],[orden]]="","",_xlfn.XLOOKUP(tblOrdenes[[#This Row],[id_operacion]],tblEjecucion[id_operacion],tblEjecucion[precio],0))</f>
        <v/>
      </c>
      <c r="AG962" s="10">
        <f>IF(tblOrdenes[[#This Row],[orden]]="","",MAX(0,_xlfn.XLOOKUP(tblOrdenes[[#This Row],[id_operacion]],tblEjecucion[id_operacion],tblEjecucion[costo_plan_total],0)-tblOrdenes[[#This Row],[costo_servicio]]))</f>
        <v/>
      </c>
      <c r="AH962" s="10">
        <f>IF(tblOrdenes[[#This Row],[orden]]="","",tblOrdenes[[#This Row],[costo_servicio]]+tblOrdenes[[#This Row],[costo_materiales]])</f>
        <v/>
      </c>
      <c r="AI962" s="6" t="n"/>
      <c r="AJ962" s="6" t="n"/>
      <c r="AK962" s="6" t="n"/>
      <c r="AL962" s="3">
        <f>IF(tblOrdenes[[#This Row],[link_checklist]]="","",HYPERLINK(p_ruta_base_checklists&amp;tblOrdenes[[#This Row],[link_checklist]],"abrir"))</f>
        <v/>
      </c>
      <c r="AM962" s="6" t="n"/>
      <c r="AN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Row],[tipo_ot]]="","",_xlfn.XLOOKUP(tblOrdenes[[#This Row],[tipo_ot]],tblTiposOT[codigo],tblTiposOT[clasificacion],"sin_clasificar"))</f>
        <v/>
      </c>
      <c r="T963" s="3">
        <f>IF(tblOrdenes[[#This Row],[centro_costo]]="","",_xlfn.XLOOKUP(tblOrdenes[[#This Row],[centro_costo]],tblCECO[codigo],tblCECO[linea],"(sin catálogo)"))</f>
        <v/>
      </c>
      <c r="U963" s="3">
        <f>IF(tblOrdenes[[#This Row],[centro_costo]]="","",_xlfn.XLOOKUP(tblOrdenes[[#This Row],[centro_costo]],tblCECO[codigo],tblCECO[area],"(sin catálogo)"))</f>
        <v/>
      </c>
      <c r="V963" s="3">
        <f>IF(tblOrdenes[[#This Row],[centro_costo]]="","",_xlfn.XLOOKUP(tblOrdenes[[#This Row],[centro_costo]],tblCECO[codigo],tblCECO[coordinador],"(sin catálogo)"))</f>
        <v/>
      </c>
      <c r="W963" s="3">
        <f>IF(tblOrdenes[[#This Row],[puesto_trabajo]]="","",_xlfn.XLOOKUP(tblOrdenes[[#This Row],[puesto_trabajo]],tblPuestos[codigo],tblPuestos[especialidad],"(sin catálogo)"))</f>
        <v/>
      </c>
      <c r="X963" s="3">
        <f>IF(tblOrdenes[[#This Row],[cod_actividad]]="","",_xlfn.XLOOKUP(tblOrdenes[[#This Row],[cod_actividad]],tblActividades[codigo],tblActividades[descripcion],"(sin catálogo)"))</f>
        <v/>
      </c>
      <c r="Y963" s="12">
        <f>IF(tblOrdenes[[#This Row],[fecha_inicio]]="","",TODAY()-tblOrdenes[[#This Row],[fecha_inicio]])</f>
        <v/>
      </c>
      <c r="Z963" s="3">
        <f>IF(tblOrdenes[[#This Row],[backlog_dias]]="","",IF(tblOrdenes[[#This Row],[backlog_dias]]&lt;0,"FUTURO",IF(tblOrdenes[[#This Row],[backlog_dias]]&gt;p_dias_backlog_max,"BACKLOG","MES CORRIENTE")))</f>
        <v/>
      </c>
      <c r="AA963" s="3">
        <f>IF(tblOrdenes[[#This Row],[backlog_dias]]="",FALSE,AND(tblOrdenes[[#This Row],[backlog_dias]]&gt;p_dias_backlog_min,tblOrdenes[[#This Row],[backlog_dias]]&lt;=p_dias_backlog_max))</f>
        <v/>
      </c>
      <c r="AB963" s="6" t="n"/>
      <c r="AC9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3" s="10">
        <f>IF(tblOrdenes[[#This Row],[orden]]="","",_xlfn.XLOOKUP(tblOrdenes[[#This Row],[id_operacion]],tblEjecucion[id_operacion],tblEjecucion[precio],0))</f>
        <v/>
      </c>
      <c r="AG963" s="10">
        <f>IF(tblOrdenes[[#This Row],[orden]]="","",MAX(0,_xlfn.XLOOKUP(tblOrdenes[[#This Row],[id_operacion]],tblEjecucion[id_operacion],tblEjecucion[costo_plan_total],0)-tblOrdenes[[#This Row],[costo_servicio]]))</f>
        <v/>
      </c>
      <c r="AH963" s="10">
        <f>IF(tblOrdenes[[#This Row],[orden]]="","",tblOrdenes[[#This Row],[costo_servicio]]+tblOrdenes[[#This Row],[costo_materiales]])</f>
        <v/>
      </c>
      <c r="AI963" s="6" t="n"/>
      <c r="AJ963" s="6" t="n"/>
      <c r="AK963" s="6" t="n"/>
      <c r="AL963" s="3">
        <f>IF(tblOrdenes[[#This Row],[link_checklist]]="","",HYPERLINK(p_ruta_base_checklists&amp;tblOrdenes[[#This Row],[link_checklist]],"abrir"))</f>
        <v/>
      </c>
      <c r="AM963" s="6" t="n"/>
      <c r="AN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Row],[tipo_ot]]="","",_xlfn.XLOOKUP(tblOrdenes[[#This Row],[tipo_ot]],tblTiposOT[codigo],tblTiposOT[clasificacion],"sin_clasificar"))</f>
        <v/>
      </c>
      <c r="T964" s="3">
        <f>IF(tblOrdenes[[#This Row],[centro_costo]]="","",_xlfn.XLOOKUP(tblOrdenes[[#This Row],[centro_costo]],tblCECO[codigo],tblCECO[linea],"(sin catálogo)"))</f>
        <v/>
      </c>
      <c r="U964" s="3">
        <f>IF(tblOrdenes[[#This Row],[centro_costo]]="","",_xlfn.XLOOKUP(tblOrdenes[[#This Row],[centro_costo]],tblCECO[codigo],tblCECO[area],"(sin catálogo)"))</f>
        <v/>
      </c>
      <c r="V964" s="3">
        <f>IF(tblOrdenes[[#This Row],[centro_costo]]="","",_xlfn.XLOOKUP(tblOrdenes[[#This Row],[centro_costo]],tblCECO[codigo],tblCECO[coordinador],"(sin catálogo)"))</f>
        <v/>
      </c>
      <c r="W964" s="3">
        <f>IF(tblOrdenes[[#This Row],[puesto_trabajo]]="","",_xlfn.XLOOKUP(tblOrdenes[[#This Row],[puesto_trabajo]],tblPuestos[codigo],tblPuestos[especialidad],"(sin catálogo)"))</f>
        <v/>
      </c>
      <c r="X964" s="3">
        <f>IF(tblOrdenes[[#This Row],[cod_actividad]]="","",_xlfn.XLOOKUP(tblOrdenes[[#This Row],[cod_actividad]],tblActividades[codigo],tblActividades[descripcion],"(sin catálogo)"))</f>
        <v/>
      </c>
      <c r="Y964" s="12">
        <f>IF(tblOrdenes[[#This Row],[fecha_inicio]]="","",TODAY()-tblOrdenes[[#This Row],[fecha_inicio]])</f>
        <v/>
      </c>
      <c r="Z964" s="3">
        <f>IF(tblOrdenes[[#This Row],[backlog_dias]]="","",IF(tblOrdenes[[#This Row],[backlog_dias]]&lt;0,"FUTURO",IF(tblOrdenes[[#This Row],[backlog_dias]]&gt;p_dias_backlog_max,"BACKLOG","MES CORRIENTE")))</f>
        <v/>
      </c>
      <c r="AA964" s="3">
        <f>IF(tblOrdenes[[#This Row],[backlog_dias]]="",FALSE,AND(tblOrdenes[[#This Row],[backlog_dias]]&gt;p_dias_backlog_min,tblOrdenes[[#This Row],[backlog_dias]]&lt;=p_dias_backlog_max))</f>
        <v/>
      </c>
      <c r="AB964" s="6" t="n"/>
      <c r="AC9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4" s="10">
        <f>IF(tblOrdenes[[#This Row],[orden]]="","",_xlfn.XLOOKUP(tblOrdenes[[#This Row],[id_operacion]],tblEjecucion[id_operacion],tblEjecucion[precio],0))</f>
        <v/>
      </c>
      <c r="AG964" s="10">
        <f>IF(tblOrdenes[[#This Row],[orden]]="","",MAX(0,_xlfn.XLOOKUP(tblOrdenes[[#This Row],[id_operacion]],tblEjecucion[id_operacion],tblEjecucion[costo_plan_total],0)-tblOrdenes[[#This Row],[costo_servicio]]))</f>
        <v/>
      </c>
      <c r="AH964" s="10">
        <f>IF(tblOrdenes[[#This Row],[orden]]="","",tblOrdenes[[#This Row],[costo_servicio]]+tblOrdenes[[#This Row],[costo_materiales]])</f>
        <v/>
      </c>
      <c r="AI964" s="6" t="n"/>
      <c r="AJ964" s="6" t="n"/>
      <c r="AK964" s="6" t="n"/>
      <c r="AL964" s="3">
        <f>IF(tblOrdenes[[#This Row],[link_checklist]]="","",HYPERLINK(p_ruta_base_checklists&amp;tblOrdenes[[#This Row],[link_checklist]],"abrir"))</f>
        <v/>
      </c>
      <c r="AM964" s="6" t="n"/>
      <c r="AN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Row],[tipo_ot]]="","",_xlfn.XLOOKUP(tblOrdenes[[#This Row],[tipo_ot]],tblTiposOT[codigo],tblTiposOT[clasificacion],"sin_clasificar"))</f>
        <v/>
      </c>
      <c r="T965" s="3">
        <f>IF(tblOrdenes[[#This Row],[centro_costo]]="","",_xlfn.XLOOKUP(tblOrdenes[[#This Row],[centro_costo]],tblCECO[codigo],tblCECO[linea],"(sin catálogo)"))</f>
        <v/>
      </c>
      <c r="U965" s="3">
        <f>IF(tblOrdenes[[#This Row],[centro_costo]]="","",_xlfn.XLOOKUP(tblOrdenes[[#This Row],[centro_costo]],tblCECO[codigo],tblCECO[area],"(sin catálogo)"))</f>
        <v/>
      </c>
      <c r="V965" s="3">
        <f>IF(tblOrdenes[[#This Row],[centro_costo]]="","",_xlfn.XLOOKUP(tblOrdenes[[#This Row],[centro_costo]],tblCECO[codigo],tblCECO[coordinador],"(sin catálogo)"))</f>
        <v/>
      </c>
      <c r="W965" s="3">
        <f>IF(tblOrdenes[[#This Row],[puesto_trabajo]]="","",_xlfn.XLOOKUP(tblOrdenes[[#This Row],[puesto_trabajo]],tblPuestos[codigo],tblPuestos[especialidad],"(sin catálogo)"))</f>
        <v/>
      </c>
      <c r="X965" s="3">
        <f>IF(tblOrdenes[[#This Row],[cod_actividad]]="","",_xlfn.XLOOKUP(tblOrdenes[[#This Row],[cod_actividad]],tblActividades[codigo],tblActividades[descripcion],"(sin catálogo)"))</f>
        <v/>
      </c>
      <c r="Y965" s="12">
        <f>IF(tblOrdenes[[#This Row],[fecha_inicio]]="","",TODAY()-tblOrdenes[[#This Row],[fecha_inicio]])</f>
        <v/>
      </c>
      <c r="Z965" s="3">
        <f>IF(tblOrdenes[[#This Row],[backlog_dias]]="","",IF(tblOrdenes[[#This Row],[backlog_dias]]&lt;0,"FUTURO",IF(tblOrdenes[[#This Row],[backlog_dias]]&gt;p_dias_backlog_max,"BACKLOG","MES CORRIENTE")))</f>
        <v/>
      </c>
      <c r="AA965" s="3">
        <f>IF(tblOrdenes[[#This Row],[backlog_dias]]="",FALSE,AND(tblOrdenes[[#This Row],[backlog_dias]]&gt;p_dias_backlog_min,tblOrdenes[[#This Row],[backlog_dias]]&lt;=p_dias_backlog_max))</f>
        <v/>
      </c>
      <c r="AB965" s="6" t="n"/>
      <c r="AC9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5" s="10">
        <f>IF(tblOrdenes[[#This Row],[orden]]="","",_xlfn.XLOOKUP(tblOrdenes[[#This Row],[id_operacion]],tblEjecucion[id_operacion],tblEjecucion[precio],0))</f>
        <v/>
      </c>
      <c r="AG965" s="10">
        <f>IF(tblOrdenes[[#This Row],[orden]]="","",MAX(0,_xlfn.XLOOKUP(tblOrdenes[[#This Row],[id_operacion]],tblEjecucion[id_operacion],tblEjecucion[costo_plan_total],0)-tblOrdenes[[#This Row],[costo_servicio]]))</f>
        <v/>
      </c>
      <c r="AH965" s="10">
        <f>IF(tblOrdenes[[#This Row],[orden]]="","",tblOrdenes[[#This Row],[costo_servicio]]+tblOrdenes[[#This Row],[costo_materiales]])</f>
        <v/>
      </c>
      <c r="AI965" s="6" t="n"/>
      <c r="AJ965" s="6" t="n"/>
      <c r="AK965" s="6" t="n"/>
      <c r="AL965" s="3">
        <f>IF(tblOrdenes[[#This Row],[link_checklist]]="","",HYPERLINK(p_ruta_base_checklists&amp;tblOrdenes[[#This Row],[link_checklist]],"abrir"))</f>
        <v/>
      </c>
      <c r="AM965" s="6" t="n"/>
      <c r="AN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Row],[tipo_ot]]="","",_xlfn.XLOOKUP(tblOrdenes[[#This Row],[tipo_ot]],tblTiposOT[codigo],tblTiposOT[clasificacion],"sin_clasificar"))</f>
        <v/>
      </c>
      <c r="T966" s="3">
        <f>IF(tblOrdenes[[#This Row],[centro_costo]]="","",_xlfn.XLOOKUP(tblOrdenes[[#This Row],[centro_costo]],tblCECO[codigo],tblCECO[linea],"(sin catálogo)"))</f>
        <v/>
      </c>
      <c r="U966" s="3">
        <f>IF(tblOrdenes[[#This Row],[centro_costo]]="","",_xlfn.XLOOKUP(tblOrdenes[[#This Row],[centro_costo]],tblCECO[codigo],tblCECO[area],"(sin catálogo)"))</f>
        <v/>
      </c>
      <c r="V966" s="3">
        <f>IF(tblOrdenes[[#This Row],[centro_costo]]="","",_xlfn.XLOOKUP(tblOrdenes[[#This Row],[centro_costo]],tblCECO[codigo],tblCECO[coordinador],"(sin catálogo)"))</f>
        <v/>
      </c>
      <c r="W966" s="3">
        <f>IF(tblOrdenes[[#This Row],[puesto_trabajo]]="","",_xlfn.XLOOKUP(tblOrdenes[[#This Row],[puesto_trabajo]],tblPuestos[codigo],tblPuestos[especialidad],"(sin catálogo)"))</f>
        <v/>
      </c>
      <c r="X966" s="3">
        <f>IF(tblOrdenes[[#This Row],[cod_actividad]]="","",_xlfn.XLOOKUP(tblOrdenes[[#This Row],[cod_actividad]],tblActividades[codigo],tblActividades[descripcion],"(sin catálogo)"))</f>
        <v/>
      </c>
      <c r="Y966" s="12">
        <f>IF(tblOrdenes[[#This Row],[fecha_inicio]]="","",TODAY()-tblOrdenes[[#This Row],[fecha_inicio]])</f>
        <v/>
      </c>
      <c r="Z966" s="3">
        <f>IF(tblOrdenes[[#This Row],[backlog_dias]]="","",IF(tblOrdenes[[#This Row],[backlog_dias]]&lt;0,"FUTURO",IF(tblOrdenes[[#This Row],[backlog_dias]]&gt;p_dias_backlog_max,"BACKLOG","MES CORRIENTE")))</f>
        <v/>
      </c>
      <c r="AA966" s="3">
        <f>IF(tblOrdenes[[#This Row],[backlog_dias]]="",FALSE,AND(tblOrdenes[[#This Row],[backlog_dias]]&gt;p_dias_backlog_min,tblOrdenes[[#This Row],[backlog_dias]]&lt;=p_dias_backlog_max))</f>
        <v/>
      </c>
      <c r="AB966" s="6" t="n"/>
      <c r="AC9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6" s="10">
        <f>IF(tblOrdenes[[#This Row],[orden]]="","",_xlfn.XLOOKUP(tblOrdenes[[#This Row],[id_operacion]],tblEjecucion[id_operacion],tblEjecucion[precio],0))</f>
        <v/>
      </c>
      <c r="AG966" s="10">
        <f>IF(tblOrdenes[[#This Row],[orden]]="","",MAX(0,_xlfn.XLOOKUP(tblOrdenes[[#This Row],[id_operacion]],tblEjecucion[id_operacion],tblEjecucion[costo_plan_total],0)-tblOrdenes[[#This Row],[costo_servicio]]))</f>
        <v/>
      </c>
      <c r="AH966" s="10">
        <f>IF(tblOrdenes[[#This Row],[orden]]="","",tblOrdenes[[#This Row],[costo_servicio]]+tblOrdenes[[#This Row],[costo_materiales]])</f>
        <v/>
      </c>
      <c r="AI966" s="6" t="n"/>
      <c r="AJ966" s="6" t="n"/>
      <c r="AK966" s="6" t="n"/>
      <c r="AL966" s="3">
        <f>IF(tblOrdenes[[#This Row],[link_checklist]]="","",HYPERLINK(p_ruta_base_checklists&amp;tblOrdenes[[#This Row],[link_checklist]],"abrir"))</f>
        <v/>
      </c>
      <c r="AM966" s="6" t="n"/>
      <c r="AN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Row],[tipo_ot]]="","",_xlfn.XLOOKUP(tblOrdenes[[#This Row],[tipo_ot]],tblTiposOT[codigo],tblTiposOT[clasificacion],"sin_clasificar"))</f>
        <v/>
      </c>
      <c r="T967" s="3">
        <f>IF(tblOrdenes[[#This Row],[centro_costo]]="","",_xlfn.XLOOKUP(tblOrdenes[[#This Row],[centro_costo]],tblCECO[codigo],tblCECO[linea],"(sin catálogo)"))</f>
        <v/>
      </c>
      <c r="U967" s="3">
        <f>IF(tblOrdenes[[#This Row],[centro_costo]]="","",_xlfn.XLOOKUP(tblOrdenes[[#This Row],[centro_costo]],tblCECO[codigo],tblCECO[area],"(sin catálogo)"))</f>
        <v/>
      </c>
      <c r="V967" s="3">
        <f>IF(tblOrdenes[[#This Row],[centro_costo]]="","",_xlfn.XLOOKUP(tblOrdenes[[#This Row],[centro_costo]],tblCECO[codigo],tblCECO[coordinador],"(sin catálogo)"))</f>
        <v/>
      </c>
      <c r="W967" s="3">
        <f>IF(tblOrdenes[[#This Row],[puesto_trabajo]]="","",_xlfn.XLOOKUP(tblOrdenes[[#This Row],[puesto_trabajo]],tblPuestos[codigo],tblPuestos[especialidad],"(sin catálogo)"))</f>
        <v/>
      </c>
      <c r="X967" s="3">
        <f>IF(tblOrdenes[[#This Row],[cod_actividad]]="","",_xlfn.XLOOKUP(tblOrdenes[[#This Row],[cod_actividad]],tblActividades[codigo],tblActividades[descripcion],"(sin catálogo)"))</f>
        <v/>
      </c>
      <c r="Y967" s="12">
        <f>IF(tblOrdenes[[#This Row],[fecha_inicio]]="","",TODAY()-tblOrdenes[[#This Row],[fecha_inicio]])</f>
        <v/>
      </c>
      <c r="Z967" s="3">
        <f>IF(tblOrdenes[[#This Row],[backlog_dias]]="","",IF(tblOrdenes[[#This Row],[backlog_dias]]&lt;0,"FUTURO",IF(tblOrdenes[[#This Row],[backlog_dias]]&gt;p_dias_backlog_max,"BACKLOG","MES CORRIENTE")))</f>
        <v/>
      </c>
      <c r="AA967" s="3">
        <f>IF(tblOrdenes[[#This Row],[backlog_dias]]="",FALSE,AND(tblOrdenes[[#This Row],[backlog_dias]]&gt;p_dias_backlog_min,tblOrdenes[[#This Row],[backlog_dias]]&lt;=p_dias_backlog_max))</f>
        <v/>
      </c>
      <c r="AB967" s="6" t="n"/>
      <c r="AC9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7" s="10">
        <f>IF(tblOrdenes[[#This Row],[orden]]="","",_xlfn.XLOOKUP(tblOrdenes[[#This Row],[id_operacion]],tblEjecucion[id_operacion],tblEjecucion[precio],0))</f>
        <v/>
      </c>
      <c r="AG967" s="10">
        <f>IF(tblOrdenes[[#This Row],[orden]]="","",MAX(0,_xlfn.XLOOKUP(tblOrdenes[[#This Row],[id_operacion]],tblEjecucion[id_operacion],tblEjecucion[costo_plan_total],0)-tblOrdenes[[#This Row],[costo_servicio]]))</f>
        <v/>
      </c>
      <c r="AH967" s="10">
        <f>IF(tblOrdenes[[#This Row],[orden]]="","",tblOrdenes[[#This Row],[costo_servicio]]+tblOrdenes[[#This Row],[costo_materiales]])</f>
        <v/>
      </c>
      <c r="AI967" s="6" t="n"/>
      <c r="AJ967" s="6" t="n"/>
      <c r="AK967" s="6" t="n"/>
      <c r="AL967" s="3">
        <f>IF(tblOrdenes[[#This Row],[link_checklist]]="","",HYPERLINK(p_ruta_base_checklists&amp;tblOrdenes[[#This Row],[link_checklist]],"abrir"))</f>
        <v/>
      </c>
      <c r="AM967" s="6" t="n"/>
      <c r="AN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Row],[tipo_ot]]="","",_xlfn.XLOOKUP(tblOrdenes[[#This Row],[tipo_ot]],tblTiposOT[codigo],tblTiposOT[clasificacion],"sin_clasificar"))</f>
        <v/>
      </c>
      <c r="T968" s="3">
        <f>IF(tblOrdenes[[#This Row],[centro_costo]]="","",_xlfn.XLOOKUP(tblOrdenes[[#This Row],[centro_costo]],tblCECO[codigo],tblCECO[linea],"(sin catálogo)"))</f>
        <v/>
      </c>
      <c r="U968" s="3">
        <f>IF(tblOrdenes[[#This Row],[centro_costo]]="","",_xlfn.XLOOKUP(tblOrdenes[[#This Row],[centro_costo]],tblCECO[codigo],tblCECO[area],"(sin catálogo)"))</f>
        <v/>
      </c>
      <c r="V968" s="3">
        <f>IF(tblOrdenes[[#This Row],[centro_costo]]="","",_xlfn.XLOOKUP(tblOrdenes[[#This Row],[centro_costo]],tblCECO[codigo],tblCECO[coordinador],"(sin catálogo)"))</f>
        <v/>
      </c>
      <c r="W968" s="3">
        <f>IF(tblOrdenes[[#This Row],[puesto_trabajo]]="","",_xlfn.XLOOKUP(tblOrdenes[[#This Row],[puesto_trabajo]],tblPuestos[codigo],tblPuestos[especialidad],"(sin catálogo)"))</f>
        <v/>
      </c>
      <c r="X968" s="3">
        <f>IF(tblOrdenes[[#This Row],[cod_actividad]]="","",_xlfn.XLOOKUP(tblOrdenes[[#This Row],[cod_actividad]],tblActividades[codigo],tblActividades[descripcion],"(sin catálogo)"))</f>
        <v/>
      </c>
      <c r="Y968" s="12">
        <f>IF(tblOrdenes[[#This Row],[fecha_inicio]]="","",TODAY()-tblOrdenes[[#This Row],[fecha_inicio]])</f>
        <v/>
      </c>
      <c r="Z968" s="3">
        <f>IF(tblOrdenes[[#This Row],[backlog_dias]]="","",IF(tblOrdenes[[#This Row],[backlog_dias]]&lt;0,"FUTURO",IF(tblOrdenes[[#This Row],[backlog_dias]]&gt;p_dias_backlog_max,"BACKLOG","MES CORRIENTE")))</f>
        <v/>
      </c>
      <c r="AA968" s="3">
        <f>IF(tblOrdenes[[#This Row],[backlog_dias]]="",FALSE,AND(tblOrdenes[[#This Row],[backlog_dias]]&gt;p_dias_backlog_min,tblOrdenes[[#This Row],[backlog_dias]]&lt;=p_dias_backlog_max))</f>
        <v/>
      </c>
      <c r="AB968" s="6" t="n"/>
      <c r="AC9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8" s="10">
        <f>IF(tblOrdenes[[#This Row],[orden]]="","",_xlfn.XLOOKUP(tblOrdenes[[#This Row],[id_operacion]],tblEjecucion[id_operacion],tblEjecucion[precio],0))</f>
        <v/>
      </c>
      <c r="AG968" s="10">
        <f>IF(tblOrdenes[[#This Row],[orden]]="","",MAX(0,_xlfn.XLOOKUP(tblOrdenes[[#This Row],[id_operacion]],tblEjecucion[id_operacion],tblEjecucion[costo_plan_total],0)-tblOrdenes[[#This Row],[costo_servicio]]))</f>
        <v/>
      </c>
      <c r="AH968" s="10">
        <f>IF(tblOrdenes[[#This Row],[orden]]="","",tblOrdenes[[#This Row],[costo_servicio]]+tblOrdenes[[#This Row],[costo_materiales]])</f>
        <v/>
      </c>
      <c r="AI968" s="6" t="n"/>
      <c r="AJ968" s="6" t="n"/>
      <c r="AK968" s="6" t="n"/>
      <c r="AL968" s="3">
        <f>IF(tblOrdenes[[#This Row],[link_checklist]]="","",HYPERLINK(p_ruta_base_checklists&amp;tblOrdenes[[#This Row],[link_checklist]],"abrir"))</f>
        <v/>
      </c>
      <c r="AM968" s="6" t="n"/>
      <c r="AN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Row],[tipo_ot]]="","",_xlfn.XLOOKUP(tblOrdenes[[#This Row],[tipo_ot]],tblTiposOT[codigo],tblTiposOT[clasificacion],"sin_clasificar"))</f>
        <v/>
      </c>
      <c r="T969" s="3">
        <f>IF(tblOrdenes[[#This Row],[centro_costo]]="","",_xlfn.XLOOKUP(tblOrdenes[[#This Row],[centro_costo]],tblCECO[codigo],tblCECO[linea],"(sin catálogo)"))</f>
        <v/>
      </c>
      <c r="U969" s="3">
        <f>IF(tblOrdenes[[#This Row],[centro_costo]]="","",_xlfn.XLOOKUP(tblOrdenes[[#This Row],[centro_costo]],tblCECO[codigo],tblCECO[area],"(sin catálogo)"))</f>
        <v/>
      </c>
      <c r="V969" s="3">
        <f>IF(tblOrdenes[[#This Row],[centro_costo]]="","",_xlfn.XLOOKUP(tblOrdenes[[#This Row],[centro_costo]],tblCECO[codigo],tblCECO[coordinador],"(sin catálogo)"))</f>
        <v/>
      </c>
      <c r="W969" s="3">
        <f>IF(tblOrdenes[[#This Row],[puesto_trabajo]]="","",_xlfn.XLOOKUP(tblOrdenes[[#This Row],[puesto_trabajo]],tblPuestos[codigo],tblPuestos[especialidad],"(sin catálogo)"))</f>
        <v/>
      </c>
      <c r="X969" s="3">
        <f>IF(tblOrdenes[[#This Row],[cod_actividad]]="","",_xlfn.XLOOKUP(tblOrdenes[[#This Row],[cod_actividad]],tblActividades[codigo],tblActividades[descripcion],"(sin catálogo)"))</f>
        <v/>
      </c>
      <c r="Y969" s="12">
        <f>IF(tblOrdenes[[#This Row],[fecha_inicio]]="","",TODAY()-tblOrdenes[[#This Row],[fecha_inicio]])</f>
        <v/>
      </c>
      <c r="Z969" s="3">
        <f>IF(tblOrdenes[[#This Row],[backlog_dias]]="","",IF(tblOrdenes[[#This Row],[backlog_dias]]&lt;0,"FUTURO",IF(tblOrdenes[[#This Row],[backlog_dias]]&gt;p_dias_backlog_max,"BACKLOG","MES CORRIENTE")))</f>
        <v/>
      </c>
      <c r="AA969" s="3">
        <f>IF(tblOrdenes[[#This Row],[backlog_dias]]="",FALSE,AND(tblOrdenes[[#This Row],[backlog_dias]]&gt;p_dias_backlog_min,tblOrdenes[[#This Row],[backlog_dias]]&lt;=p_dias_backlog_max))</f>
        <v/>
      </c>
      <c r="AB969" s="6" t="n"/>
      <c r="AC9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9" s="10">
        <f>IF(tblOrdenes[[#This Row],[orden]]="","",_xlfn.XLOOKUP(tblOrdenes[[#This Row],[id_operacion]],tblEjecucion[id_operacion],tblEjecucion[precio],0))</f>
        <v/>
      </c>
      <c r="AG969" s="10">
        <f>IF(tblOrdenes[[#This Row],[orden]]="","",MAX(0,_xlfn.XLOOKUP(tblOrdenes[[#This Row],[id_operacion]],tblEjecucion[id_operacion],tblEjecucion[costo_plan_total],0)-tblOrdenes[[#This Row],[costo_servicio]]))</f>
        <v/>
      </c>
      <c r="AH969" s="10">
        <f>IF(tblOrdenes[[#This Row],[orden]]="","",tblOrdenes[[#This Row],[costo_servicio]]+tblOrdenes[[#This Row],[costo_materiales]])</f>
        <v/>
      </c>
      <c r="AI969" s="6" t="n"/>
      <c r="AJ969" s="6" t="n"/>
      <c r="AK969" s="6" t="n"/>
      <c r="AL969" s="3">
        <f>IF(tblOrdenes[[#This Row],[link_checklist]]="","",HYPERLINK(p_ruta_base_checklists&amp;tblOrdenes[[#This Row],[link_checklist]],"abrir"))</f>
        <v/>
      </c>
      <c r="AM969" s="6" t="n"/>
      <c r="AN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Row],[tipo_ot]]="","",_xlfn.XLOOKUP(tblOrdenes[[#This Row],[tipo_ot]],tblTiposOT[codigo],tblTiposOT[clasificacion],"sin_clasificar"))</f>
        <v/>
      </c>
      <c r="T970" s="3">
        <f>IF(tblOrdenes[[#This Row],[centro_costo]]="","",_xlfn.XLOOKUP(tblOrdenes[[#This Row],[centro_costo]],tblCECO[codigo],tblCECO[linea],"(sin catálogo)"))</f>
        <v/>
      </c>
      <c r="U970" s="3">
        <f>IF(tblOrdenes[[#This Row],[centro_costo]]="","",_xlfn.XLOOKUP(tblOrdenes[[#This Row],[centro_costo]],tblCECO[codigo],tblCECO[area],"(sin catálogo)"))</f>
        <v/>
      </c>
      <c r="V970" s="3">
        <f>IF(tblOrdenes[[#This Row],[centro_costo]]="","",_xlfn.XLOOKUP(tblOrdenes[[#This Row],[centro_costo]],tblCECO[codigo],tblCECO[coordinador],"(sin catálogo)"))</f>
        <v/>
      </c>
      <c r="W970" s="3">
        <f>IF(tblOrdenes[[#This Row],[puesto_trabajo]]="","",_xlfn.XLOOKUP(tblOrdenes[[#This Row],[puesto_trabajo]],tblPuestos[codigo],tblPuestos[especialidad],"(sin catálogo)"))</f>
        <v/>
      </c>
      <c r="X970" s="3">
        <f>IF(tblOrdenes[[#This Row],[cod_actividad]]="","",_xlfn.XLOOKUP(tblOrdenes[[#This Row],[cod_actividad]],tblActividades[codigo],tblActividades[descripcion],"(sin catálogo)"))</f>
        <v/>
      </c>
      <c r="Y970" s="12">
        <f>IF(tblOrdenes[[#This Row],[fecha_inicio]]="","",TODAY()-tblOrdenes[[#This Row],[fecha_inicio]])</f>
        <v/>
      </c>
      <c r="Z970" s="3">
        <f>IF(tblOrdenes[[#This Row],[backlog_dias]]="","",IF(tblOrdenes[[#This Row],[backlog_dias]]&lt;0,"FUTURO",IF(tblOrdenes[[#This Row],[backlog_dias]]&gt;p_dias_backlog_max,"BACKLOG","MES CORRIENTE")))</f>
        <v/>
      </c>
      <c r="AA970" s="3">
        <f>IF(tblOrdenes[[#This Row],[backlog_dias]]="",FALSE,AND(tblOrdenes[[#This Row],[backlog_dias]]&gt;p_dias_backlog_min,tblOrdenes[[#This Row],[backlog_dias]]&lt;=p_dias_backlog_max))</f>
        <v/>
      </c>
      <c r="AB970" s="6" t="n"/>
      <c r="AC9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0" s="10">
        <f>IF(tblOrdenes[[#This Row],[orden]]="","",_xlfn.XLOOKUP(tblOrdenes[[#This Row],[id_operacion]],tblEjecucion[id_operacion],tblEjecucion[precio],0))</f>
        <v/>
      </c>
      <c r="AG970" s="10">
        <f>IF(tblOrdenes[[#This Row],[orden]]="","",MAX(0,_xlfn.XLOOKUP(tblOrdenes[[#This Row],[id_operacion]],tblEjecucion[id_operacion],tblEjecucion[costo_plan_total],0)-tblOrdenes[[#This Row],[costo_servicio]]))</f>
        <v/>
      </c>
      <c r="AH970" s="10">
        <f>IF(tblOrdenes[[#This Row],[orden]]="","",tblOrdenes[[#This Row],[costo_servicio]]+tblOrdenes[[#This Row],[costo_materiales]])</f>
        <v/>
      </c>
      <c r="AI970" s="6" t="n"/>
      <c r="AJ970" s="6" t="n"/>
      <c r="AK970" s="6" t="n"/>
      <c r="AL970" s="3">
        <f>IF(tblOrdenes[[#This Row],[link_checklist]]="","",HYPERLINK(p_ruta_base_checklists&amp;tblOrdenes[[#This Row],[link_checklist]],"abrir"))</f>
        <v/>
      </c>
      <c r="AM970" s="6" t="n"/>
      <c r="AN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Row],[tipo_ot]]="","",_xlfn.XLOOKUP(tblOrdenes[[#This Row],[tipo_ot]],tblTiposOT[codigo],tblTiposOT[clasificacion],"sin_clasificar"))</f>
        <v/>
      </c>
      <c r="T971" s="3">
        <f>IF(tblOrdenes[[#This Row],[centro_costo]]="","",_xlfn.XLOOKUP(tblOrdenes[[#This Row],[centro_costo]],tblCECO[codigo],tblCECO[linea],"(sin catálogo)"))</f>
        <v/>
      </c>
      <c r="U971" s="3">
        <f>IF(tblOrdenes[[#This Row],[centro_costo]]="","",_xlfn.XLOOKUP(tblOrdenes[[#This Row],[centro_costo]],tblCECO[codigo],tblCECO[area],"(sin catálogo)"))</f>
        <v/>
      </c>
      <c r="V971" s="3">
        <f>IF(tblOrdenes[[#This Row],[centro_costo]]="","",_xlfn.XLOOKUP(tblOrdenes[[#This Row],[centro_costo]],tblCECO[codigo],tblCECO[coordinador],"(sin catálogo)"))</f>
        <v/>
      </c>
      <c r="W971" s="3">
        <f>IF(tblOrdenes[[#This Row],[puesto_trabajo]]="","",_xlfn.XLOOKUP(tblOrdenes[[#This Row],[puesto_trabajo]],tblPuestos[codigo],tblPuestos[especialidad],"(sin catálogo)"))</f>
        <v/>
      </c>
      <c r="X971" s="3">
        <f>IF(tblOrdenes[[#This Row],[cod_actividad]]="","",_xlfn.XLOOKUP(tblOrdenes[[#This Row],[cod_actividad]],tblActividades[codigo],tblActividades[descripcion],"(sin catálogo)"))</f>
        <v/>
      </c>
      <c r="Y971" s="12">
        <f>IF(tblOrdenes[[#This Row],[fecha_inicio]]="","",TODAY()-tblOrdenes[[#This Row],[fecha_inicio]])</f>
        <v/>
      </c>
      <c r="Z971" s="3">
        <f>IF(tblOrdenes[[#This Row],[backlog_dias]]="","",IF(tblOrdenes[[#This Row],[backlog_dias]]&lt;0,"FUTURO",IF(tblOrdenes[[#This Row],[backlog_dias]]&gt;p_dias_backlog_max,"BACKLOG","MES CORRIENTE")))</f>
        <v/>
      </c>
      <c r="AA971" s="3">
        <f>IF(tblOrdenes[[#This Row],[backlog_dias]]="",FALSE,AND(tblOrdenes[[#This Row],[backlog_dias]]&gt;p_dias_backlog_min,tblOrdenes[[#This Row],[backlog_dias]]&lt;=p_dias_backlog_max))</f>
        <v/>
      </c>
      <c r="AB971" s="6" t="n"/>
      <c r="AC9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1" s="10">
        <f>IF(tblOrdenes[[#This Row],[orden]]="","",_xlfn.XLOOKUP(tblOrdenes[[#This Row],[id_operacion]],tblEjecucion[id_operacion],tblEjecucion[precio],0))</f>
        <v/>
      </c>
      <c r="AG971" s="10">
        <f>IF(tblOrdenes[[#This Row],[orden]]="","",MAX(0,_xlfn.XLOOKUP(tblOrdenes[[#This Row],[id_operacion]],tblEjecucion[id_operacion],tblEjecucion[costo_plan_total],0)-tblOrdenes[[#This Row],[costo_servicio]]))</f>
        <v/>
      </c>
      <c r="AH971" s="10">
        <f>IF(tblOrdenes[[#This Row],[orden]]="","",tblOrdenes[[#This Row],[costo_servicio]]+tblOrdenes[[#This Row],[costo_materiales]])</f>
        <v/>
      </c>
      <c r="AI971" s="6" t="n"/>
      <c r="AJ971" s="6" t="n"/>
      <c r="AK971" s="6" t="n"/>
      <c r="AL971" s="3">
        <f>IF(tblOrdenes[[#This Row],[link_checklist]]="","",HYPERLINK(p_ruta_base_checklists&amp;tblOrdenes[[#This Row],[link_checklist]],"abrir"))</f>
        <v/>
      </c>
      <c r="AM971" s="6" t="n"/>
      <c r="AN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Row],[tipo_ot]]="","",_xlfn.XLOOKUP(tblOrdenes[[#This Row],[tipo_ot]],tblTiposOT[codigo],tblTiposOT[clasificacion],"sin_clasificar"))</f>
        <v/>
      </c>
      <c r="T972" s="3">
        <f>IF(tblOrdenes[[#This Row],[centro_costo]]="","",_xlfn.XLOOKUP(tblOrdenes[[#This Row],[centro_costo]],tblCECO[codigo],tblCECO[linea],"(sin catálogo)"))</f>
        <v/>
      </c>
      <c r="U972" s="3">
        <f>IF(tblOrdenes[[#This Row],[centro_costo]]="","",_xlfn.XLOOKUP(tblOrdenes[[#This Row],[centro_costo]],tblCECO[codigo],tblCECO[area],"(sin catálogo)"))</f>
        <v/>
      </c>
      <c r="V972" s="3">
        <f>IF(tblOrdenes[[#This Row],[centro_costo]]="","",_xlfn.XLOOKUP(tblOrdenes[[#This Row],[centro_costo]],tblCECO[codigo],tblCECO[coordinador],"(sin catálogo)"))</f>
        <v/>
      </c>
      <c r="W972" s="3">
        <f>IF(tblOrdenes[[#This Row],[puesto_trabajo]]="","",_xlfn.XLOOKUP(tblOrdenes[[#This Row],[puesto_trabajo]],tblPuestos[codigo],tblPuestos[especialidad],"(sin catálogo)"))</f>
        <v/>
      </c>
      <c r="X972" s="3">
        <f>IF(tblOrdenes[[#This Row],[cod_actividad]]="","",_xlfn.XLOOKUP(tblOrdenes[[#This Row],[cod_actividad]],tblActividades[codigo],tblActividades[descripcion],"(sin catálogo)"))</f>
        <v/>
      </c>
      <c r="Y972" s="12">
        <f>IF(tblOrdenes[[#This Row],[fecha_inicio]]="","",TODAY()-tblOrdenes[[#This Row],[fecha_inicio]])</f>
        <v/>
      </c>
      <c r="Z972" s="3">
        <f>IF(tblOrdenes[[#This Row],[backlog_dias]]="","",IF(tblOrdenes[[#This Row],[backlog_dias]]&lt;0,"FUTURO",IF(tblOrdenes[[#This Row],[backlog_dias]]&gt;p_dias_backlog_max,"BACKLOG","MES CORRIENTE")))</f>
        <v/>
      </c>
      <c r="AA972" s="3">
        <f>IF(tblOrdenes[[#This Row],[backlog_dias]]="",FALSE,AND(tblOrdenes[[#This Row],[backlog_dias]]&gt;p_dias_backlog_min,tblOrdenes[[#This Row],[backlog_dias]]&lt;=p_dias_backlog_max))</f>
        <v/>
      </c>
      <c r="AB972" s="6" t="n"/>
      <c r="AC9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2" s="10">
        <f>IF(tblOrdenes[[#This Row],[orden]]="","",_xlfn.XLOOKUP(tblOrdenes[[#This Row],[id_operacion]],tblEjecucion[id_operacion],tblEjecucion[precio],0))</f>
        <v/>
      </c>
      <c r="AG972" s="10">
        <f>IF(tblOrdenes[[#This Row],[orden]]="","",MAX(0,_xlfn.XLOOKUP(tblOrdenes[[#This Row],[id_operacion]],tblEjecucion[id_operacion],tblEjecucion[costo_plan_total],0)-tblOrdenes[[#This Row],[costo_servicio]]))</f>
        <v/>
      </c>
      <c r="AH972" s="10">
        <f>IF(tblOrdenes[[#This Row],[orden]]="","",tblOrdenes[[#This Row],[costo_servicio]]+tblOrdenes[[#This Row],[costo_materiales]])</f>
        <v/>
      </c>
      <c r="AI972" s="6" t="n"/>
      <c r="AJ972" s="6" t="n"/>
      <c r="AK972" s="6" t="n"/>
      <c r="AL972" s="3">
        <f>IF(tblOrdenes[[#This Row],[link_checklist]]="","",HYPERLINK(p_ruta_base_checklists&amp;tblOrdenes[[#This Row],[link_checklist]],"abrir"))</f>
        <v/>
      </c>
      <c r="AM972" s="6" t="n"/>
      <c r="AN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Row],[tipo_ot]]="","",_xlfn.XLOOKUP(tblOrdenes[[#This Row],[tipo_ot]],tblTiposOT[codigo],tblTiposOT[clasificacion],"sin_clasificar"))</f>
        <v/>
      </c>
      <c r="T973" s="3">
        <f>IF(tblOrdenes[[#This Row],[centro_costo]]="","",_xlfn.XLOOKUP(tblOrdenes[[#This Row],[centro_costo]],tblCECO[codigo],tblCECO[linea],"(sin catálogo)"))</f>
        <v/>
      </c>
      <c r="U973" s="3">
        <f>IF(tblOrdenes[[#This Row],[centro_costo]]="","",_xlfn.XLOOKUP(tblOrdenes[[#This Row],[centro_costo]],tblCECO[codigo],tblCECO[area],"(sin catálogo)"))</f>
        <v/>
      </c>
      <c r="V973" s="3">
        <f>IF(tblOrdenes[[#This Row],[centro_costo]]="","",_xlfn.XLOOKUP(tblOrdenes[[#This Row],[centro_costo]],tblCECO[codigo],tblCECO[coordinador],"(sin catálogo)"))</f>
        <v/>
      </c>
      <c r="W973" s="3">
        <f>IF(tblOrdenes[[#This Row],[puesto_trabajo]]="","",_xlfn.XLOOKUP(tblOrdenes[[#This Row],[puesto_trabajo]],tblPuestos[codigo],tblPuestos[especialidad],"(sin catálogo)"))</f>
        <v/>
      </c>
      <c r="X973" s="3">
        <f>IF(tblOrdenes[[#This Row],[cod_actividad]]="","",_xlfn.XLOOKUP(tblOrdenes[[#This Row],[cod_actividad]],tblActividades[codigo],tblActividades[descripcion],"(sin catálogo)"))</f>
        <v/>
      </c>
      <c r="Y973" s="12">
        <f>IF(tblOrdenes[[#This Row],[fecha_inicio]]="","",TODAY()-tblOrdenes[[#This Row],[fecha_inicio]])</f>
        <v/>
      </c>
      <c r="Z973" s="3">
        <f>IF(tblOrdenes[[#This Row],[backlog_dias]]="","",IF(tblOrdenes[[#This Row],[backlog_dias]]&lt;0,"FUTURO",IF(tblOrdenes[[#This Row],[backlog_dias]]&gt;p_dias_backlog_max,"BACKLOG","MES CORRIENTE")))</f>
        <v/>
      </c>
      <c r="AA973" s="3">
        <f>IF(tblOrdenes[[#This Row],[backlog_dias]]="",FALSE,AND(tblOrdenes[[#This Row],[backlog_dias]]&gt;p_dias_backlog_min,tblOrdenes[[#This Row],[backlog_dias]]&lt;=p_dias_backlog_max))</f>
        <v/>
      </c>
      <c r="AB973" s="6" t="n"/>
      <c r="AC9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3" s="10">
        <f>IF(tblOrdenes[[#This Row],[orden]]="","",_xlfn.XLOOKUP(tblOrdenes[[#This Row],[id_operacion]],tblEjecucion[id_operacion],tblEjecucion[precio],0))</f>
        <v/>
      </c>
      <c r="AG973" s="10">
        <f>IF(tblOrdenes[[#This Row],[orden]]="","",MAX(0,_xlfn.XLOOKUP(tblOrdenes[[#This Row],[id_operacion]],tblEjecucion[id_operacion],tblEjecucion[costo_plan_total],0)-tblOrdenes[[#This Row],[costo_servicio]]))</f>
        <v/>
      </c>
      <c r="AH973" s="10">
        <f>IF(tblOrdenes[[#This Row],[orden]]="","",tblOrdenes[[#This Row],[costo_servicio]]+tblOrdenes[[#This Row],[costo_materiales]])</f>
        <v/>
      </c>
      <c r="AI973" s="6" t="n"/>
      <c r="AJ973" s="6" t="n"/>
      <c r="AK973" s="6" t="n"/>
      <c r="AL973" s="3">
        <f>IF(tblOrdenes[[#This Row],[link_checklist]]="","",HYPERLINK(p_ruta_base_checklists&amp;tblOrdenes[[#This Row],[link_checklist]],"abrir"))</f>
        <v/>
      </c>
      <c r="AM973" s="6" t="n"/>
      <c r="AN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Row],[tipo_ot]]="","",_xlfn.XLOOKUP(tblOrdenes[[#This Row],[tipo_ot]],tblTiposOT[codigo],tblTiposOT[clasificacion],"sin_clasificar"))</f>
        <v/>
      </c>
      <c r="T974" s="3">
        <f>IF(tblOrdenes[[#This Row],[centro_costo]]="","",_xlfn.XLOOKUP(tblOrdenes[[#This Row],[centro_costo]],tblCECO[codigo],tblCECO[linea],"(sin catálogo)"))</f>
        <v/>
      </c>
      <c r="U974" s="3">
        <f>IF(tblOrdenes[[#This Row],[centro_costo]]="","",_xlfn.XLOOKUP(tblOrdenes[[#This Row],[centro_costo]],tblCECO[codigo],tblCECO[area],"(sin catálogo)"))</f>
        <v/>
      </c>
      <c r="V974" s="3">
        <f>IF(tblOrdenes[[#This Row],[centro_costo]]="","",_xlfn.XLOOKUP(tblOrdenes[[#This Row],[centro_costo]],tblCECO[codigo],tblCECO[coordinador],"(sin catálogo)"))</f>
        <v/>
      </c>
      <c r="W974" s="3">
        <f>IF(tblOrdenes[[#This Row],[puesto_trabajo]]="","",_xlfn.XLOOKUP(tblOrdenes[[#This Row],[puesto_trabajo]],tblPuestos[codigo],tblPuestos[especialidad],"(sin catálogo)"))</f>
        <v/>
      </c>
      <c r="X974" s="3">
        <f>IF(tblOrdenes[[#This Row],[cod_actividad]]="","",_xlfn.XLOOKUP(tblOrdenes[[#This Row],[cod_actividad]],tblActividades[codigo],tblActividades[descripcion],"(sin catálogo)"))</f>
        <v/>
      </c>
      <c r="Y974" s="12">
        <f>IF(tblOrdenes[[#This Row],[fecha_inicio]]="","",TODAY()-tblOrdenes[[#This Row],[fecha_inicio]])</f>
        <v/>
      </c>
      <c r="Z974" s="3">
        <f>IF(tblOrdenes[[#This Row],[backlog_dias]]="","",IF(tblOrdenes[[#This Row],[backlog_dias]]&lt;0,"FUTURO",IF(tblOrdenes[[#This Row],[backlog_dias]]&gt;p_dias_backlog_max,"BACKLOG","MES CORRIENTE")))</f>
        <v/>
      </c>
      <c r="AA974" s="3">
        <f>IF(tblOrdenes[[#This Row],[backlog_dias]]="",FALSE,AND(tblOrdenes[[#This Row],[backlog_dias]]&gt;p_dias_backlog_min,tblOrdenes[[#This Row],[backlog_dias]]&lt;=p_dias_backlog_max))</f>
        <v/>
      </c>
      <c r="AB974" s="6" t="n"/>
      <c r="AC9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4" s="10">
        <f>IF(tblOrdenes[[#This Row],[orden]]="","",_xlfn.XLOOKUP(tblOrdenes[[#This Row],[id_operacion]],tblEjecucion[id_operacion],tblEjecucion[precio],0))</f>
        <v/>
      </c>
      <c r="AG974" s="10">
        <f>IF(tblOrdenes[[#This Row],[orden]]="","",MAX(0,_xlfn.XLOOKUP(tblOrdenes[[#This Row],[id_operacion]],tblEjecucion[id_operacion],tblEjecucion[costo_plan_total],0)-tblOrdenes[[#This Row],[costo_servicio]]))</f>
        <v/>
      </c>
      <c r="AH974" s="10">
        <f>IF(tblOrdenes[[#This Row],[orden]]="","",tblOrdenes[[#This Row],[costo_servicio]]+tblOrdenes[[#This Row],[costo_materiales]])</f>
        <v/>
      </c>
      <c r="AI974" s="6" t="n"/>
      <c r="AJ974" s="6" t="n"/>
      <c r="AK974" s="6" t="n"/>
      <c r="AL974" s="3">
        <f>IF(tblOrdenes[[#This Row],[link_checklist]]="","",HYPERLINK(p_ruta_base_checklists&amp;tblOrdenes[[#This Row],[link_checklist]],"abrir"))</f>
        <v/>
      </c>
      <c r="AM974" s="6" t="n"/>
      <c r="AN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Row],[tipo_ot]]="","",_xlfn.XLOOKUP(tblOrdenes[[#This Row],[tipo_ot]],tblTiposOT[codigo],tblTiposOT[clasificacion],"sin_clasificar"))</f>
        <v/>
      </c>
      <c r="T975" s="3">
        <f>IF(tblOrdenes[[#This Row],[centro_costo]]="","",_xlfn.XLOOKUP(tblOrdenes[[#This Row],[centro_costo]],tblCECO[codigo],tblCECO[linea],"(sin catálogo)"))</f>
        <v/>
      </c>
      <c r="U975" s="3">
        <f>IF(tblOrdenes[[#This Row],[centro_costo]]="","",_xlfn.XLOOKUP(tblOrdenes[[#This Row],[centro_costo]],tblCECO[codigo],tblCECO[area],"(sin catálogo)"))</f>
        <v/>
      </c>
      <c r="V975" s="3">
        <f>IF(tblOrdenes[[#This Row],[centro_costo]]="","",_xlfn.XLOOKUP(tblOrdenes[[#This Row],[centro_costo]],tblCECO[codigo],tblCECO[coordinador],"(sin catálogo)"))</f>
        <v/>
      </c>
      <c r="W975" s="3">
        <f>IF(tblOrdenes[[#This Row],[puesto_trabajo]]="","",_xlfn.XLOOKUP(tblOrdenes[[#This Row],[puesto_trabajo]],tblPuestos[codigo],tblPuestos[especialidad],"(sin catálogo)"))</f>
        <v/>
      </c>
      <c r="X975" s="3">
        <f>IF(tblOrdenes[[#This Row],[cod_actividad]]="","",_xlfn.XLOOKUP(tblOrdenes[[#This Row],[cod_actividad]],tblActividades[codigo],tblActividades[descripcion],"(sin catálogo)"))</f>
        <v/>
      </c>
      <c r="Y975" s="12">
        <f>IF(tblOrdenes[[#This Row],[fecha_inicio]]="","",TODAY()-tblOrdenes[[#This Row],[fecha_inicio]])</f>
        <v/>
      </c>
      <c r="Z975" s="3">
        <f>IF(tblOrdenes[[#This Row],[backlog_dias]]="","",IF(tblOrdenes[[#This Row],[backlog_dias]]&lt;0,"FUTURO",IF(tblOrdenes[[#This Row],[backlog_dias]]&gt;p_dias_backlog_max,"BACKLOG","MES CORRIENTE")))</f>
        <v/>
      </c>
      <c r="AA975" s="3">
        <f>IF(tblOrdenes[[#This Row],[backlog_dias]]="",FALSE,AND(tblOrdenes[[#This Row],[backlog_dias]]&gt;p_dias_backlog_min,tblOrdenes[[#This Row],[backlog_dias]]&lt;=p_dias_backlog_max))</f>
        <v/>
      </c>
      <c r="AB975" s="6" t="n"/>
      <c r="AC9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5" s="10">
        <f>IF(tblOrdenes[[#This Row],[orden]]="","",_xlfn.XLOOKUP(tblOrdenes[[#This Row],[id_operacion]],tblEjecucion[id_operacion],tblEjecucion[precio],0))</f>
        <v/>
      </c>
      <c r="AG975" s="10">
        <f>IF(tblOrdenes[[#This Row],[orden]]="","",MAX(0,_xlfn.XLOOKUP(tblOrdenes[[#This Row],[id_operacion]],tblEjecucion[id_operacion],tblEjecucion[costo_plan_total],0)-tblOrdenes[[#This Row],[costo_servicio]]))</f>
        <v/>
      </c>
      <c r="AH975" s="10">
        <f>IF(tblOrdenes[[#This Row],[orden]]="","",tblOrdenes[[#This Row],[costo_servicio]]+tblOrdenes[[#This Row],[costo_materiales]])</f>
        <v/>
      </c>
      <c r="AI975" s="6" t="n"/>
      <c r="AJ975" s="6" t="n"/>
      <c r="AK975" s="6" t="n"/>
      <c r="AL975" s="3">
        <f>IF(tblOrdenes[[#This Row],[link_checklist]]="","",HYPERLINK(p_ruta_base_checklists&amp;tblOrdenes[[#This Row],[link_checklist]],"abrir"))</f>
        <v/>
      </c>
      <c r="AM975" s="6" t="n"/>
      <c r="AN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Row],[tipo_ot]]="","",_xlfn.XLOOKUP(tblOrdenes[[#This Row],[tipo_ot]],tblTiposOT[codigo],tblTiposOT[clasificacion],"sin_clasificar"))</f>
        <v/>
      </c>
      <c r="T976" s="3">
        <f>IF(tblOrdenes[[#This Row],[centro_costo]]="","",_xlfn.XLOOKUP(tblOrdenes[[#This Row],[centro_costo]],tblCECO[codigo],tblCECO[linea],"(sin catálogo)"))</f>
        <v/>
      </c>
      <c r="U976" s="3">
        <f>IF(tblOrdenes[[#This Row],[centro_costo]]="","",_xlfn.XLOOKUP(tblOrdenes[[#This Row],[centro_costo]],tblCECO[codigo],tblCECO[area],"(sin catálogo)"))</f>
        <v/>
      </c>
      <c r="V976" s="3">
        <f>IF(tblOrdenes[[#This Row],[centro_costo]]="","",_xlfn.XLOOKUP(tblOrdenes[[#This Row],[centro_costo]],tblCECO[codigo],tblCECO[coordinador],"(sin catálogo)"))</f>
        <v/>
      </c>
      <c r="W976" s="3">
        <f>IF(tblOrdenes[[#This Row],[puesto_trabajo]]="","",_xlfn.XLOOKUP(tblOrdenes[[#This Row],[puesto_trabajo]],tblPuestos[codigo],tblPuestos[especialidad],"(sin catálogo)"))</f>
        <v/>
      </c>
      <c r="X976" s="3">
        <f>IF(tblOrdenes[[#This Row],[cod_actividad]]="","",_xlfn.XLOOKUP(tblOrdenes[[#This Row],[cod_actividad]],tblActividades[codigo],tblActividades[descripcion],"(sin catálogo)"))</f>
        <v/>
      </c>
      <c r="Y976" s="12">
        <f>IF(tblOrdenes[[#This Row],[fecha_inicio]]="","",TODAY()-tblOrdenes[[#This Row],[fecha_inicio]])</f>
        <v/>
      </c>
      <c r="Z976" s="3">
        <f>IF(tblOrdenes[[#This Row],[backlog_dias]]="","",IF(tblOrdenes[[#This Row],[backlog_dias]]&lt;0,"FUTURO",IF(tblOrdenes[[#This Row],[backlog_dias]]&gt;p_dias_backlog_max,"BACKLOG","MES CORRIENTE")))</f>
        <v/>
      </c>
      <c r="AA976" s="3">
        <f>IF(tblOrdenes[[#This Row],[backlog_dias]]="",FALSE,AND(tblOrdenes[[#This Row],[backlog_dias]]&gt;p_dias_backlog_min,tblOrdenes[[#This Row],[backlog_dias]]&lt;=p_dias_backlog_max))</f>
        <v/>
      </c>
      <c r="AB976" s="6" t="n"/>
      <c r="AC9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6" s="10">
        <f>IF(tblOrdenes[[#This Row],[orden]]="","",_xlfn.XLOOKUP(tblOrdenes[[#This Row],[id_operacion]],tblEjecucion[id_operacion],tblEjecucion[precio],0))</f>
        <v/>
      </c>
      <c r="AG976" s="10">
        <f>IF(tblOrdenes[[#This Row],[orden]]="","",MAX(0,_xlfn.XLOOKUP(tblOrdenes[[#This Row],[id_operacion]],tblEjecucion[id_operacion],tblEjecucion[costo_plan_total],0)-tblOrdenes[[#This Row],[costo_servicio]]))</f>
        <v/>
      </c>
      <c r="AH976" s="10">
        <f>IF(tblOrdenes[[#This Row],[orden]]="","",tblOrdenes[[#This Row],[costo_servicio]]+tblOrdenes[[#This Row],[costo_materiales]])</f>
        <v/>
      </c>
      <c r="AI976" s="6" t="n"/>
      <c r="AJ976" s="6" t="n"/>
      <c r="AK976" s="6" t="n"/>
      <c r="AL976" s="3">
        <f>IF(tblOrdenes[[#This Row],[link_checklist]]="","",HYPERLINK(p_ruta_base_checklists&amp;tblOrdenes[[#This Row],[link_checklist]],"abrir"))</f>
        <v/>
      </c>
      <c r="AM976" s="6" t="n"/>
      <c r="AN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Row],[tipo_ot]]="","",_xlfn.XLOOKUP(tblOrdenes[[#This Row],[tipo_ot]],tblTiposOT[codigo],tblTiposOT[clasificacion],"sin_clasificar"))</f>
        <v/>
      </c>
      <c r="T977" s="3">
        <f>IF(tblOrdenes[[#This Row],[centro_costo]]="","",_xlfn.XLOOKUP(tblOrdenes[[#This Row],[centro_costo]],tblCECO[codigo],tblCECO[linea],"(sin catálogo)"))</f>
        <v/>
      </c>
      <c r="U977" s="3">
        <f>IF(tblOrdenes[[#This Row],[centro_costo]]="","",_xlfn.XLOOKUP(tblOrdenes[[#This Row],[centro_costo]],tblCECO[codigo],tblCECO[area],"(sin catálogo)"))</f>
        <v/>
      </c>
      <c r="V977" s="3">
        <f>IF(tblOrdenes[[#This Row],[centro_costo]]="","",_xlfn.XLOOKUP(tblOrdenes[[#This Row],[centro_costo]],tblCECO[codigo],tblCECO[coordinador],"(sin catálogo)"))</f>
        <v/>
      </c>
      <c r="W977" s="3">
        <f>IF(tblOrdenes[[#This Row],[puesto_trabajo]]="","",_xlfn.XLOOKUP(tblOrdenes[[#This Row],[puesto_trabajo]],tblPuestos[codigo],tblPuestos[especialidad],"(sin catálogo)"))</f>
        <v/>
      </c>
      <c r="X977" s="3">
        <f>IF(tblOrdenes[[#This Row],[cod_actividad]]="","",_xlfn.XLOOKUP(tblOrdenes[[#This Row],[cod_actividad]],tblActividades[codigo],tblActividades[descripcion],"(sin catálogo)"))</f>
        <v/>
      </c>
      <c r="Y977" s="12">
        <f>IF(tblOrdenes[[#This Row],[fecha_inicio]]="","",TODAY()-tblOrdenes[[#This Row],[fecha_inicio]])</f>
        <v/>
      </c>
      <c r="Z977" s="3">
        <f>IF(tblOrdenes[[#This Row],[backlog_dias]]="","",IF(tblOrdenes[[#This Row],[backlog_dias]]&lt;0,"FUTURO",IF(tblOrdenes[[#This Row],[backlog_dias]]&gt;p_dias_backlog_max,"BACKLOG","MES CORRIENTE")))</f>
        <v/>
      </c>
      <c r="AA977" s="3">
        <f>IF(tblOrdenes[[#This Row],[backlog_dias]]="",FALSE,AND(tblOrdenes[[#This Row],[backlog_dias]]&gt;p_dias_backlog_min,tblOrdenes[[#This Row],[backlog_dias]]&lt;=p_dias_backlog_max))</f>
        <v/>
      </c>
      <c r="AB977" s="6" t="n"/>
      <c r="AC9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7" s="10">
        <f>IF(tblOrdenes[[#This Row],[orden]]="","",_xlfn.XLOOKUP(tblOrdenes[[#This Row],[id_operacion]],tblEjecucion[id_operacion],tblEjecucion[precio],0))</f>
        <v/>
      </c>
      <c r="AG977" s="10">
        <f>IF(tblOrdenes[[#This Row],[orden]]="","",MAX(0,_xlfn.XLOOKUP(tblOrdenes[[#This Row],[id_operacion]],tblEjecucion[id_operacion],tblEjecucion[costo_plan_total],0)-tblOrdenes[[#This Row],[costo_servicio]]))</f>
        <v/>
      </c>
      <c r="AH977" s="10">
        <f>IF(tblOrdenes[[#This Row],[orden]]="","",tblOrdenes[[#This Row],[costo_servicio]]+tblOrdenes[[#This Row],[costo_materiales]])</f>
        <v/>
      </c>
      <c r="AI977" s="6" t="n"/>
      <c r="AJ977" s="6" t="n"/>
      <c r="AK977" s="6" t="n"/>
      <c r="AL977" s="3">
        <f>IF(tblOrdenes[[#This Row],[link_checklist]]="","",HYPERLINK(p_ruta_base_checklists&amp;tblOrdenes[[#This Row],[link_checklist]],"abrir"))</f>
        <v/>
      </c>
      <c r="AM977" s="6" t="n"/>
      <c r="AN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Row],[tipo_ot]]="","",_xlfn.XLOOKUP(tblOrdenes[[#This Row],[tipo_ot]],tblTiposOT[codigo],tblTiposOT[clasificacion],"sin_clasificar"))</f>
        <v/>
      </c>
      <c r="T978" s="3">
        <f>IF(tblOrdenes[[#This Row],[centro_costo]]="","",_xlfn.XLOOKUP(tblOrdenes[[#This Row],[centro_costo]],tblCECO[codigo],tblCECO[linea],"(sin catálogo)"))</f>
        <v/>
      </c>
      <c r="U978" s="3">
        <f>IF(tblOrdenes[[#This Row],[centro_costo]]="","",_xlfn.XLOOKUP(tblOrdenes[[#This Row],[centro_costo]],tblCECO[codigo],tblCECO[area],"(sin catálogo)"))</f>
        <v/>
      </c>
      <c r="V978" s="3">
        <f>IF(tblOrdenes[[#This Row],[centro_costo]]="","",_xlfn.XLOOKUP(tblOrdenes[[#This Row],[centro_costo]],tblCECO[codigo],tblCECO[coordinador],"(sin catálogo)"))</f>
        <v/>
      </c>
      <c r="W978" s="3">
        <f>IF(tblOrdenes[[#This Row],[puesto_trabajo]]="","",_xlfn.XLOOKUP(tblOrdenes[[#This Row],[puesto_trabajo]],tblPuestos[codigo],tblPuestos[especialidad],"(sin catálogo)"))</f>
        <v/>
      </c>
      <c r="X978" s="3">
        <f>IF(tblOrdenes[[#This Row],[cod_actividad]]="","",_xlfn.XLOOKUP(tblOrdenes[[#This Row],[cod_actividad]],tblActividades[codigo],tblActividades[descripcion],"(sin catálogo)"))</f>
        <v/>
      </c>
      <c r="Y978" s="12">
        <f>IF(tblOrdenes[[#This Row],[fecha_inicio]]="","",TODAY()-tblOrdenes[[#This Row],[fecha_inicio]])</f>
        <v/>
      </c>
      <c r="Z978" s="3">
        <f>IF(tblOrdenes[[#This Row],[backlog_dias]]="","",IF(tblOrdenes[[#This Row],[backlog_dias]]&lt;0,"FUTURO",IF(tblOrdenes[[#This Row],[backlog_dias]]&gt;p_dias_backlog_max,"BACKLOG","MES CORRIENTE")))</f>
        <v/>
      </c>
      <c r="AA978" s="3">
        <f>IF(tblOrdenes[[#This Row],[backlog_dias]]="",FALSE,AND(tblOrdenes[[#This Row],[backlog_dias]]&gt;p_dias_backlog_min,tblOrdenes[[#This Row],[backlog_dias]]&lt;=p_dias_backlog_max))</f>
        <v/>
      </c>
      <c r="AB978" s="6" t="n"/>
      <c r="AC9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8" s="10">
        <f>IF(tblOrdenes[[#This Row],[orden]]="","",_xlfn.XLOOKUP(tblOrdenes[[#This Row],[id_operacion]],tblEjecucion[id_operacion],tblEjecucion[precio],0))</f>
        <v/>
      </c>
      <c r="AG978" s="10">
        <f>IF(tblOrdenes[[#This Row],[orden]]="","",MAX(0,_xlfn.XLOOKUP(tblOrdenes[[#This Row],[id_operacion]],tblEjecucion[id_operacion],tblEjecucion[costo_plan_total],0)-tblOrdenes[[#This Row],[costo_servicio]]))</f>
        <v/>
      </c>
      <c r="AH978" s="10">
        <f>IF(tblOrdenes[[#This Row],[orden]]="","",tblOrdenes[[#This Row],[costo_servicio]]+tblOrdenes[[#This Row],[costo_materiales]])</f>
        <v/>
      </c>
      <c r="AI978" s="6" t="n"/>
      <c r="AJ978" s="6" t="n"/>
      <c r="AK978" s="6" t="n"/>
      <c r="AL978" s="3">
        <f>IF(tblOrdenes[[#This Row],[link_checklist]]="","",HYPERLINK(p_ruta_base_checklists&amp;tblOrdenes[[#This Row],[link_checklist]],"abrir"))</f>
        <v/>
      </c>
      <c r="AM978" s="6" t="n"/>
      <c r="AN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Row],[tipo_ot]]="","",_xlfn.XLOOKUP(tblOrdenes[[#This Row],[tipo_ot]],tblTiposOT[codigo],tblTiposOT[clasificacion],"sin_clasificar"))</f>
        <v/>
      </c>
      <c r="T979" s="3">
        <f>IF(tblOrdenes[[#This Row],[centro_costo]]="","",_xlfn.XLOOKUP(tblOrdenes[[#This Row],[centro_costo]],tblCECO[codigo],tblCECO[linea],"(sin catálogo)"))</f>
        <v/>
      </c>
      <c r="U979" s="3">
        <f>IF(tblOrdenes[[#This Row],[centro_costo]]="","",_xlfn.XLOOKUP(tblOrdenes[[#This Row],[centro_costo]],tblCECO[codigo],tblCECO[area],"(sin catálogo)"))</f>
        <v/>
      </c>
      <c r="V979" s="3">
        <f>IF(tblOrdenes[[#This Row],[centro_costo]]="","",_xlfn.XLOOKUP(tblOrdenes[[#This Row],[centro_costo]],tblCECO[codigo],tblCECO[coordinador],"(sin catálogo)"))</f>
        <v/>
      </c>
      <c r="W979" s="3">
        <f>IF(tblOrdenes[[#This Row],[puesto_trabajo]]="","",_xlfn.XLOOKUP(tblOrdenes[[#This Row],[puesto_trabajo]],tblPuestos[codigo],tblPuestos[especialidad],"(sin catálogo)"))</f>
        <v/>
      </c>
      <c r="X979" s="3">
        <f>IF(tblOrdenes[[#This Row],[cod_actividad]]="","",_xlfn.XLOOKUP(tblOrdenes[[#This Row],[cod_actividad]],tblActividades[codigo],tblActividades[descripcion],"(sin catálogo)"))</f>
        <v/>
      </c>
      <c r="Y979" s="12">
        <f>IF(tblOrdenes[[#This Row],[fecha_inicio]]="","",TODAY()-tblOrdenes[[#This Row],[fecha_inicio]])</f>
        <v/>
      </c>
      <c r="Z979" s="3">
        <f>IF(tblOrdenes[[#This Row],[backlog_dias]]="","",IF(tblOrdenes[[#This Row],[backlog_dias]]&lt;0,"FUTURO",IF(tblOrdenes[[#This Row],[backlog_dias]]&gt;p_dias_backlog_max,"BACKLOG","MES CORRIENTE")))</f>
        <v/>
      </c>
      <c r="AA979" s="3">
        <f>IF(tblOrdenes[[#This Row],[backlog_dias]]="",FALSE,AND(tblOrdenes[[#This Row],[backlog_dias]]&gt;p_dias_backlog_min,tblOrdenes[[#This Row],[backlog_dias]]&lt;=p_dias_backlog_max))</f>
        <v/>
      </c>
      <c r="AB979" s="6" t="n"/>
      <c r="AC9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9" s="10">
        <f>IF(tblOrdenes[[#This Row],[orden]]="","",_xlfn.XLOOKUP(tblOrdenes[[#This Row],[id_operacion]],tblEjecucion[id_operacion],tblEjecucion[precio],0))</f>
        <v/>
      </c>
      <c r="AG979" s="10">
        <f>IF(tblOrdenes[[#This Row],[orden]]="","",MAX(0,_xlfn.XLOOKUP(tblOrdenes[[#This Row],[id_operacion]],tblEjecucion[id_operacion],tblEjecucion[costo_plan_total],0)-tblOrdenes[[#This Row],[costo_servicio]]))</f>
        <v/>
      </c>
      <c r="AH979" s="10">
        <f>IF(tblOrdenes[[#This Row],[orden]]="","",tblOrdenes[[#This Row],[costo_servicio]]+tblOrdenes[[#This Row],[costo_materiales]])</f>
        <v/>
      </c>
      <c r="AI979" s="6" t="n"/>
      <c r="AJ979" s="6" t="n"/>
      <c r="AK979" s="6" t="n"/>
      <c r="AL979" s="3">
        <f>IF(tblOrdenes[[#This Row],[link_checklist]]="","",HYPERLINK(p_ruta_base_checklists&amp;tblOrdenes[[#This Row],[link_checklist]],"abrir"))</f>
        <v/>
      </c>
      <c r="AM979" s="6" t="n"/>
      <c r="AN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Row],[tipo_ot]]="","",_xlfn.XLOOKUP(tblOrdenes[[#This Row],[tipo_ot]],tblTiposOT[codigo],tblTiposOT[clasificacion],"sin_clasificar"))</f>
        <v/>
      </c>
      <c r="T980" s="3">
        <f>IF(tblOrdenes[[#This Row],[centro_costo]]="","",_xlfn.XLOOKUP(tblOrdenes[[#This Row],[centro_costo]],tblCECO[codigo],tblCECO[linea],"(sin catálogo)"))</f>
        <v/>
      </c>
      <c r="U980" s="3">
        <f>IF(tblOrdenes[[#This Row],[centro_costo]]="","",_xlfn.XLOOKUP(tblOrdenes[[#This Row],[centro_costo]],tblCECO[codigo],tblCECO[area],"(sin catálogo)"))</f>
        <v/>
      </c>
      <c r="V980" s="3">
        <f>IF(tblOrdenes[[#This Row],[centro_costo]]="","",_xlfn.XLOOKUP(tblOrdenes[[#This Row],[centro_costo]],tblCECO[codigo],tblCECO[coordinador],"(sin catálogo)"))</f>
        <v/>
      </c>
      <c r="W980" s="3">
        <f>IF(tblOrdenes[[#This Row],[puesto_trabajo]]="","",_xlfn.XLOOKUP(tblOrdenes[[#This Row],[puesto_trabajo]],tblPuestos[codigo],tblPuestos[especialidad],"(sin catálogo)"))</f>
        <v/>
      </c>
      <c r="X980" s="3">
        <f>IF(tblOrdenes[[#This Row],[cod_actividad]]="","",_xlfn.XLOOKUP(tblOrdenes[[#This Row],[cod_actividad]],tblActividades[codigo],tblActividades[descripcion],"(sin catálogo)"))</f>
        <v/>
      </c>
      <c r="Y980" s="12">
        <f>IF(tblOrdenes[[#This Row],[fecha_inicio]]="","",TODAY()-tblOrdenes[[#This Row],[fecha_inicio]])</f>
        <v/>
      </c>
      <c r="Z980" s="3">
        <f>IF(tblOrdenes[[#This Row],[backlog_dias]]="","",IF(tblOrdenes[[#This Row],[backlog_dias]]&lt;0,"FUTURO",IF(tblOrdenes[[#This Row],[backlog_dias]]&gt;p_dias_backlog_max,"BACKLOG","MES CORRIENTE")))</f>
        <v/>
      </c>
      <c r="AA980" s="3">
        <f>IF(tblOrdenes[[#This Row],[backlog_dias]]="",FALSE,AND(tblOrdenes[[#This Row],[backlog_dias]]&gt;p_dias_backlog_min,tblOrdenes[[#This Row],[backlog_dias]]&lt;=p_dias_backlog_max))</f>
        <v/>
      </c>
      <c r="AB980" s="6" t="n"/>
      <c r="AC9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0" s="10">
        <f>IF(tblOrdenes[[#This Row],[orden]]="","",_xlfn.XLOOKUP(tblOrdenes[[#This Row],[id_operacion]],tblEjecucion[id_operacion],tblEjecucion[precio],0))</f>
        <v/>
      </c>
      <c r="AG980" s="10">
        <f>IF(tblOrdenes[[#This Row],[orden]]="","",MAX(0,_xlfn.XLOOKUP(tblOrdenes[[#This Row],[id_operacion]],tblEjecucion[id_operacion],tblEjecucion[costo_plan_total],0)-tblOrdenes[[#This Row],[costo_servicio]]))</f>
        <v/>
      </c>
      <c r="AH980" s="10">
        <f>IF(tblOrdenes[[#This Row],[orden]]="","",tblOrdenes[[#This Row],[costo_servicio]]+tblOrdenes[[#This Row],[costo_materiales]])</f>
        <v/>
      </c>
      <c r="AI980" s="6" t="n"/>
      <c r="AJ980" s="6" t="n"/>
      <c r="AK980" s="6" t="n"/>
      <c r="AL980" s="3">
        <f>IF(tblOrdenes[[#This Row],[link_checklist]]="","",HYPERLINK(p_ruta_base_checklists&amp;tblOrdenes[[#This Row],[link_checklist]],"abrir"))</f>
        <v/>
      </c>
      <c r="AM980" s="6" t="n"/>
      <c r="AN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Row],[tipo_ot]]="","",_xlfn.XLOOKUP(tblOrdenes[[#This Row],[tipo_ot]],tblTiposOT[codigo],tblTiposOT[clasificacion],"sin_clasificar"))</f>
        <v/>
      </c>
      <c r="T981" s="3">
        <f>IF(tblOrdenes[[#This Row],[centro_costo]]="","",_xlfn.XLOOKUP(tblOrdenes[[#This Row],[centro_costo]],tblCECO[codigo],tblCECO[linea],"(sin catálogo)"))</f>
        <v/>
      </c>
      <c r="U981" s="3">
        <f>IF(tblOrdenes[[#This Row],[centro_costo]]="","",_xlfn.XLOOKUP(tblOrdenes[[#This Row],[centro_costo]],tblCECO[codigo],tblCECO[area],"(sin catálogo)"))</f>
        <v/>
      </c>
      <c r="V981" s="3">
        <f>IF(tblOrdenes[[#This Row],[centro_costo]]="","",_xlfn.XLOOKUP(tblOrdenes[[#This Row],[centro_costo]],tblCECO[codigo],tblCECO[coordinador],"(sin catálogo)"))</f>
        <v/>
      </c>
      <c r="W981" s="3">
        <f>IF(tblOrdenes[[#This Row],[puesto_trabajo]]="","",_xlfn.XLOOKUP(tblOrdenes[[#This Row],[puesto_trabajo]],tblPuestos[codigo],tblPuestos[especialidad],"(sin catálogo)"))</f>
        <v/>
      </c>
      <c r="X981" s="3">
        <f>IF(tblOrdenes[[#This Row],[cod_actividad]]="","",_xlfn.XLOOKUP(tblOrdenes[[#This Row],[cod_actividad]],tblActividades[codigo],tblActividades[descripcion],"(sin catálogo)"))</f>
        <v/>
      </c>
      <c r="Y981" s="12">
        <f>IF(tblOrdenes[[#This Row],[fecha_inicio]]="","",TODAY()-tblOrdenes[[#This Row],[fecha_inicio]])</f>
        <v/>
      </c>
      <c r="Z981" s="3">
        <f>IF(tblOrdenes[[#This Row],[backlog_dias]]="","",IF(tblOrdenes[[#This Row],[backlog_dias]]&lt;0,"FUTURO",IF(tblOrdenes[[#This Row],[backlog_dias]]&gt;p_dias_backlog_max,"BACKLOG","MES CORRIENTE")))</f>
        <v/>
      </c>
      <c r="AA981" s="3">
        <f>IF(tblOrdenes[[#This Row],[backlog_dias]]="",FALSE,AND(tblOrdenes[[#This Row],[backlog_dias]]&gt;p_dias_backlog_min,tblOrdenes[[#This Row],[backlog_dias]]&lt;=p_dias_backlog_max))</f>
        <v/>
      </c>
      <c r="AB981" s="6" t="n"/>
      <c r="AC9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1" s="10">
        <f>IF(tblOrdenes[[#This Row],[orden]]="","",_xlfn.XLOOKUP(tblOrdenes[[#This Row],[id_operacion]],tblEjecucion[id_operacion],tblEjecucion[precio],0))</f>
        <v/>
      </c>
      <c r="AG981" s="10">
        <f>IF(tblOrdenes[[#This Row],[orden]]="","",MAX(0,_xlfn.XLOOKUP(tblOrdenes[[#This Row],[id_operacion]],tblEjecucion[id_operacion],tblEjecucion[costo_plan_total],0)-tblOrdenes[[#This Row],[costo_servicio]]))</f>
        <v/>
      </c>
      <c r="AH981" s="10">
        <f>IF(tblOrdenes[[#This Row],[orden]]="","",tblOrdenes[[#This Row],[costo_servicio]]+tblOrdenes[[#This Row],[costo_materiales]])</f>
        <v/>
      </c>
      <c r="AI981" s="6" t="n"/>
      <c r="AJ981" s="6" t="n"/>
      <c r="AK981" s="6" t="n"/>
      <c r="AL981" s="3">
        <f>IF(tblOrdenes[[#This Row],[link_checklist]]="","",HYPERLINK(p_ruta_base_checklists&amp;tblOrdenes[[#This Row],[link_checklist]],"abrir"))</f>
        <v/>
      </c>
      <c r="AM981" s="6" t="n"/>
      <c r="AN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Row],[tipo_ot]]="","",_xlfn.XLOOKUP(tblOrdenes[[#This Row],[tipo_ot]],tblTiposOT[codigo],tblTiposOT[clasificacion],"sin_clasificar"))</f>
        <v/>
      </c>
      <c r="T982" s="3">
        <f>IF(tblOrdenes[[#This Row],[centro_costo]]="","",_xlfn.XLOOKUP(tblOrdenes[[#This Row],[centro_costo]],tblCECO[codigo],tblCECO[linea],"(sin catálogo)"))</f>
        <v/>
      </c>
      <c r="U982" s="3">
        <f>IF(tblOrdenes[[#This Row],[centro_costo]]="","",_xlfn.XLOOKUP(tblOrdenes[[#This Row],[centro_costo]],tblCECO[codigo],tblCECO[area],"(sin catálogo)"))</f>
        <v/>
      </c>
      <c r="V982" s="3">
        <f>IF(tblOrdenes[[#This Row],[centro_costo]]="","",_xlfn.XLOOKUP(tblOrdenes[[#This Row],[centro_costo]],tblCECO[codigo],tblCECO[coordinador],"(sin catálogo)"))</f>
        <v/>
      </c>
      <c r="W982" s="3">
        <f>IF(tblOrdenes[[#This Row],[puesto_trabajo]]="","",_xlfn.XLOOKUP(tblOrdenes[[#This Row],[puesto_trabajo]],tblPuestos[codigo],tblPuestos[especialidad],"(sin catálogo)"))</f>
        <v/>
      </c>
      <c r="X982" s="3">
        <f>IF(tblOrdenes[[#This Row],[cod_actividad]]="","",_xlfn.XLOOKUP(tblOrdenes[[#This Row],[cod_actividad]],tblActividades[codigo],tblActividades[descripcion],"(sin catálogo)"))</f>
        <v/>
      </c>
      <c r="Y982" s="12">
        <f>IF(tblOrdenes[[#This Row],[fecha_inicio]]="","",TODAY()-tblOrdenes[[#This Row],[fecha_inicio]])</f>
        <v/>
      </c>
      <c r="Z982" s="3">
        <f>IF(tblOrdenes[[#This Row],[backlog_dias]]="","",IF(tblOrdenes[[#This Row],[backlog_dias]]&lt;0,"FUTURO",IF(tblOrdenes[[#This Row],[backlog_dias]]&gt;p_dias_backlog_max,"BACKLOG","MES CORRIENTE")))</f>
        <v/>
      </c>
      <c r="AA982" s="3">
        <f>IF(tblOrdenes[[#This Row],[backlog_dias]]="",FALSE,AND(tblOrdenes[[#This Row],[backlog_dias]]&gt;p_dias_backlog_min,tblOrdenes[[#This Row],[backlog_dias]]&lt;=p_dias_backlog_max))</f>
        <v/>
      </c>
      <c r="AB982" s="6" t="n"/>
      <c r="AC9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2" s="10">
        <f>IF(tblOrdenes[[#This Row],[orden]]="","",_xlfn.XLOOKUP(tblOrdenes[[#This Row],[id_operacion]],tblEjecucion[id_operacion],tblEjecucion[precio],0))</f>
        <v/>
      </c>
      <c r="AG982" s="10">
        <f>IF(tblOrdenes[[#This Row],[orden]]="","",MAX(0,_xlfn.XLOOKUP(tblOrdenes[[#This Row],[id_operacion]],tblEjecucion[id_operacion],tblEjecucion[costo_plan_total],0)-tblOrdenes[[#This Row],[costo_servicio]]))</f>
        <v/>
      </c>
      <c r="AH982" s="10">
        <f>IF(tblOrdenes[[#This Row],[orden]]="","",tblOrdenes[[#This Row],[costo_servicio]]+tblOrdenes[[#This Row],[costo_materiales]])</f>
        <v/>
      </c>
      <c r="AI982" s="6" t="n"/>
      <c r="AJ982" s="6" t="n"/>
      <c r="AK982" s="6" t="n"/>
      <c r="AL982" s="3">
        <f>IF(tblOrdenes[[#This Row],[link_checklist]]="","",HYPERLINK(p_ruta_base_checklists&amp;tblOrdenes[[#This Row],[link_checklist]],"abrir"))</f>
        <v/>
      </c>
      <c r="AM982" s="6" t="n"/>
      <c r="AN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Row],[tipo_ot]]="","",_xlfn.XLOOKUP(tblOrdenes[[#This Row],[tipo_ot]],tblTiposOT[codigo],tblTiposOT[clasificacion],"sin_clasificar"))</f>
        <v/>
      </c>
      <c r="T983" s="3">
        <f>IF(tblOrdenes[[#This Row],[centro_costo]]="","",_xlfn.XLOOKUP(tblOrdenes[[#This Row],[centro_costo]],tblCECO[codigo],tblCECO[linea],"(sin catálogo)"))</f>
        <v/>
      </c>
      <c r="U983" s="3">
        <f>IF(tblOrdenes[[#This Row],[centro_costo]]="","",_xlfn.XLOOKUP(tblOrdenes[[#This Row],[centro_costo]],tblCECO[codigo],tblCECO[area],"(sin catálogo)"))</f>
        <v/>
      </c>
      <c r="V983" s="3">
        <f>IF(tblOrdenes[[#This Row],[centro_costo]]="","",_xlfn.XLOOKUP(tblOrdenes[[#This Row],[centro_costo]],tblCECO[codigo],tblCECO[coordinador],"(sin catálogo)"))</f>
        <v/>
      </c>
      <c r="W983" s="3">
        <f>IF(tblOrdenes[[#This Row],[puesto_trabajo]]="","",_xlfn.XLOOKUP(tblOrdenes[[#This Row],[puesto_trabajo]],tblPuestos[codigo],tblPuestos[especialidad],"(sin catálogo)"))</f>
        <v/>
      </c>
      <c r="X983" s="3">
        <f>IF(tblOrdenes[[#This Row],[cod_actividad]]="","",_xlfn.XLOOKUP(tblOrdenes[[#This Row],[cod_actividad]],tblActividades[codigo],tblActividades[descripcion],"(sin catálogo)"))</f>
        <v/>
      </c>
      <c r="Y983" s="12">
        <f>IF(tblOrdenes[[#This Row],[fecha_inicio]]="","",TODAY()-tblOrdenes[[#This Row],[fecha_inicio]])</f>
        <v/>
      </c>
      <c r="Z983" s="3">
        <f>IF(tblOrdenes[[#This Row],[backlog_dias]]="","",IF(tblOrdenes[[#This Row],[backlog_dias]]&lt;0,"FUTURO",IF(tblOrdenes[[#This Row],[backlog_dias]]&gt;p_dias_backlog_max,"BACKLOG","MES CORRIENTE")))</f>
        <v/>
      </c>
      <c r="AA983" s="3">
        <f>IF(tblOrdenes[[#This Row],[backlog_dias]]="",FALSE,AND(tblOrdenes[[#This Row],[backlog_dias]]&gt;p_dias_backlog_min,tblOrdenes[[#This Row],[backlog_dias]]&lt;=p_dias_backlog_max))</f>
        <v/>
      </c>
      <c r="AB983" s="6" t="n"/>
      <c r="AC9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3" s="10">
        <f>IF(tblOrdenes[[#This Row],[orden]]="","",_xlfn.XLOOKUP(tblOrdenes[[#This Row],[id_operacion]],tblEjecucion[id_operacion],tblEjecucion[precio],0))</f>
        <v/>
      </c>
      <c r="AG983" s="10">
        <f>IF(tblOrdenes[[#This Row],[orden]]="","",MAX(0,_xlfn.XLOOKUP(tblOrdenes[[#This Row],[id_operacion]],tblEjecucion[id_operacion],tblEjecucion[costo_plan_total],0)-tblOrdenes[[#This Row],[costo_servicio]]))</f>
        <v/>
      </c>
      <c r="AH983" s="10">
        <f>IF(tblOrdenes[[#This Row],[orden]]="","",tblOrdenes[[#This Row],[costo_servicio]]+tblOrdenes[[#This Row],[costo_materiales]])</f>
        <v/>
      </c>
      <c r="AI983" s="6" t="n"/>
      <c r="AJ983" s="6" t="n"/>
      <c r="AK983" s="6" t="n"/>
      <c r="AL983" s="3">
        <f>IF(tblOrdenes[[#This Row],[link_checklist]]="","",HYPERLINK(p_ruta_base_checklists&amp;tblOrdenes[[#This Row],[link_checklist]],"abrir"))</f>
        <v/>
      </c>
      <c r="AM983" s="6" t="n"/>
      <c r="AN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Row],[tipo_ot]]="","",_xlfn.XLOOKUP(tblOrdenes[[#This Row],[tipo_ot]],tblTiposOT[codigo],tblTiposOT[clasificacion],"sin_clasificar"))</f>
        <v/>
      </c>
      <c r="T984" s="3">
        <f>IF(tblOrdenes[[#This Row],[centro_costo]]="","",_xlfn.XLOOKUP(tblOrdenes[[#This Row],[centro_costo]],tblCECO[codigo],tblCECO[linea],"(sin catálogo)"))</f>
        <v/>
      </c>
      <c r="U984" s="3">
        <f>IF(tblOrdenes[[#This Row],[centro_costo]]="","",_xlfn.XLOOKUP(tblOrdenes[[#This Row],[centro_costo]],tblCECO[codigo],tblCECO[area],"(sin catálogo)"))</f>
        <v/>
      </c>
      <c r="V984" s="3">
        <f>IF(tblOrdenes[[#This Row],[centro_costo]]="","",_xlfn.XLOOKUP(tblOrdenes[[#This Row],[centro_costo]],tblCECO[codigo],tblCECO[coordinador],"(sin catálogo)"))</f>
        <v/>
      </c>
      <c r="W984" s="3">
        <f>IF(tblOrdenes[[#This Row],[puesto_trabajo]]="","",_xlfn.XLOOKUP(tblOrdenes[[#This Row],[puesto_trabajo]],tblPuestos[codigo],tblPuestos[especialidad],"(sin catálogo)"))</f>
        <v/>
      </c>
      <c r="X984" s="3">
        <f>IF(tblOrdenes[[#This Row],[cod_actividad]]="","",_xlfn.XLOOKUP(tblOrdenes[[#This Row],[cod_actividad]],tblActividades[codigo],tblActividades[descripcion],"(sin catálogo)"))</f>
        <v/>
      </c>
      <c r="Y984" s="12">
        <f>IF(tblOrdenes[[#This Row],[fecha_inicio]]="","",TODAY()-tblOrdenes[[#This Row],[fecha_inicio]])</f>
        <v/>
      </c>
      <c r="Z984" s="3">
        <f>IF(tblOrdenes[[#This Row],[backlog_dias]]="","",IF(tblOrdenes[[#This Row],[backlog_dias]]&lt;0,"FUTURO",IF(tblOrdenes[[#This Row],[backlog_dias]]&gt;p_dias_backlog_max,"BACKLOG","MES CORRIENTE")))</f>
        <v/>
      </c>
      <c r="AA984" s="3">
        <f>IF(tblOrdenes[[#This Row],[backlog_dias]]="",FALSE,AND(tblOrdenes[[#This Row],[backlog_dias]]&gt;p_dias_backlog_min,tblOrdenes[[#This Row],[backlog_dias]]&lt;=p_dias_backlog_max))</f>
        <v/>
      </c>
      <c r="AB984" s="6" t="n"/>
      <c r="AC9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4" s="10">
        <f>IF(tblOrdenes[[#This Row],[orden]]="","",_xlfn.XLOOKUP(tblOrdenes[[#This Row],[id_operacion]],tblEjecucion[id_operacion],tblEjecucion[precio],0))</f>
        <v/>
      </c>
      <c r="AG984" s="10">
        <f>IF(tblOrdenes[[#This Row],[orden]]="","",MAX(0,_xlfn.XLOOKUP(tblOrdenes[[#This Row],[id_operacion]],tblEjecucion[id_operacion],tblEjecucion[costo_plan_total],0)-tblOrdenes[[#This Row],[costo_servicio]]))</f>
        <v/>
      </c>
      <c r="AH984" s="10">
        <f>IF(tblOrdenes[[#This Row],[orden]]="","",tblOrdenes[[#This Row],[costo_servicio]]+tblOrdenes[[#This Row],[costo_materiales]])</f>
        <v/>
      </c>
      <c r="AI984" s="6" t="n"/>
      <c r="AJ984" s="6" t="n"/>
      <c r="AK984" s="6" t="n"/>
      <c r="AL984" s="3">
        <f>IF(tblOrdenes[[#This Row],[link_checklist]]="","",HYPERLINK(p_ruta_base_checklists&amp;tblOrdenes[[#This Row],[link_checklist]],"abrir"))</f>
        <v/>
      </c>
      <c r="AM984" s="6" t="n"/>
      <c r="AN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Row],[tipo_ot]]="","",_xlfn.XLOOKUP(tblOrdenes[[#This Row],[tipo_ot]],tblTiposOT[codigo],tblTiposOT[clasificacion],"sin_clasificar"))</f>
        <v/>
      </c>
      <c r="T985" s="3">
        <f>IF(tblOrdenes[[#This Row],[centro_costo]]="","",_xlfn.XLOOKUP(tblOrdenes[[#This Row],[centro_costo]],tblCECO[codigo],tblCECO[linea],"(sin catálogo)"))</f>
        <v/>
      </c>
      <c r="U985" s="3">
        <f>IF(tblOrdenes[[#This Row],[centro_costo]]="","",_xlfn.XLOOKUP(tblOrdenes[[#This Row],[centro_costo]],tblCECO[codigo],tblCECO[area],"(sin catálogo)"))</f>
        <v/>
      </c>
      <c r="V985" s="3">
        <f>IF(tblOrdenes[[#This Row],[centro_costo]]="","",_xlfn.XLOOKUP(tblOrdenes[[#This Row],[centro_costo]],tblCECO[codigo],tblCECO[coordinador],"(sin catálogo)"))</f>
        <v/>
      </c>
      <c r="W985" s="3">
        <f>IF(tblOrdenes[[#This Row],[puesto_trabajo]]="","",_xlfn.XLOOKUP(tblOrdenes[[#This Row],[puesto_trabajo]],tblPuestos[codigo],tblPuestos[especialidad],"(sin catálogo)"))</f>
        <v/>
      </c>
      <c r="X985" s="3">
        <f>IF(tblOrdenes[[#This Row],[cod_actividad]]="","",_xlfn.XLOOKUP(tblOrdenes[[#This Row],[cod_actividad]],tblActividades[codigo],tblActividades[descripcion],"(sin catálogo)"))</f>
        <v/>
      </c>
      <c r="Y985" s="12">
        <f>IF(tblOrdenes[[#This Row],[fecha_inicio]]="","",TODAY()-tblOrdenes[[#This Row],[fecha_inicio]])</f>
        <v/>
      </c>
      <c r="Z985" s="3">
        <f>IF(tblOrdenes[[#This Row],[backlog_dias]]="","",IF(tblOrdenes[[#This Row],[backlog_dias]]&lt;0,"FUTURO",IF(tblOrdenes[[#This Row],[backlog_dias]]&gt;p_dias_backlog_max,"BACKLOG","MES CORRIENTE")))</f>
        <v/>
      </c>
      <c r="AA985" s="3">
        <f>IF(tblOrdenes[[#This Row],[backlog_dias]]="",FALSE,AND(tblOrdenes[[#This Row],[backlog_dias]]&gt;p_dias_backlog_min,tblOrdenes[[#This Row],[backlog_dias]]&lt;=p_dias_backlog_max))</f>
        <v/>
      </c>
      <c r="AB985" s="6" t="n"/>
      <c r="AC9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5" s="10">
        <f>IF(tblOrdenes[[#This Row],[orden]]="","",_xlfn.XLOOKUP(tblOrdenes[[#This Row],[id_operacion]],tblEjecucion[id_operacion],tblEjecucion[precio],0))</f>
        <v/>
      </c>
      <c r="AG985" s="10">
        <f>IF(tblOrdenes[[#This Row],[orden]]="","",MAX(0,_xlfn.XLOOKUP(tblOrdenes[[#This Row],[id_operacion]],tblEjecucion[id_operacion],tblEjecucion[costo_plan_total],0)-tblOrdenes[[#This Row],[costo_servicio]]))</f>
        <v/>
      </c>
      <c r="AH985" s="10">
        <f>IF(tblOrdenes[[#This Row],[orden]]="","",tblOrdenes[[#This Row],[costo_servicio]]+tblOrdenes[[#This Row],[costo_materiales]])</f>
        <v/>
      </c>
      <c r="AI985" s="6" t="n"/>
      <c r="AJ985" s="6" t="n"/>
      <c r="AK985" s="6" t="n"/>
      <c r="AL985" s="3">
        <f>IF(tblOrdenes[[#This Row],[link_checklist]]="","",HYPERLINK(p_ruta_base_checklists&amp;tblOrdenes[[#This Row],[link_checklist]],"abrir"))</f>
        <v/>
      </c>
      <c r="AM985" s="6" t="n"/>
      <c r="AN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Row],[tipo_ot]]="","",_xlfn.XLOOKUP(tblOrdenes[[#This Row],[tipo_ot]],tblTiposOT[codigo],tblTiposOT[clasificacion],"sin_clasificar"))</f>
        <v/>
      </c>
      <c r="T986" s="3">
        <f>IF(tblOrdenes[[#This Row],[centro_costo]]="","",_xlfn.XLOOKUP(tblOrdenes[[#This Row],[centro_costo]],tblCECO[codigo],tblCECO[linea],"(sin catálogo)"))</f>
        <v/>
      </c>
      <c r="U986" s="3">
        <f>IF(tblOrdenes[[#This Row],[centro_costo]]="","",_xlfn.XLOOKUP(tblOrdenes[[#This Row],[centro_costo]],tblCECO[codigo],tblCECO[area],"(sin catálogo)"))</f>
        <v/>
      </c>
      <c r="V986" s="3">
        <f>IF(tblOrdenes[[#This Row],[centro_costo]]="","",_xlfn.XLOOKUP(tblOrdenes[[#This Row],[centro_costo]],tblCECO[codigo],tblCECO[coordinador],"(sin catálogo)"))</f>
        <v/>
      </c>
      <c r="W986" s="3">
        <f>IF(tblOrdenes[[#This Row],[puesto_trabajo]]="","",_xlfn.XLOOKUP(tblOrdenes[[#This Row],[puesto_trabajo]],tblPuestos[codigo],tblPuestos[especialidad],"(sin catálogo)"))</f>
        <v/>
      </c>
      <c r="X986" s="3">
        <f>IF(tblOrdenes[[#This Row],[cod_actividad]]="","",_xlfn.XLOOKUP(tblOrdenes[[#This Row],[cod_actividad]],tblActividades[codigo],tblActividades[descripcion],"(sin catálogo)"))</f>
        <v/>
      </c>
      <c r="Y986" s="12">
        <f>IF(tblOrdenes[[#This Row],[fecha_inicio]]="","",TODAY()-tblOrdenes[[#This Row],[fecha_inicio]])</f>
        <v/>
      </c>
      <c r="Z986" s="3">
        <f>IF(tblOrdenes[[#This Row],[backlog_dias]]="","",IF(tblOrdenes[[#This Row],[backlog_dias]]&lt;0,"FUTURO",IF(tblOrdenes[[#This Row],[backlog_dias]]&gt;p_dias_backlog_max,"BACKLOG","MES CORRIENTE")))</f>
        <v/>
      </c>
      <c r="AA986" s="3">
        <f>IF(tblOrdenes[[#This Row],[backlog_dias]]="",FALSE,AND(tblOrdenes[[#This Row],[backlog_dias]]&gt;p_dias_backlog_min,tblOrdenes[[#This Row],[backlog_dias]]&lt;=p_dias_backlog_max))</f>
        <v/>
      </c>
      <c r="AB986" s="6" t="n"/>
      <c r="AC9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6" s="10">
        <f>IF(tblOrdenes[[#This Row],[orden]]="","",_xlfn.XLOOKUP(tblOrdenes[[#This Row],[id_operacion]],tblEjecucion[id_operacion],tblEjecucion[precio],0))</f>
        <v/>
      </c>
      <c r="AG986" s="10">
        <f>IF(tblOrdenes[[#This Row],[orden]]="","",MAX(0,_xlfn.XLOOKUP(tblOrdenes[[#This Row],[id_operacion]],tblEjecucion[id_operacion],tblEjecucion[costo_plan_total],0)-tblOrdenes[[#This Row],[costo_servicio]]))</f>
        <v/>
      </c>
      <c r="AH986" s="10">
        <f>IF(tblOrdenes[[#This Row],[orden]]="","",tblOrdenes[[#This Row],[costo_servicio]]+tblOrdenes[[#This Row],[costo_materiales]])</f>
        <v/>
      </c>
      <c r="AI986" s="6" t="n"/>
      <c r="AJ986" s="6" t="n"/>
      <c r="AK986" s="6" t="n"/>
      <c r="AL986" s="3">
        <f>IF(tblOrdenes[[#This Row],[link_checklist]]="","",HYPERLINK(p_ruta_base_checklists&amp;tblOrdenes[[#This Row],[link_checklist]],"abrir"))</f>
        <v/>
      </c>
      <c r="AM986" s="6" t="n"/>
      <c r="AN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Row],[tipo_ot]]="","",_xlfn.XLOOKUP(tblOrdenes[[#This Row],[tipo_ot]],tblTiposOT[codigo],tblTiposOT[clasificacion],"sin_clasificar"))</f>
        <v/>
      </c>
      <c r="T987" s="3">
        <f>IF(tblOrdenes[[#This Row],[centro_costo]]="","",_xlfn.XLOOKUP(tblOrdenes[[#This Row],[centro_costo]],tblCECO[codigo],tblCECO[linea],"(sin catálogo)"))</f>
        <v/>
      </c>
      <c r="U987" s="3">
        <f>IF(tblOrdenes[[#This Row],[centro_costo]]="","",_xlfn.XLOOKUP(tblOrdenes[[#This Row],[centro_costo]],tblCECO[codigo],tblCECO[area],"(sin catálogo)"))</f>
        <v/>
      </c>
      <c r="V987" s="3">
        <f>IF(tblOrdenes[[#This Row],[centro_costo]]="","",_xlfn.XLOOKUP(tblOrdenes[[#This Row],[centro_costo]],tblCECO[codigo],tblCECO[coordinador],"(sin catálogo)"))</f>
        <v/>
      </c>
      <c r="W987" s="3">
        <f>IF(tblOrdenes[[#This Row],[puesto_trabajo]]="","",_xlfn.XLOOKUP(tblOrdenes[[#This Row],[puesto_trabajo]],tblPuestos[codigo],tblPuestos[especialidad],"(sin catálogo)"))</f>
        <v/>
      </c>
      <c r="X987" s="3">
        <f>IF(tblOrdenes[[#This Row],[cod_actividad]]="","",_xlfn.XLOOKUP(tblOrdenes[[#This Row],[cod_actividad]],tblActividades[codigo],tblActividades[descripcion],"(sin catálogo)"))</f>
        <v/>
      </c>
      <c r="Y987" s="12">
        <f>IF(tblOrdenes[[#This Row],[fecha_inicio]]="","",TODAY()-tblOrdenes[[#This Row],[fecha_inicio]])</f>
        <v/>
      </c>
      <c r="Z987" s="3">
        <f>IF(tblOrdenes[[#This Row],[backlog_dias]]="","",IF(tblOrdenes[[#This Row],[backlog_dias]]&lt;0,"FUTURO",IF(tblOrdenes[[#This Row],[backlog_dias]]&gt;p_dias_backlog_max,"BACKLOG","MES CORRIENTE")))</f>
        <v/>
      </c>
      <c r="AA987" s="3">
        <f>IF(tblOrdenes[[#This Row],[backlog_dias]]="",FALSE,AND(tblOrdenes[[#This Row],[backlog_dias]]&gt;p_dias_backlog_min,tblOrdenes[[#This Row],[backlog_dias]]&lt;=p_dias_backlog_max))</f>
        <v/>
      </c>
      <c r="AB987" s="6" t="n"/>
      <c r="AC9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7" s="10">
        <f>IF(tblOrdenes[[#This Row],[orden]]="","",_xlfn.XLOOKUP(tblOrdenes[[#This Row],[id_operacion]],tblEjecucion[id_operacion],tblEjecucion[precio],0))</f>
        <v/>
      </c>
      <c r="AG987" s="10">
        <f>IF(tblOrdenes[[#This Row],[orden]]="","",MAX(0,_xlfn.XLOOKUP(tblOrdenes[[#This Row],[id_operacion]],tblEjecucion[id_operacion],tblEjecucion[costo_plan_total],0)-tblOrdenes[[#This Row],[costo_servicio]]))</f>
        <v/>
      </c>
      <c r="AH987" s="10">
        <f>IF(tblOrdenes[[#This Row],[orden]]="","",tblOrdenes[[#This Row],[costo_servicio]]+tblOrdenes[[#This Row],[costo_materiales]])</f>
        <v/>
      </c>
      <c r="AI987" s="6" t="n"/>
      <c r="AJ987" s="6" t="n"/>
      <c r="AK987" s="6" t="n"/>
      <c r="AL987" s="3">
        <f>IF(tblOrdenes[[#This Row],[link_checklist]]="","",HYPERLINK(p_ruta_base_checklists&amp;tblOrdenes[[#This Row],[link_checklist]],"abrir"))</f>
        <v/>
      </c>
      <c r="AM987" s="6" t="n"/>
      <c r="AN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Row],[tipo_ot]]="","",_xlfn.XLOOKUP(tblOrdenes[[#This Row],[tipo_ot]],tblTiposOT[codigo],tblTiposOT[clasificacion],"sin_clasificar"))</f>
        <v/>
      </c>
      <c r="T988" s="3">
        <f>IF(tblOrdenes[[#This Row],[centro_costo]]="","",_xlfn.XLOOKUP(tblOrdenes[[#This Row],[centro_costo]],tblCECO[codigo],tblCECO[linea],"(sin catálogo)"))</f>
        <v/>
      </c>
      <c r="U988" s="3">
        <f>IF(tblOrdenes[[#This Row],[centro_costo]]="","",_xlfn.XLOOKUP(tblOrdenes[[#This Row],[centro_costo]],tblCECO[codigo],tblCECO[area],"(sin catálogo)"))</f>
        <v/>
      </c>
      <c r="V988" s="3">
        <f>IF(tblOrdenes[[#This Row],[centro_costo]]="","",_xlfn.XLOOKUP(tblOrdenes[[#This Row],[centro_costo]],tblCECO[codigo],tblCECO[coordinador],"(sin catálogo)"))</f>
        <v/>
      </c>
      <c r="W988" s="3">
        <f>IF(tblOrdenes[[#This Row],[puesto_trabajo]]="","",_xlfn.XLOOKUP(tblOrdenes[[#This Row],[puesto_trabajo]],tblPuestos[codigo],tblPuestos[especialidad],"(sin catálogo)"))</f>
        <v/>
      </c>
      <c r="X988" s="3">
        <f>IF(tblOrdenes[[#This Row],[cod_actividad]]="","",_xlfn.XLOOKUP(tblOrdenes[[#This Row],[cod_actividad]],tblActividades[codigo],tblActividades[descripcion],"(sin catálogo)"))</f>
        <v/>
      </c>
      <c r="Y988" s="12">
        <f>IF(tblOrdenes[[#This Row],[fecha_inicio]]="","",TODAY()-tblOrdenes[[#This Row],[fecha_inicio]])</f>
        <v/>
      </c>
      <c r="Z988" s="3">
        <f>IF(tblOrdenes[[#This Row],[backlog_dias]]="","",IF(tblOrdenes[[#This Row],[backlog_dias]]&lt;0,"FUTURO",IF(tblOrdenes[[#This Row],[backlog_dias]]&gt;p_dias_backlog_max,"BACKLOG","MES CORRIENTE")))</f>
        <v/>
      </c>
      <c r="AA988" s="3">
        <f>IF(tblOrdenes[[#This Row],[backlog_dias]]="",FALSE,AND(tblOrdenes[[#This Row],[backlog_dias]]&gt;p_dias_backlog_min,tblOrdenes[[#This Row],[backlog_dias]]&lt;=p_dias_backlog_max))</f>
        <v/>
      </c>
      <c r="AB988" s="6" t="n"/>
      <c r="AC9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8" s="10">
        <f>IF(tblOrdenes[[#This Row],[orden]]="","",_xlfn.XLOOKUP(tblOrdenes[[#This Row],[id_operacion]],tblEjecucion[id_operacion],tblEjecucion[precio],0))</f>
        <v/>
      </c>
      <c r="AG988" s="10">
        <f>IF(tblOrdenes[[#This Row],[orden]]="","",MAX(0,_xlfn.XLOOKUP(tblOrdenes[[#This Row],[id_operacion]],tblEjecucion[id_operacion],tblEjecucion[costo_plan_total],0)-tblOrdenes[[#This Row],[costo_servicio]]))</f>
        <v/>
      </c>
      <c r="AH988" s="10">
        <f>IF(tblOrdenes[[#This Row],[orden]]="","",tblOrdenes[[#This Row],[costo_servicio]]+tblOrdenes[[#This Row],[costo_materiales]])</f>
        <v/>
      </c>
      <c r="AI988" s="6" t="n"/>
      <c r="AJ988" s="6" t="n"/>
      <c r="AK988" s="6" t="n"/>
      <c r="AL988" s="3">
        <f>IF(tblOrdenes[[#This Row],[link_checklist]]="","",HYPERLINK(p_ruta_base_checklists&amp;tblOrdenes[[#This Row],[link_checklist]],"abrir"))</f>
        <v/>
      </c>
      <c r="AM988" s="6" t="n"/>
      <c r="AN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Row],[tipo_ot]]="","",_xlfn.XLOOKUP(tblOrdenes[[#This Row],[tipo_ot]],tblTiposOT[codigo],tblTiposOT[clasificacion],"sin_clasificar"))</f>
        <v/>
      </c>
      <c r="T989" s="3">
        <f>IF(tblOrdenes[[#This Row],[centro_costo]]="","",_xlfn.XLOOKUP(tblOrdenes[[#This Row],[centro_costo]],tblCECO[codigo],tblCECO[linea],"(sin catálogo)"))</f>
        <v/>
      </c>
      <c r="U989" s="3">
        <f>IF(tblOrdenes[[#This Row],[centro_costo]]="","",_xlfn.XLOOKUP(tblOrdenes[[#This Row],[centro_costo]],tblCECO[codigo],tblCECO[area],"(sin catálogo)"))</f>
        <v/>
      </c>
      <c r="V989" s="3">
        <f>IF(tblOrdenes[[#This Row],[centro_costo]]="","",_xlfn.XLOOKUP(tblOrdenes[[#This Row],[centro_costo]],tblCECO[codigo],tblCECO[coordinador],"(sin catálogo)"))</f>
        <v/>
      </c>
      <c r="W989" s="3">
        <f>IF(tblOrdenes[[#This Row],[puesto_trabajo]]="","",_xlfn.XLOOKUP(tblOrdenes[[#This Row],[puesto_trabajo]],tblPuestos[codigo],tblPuestos[especialidad],"(sin catálogo)"))</f>
        <v/>
      </c>
      <c r="X989" s="3">
        <f>IF(tblOrdenes[[#This Row],[cod_actividad]]="","",_xlfn.XLOOKUP(tblOrdenes[[#This Row],[cod_actividad]],tblActividades[codigo],tblActividades[descripcion],"(sin catálogo)"))</f>
        <v/>
      </c>
      <c r="Y989" s="12">
        <f>IF(tblOrdenes[[#This Row],[fecha_inicio]]="","",TODAY()-tblOrdenes[[#This Row],[fecha_inicio]])</f>
        <v/>
      </c>
      <c r="Z989" s="3">
        <f>IF(tblOrdenes[[#This Row],[backlog_dias]]="","",IF(tblOrdenes[[#This Row],[backlog_dias]]&lt;0,"FUTURO",IF(tblOrdenes[[#This Row],[backlog_dias]]&gt;p_dias_backlog_max,"BACKLOG","MES CORRIENTE")))</f>
        <v/>
      </c>
      <c r="AA989" s="3">
        <f>IF(tblOrdenes[[#This Row],[backlog_dias]]="",FALSE,AND(tblOrdenes[[#This Row],[backlog_dias]]&gt;p_dias_backlog_min,tblOrdenes[[#This Row],[backlog_dias]]&lt;=p_dias_backlog_max))</f>
        <v/>
      </c>
      <c r="AB989" s="6" t="n"/>
      <c r="AC9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9" s="10">
        <f>IF(tblOrdenes[[#This Row],[orden]]="","",_xlfn.XLOOKUP(tblOrdenes[[#This Row],[id_operacion]],tblEjecucion[id_operacion],tblEjecucion[precio],0))</f>
        <v/>
      </c>
      <c r="AG989" s="10">
        <f>IF(tblOrdenes[[#This Row],[orden]]="","",MAX(0,_xlfn.XLOOKUP(tblOrdenes[[#This Row],[id_operacion]],tblEjecucion[id_operacion],tblEjecucion[costo_plan_total],0)-tblOrdenes[[#This Row],[costo_servicio]]))</f>
        <v/>
      </c>
      <c r="AH989" s="10">
        <f>IF(tblOrdenes[[#This Row],[orden]]="","",tblOrdenes[[#This Row],[costo_servicio]]+tblOrdenes[[#This Row],[costo_materiales]])</f>
        <v/>
      </c>
      <c r="AI989" s="6" t="n"/>
      <c r="AJ989" s="6" t="n"/>
      <c r="AK989" s="6" t="n"/>
      <c r="AL989" s="3">
        <f>IF(tblOrdenes[[#This Row],[link_checklist]]="","",HYPERLINK(p_ruta_base_checklists&amp;tblOrdenes[[#This Row],[link_checklist]],"abrir"))</f>
        <v/>
      </c>
      <c r="AM989" s="6" t="n"/>
      <c r="AN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Row],[tipo_ot]]="","",_xlfn.XLOOKUP(tblOrdenes[[#This Row],[tipo_ot]],tblTiposOT[codigo],tblTiposOT[clasificacion],"sin_clasificar"))</f>
        <v/>
      </c>
      <c r="T990" s="3">
        <f>IF(tblOrdenes[[#This Row],[centro_costo]]="","",_xlfn.XLOOKUP(tblOrdenes[[#This Row],[centro_costo]],tblCECO[codigo],tblCECO[linea],"(sin catálogo)"))</f>
        <v/>
      </c>
      <c r="U990" s="3">
        <f>IF(tblOrdenes[[#This Row],[centro_costo]]="","",_xlfn.XLOOKUP(tblOrdenes[[#This Row],[centro_costo]],tblCECO[codigo],tblCECO[area],"(sin catálogo)"))</f>
        <v/>
      </c>
      <c r="V990" s="3">
        <f>IF(tblOrdenes[[#This Row],[centro_costo]]="","",_xlfn.XLOOKUP(tblOrdenes[[#This Row],[centro_costo]],tblCECO[codigo],tblCECO[coordinador],"(sin catálogo)"))</f>
        <v/>
      </c>
      <c r="W990" s="3">
        <f>IF(tblOrdenes[[#This Row],[puesto_trabajo]]="","",_xlfn.XLOOKUP(tblOrdenes[[#This Row],[puesto_trabajo]],tblPuestos[codigo],tblPuestos[especialidad],"(sin catálogo)"))</f>
        <v/>
      </c>
      <c r="X990" s="3">
        <f>IF(tblOrdenes[[#This Row],[cod_actividad]]="","",_xlfn.XLOOKUP(tblOrdenes[[#This Row],[cod_actividad]],tblActividades[codigo],tblActividades[descripcion],"(sin catálogo)"))</f>
        <v/>
      </c>
      <c r="Y990" s="12">
        <f>IF(tblOrdenes[[#This Row],[fecha_inicio]]="","",TODAY()-tblOrdenes[[#This Row],[fecha_inicio]])</f>
        <v/>
      </c>
      <c r="Z990" s="3">
        <f>IF(tblOrdenes[[#This Row],[backlog_dias]]="","",IF(tblOrdenes[[#This Row],[backlog_dias]]&lt;0,"FUTURO",IF(tblOrdenes[[#This Row],[backlog_dias]]&gt;p_dias_backlog_max,"BACKLOG","MES CORRIENTE")))</f>
        <v/>
      </c>
      <c r="AA990" s="3">
        <f>IF(tblOrdenes[[#This Row],[backlog_dias]]="",FALSE,AND(tblOrdenes[[#This Row],[backlog_dias]]&gt;p_dias_backlog_min,tblOrdenes[[#This Row],[backlog_dias]]&lt;=p_dias_backlog_max))</f>
        <v/>
      </c>
      <c r="AB990" s="6" t="n"/>
      <c r="AC9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0" s="10">
        <f>IF(tblOrdenes[[#This Row],[orden]]="","",_xlfn.XLOOKUP(tblOrdenes[[#This Row],[id_operacion]],tblEjecucion[id_operacion],tblEjecucion[precio],0))</f>
        <v/>
      </c>
      <c r="AG990" s="10">
        <f>IF(tblOrdenes[[#This Row],[orden]]="","",MAX(0,_xlfn.XLOOKUP(tblOrdenes[[#This Row],[id_operacion]],tblEjecucion[id_operacion],tblEjecucion[costo_plan_total],0)-tblOrdenes[[#This Row],[costo_servicio]]))</f>
        <v/>
      </c>
      <c r="AH990" s="10">
        <f>IF(tblOrdenes[[#This Row],[orden]]="","",tblOrdenes[[#This Row],[costo_servicio]]+tblOrdenes[[#This Row],[costo_materiales]])</f>
        <v/>
      </c>
      <c r="AI990" s="6" t="n"/>
      <c r="AJ990" s="6" t="n"/>
      <c r="AK990" s="6" t="n"/>
      <c r="AL990" s="3">
        <f>IF(tblOrdenes[[#This Row],[link_checklist]]="","",HYPERLINK(p_ruta_base_checklists&amp;tblOrdenes[[#This Row],[link_checklist]],"abrir"))</f>
        <v/>
      </c>
      <c r="AM990" s="6" t="n"/>
      <c r="AN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Row],[tipo_ot]]="","",_xlfn.XLOOKUP(tblOrdenes[[#This Row],[tipo_ot]],tblTiposOT[codigo],tblTiposOT[clasificacion],"sin_clasificar"))</f>
        <v/>
      </c>
      <c r="T991" s="3">
        <f>IF(tblOrdenes[[#This Row],[centro_costo]]="","",_xlfn.XLOOKUP(tblOrdenes[[#This Row],[centro_costo]],tblCECO[codigo],tblCECO[linea],"(sin catálogo)"))</f>
        <v/>
      </c>
      <c r="U991" s="3">
        <f>IF(tblOrdenes[[#This Row],[centro_costo]]="","",_xlfn.XLOOKUP(tblOrdenes[[#This Row],[centro_costo]],tblCECO[codigo],tblCECO[area],"(sin catálogo)"))</f>
        <v/>
      </c>
      <c r="V991" s="3">
        <f>IF(tblOrdenes[[#This Row],[centro_costo]]="","",_xlfn.XLOOKUP(tblOrdenes[[#This Row],[centro_costo]],tblCECO[codigo],tblCECO[coordinador],"(sin catálogo)"))</f>
        <v/>
      </c>
      <c r="W991" s="3">
        <f>IF(tblOrdenes[[#This Row],[puesto_trabajo]]="","",_xlfn.XLOOKUP(tblOrdenes[[#This Row],[puesto_trabajo]],tblPuestos[codigo],tblPuestos[especialidad],"(sin catálogo)"))</f>
        <v/>
      </c>
      <c r="X991" s="3">
        <f>IF(tblOrdenes[[#This Row],[cod_actividad]]="","",_xlfn.XLOOKUP(tblOrdenes[[#This Row],[cod_actividad]],tblActividades[codigo],tblActividades[descripcion],"(sin catálogo)"))</f>
        <v/>
      </c>
      <c r="Y991" s="12">
        <f>IF(tblOrdenes[[#This Row],[fecha_inicio]]="","",TODAY()-tblOrdenes[[#This Row],[fecha_inicio]])</f>
        <v/>
      </c>
      <c r="Z991" s="3">
        <f>IF(tblOrdenes[[#This Row],[backlog_dias]]="","",IF(tblOrdenes[[#This Row],[backlog_dias]]&lt;0,"FUTURO",IF(tblOrdenes[[#This Row],[backlog_dias]]&gt;p_dias_backlog_max,"BACKLOG","MES CORRIENTE")))</f>
        <v/>
      </c>
      <c r="AA991" s="3">
        <f>IF(tblOrdenes[[#This Row],[backlog_dias]]="",FALSE,AND(tblOrdenes[[#This Row],[backlog_dias]]&gt;p_dias_backlog_min,tblOrdenes[[#This Row],[backlog_dias]]&lt;=p_dias_backlog_max))</f>
        <v/>
      </c>
      <c r="AB991" s="6" t="n"/>
      <c r="AC9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1" s="10">
        <f>IF(tblOrdenes[[#This Row],[orden]]="","",_xlfn.XLOOKUP(tblOrdenes[[#This Row],[id_operacion]],tblEjecucion[id_operacion],tblEjecucion[precio],0))</f>
        <v/>
      </c>
      <c r="AG991" s="10">
        <f>IF(tblOrdenes[[#This Row],[orden]]="","",MAX(0,_xlfn.XLOOKUP(tblOrdenes[[#This Row],[id_operacion]],tblEjecucion[id_operacion],tblEjecucion[costo_plan_total],0)-tblOrdenes[[#This Row],[costo_servicio]]))</f>
        <v/>
      </c>
      <c r="AH991" s="10">
        <f>IF(tblOrdenes[[#This Row],[orden]]="","",tblOrdenes[[#This Row],[costo_servicio]]+tblOrdenes[[#This Row],[costo_materiales]])</f>
        <v/>
      </c>
      <c r="AI991" s="6" t="n"/>
      <c r="AJ991" s="6" t="n"/>
      <c r="AK991" s="6" t="n"/>
      <c r="AL991" s="3">
        <f>IF(tblOrdenes[[#This Row],[link_checklist]]="","",HYPERLINK(p_ruta_base_checklists&amp;tblOrdenes[[#This Row],[link_checklist]],"abrir"))</f>
        <v/>
      </c>
      <c r="AM991" s="6" t="n"/>
      <c r="AN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Row],[tipo_ot]]="","",_xlfn.XLOOKUP(tblOrdenes[[#This Row],[tipo_ot]],tblTiposOT[codigo],tblTiposOT[clasificacion],"sin_clasificar"))</f>
        <v/>
      </c>
      <c r="T992" s="3">
        <f>IF(tblOrdenes[[#This Row],[centro_costo]]="","",_xlfn.XLOOKUP(tblOrdenes[[#This Row],[centro_costo]],tblCECO[codigo],tblCECO[linea],"(sin catálogo)"))</f>
        <v/>
      </c>
      <c r="U992" s="3">
        <f>IF(tblOrdenes[[#This Row],[centro_costo]]="","",_xlfn.XLOOKUP(tblOrdenes[[#This Row],[centro_costo]],tblCECO[codigo],tblCECO[area],"(sin catálogo)"))</f>
        <v/>
      </c>
      <c r="V992" s="3">
        <f>IF(tblOrdenes[[#This Row],[centro_costo]]="","",_xlfn.XLOOKUP(tblOrdenes[[#This Row],[centro_costo]],tblCECO[codigo],tblCECO[coordinador],"(sin catálogo)"))</f>
        <v/>
      </c>
      <c r="W992" s="3">
        <f>IF(tblOrdenes[[#This Row],[puesto_trabajo]]="","",_xlfn.XLOOKUP(tblOrdenes[[#This Row],[puesto_trabajo]],tblPuestos[codigo],tblPuestos[especialidad],"(sin catálogo)"))</f>
        <v/>
      </c>
      <c r="X992" s="3">
        <f>IF(tblOrdenes[[#This Row],[cod_actividad]]="","",_xlfn.XLOOKUP(tblOrdenes[[#This Row],[cod_actividad]],tblActividades[codigo],tblActividades[descripcion],"(sin catálogo)"))</f>
        <v/>
      </c>
      <c r="Y992" s="12">
        <f>IF(tblOrdenes[[#This Row],[fecha_inicio]]="","",TODAY()-tblOrdenes[[#This Row],[fecha_inicio]])</f>
        <v/>
      </c>
      <c r="Z992" s="3">
        <f>IF(tblOrdenes[[#This Row],[backlog_dias]]="","",IF(tblOrdenes[[#This Row],[backlog_dias]]&lt;0,"FUTURO",IF(tblOrdenes[[#This Row],[backlog_dias]]&gt;p_dias_backlog_max,"BACKLOG","MES CORRIENTE")))</f>
        <v/>
      </c>
      <c r="AA992" s="3">
        <f>IF(tblOrdenes[[#This Row],[backlog_dias]]="",FALSE,AND(tblOrdenes[[#This Row],[backlog_dias]]&gt;p_dias_backlog_min,tblOrdenes[[#This Row],[backlog_dias]]&lt;=p_dias_backlog_max))</f>
        <v/>
      </c>
      <c r="AB992" s="6" t="n"/>
      <c r="AC9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2" s="10">
        <f>IF(tblOrdenes[[#This Row],[orden]]="","",_xlfn.XLOOKUP(tblOrdenes[[#This Row],[id_operacion]],tblEjecucion[id_operacion],tblEjecucion[precio],0))</f>
        <v/>
      </c>
      <c r="AG992" s="10">
        <f>IF(tblOrdenes[[#This Row],[orden]]="","",MAX(0,_xlfn.XLOOKUP(tblOrdenes[[#This Row],[id_operacion]],tblEjecucion[id_operacion],tblEjecucion[costo_plan_total],0)-tblOrdenes[[#This Row],[costo_servicio]]))</f>
        <v/>
      </c>
      <c r="AH992" s="10">
        <f>IF(tblOrdenes[[#This Row],[orden]]="","",tblOrdenes[[#This Row],[costo_servicio]]+tblOrdenes[[#This Row],[costo_materiales]])</f>
        <v/>
      </c>
      <c r="AI992" s="6" t="n"/>
      <c r="AJ992" s="6" t="n"/>
      <c r="AK992" s="6" t="n"/>
      <c r="AL992" s="3">
        <f>IF(tblOrdenes[[#This Row],[link_checklist]]="","",HYPERLINK(p_ruta_base_checklists&amp;tblOrdenes[[#This Row],[link_checklist]],"abrir"))</f>
        <v/>
      </c>
      <c r="AM992" s="6" t="n"/>
      <c r="AN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Row],[tipo_ot]]="","",_xlfn.XLOOKUP(tblOrdenes[[#This Row],[tipo_ot]],tblTiposOT[codigo],tblTiposOT[clasificacion],"sin_clasificar"))</f>
        <v/>
      </c>
      <c r="T993" s="3">
        <f>IF(tblOrdenes[[#This Row],[centro_costo]]="","",_xlfn.XLOOKUP(tblOrdenes[[#This Row],[centro_costo]],tblCECO[codigo],tblCECO[linea],"(sin catálogo)"))</f>
        <v/>
      </c>
      <c r="U993" s="3">
        <f>IF(tblOrdenes[[#This Row],[centro_costo]]="","",_xlfn.XLOOKUP(tblOrdenes[[#This Row],[centro_costo]],tblCECO[codigo],tblCECO[area],"(sin catálogo)"))</f>
        <v/>
      </c>
      <c r="V993" s="3">
        <f>IF(tblOrdenes[[#This Row],[centro_costo]]="","",_xlfn.XLOOKUP(tblOrdenes[[#This Row],[centro_costo]],tblCECO[codigo],tblCECO[coordinador],"(sin catálogo)"))</f>
        <v/>
      </c>
      <c r="W993" s="3">
        <f>IF(tblOrdenes[[#This Row],[puesto_trabajo]]="","",_xlfn.XLOOKUP(tblOrdenes[[#This Row],[puesto_trabajo]],tblPuestos[codigo],tblPuestos[especialidad],"(sin catálogo)"))</f>
        <v/>
      </c>
      <c r="X993" s="3">
        <f>IF(tblOrdenes[[#This Row],[cod_actividad]]="","",_xlfn.XLOOKUP(tblOrdenes[[#This Row],[cod_actividad]],tblActividades[codigo],tblActividades[descripcion],"(sin catálogo)"))</f>
        <v/>
      </c>
      <c r="Y993" s="12">
        <f>IF(tblOrdenes[[#This Row],[fecha_inicio]]="","",TODAY()-tblOrdenes[[#This Row],[fecha_inicio]])</f>
        <v/>
      </c>
      <c r="Z993" s="3">
        <f>IF(tblOrdenes[[#This Row],[backlog_dias]]="","",IF(tblOrdenes[[#This Row],[backlog_dias]]&lt;0,"FUTURO",IF(tblOrdenes[[#This Row],[backlog_dias]]&gt;p_dias_backlog_max,"BACKLOG","MES CORRIENTE")))</f>
        <v/>
      </c>
      <c r="AA993" s="3">
        <f>IF(tblOrdenes[[#This Row],[backlog_dias]]="",FALSE,AND(tblOrdenes[[#This Row],[backlog_dias]]&gt;p_dias_backlog_min,tblOrdenes[[#This Row],[backlog_dias]]&lt;=p_dias_backlog_max))</f>
        <v/>
      </c>
      <c r="AB993" s="6" t="n"/>
      <c r="AC9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3" s="10">
        <f>IF(tblOrdenes[[#This Row],[orden]]="","",_xlfn.XLOOKUP(tblOrdenes[[#This Row],[id_operacion]],tblEjecucion[id_operacion],tblEjecucion[precio],0))</f>
        <v/>
      </c>
      <c r="AG993" s="10">
        <f>IF(tblOrdenes[[#This Row],[orden]]="","",MAX(0,_xlfn.XLOOKUP(tblOrdenes[[#This Row],[id_operacion]],tblEjecucion[id_operacion],tblEjecucion[costo_plan_total],0)-tblOrdenes[[#This Row],[costo_servicio]]))</f>
        <v/>
      </c>
      <c r="AH993" s="10">
        <f>IF(tblOrdenes[[#This Row],[orden]]="","",tblOrdenes[[#This Row],[costo_servicio]]+tblOrdenes[[#This Row],[costo_materiales]])</f>
        <v/>
      </c>
      <c r="AI993" s="6" t="n"/>
      <c r="AJ993" s="6" t="n"/>
      <c r="AK993" s="6" t="n"/>
      <c r="AL993" s="3">
        <f>IF(tblOrdenes[[#This Row],[link_checklist]]="","",HYPERLINK(p_ruta_base_checklists&amp;tblOrdenes[[#This Row],[link_checklist]],"abrir"))</f>
        <v/>
      </c>
      <c r="AM993" s="6" t="n"/>
      <c r="AN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Row],[tipo_ot]]="","",_xlfn.XLOOKUP(tblOrdenes[[#This Row],[tipo_ot]],tblTiposOT[codigo],tblTiposOT[clasificacion],"sin_clasificar"))</f>
        <v/>
      </c>
      <c r="T994" s="3">
        <f>IF(tblOrdenes[[#This Row],[centro_costo]]="","",_xlfn.XLOOKUP(tblOrdenes[[#This Row],[centro_costo]],tblCECO[codigo],tblCECO[linea],"(sin catálogo)"))</f>
        <v/>
      </c>
      <c r="U994" s="3">
        <f>IF(tblOrdenes[[#This Row],[centro_costo]]="","",_xlfn.XLOOKUP(tblOrdenes[[#This Row],[centro_costo]],tblCECO[codigo],tblCECO[area],"(sin catálogo)"))</f>
        <v/>
      </c>
      <c r="V994" s="3">
        <f>IF(tblOrdenes[[#This Row],[centro_costo]]="","",_xlfn.XLOOKUP(tblOrdenes[[#This Row],[centro_costo]],tblCECO[codigo],tblCECO[coordinador],"(sin catálogo)"))</f>
        <v/>
      </c>
      <c r="W994" s="3">
        <f>IF(tblOrdenes[[#This Row],[puesto_trabajo]]="","",_xlfn.XLOOKUP(tblOrdenes[[#This Row],[puesto_trabajo]],tblPuestos[codigo],tblPuestos[especialidad],"(sin catálogo)"))</f>
        <v/>
      </c>
      <c r="X994" s="3">
        <f>IF(tblOrdenes[[#This Row],[cod_actividad]]="","",_xlfn.XLOOKUP(tblOrdenes[[#This Row],[cod_actividad]],tblActividades[codigo],tblActividades[descripcion],"(sin catálogo)"))</f>
        <v/>
      </c>
      <c r="Y994" s="12">
        <f>IF(tblOrdenes[[#This Row],[fecha_inicio]]="","",TODAY()-tblOrdenes[[#This Row],[fecha_inicio]])</f>
        <v/>
      </c>
      <c r="Z994" s="3">
        <f>IF(tblOrdenes[[#This Row],[backlog_dias]]="","",IF(tblOrdenes[[#This Row],[backlog_dias]]&lt;0,"FUTURO",IF(tblOrdenes[[#This Row],[backlog_dias]]&gt;p_dias_backlog_max,"BACKLOG","MES CORRIENTE")))</f>
        <v/>
      </c>
      <c r="AA994" s="3">
        <f>IF(tblOrdenes[[#This Row],[backlog_dias]]="",FALSE,AND(tblOrdenes[[#This Row],[backlog_dias]]&gt;p_dias_backlog_min,tblOrdenes[[#This Row],[backlog_dias]]&lt;=p_dias_backlog_max))</f>
        <v/>
      </c>
      <c r="AB994" s="6" t="n"/>
      <c r="AC9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4" s="10">
        <f>IF(tblOrdenes[[#This Row],[orden]]="","",_xlfn.XLOOKUP(tblOrdenes[[#This Row],[id_operacion]],tblEjecucion[id_operacion],tblEjecucion[precio],0))</f>
        <v/>
      </c>
      <c r="AG994" s="10">
        <f>IF(tblOrdenes[[#This Row],[orden]]="","",MAX(0,_xlfn.XLOOKUP(tblOrdenes[[#This Row],[id_operacion]],tblEjecucion[id_operacion],tblEjecucion[costo_plan_total],0)-tblOrdenes[[#This Row],[costo_servicio]]))</f>
        <v/>
      </c>
      <c r="AH994" s="10">
        <f>IF(tblOrdenes[[#This Row],[orden]]="","",tblOrdenes[[#This Row],[costo_servicio]]+tblOrdenes[[#This Row],[costo_materiales]])</f>
        <v/>
      </c>
      <c r="AI994" s="6" t="n"/>
      <c r="AJ994" s="6" t="n"/>
      <c r="AK994" s="6" t="n"/>
      <c r="AL994" s="3">
        <f>IF(tblOrdenes[[#This Row],[link_checklist]]="","",HYPERLINK(p_ruta_base_checklists&amp;tblOrdenes[[#This Row],[link_checklist]],"abrir"))</f>
        <v/>
      </c>
      <c r="AM994" s="6" t="n"/>
      <c r="AN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Row],[tipo_ot]]="","",_xlfn.XLOOKUP(tblOrdenes[[#This Row],[tipo_ot]],tblTiposOT[codigo],tblTiposOT[clasificacion],"sin_clasificar"))</f>
        <v/>
      </c>
      <c r="T995" s="3">
        <f>IF(tblOrdenes[[#This Row],[centro_costo]]="","",_xlfn.XLOOKUP(tblOrdenes[[#This Row],[centro_costo]],tblCECO[codigo],tblCECO[linea],"(sin catálogo)"))</f>
        <v/>
      </c>
      <c r="U995" s="3">
        <f>IF(tblOrdenes[[#This Row],[centro_costo]]="","",_xlfn.XLOOKUP(tblOrdenes[[#This Row],[centro_costo]],tblCECO[codigo],tblCECO[area],"(sin catálogo)"))</f>
        <v/>
      </c>
      <c r="V995" s="3">
        <f>IF(tblOrdenes[[#This Row],[centro_costo]]="","",_xlfn.XLOOKUP(tblOrdenes[[#This Row],[centro_costo]],tblCECO[codigo],tblCECO[coordinador],"(sin catálogo)"))</f>
        <v/>
      </c>
      <c r="W995" s="3">
        <f>IF(tblOrdenes[[#This Row],[puesto_trabajo]]="","",_xlfn.XLOOKUP(tblOrdenes[[#This Row],[puesto_trabajo]],tblPuestos[codigo],tblPuestos[especialidad],"(sin catálogo)"))</f>
        <v/>
      </c>
      <c r="X995" s="3">
        <f>IF(tblOrdenes[[#This Row],[cod_actividad]]="","",_xlfn.XLOOKUP(tblOrdenes[[#This Row],[cod_actividad]],tblActividades[codigo],tblActividades[descripcion],"(sin catálogo)"))</f>
        <v/>
      </c>
      <c r="Y995" s="12">
        <f>IF(tblOrdenes[[#This Row],[fecha_inicio]]="","",TODAY()-tblOrdenes[[#This Row],[fecha_inicio]])</f>
        <v/>
      </c>
      <c r="Z995" s="3">
        <f>IF(tblOrdenes[[#This Row],[backlog_dias]]="","",IF(tblOrdenes[[#This Row],[backlog_dias]]&lt;0,"FUTURO",IF(tblOrdenes[[#This Row],[backlog_dias]]&gt;p_dias_backlog_max,"BACKLOG","MES CORRIENTE")))</f>
        <v/>
      </c>
      <c r="AA995" s="3">
        <f>IF(tblOrdenes[[#This Row],[backlog_dias]]="",FALSE,AND(tblOrdenes[[#This Row],[backlog_dias]]&gt;p_dias_backlog_min,tblOrdenes[[#This Row],[backlog_dias]]&lt;=p_dias_backlog_max))</f>
        <v/>
      </c>
      <c r="AB995" s="6" t="n"/>
      <c r="AC9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5" s="10">
        <f>IF(tblOrdenes[[#This Row],[orden]]="","",_xlfn.XLOOKUP(tblOrdenes[[#This Row],[id_operacion]],tblEjecucion[id_operacion],tblEjecucion[precio],0))</f>
        <v/>
      </c>
      <c r="AG995" s="10">
        <f>IF(tblOrdenes[[#This Row],[orden]]="","",MAX(0,_xlfn.XLOOKUP(tblOrdenes[[#This Row],[id_operacion]],tblEjecucion[id_operacion],tblEjecucion[costo_plan_total],0)-tblOrdenes[[#This Row],[costo_servicio]]))</f>
        <v/>
      </c>
      <c r="AH995" s="10">
        <f>IF(tblOrdenes[[#This Row],[orden]]="","",tblOrdenes[[#This Row],[costo_servicio]]+tblOrdenes[[#This Row],[costo_materiales]])</f>
        <v/>
      </c>
      <c r="AI995" s="6" t="n"/>
      <c r="AJ995" s="6" t="n"/>
      <c r="AK995" s="6" t="n"/>
      <c r="AL995" s="3">
        <f>IF(tblOrdenes[[#This Row],[link_checklist]]="","",HYPERLINK(p_ruta_base_checklists&amp;tblOrdenes[[#This Row],[link_checklist]],"abrir"))</f>
        <v/>
      </c>
      <c r="AM995" s="6" t="n"/>
      <c r="AN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Row],[tipo_ot]]="","",_xlfn.XLOOKUP(tblOrdenes[[#This Row],[tipo_ot]],tblTiposOT[codigo],tblTiposOT[clasificacion],"sin_clasificar"))</f>
        <v/>
      </c>
      <c r="T996" s="3">
        <f>IF(tblOrdenes[[#This Row],[centro_costo]]="","",_xlfn.XLOOKUP(tblOrdenes[[#This Row],[centro_costo]],tblCECO[codigo],tblCECO[linea],"(sin catálogo)"))</f>
        <v/>
      </c>
      <c r="U996" s="3">
        <f>IF(tblOrdenes[[#This Row],[centro_costo]]="","",_xlfn.XLOOKUP(tblOrdenes[[#This Row],[centro_costo]],tblCECO[codigo],tblCECO[area],"(sin catálogo)"))</f>
        <v/>
      </c>
      <c r="V996" s="3">
        <f>IF(tblOrdenes[[#This Row],[centro_costo]]="","",_xlfn.XLOOKUP(tblOrdenes[[#This Row],[centro_costo]],tblCECO[codigo],tblCECO[coordinador],"(sin catálogo)"))</f>
        <v/>
      </c>
      <c r="W996" s="3">
        <f>IF(tblOrdenes[[#This Row],[puesto_trabajo]]="","",_xlfn.XLOOKUP(tblOrdenes[[#This Row],[puesto_trabajo]],tblPuestos[codigo],tblPuestos[especialidad],"(sin catálogo)"))</f>
        <v/>
      </c>
      <c r="X996" s="3">
        <f>IF(tblOrdenes[[#This Row],[cod_actividad]]="","",_xlfn.XLOOKUP(tblOrdenes[[#This Row],[cod_actividad]],tblActividades[codigo],tblActividades[descripcion],"(sin catálogo)"))</f>
        <v/>
      </c>
      <c r="Y996" s="12">
        <f>IF(tblOrdenes[[#This Row],[fecha_inicio]]="","",TODAY()-tblOrdenes[[#This Row],[fecha_inicio]])</f>
        <v/>
      </c>
      <c r="Z996" s="3">
        <f>IF(tblOrdenes[[#This Row],[backlog_dias]]="","",IF(tblOrdenes[[#This Row],[backlog_dias]]&lt;0,"FUTURO",IF(tblOrdenes[[#This Row],[backlog_dias]]&gt;p_dias_backlog_max,"BACKLOG","MES CORRIENTE")))</f>
        <v/>
      </c>
      <c r="AA996" s="3">
        <f>IF(tblOrdenes[[#This Row],[backlog_dias]]="",FALSE,AND(tblOrdenes[[#This Row],[backlog_dias]]&gt;p_dias_backlog_min,tblOrdenes[[#This Row],[backlog_dias]]&lt;=p_dias_backlog_max))</f>
        <v/>
      </c>
      <c r="AB996" s="6" t="n"/>
      <c r="AC9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6" s="10">
        <f>IF(tblOrdenes[[#This Row],[orden]]="","",_xlfn.XLOOKUP(tblOrdenes[[#This Row],[id_operacion]],tblEjecucion[id_operacion],tblEjecucion[precio],0))</f>
        <v/>
      </c>
      <c r="AG996" s="10">
        <f>IF(tblOrdenes[[#This Row],[orden]]="","",MAX(0,_xlfn.XLOOKUP(tblOrdenes[[#This Row],[id_operacion]],tblEjecucion[id_operacion],tblEjecucion[costo_plan_total],0)-tblOrdenes[[#This Row],[costo_servicio]]))</f>
        <v/>
      </c>
      <c r="AH996" s="10">
        <f>IF(tblOrdenes[[#This Row],[orden]]="","",tblOrdenes[[#This Row],[costo_servicio]]+tblOrdenes[[#This Row],[costo_materiales]])</f>
        <v/>
      </c>
      <c r="AI996" s="6" t="n"/>
      <c r="AJ996" s="6" t="n"/>
      <c r="AK996" s="6" t="n"/>
      <c r="AL996" s="3">
        <f>IF(tblOrdenes[[#This Row],[link_checklist]]="","",HYPERLINK(p_ruta_base_checklists&amp;tblOrdenes[[#This Row],[link_checklist]],"abrir"))</f>
        <v/>
      </c>
      <c r="AM996" s="6" t="n"/>
      <c r="AN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Row],[tipo_ot]]="","",_xlfn.XLOOKUP(tblOrdenes[[#This Row],[tipo_ot]],tblTiposOT[codigo],tblTiposOT[clasificacion],"sin_clasificar"))</f>
        <v/>
      </c>
      <c r="T997" s="3">
        <f>IF(tblOrdenes[[#This Row],[centro_costo]]="","",_xlfn.XLOOKUP(tblOrdenes[[#This Row],[centro_costo]],tblCECO[codigo],tblCECO[linea],"(sin catálogo)"))</f>
        <v/>
      </c>
      <c r="U997" s="3">
        <f>IF(tblOrdenes[[#This Row],[centro_costo]]="","",_xlfn.XLOOKUP(tblOrdenes[[#This Row],[centro_costo]],tblCECO[codigo],tblCECO[area],"(sin catálogo)"))</f>
        <v/>
      </c>
      <c r="V997" s="3">
        <f>IF(tblOrdenes[[#This Row],[centro_costo]]="","",_xlfn.XLOOKUP(tblOrdenes[[#This Row],[centro_costo]],tblCECO[codigo],tblCECO[coordinador],"(sin catálogo)"))</f>
        <v/>
      </c>
      <c r="W997" s="3">
        <f>IF(tblOrdenes[[#This Row],[puesto_trabajo]]="","",_xlfn.XLOOKUP(tblOrdenes[[#This Row],[puesto_trabajo]],tblPuestos[codigo],tblPuestos[especialidad],"(sin catálogo)"))</f>
        <v/>
      </c>
      <c r="X997" s="3">
        <f>IF(tblOrdenes[[#This Row],[cod_actividad]]="","",_xlfn.XLOOKUP(tblOrdenes[[#This Row],[cod_actividad]],tblActividades[codigo],tblActividades[descripcion],"(sin catálogo)"))</f>
        <v/>
      </c>
      <c r="Y997" s="12">
        <f>IF(tblOrdenes[[#This Row],[fecha_inicio]]="","",TODAY()-tblOrdenes[[#This Row],[fecha_inicio]])</f>
        <v/>
      </c>
      <c r="Z997" s="3">
        <f>IF(tblOrdenes[[#This Row],[backlog_dias]]="","",IF(tblOrdenes[[#This Row],[backlog_dias]]&lt;0,"FUTURO",IF(tblOrdenes[[#This Row],[backlog_dias]]&gt;p_dias_backlog_max,"BACKLOG","MES CORRIENTE")))</f>
        <v/>
      </c>
      <c r="AA997" s="3">
        <f>IF(tblOrdenes[[#This Row],[backlog_dias]]="",FALSE,AND(tblOrdenes[[#This Row],[backlog_dias]]&gt;p_dias_backlog_min,tblOrdenes[[#This Row],[backlog_dias]]&lt;=p_dias_backlog_max))</f>
        <v/>
      </c>
      <c r="AB997" s="6" t="n"/>
      <c r="AC9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7" s="10">
        <f>IF(tblOrdenes[[#This Row],[orden]]="","",_xlfn.XLOOKUP(tblOrdenes[[#This Row],[id_operacion]],tblEjecucion[id_operacion],tblEjecucion[precio],0))</f>
        <v/>
      </c>
      <c r="AG997" s="10">
        <f>IF(tblOrdenes[[#This Row],[orden]]="","",MAX(0,_xlfn.XLOOKUP(tblOrdenes[[#This Row],[id_operacion]],tblEjecucion[id_operacion],tblEjecucion[costo_plan_total],0)-tblOrdenes[[#This Row],[costo_servicio]]))</f>
        <v/>
      </c>
      <c r="AH997" s="10">
        <f>IF(tblOrdenes[[#This Row],[orden]]="","",tblOrdenes[[#This Row],[costo_servicio]]+tblOrdenes[[#This Row],[costo_materiales]])</f>
        <v/>
      </c>
      <c r="AI997" s="6" t="n"/>
      <c r="AJ997" s="6" t="n"/>
      <c r="AK997" s="6" t="n"/>
      <c r="AL997" s="3">
        <f>IF(tblOrdenes[[#This Row],[link_checklist]]="","",HYPERLINK(p_ruta_base_checklists&amp;tblOrdenes[[#This Row],[link_checklist]],"abrir"))</f>
        <v/>
      </c>
      <c r="AM997" s="6" t="n"/>
      <c r="AN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Row],[tipo_ot]]="","",_xlfn.XLOOKUP(tblOrdenes[[#This Row],[tipo_ot]],tblTiposOT[codigo],tblTiposOT[clasificacion],"sin_clasificar"))</f>
        <v/>
      </c>
      <c r="T998" s="3">
        <f>IF(tblOrdenes[[#This Row],[centro_costo]]="","",_xlfn.XLOOKUP(tblOrdenes[[#This Row],[centro_costo]],tblCECO[codigo],tblCECO[linea],"(sin catálogo)"))</f>
        <v/>
      </c>
      <c r="U998" s="3">
        <f>IF(tblOrdenes[[#This Row],[centro_costo]]="","",_xlfn.XLOOKUP(tblOrdenes[[#This Row],[centro_costo]],tblCECO[codigo],tblCECO[area],"(sin catálogo)"))</f>
        <v/>
      </c>
      <c r="V998" s="3">
        <f>IF(tblOrdenes[[#This Row],[centro_costo]]="","",_xlfn.XLOOKUP(tblOrdenes[[#This Row],[centro_costo]],tblCECO[codigo],tblCECO[coordinador],"(sin catálogo)"))</f>
        <v/>
      </c>
      <c r="W998" s="3">
        <f>IF(tblOrdenes[[#This Row],[puesto_trabajo]]="","",_xlfn.XLOOKUP(tblOrdenes[[#This Row],[puesto_trabajo]],tblPuestos[codigo],tblPuestos[especialidad],"(sin catálogo)"))</f>
        <v/>
      </c>
      <c r="X998" s="3">
        <f>IF(tblOrdenes[[#This Row],[cod_actividad]]="","",_xlfn.XLOOKUP(tblOrdenes[[#This Row],[cod_actividad]],tblActividades[codigo],tblActividades[descripcion],"(sin catálogo)"))</f>
        <v/>
      </c>
      <c r="Y998" s="12">
        <f>IF(tblOrdenes[[#This Row],[fecha_inicio]]="","",TODAY()-tblOrdenes[[#This Row],[fecha_inicio]])</f>
        <v/>
      </c>
      <c r="Z998" s="3">
        <f>IF(tblOrdenes[[#This Row],[backlog_dias]]="","",IF(tblOrdenes[[#This Row],[backlog_dias]]&lt;0,"FUTURO",IF(tblOrdenes[[#This Row],[backlog_dias]]&gt;p_dias_backlog_max,"BACKLOG","MES CORRIENTE")))</f>
        <v/>
      </c>
      <c r="AA998" s="3">
        <f>IF(tblOrdenes[[#This Row],[backlog_dias]]="",FALSE,AND(tblOrdenes[[#This Row],[backlog_dias]]&gt;p_dias_backlog_min,tblOrdenes[[#This Row],[backlog_dias]]&lt;=p_dias_backlog_max))</f>
        <v/>
      </c>
      <c r="AB998" s="6" t="n"/>
      <c r="AC9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8" s="10">
        <f>IF(tblOrdenes[[#This Row],[orden]]="","",_xlfn.XLOOKUP(tblOrdenes[[#This Row],[id_operacion]],tblEjecucion[id_operacion],tblEjecucion[precio],0))</f>
        <v/>
      </c>
      <c r="AG998" s="10">
        <f>IF(tblOrdenes[[#This Row],[orden]]="","",MAX(0,_xlfn.XLOOKUP(tblOrdenes[[#This Row],[id_operacion]],tblEjecucion[id_operacion],tblEjecucion[costo_plan_total],0)-tblOrdenes[[#This Row],[costo_servicio]]))</f>
        <v/>
      </c>
      <c r="AH998" s="10">
        <f>IF(tblOrdenes[[#This Row],[orden]]="","",tblOrdenes[[#This Row],[costo_servicio]]+tblOrdenes[[#This Row],[costo_materiales]])</f>
        <v/>
      </c>
      <c r="AI998" s="6" t="n"/>
      <c r="AJ998" s="6" t="n"/>
      <c r="AK998" s="6" t="n"/>
      <c r="AL998" s="3">
        <f>IF(tblOrdenes[[#This Row],[link_checklist]]="","",HYPERLINK(p_ruta_base_checklists&amp;tblOrdenes[[#This Row],[link_checklist]],"abrir"))</f>
        <v/>
      </c>
      <c r="AM998" s="6" t="n"/>
      <c r="AN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Row],[tipo_ot]]="","",_xlfn.XLOOKUP(tblOrdenes[[#This Row],[tipo_ot]],tblTiposOT[codigo],tblTiposOT[clasificacion],"sin_clasificar"))</f>
        <v/>
      </c>
      <c r="T999" s="3">
        <f>IF(tblOrdenes[[#This Row],[centro_costo]]="","",_xlfn.XLOOKUP(tblOrdenes[[#This Row],[centro_costo]],tblCECO[codigo],tblCECO[linea],"(sin catálogo)"))</f>
        <v/>
      </c>
      <c r="U999" s="3">
        <f>IF(tblOrdenes[[#This Row],[centro_costo]]="","",_xlfn.XLOOKUP(tblOrdenes[[#This Row],[centro_costo]],tblCECO[codigo],tblCECO[area],"(sin catálogo)"))</f>
        <v/>
      </c>
      <c r="V999" s="3">
        <f>IF(tblOrdenes[[#This Row],[centro_costo]]="","",_xlfn.XLOOKUP(tblOrdenes[[#This Row],[centro_costo]],tblCECO[codigo],tblCECO[coordinador],"(sin catálogo)"))</f>
        <v/>
      </c>
      <c r="W999" s="3">
        <f>IF(tblOrdenes[[#This Row],[puesto_trabajo]]="","",_xlfn.XLOOKUP(tblOrdenes[[#This Row],[puesto_trabajo]],tblPuestos[codigo],tblPuestos[especialidad],"(sin catálogo)"))</f>
        <v/>
      </c>
      <c r="X999" s="3">
        <f>IF(tblOrdenes[[#This Row],[cod_actividad]]="","",_xlfn.XLOOKUP(tblOrdenes[[#This Row],[cod_actividad]],tblActividades[codigo],tblActividades[descripcion],"(sin catálogo)"))</f>
        <v/>
      </c>
      <c r="Y999" s="12">
        <f>IF(tblOrdenes[[#This Row],[fecha_inicio]]="","",TODAY()-tblOrdenes[[#This Row],[fecha_inicio]])</f>
        <v/>
      </c>
      <c r="Z999" s="3">
        <f>IF(tblOrdenes[[#This Row],[backlog_dias]]="","",IF(tblOrdenes[[#This Row],[backlog_dias]]&lt;0,"FUTURO",IF(tblOrdenes[[#This Row],[backlog_dias]]&gt;p_dias_backlog_max,"BACKLOG","MES CORRIENTE")))</f>
        <v/>
      </c>
      <c r="AA999" s="3">
        <f>IF(tblOrdenes[[#This Row],[backlog_dias]]="",FALSE,AND(tblOrdenes[[#This Row],[backlog_dias]]&gt;p_dias_backlog_min,tblOrdenes[[#This Row],[backlog_dias]]&lt;=p_dias_backlog_max))</f>
        <v/>
      </c>
      <c r="AB999" s="6" t="n"/>
      <c r="AC9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9" s="10">
        <f>IF(tblOrdenes[[#This Row],[orden]]="","",_xlfn.XLOOKUP(tblOrdenes[[#This Row],[id_operacion]],tblEjecucion[id_operacion],tblEjecucion[precio],0))</f>
        <v/>
      </c>
      <c r="AG999" s="10">
        <f>IF(tblOrdenes[[#This Row],[orden]]="","",MAX(0,_xlfn.XLOOKUP(tblOrdenes[[#This Row],[id_operacion]],tblEjecucion[id_operacion],tblEjecucion[costo_plan_total],0)-tblOrdenes[[#This Row],[costo_servicio]]))</f>
        <v/>
      </c>
      <c r="AH999" s="10">
        <f>IF(tblOrdenes[[#This Row],[orden]]="","",tblOrdenes[[#This Row],[costo_servicio]]+tblOrdenes[[#This Row],[costo_materiales]])</f>
        <v/>
      </c>
      <c r="AI999" s="6" t="n"/>
      <c r="AJ999" s="6" t="n"/>
      <c r="AK999" s="6" t="n"/>
      <c r="AL999" s="3">
        <f>IF(tblOrdenes[[#This Row],[link_checklist]]="","",HYPERLINK(p_ruta_base_checklists&amp;tblOrdenes[[#This Row],[link_checklist]],"abrir"))</f>
        <v/>
      </c>
      <c r="AM999" s="6" t="n"/>
      <c r="AN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Row],[tipo_ot]]="","",_xlfn.XLOOKUP(tblOrdenes[[#This Row],[tipo_ot]],tblTiposOT[codigo],tblTiposOT[clasificacion],"sin_clasificar"))</f>
        <v/>
      </c>
      <c r="T1000" s="3">
        <f>IF(tblOrdenes[[#This Row],[centro_costo]]="","",_xlfn.XLOOKUP(tblOrdenes[[#This Row],[centro_costo]],tblCECO[codigo],tblCECO[linea],"(sin catálogo)"))</f>
        <v/>
      </c>
      <c r="U1000" s="3">
        <f>IF(tblOrdenes[[#This Row],[centro_costo]]="","",_xlfn.XLOOKUP(tblOrdenes[[#This Row],[centro_costo]],tblCECO[codigo],tblCECO[area],"(sin catálogo)"))</f>
        <v/>
      </c>
      <c r="V1000" s="3">
        <f>IF(tblOrdenes[[#This Row],[centro_costo]]="","",_xlfn.XLOOKUP(tblOrdenes[[#This Row],[centro_costo]],tblCECO[codigo],tblCECO[coordinador],"(sin catálogo)"))</f>
        <v/>
      </c>
      <c r="W1000" s="3">
        <f>IF(tblOrdenes[[#This Row],[puesto_trabajo]]="","",_xlfn.XLOOKUP(tblOrdenes[[#This Row],[puesto_trabajo]],tblPuestos[codigo],tblPuestos[especialidad],"(sin catálogo)"))</f>
        <v/>
      </c>
      <c r="X1000" s="3">
        <f>IF(tblOrdenes[[#This Row],[cod_actividad]]="","",_xlfn.XLOOKUP(tblOrdenes[[#This Row],[cod_actividad]],tblActividades[codigo],tblActividades[descripcion],"(sin catálogo)"))</f>
        <v/>
      </c>
      <c r="Y1000" s="12">
        <f>IF(tblOrdenes[[#This Row],[fecha_inicio]]="","",TODAY()-tblOrdenes[[#This Row],[fecha_inicio]])</f>
        <v/>
      </c>
      <c r="Z1000" s="3">
        <f>IF(tblOrdenes[[#This Row],[backlog_dias]]="","",IF(tblOrdenes[[#This Row],[backlog_dias]]&lt;0,"FUTURO",IF(tblOrdenes[[#This Row],[backlog_dias]]&gt;p_dias_backlog_max,"BACKLOG","MES CORRIENTE")))</f>
        <v/>
      </c>
      <c r="AA1000" s="3">
        <f>IF(tblOrdenes[[#This Row],[backlog_dias]]="",FALSE,AND(tblOrdenes[[#This Row],[backlog_dias]]&gt;p_dias_backlog_min,tblOrdenes[[#This Row],[backlog_dias]]&lt;=p_dias_backlog_max))</f>
        <v/>
      </c>
      <c r="AB1000" s="6" t="n"/>
      <c r="AC10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0" s="10">
        <f>IF(tblOrdenes[[#This Row],[orden]]="","",_xlfn.XLOOKUP(tblOrdenes[[#This Row],[id_operacion]],tblEjecucion[id_operacion],tblEjecucion[precio],0))</f>
        <v/>
      </c>
      <c r="AG1000" s="10">
        <f>IF(tblOrdenes[[#This Row],[orden]]="","",MAX(0,_xlfn.XLOOKUP(tblOrdenes[[#This Row],[id_operacion]],tblEjecucion[id_operacion],tblEjecucion[costo_plan_total],0)-tblOrdenes[[#This Row],[costo_servicio]]))</f>
        <v/>
      </c>
      <c r="AH1000" s="10">
        <f>IF(tblOrdenes[[#This Row],[orden]]="","",tblOrdenes[[#This Row],[costo_servicio]]+tblOrdenes[[#This Row],[costo_materiales]])</f>
        <v/>
      </c>
      <c r="AI1000" s="6" t="n"/>
      <c r="AJ1000" s="6" t="n"/>
      <c r="AK1000" s="6" t="n"/>
      <c r="AL1000" s="3">
        <f>IF(tblOrdenes[[#This Row],[link_checklist]]="","",HYPERLINK(p_ruta_base_checklists&amp;tblOrdenes[[#This Row],[link_checklist]],"abrir"))</f>
        <v/>
      </c>
      <c r="AM1000" s="6" t="n"/>
      <c r="AN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Row],[tipo_ot]]="","",_xlfn.XLOOKUP(tblOrdenes[[#This Row],[tipo_ot]],tblTiposOT[codigo],tblTiposOT[clasificacion],"sin_clasificar"))</f>
        <v/>
      </c>
      <c r="T1001" s="3">
        <f>IF(tblOrdenes[[#This Row],[centro_costo]]="","",_xlfn.XLOOKUP(tblOrdenes[[#This Row],[centro_costo]],tblCECO[codigo],tblCECO[linea],"(sin catálogo)"))</f>
        <v/>
      </c>
      <c r="U1001" s="3">
        <f>IF(tblOrdenes[[#This Row],[centro_costo]]="","",_xlfn.XLOOKUP(tblOrdenes[[#This Row],[centro_costo]],tblCECO[codigo],tblCECO[area],"(sin catálogo)"))</f>
        <v/>
      </c>
      <c r="V1001" s="3">
        <f>IF(tblOrdenes[[#This Row],[centro_costo]]="","",_xlfn.XLOOKUP(tblOrdenes[[#This Row],[centro_costo]],tblCECO[codigo],tblCECO[coordinador],"(sin catálogo)"))</f>
        <v/>
      </c>
      <c r="W1001" s="3">
        <f>IF(tblOrdenes[[#This Row],[puesto_trabajo]]="","",_xlfn.XLOOKUP(tblOrdenes[[#This Row],[puesto_trabajo]],tblPuestos[codigo],tblPuestos[especialidad],"(sin catálogo)"))</f>
        <v/>
      </c>
      <c r="X1001" s="3">
        <f>IF(tblOrdenes[[#This Row],[cod_actividad]]="","",_xlfn.XLOOKUP(tblOrdenes[[#This Row],[cod_actividad]],tblActividades[codigo],tblActividades[descripcion],"(sin catálogo)"))</f>
        <v/>
      </c>
      <c r="Y1001" s="12">
        <f>IF(tblOrdenes[[#This Row],[fecha_inicio]]="","",TODAY()-tblOrdenes[[#This Row],[fecha_inicio]])</f>
        <v/>
      </c>
      <c r="Z1001" s="3">
        <f>IF(tblOrdenes[[#This Row],[backlog_dias]]="","",IF(tblOrdenes[[#This Row],[backlog_dias]]&lt;0,"FUTURO",IF(tblOrdenes[[#This Row],[backlog_dias]]&gt;p_dias_backlog_max,"BACKLOG","MES CORRIENTE")))</f>
        <v/>
      </c>
      <c r="AA1001" s="3">
        <f>IF(tblOrdenes[[#This Row],[backlog_dias]]="",FALSE,AND(tblOrdenes[[#This Row],[backlog_dias]]&gt;p_dias_backlog_min,tblOrdenes[[#This Row],[backlog_dias]]&lt;=p_dias_backlog_max))</f>
        <v/>
      </c>
      <c r="AB1001" s="6" t="n"/>
      <c r="AC10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1" s="10">
        <f>IF(tblOrdenes[[#This Row],[orden]]="","",_xlfn.XLOOKUP(tblOrdenes[[#This Row],[id_operacion]],tblEjecucion[id_operacion],tblEjecucion[precio],0))</f>
        <v/>
      </c>
      <c r="AG1001" s="10">
        <f>IF(tblOrdenes[[#This Row],[orden]]="","",MAX(0,_xlfn.XLOOKUP(tblOrdenes[[#This Row],[id_operacion]],tblEjecucion[id_operacion],tblEjecucion[costo_plan_total],0)-tblOrdenes[[#This Row],[costo_servicio]]))</f>
        <v/>
      </c>
      <c r="AH1001" s="10">
        <f>IF(tblOrdenes[[#This Row],[orden]]="","",tblOrdenes[[#This Row],[costo_servicio]]+tblOrdenes[[#This Row],[costo_materiales]])</f>
        <v/>
      </c>
      <c r="AI1001" s="6" t="n"/>
      <c r="AJ1001" s="6" t="n"/>
      <c r="AK1001" s="6" t="n"/>
      <c r="AL1001" s="3">
        <f>IF(tblOrdenes[[#This Row],[link_checklist]]="","",HYPERLINK(p_ruta_base_checklists&amp;tblOrdenes[[#This Row],[link_checklist]],"abrir"))</f>
        <v/>
      </c>
      <c r="AM1001" s="6" t="n"/>
      <c r="AN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Row],[tipo_ot]]="","",_xlfn.XLOOKUP(tblOrdenes[[#This Row],[tipo_ot]],tblTiposOT[codigo],tblTiposOT[clasificacion],"sin_clasificar"))</f>
        <v/>
      </c>
      <c r="T1002" s="3">
        <f>IF(tblOrdenes[[#This Row],[centro_costo]]="","",_xlfn.XLOOKUP(tblOrdenes[[#This Row],[centro_costo]],tblCECO[codigo],tblCECO[linea],"(sin catálogo)"))</f>
        <v/>
      </c>
      <c r="U1002" s="3">
        <f>IF(tblOrdenes[[#This Row],[centro_costo]]="","",_xlfn.XLOOKUP(tblOrdenes[[#This Row],[centro_costo]],tblCECO[codigo],tblCECO[area],"(sin catálogo)"))</f>
        <v/>
      </c>
      <c r="V1002" s="3">
        <f>IF(tblOrdenes[[#This Row],[centro_costo]]="","",_xlfn.XLOOKUP(tblOrdenes[[#This Row],[centro_costo]],tblCECO[codigo],tblCECO[coordinador],"(sin catálogo)"))</f>
        <v/>
      </c>
      <c r="W1002" s="3">
        <f>IF(tblOrdenes[[#This Row],[puesto_trabajo]]="","",_xlfn.XLOOKUP(tblOrdenes[[#This Row],[puesto_trabajo]],tblPuestos[codigo],tblPuestos[especialidad],"(sin catálogo)"))</f>
        <v/>
      </c>
      <c r="X1002" s="3">
        <f>IF(tblOrdenes[[#This Row],[cod_actividad]]="","",_xlfn.XLOOKUP(tblOrdenes[[#This Row],[cod_actividad]],tblActividades[codigo],tblActividades[descripcion],"(sin catálogo)"))</f>
        <v/>
      </c>
      <c r="Y1002" s="12">
        <f>IF(tblOrdenes[[#This Row],[fecha_inicio]]="","",TODAY()-tblOrdenes[[#This Row],[fecha_inicio]])</f>
        <v/>
      </c>
      <c r="Z1002" s="3">
        <f>IF(tblOrdenes[[#This Row],[backlog_dias]]="","",IF(tblOrdenes[[#This Row],[backlog_dias]]&lt;0,"FUTURO",IF(tblOrdenes[[#This Row],[backlog_dias]]&gt;p_dias_backlog_max,"BACKLOG","MES CORRIENTE")))</f>
        <v/>
      </c>
      <c r="AA1002" s="3">
        <f>IF(tblOrdenes[[#This Row],[backlog_dias]]="",FALSE,AND(tblOrdenes[[#This Row],[backlog_dias]]&gt;p_dias_backlog_min,tblOrdenes[[#This Row],[backlog_dias]]&lt;=p_dias_backlog_max))</f>
        <v/>
      </c>
      <c r="AB1002" s="6" t="n"/>
      <c r="AC10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2" s="10">
        <f>IF(tblOrdenes[[#This Row],[orden]]="","",_xlfn.XLOOKUP(tblOrdenes[[#This Row],[id_operacion]],tblEjecucion[id_operacion],tblEjecucion[precio],0))</f>
        <v/>
      </c>
      <c r="AG1002" s="10">
        <f>IF(tblOrdenes[[#This Row],[orden]]="","",MAX(0,_xlfn.XLOOKUP(tblOrdenes[[#This Row],[id_operacion]],tblEjecucion[id_operacion],tblEjecucion[costo_plan_total],0)-tblOrdenes[[#This Row],[costo_servicio]]))</f>
        <v/>
      </c>
      <c r="AH1002" s="10">
        <f>IF(tblOrdenes[[#This Row],[orden]]="","",tblOrdenes[[#This Row],[costo_servicio]]+tblOrdenes[[#This Row],[costo_materiales]])</f>
        <v/>
      </c>
      <c r="AI1002" s="6" t="n"/>
      <c r="AJ1002" s="6" t="n"/>
      <c r="AK1002" s="6" t="n"/>
      <c r="AL1002" s="3">
        <f>IF(tblOrdenes[[#This Row],[link_checklist]]="","",HYPERLINK(p_ruta_base_checklists&amp;tblOrdenes[[#This Row],[link_checklist]],"abrir"))</f>
        <v/>
      </c>
      <c r="AM1002" s="6" t="n"/>
      <c r="AN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Row],[tipo_ot]]="","",_xlfn.XLOOKUP(tblOrdenes[[#This Row],[tipo_ot]],tblTiposOT[codigo],tblTiposOT[clasificacion],"sin_clasificar"))</f>
        <v/>
      </c>
      <c r="T1003" s="3">
        <f>IF(tblOrdenes[[#This Row],[centro_costo]]="","",_xlfn.XLOOKUP(tblOrdenes[[#This Row],[centro_costo]],tblCECO[codigo],tblCECO[linea],"(sin catálogo)"))</f>
        <v/>
      </c>
      <c r="U1003" s="3">
        <f>IF(tblOrdenes[[#This Row],[centro_costo]]="","",_xlfn.XLOOKUP(tblOrdenes[[#This Row],[centro_costo]],tblCECO[codigo],tblCECO[area],"(sin catálogo)"))</f>
        <v/>
      </c>
      <c r="V1003" s="3">
        <f>IF(tblOrdenes[[#This Row],[centro_costo]]="","",_xlfn.XLOOKUP(tblOrdenes[[#This Row],[centro_costo]],tblCECO[codigo],tblCECO[coordinador],"(sin catálogo)"))</f>
        <v/>
      </c>
      <c r="W1003" s="3">
        <f>IF(tblOrdenes[[#This Row],[puesto_trabajo]]="","",_xlfn.XLOOKUP(tblOrdenes[[#This Row],[puesto_trabajo]],tblPuestos[codigo],tblPuestos[especialidad],"(sin catálogo)"))</f>
        <v/>
      </c>
      <c r="X1003" s="3">
        <f>IF(tblOrdenes[[#This Row],[cod_actividad]]="","",_xlfn.XLOOKUP(tblOrdenes[[#This Row],[cod_actividad]],tblActividades[codigo],tblActividades[descripcion],"(sin catálogo)"))</f>
        <v/>
      </c>
      <c r="Y1003" s="12">
        <f>IF(tblOrdenes[[#This Row],[fecha_inicio]]="","",TODAY()-tblOrdenes[[#This Row],[fecha_inicio]])</f>
        <v/>
      </c>
      <c r="Z1003" s="3">
        <f>IF(tblOrdenes[[#This Row],[backlog_dias]]="","",IF(tblOrdenes[[#This Row],[backlog_dias]]&lt;0,"FUTURO",IF(tblOrdenes[[#This Row],[backlog_dias]]&gt;p_dias_backlog_max,"BACKLOG","MES CORRIENTE")))</f>
        <v/>
      </c>
      <c r="AA1003" s="3">
        <f>IF(tblOrdenes[[#This Row],[backlog_dias]]="",FALSE,AND(tblOrdenes[[#This Row],[backlog_dias]]&gt;p_dias_backlog_min,tblOrdenes[[#This Row],[backlog_dias]]&lt;=p_dias_backlog_max))</f>
        <v/>
      </c>
      <c r="AB1003" s="6" t="n"/>
      <c r="AC10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3" s="10">
        <f>IF(tblOrdenes[[#This Row],[orden]]="","",_xlfn.XLOOKUP(tblOrdenes[[#This Row],[id_operacion]],tblEjecucion[id_operacion],tblEjecucion[precio],0))</f>
        <v/>
      </c>
      <c r="AG1003" s="10">
        <f>IF(tblOrdenes[[#This Row],[orden]]="","",MAX(0,_xlfn.XLOOKUP(tblOrdenes[[#This Row],[id_operacion]],tblEjecucion[id_operacion],tblEjecucion[costo_plan_total],0)-tblOrdenes[[#This Row],[costo_servicio]]))</f>
        <v/>
      </c>
      <c r="AH1003" s="10">
        <f>IF(tblOrdenes[[#This Row],[orden]]="","",tblOrdenes[[#This Row],[costo_servicio]]+tblOrdenes[[#This Row],[costo_materiales]])</f>
        <v/>
      </c>
      <c r="AI1003" s="6" t="n"/>
      <c r="AJ1003" s="6" t="n"/>
      <c r="AK1003" s="6" t="n"/>
      <c r="AL1003" s="3">
        <f>IF(tblOrdenes[[#This Row],[link_checklist]]="","",HYPERLINK(p_ruta_base_checklists&amp;tblOrdenes[[#This Row],[link_checklist]],"abrir"))</f>
        <v/>
      </c>
      <c r="AM1003" s="6" t="n"/>
      <c r="AN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Row],[tipo_ot]]="","",_xlfn.XLOOKUP(tblOrdenes[[#This Row],[tipo_ot]],tblTiposOT[codigo],tblTiposOT[clasificacion],"sin_clasificar"))</f>
        <v/>
      </c>
      <c r="T1004" s="3">
        <f>IF(tblOrdenes[[#This Row],[centro_costo]]="","",_xlfn.XLOOKUP(tblOrdenes[[#This Row],[centro_costo]],tblCECO[codigo],tblCECO[linea],"(sin catálogo)"))</f>
        <v/>
      </c>
      <c r="U1004" s="3">
        <f>IF(tblOrdenes[[#This Row],[centro_costo]]="","",_xlfn.XLOOKUP(tblOrdenes[[#This Row],[centro_costo]],tblCECO[codigo],tblCECO[area],"(sin catálogo)"))</f>
        <v/>
      </c>
      <c r="V1004" s="3">
        <f>IF(tblOrdenes[[#This Row],[centro_costo]]="","",_xlfn.XLOOKUP(tblOrdenes[[#This Row],[centro_costo]],tblCECO[codigo],tblCECO[coordinador],"(sin catálogo)"))</f>
        <v/>
      </c>
      <c r="W1004" s="3">
        <f>IF(tblOrdenes[[#This Row],[puesto_trabajo]]="","",_xlfn.XLOOKUP(tblOrdenes[[#This Row],[puesto_trabajo]],tblPuestos[codigo],tblPuestos[especialidad],"(sin catálogo)"))</f>
        <v/>
      </c>
      <c r="X1004" s="3">
        <f>IF(tblOrdenes[[#This Row],[cod_actividad]]="","",_xlfn.XLOOKUP(tblOrdenes[[#This Row],[cod_actividad]],tblActividades[codigo],tblActividades[descripcion],"(sin catálogo)"))</f>
        <v/>
      </c>
      <c r="Y1004" s="12">
        <f>IF(tblOrdenes[[#This Row],[fecha_inicio]]="","",TODAY()-tblOrdenes[[#This Row],[fecha_inicio]])</f>
        <v/>
      </c>
      <c r="Z1004" s="3">
        <f>IF(tblOrdenes[[#This Row],[backlog_dias]]="","",IF(tblOrdenes[[#This Row],[backlog_dias]]&lt;0,"FUTURO",IF(tblOrdenes[[#This Row],[backlog_dias]]&gt;p_dias_backlog_max,"BACKLOG","MES CORRIENTE")))</f>
        <v/>
      </c>
      <c r="AA1004" s="3">
        <f>IF(tblOrdenes[[#This Row],[backlog_dias]]="",FALSE,AND(tblOrdenes[[#This Row],[backlog_dias]]&gt;p_dias_backlog_min,tblOrdenes[[#This Row],[backlog_dias]]&lt;=p_dias_backlog_max))</f>
        <v/>
      </c>
      <c r="AB1004" s="6" t="n"/>
      <c r="AC10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4" s="10">
        <f>IF(tblOrdenes[[#This Row],[orden]]="","",_xlfn.XLOOKUP(tblOrdenes[[#This Row],[id_operacion]],tblEjecucion[id_operacion],tblEjecucion[precio],0))</f>
        <v/>
      </c>
      <c r="AG1004" s="10">
        <f>IF(tblOrdenes[[#This Row],[orden]]="","",MAX(0,_xlfn.XLOOKUP(tblOrdenes[[#This Row],[id_operacion]],tblEjecucion[id_operacion],tblEjecucion[costo_plan_total],0)-tblOrdenes[[#This Row],[costo_servicio]]))</f>
        <v/>
      </c>
      <c r="AH1004" s="10">
        <f>IF(tblOrdenes[[#This Row],[orden]]="","",tblOrdenes[[#This Row],[costo_servicio]]+tblOrdenes[[#This Row],[costo_materiales]])</f>
        <v/>
      </c>
      <c r="AI1004" s="6" t="n"/>
      <c r="AJ1004" s="6" t="n"/>
      <c r="AK1004" s="6" t="n"/>
      <c r="AL1004" s="3">
        <f>IF(tblOrdenes[[#This Row],[link_checklist]]="","",HYPERLINK(p_ruta_base_checklists&amp;tblOrdenes[[#This Row],[link_checklist]],"abrir"))</f>
        <v/>
      </c>
      <c r="AM1004" s="6" t="n"/>
      <c r="AN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Row],[tipo_ot]]="","",_xlfn.XLOOKUP(tblOrdenes[[#This Row],[tipo_ot]],tblTiposOT[codigo],tblTiposOT[clasificacion],"sin_clasificar"))</f>
        <v/>
      </c>
      <c r="T1005" s="3">
        <f>IF(tblOrdenes[[#This Row],[centro_costo]]="","",_xlfn.XLOOKUP(tblOrdenes[[#This Row],[centro_costo]],tblCECO[codigo],tblCECO[linea],"(sin catálogo)"))</f>
        <v/>
      </c>
      <c r="U1005" s="3">
        <f>IF(tblOrdenes[[#This Row],[centro_costo]]="","",_xlfn.XLOOKUP(tblOrdenes[[#This Row],[centro_costo]],tblCECO[codigo],tblCECO[area],"(sin catálogo)"))</f>
        <v/>
      </c>
      <c r="V1005" s="3">
        <f>IF(tblOrdenes[[#This Row],[centro_costo]]="","",_xlfn.XLOOKUP(tblOrdenes[[#This Row],[centro_costo]],tblCECO[codigo],tblCECO[coordinador],"(sin catálogo)"))</f>
        <v/>
      </c>
      <c r="W1005" s="3">
        <f>IF(tblOrdenes[[#This Row],[puesto_trabajo]]="","",_xlfn.XLOOKUP(tblOrdenes[[#This Row],[puesto_trabajo]],tblPuestos[codigo],tblPuestos[especialidad],"(sin catálogo)"))</f>
        <v/>
      </c>
      <c r="X1005" s="3">
        <f>IF(tblOrdenes[[#This Row],[cod_actividad]]="","",_xlfn.XLOOKUP(tblOrdenes[[#This Row],[cod_actividad]],tblActividades[codigo],tblActividades[descripcion],"(sin catálogo)"))</f>
        <v/>
      </c>
      <c r="Y1005" s="12">
        <f>IF(tblOrdenes[[#This Row],[fecha_inicio]]="","",TODAY()-tblOrdenes[[#This Row],[fecha_inicio]])</f>
        <v/>
      </c>
      <c r="Z1005" s="3">
        <f>IF(tblOrdenes[[#This Row],[backlog_dias]]="","",IF(tblOrdenes[[#This Row],[backlog_dias]]&lt;0,"FUTURO",IF(tblOrdenes[[#This Row],[backlog_dias]]&gt;p_dias_backlog_max,"BACKLOG","MES CORRIENTE")))</f>
        <v/>
      </c>
      <c r="AA1005" s="3">
        <f>IF(tblOrdenes[[#This Row],[backlog_dias]]="",FALSE,AND(tblOrdenes[[#This Row],[backlog_dias]]&gt;p_dias_backlog_min,tblOrdenes[[#This Row],[backlog_dias]]&lt;=p_dias_backlog_max))</f>
        <v/>
      </c>
      <c r="AB1005" s="6" t="n"/>
      <c r="AC10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5" s="10">
        <f>IF(tblOrdenes[[#This Row],[orden]]="","",_xlfn.XLOOKUP(tblOrdenes[[#This Row],[id_operacion]],tblEjecucion[id_operacion],tblEjecucion[precio],0))</f>
        <v/>
      </c>
      <c r="AG1005" s="10">
        <f>IF(tblOrdenes[[#This Row],[orden]]="","",MAX(0,_xlfn.XLOOKUP(tblOrdenes[[#This Row],[id_operacion]],tblEjecucion[id_operacion],tblEjecucion[costo_plan_total],0)-tblOrdenes[[#This Row],[costo_servicio]]))</f>
        <v/>
      </c>
      <c r="AH1005" s="10">
        <f>IF(tblOrdenes[[#This Row],[orden]]="","",tblOrdenes[[#This Row],[costo_servicio]]+tblOrdenes[[#This Row],[costo_materiales]])</f>
        <v/>
      </c>
      <c r="AI1005" s="6" t="n"/>
      <c r="AJ1005" s="6" t="n"/>
      <c r="AK1005" s="6" t="n"/>
      <c r="AL1005" s="3">
        <f>IF(tblOrdenes[[#This Row],[link_checklist]]="","",HYPERLINK(p_ruta_base_checklists&amp;tblOrdenes[[#This Row],[link_checklist]],"abrir"))</f>
        <v/>
      </c>
      <c r="AM1005" s="6" t="n"/>
      <c r="AN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Row],[tipo_ot]]="","",_xlfn.XLOOKUP(tblOrdenes[[#This Row],[tipo_ot]],tblTiposOT[codigo],tblTiposOT[clasificacion],"sin_clasificar"))</f>
        <v/>
      </c>
      <c r="T1006" s="3">
        <f>IF(tblOrdenes[[#This Row],[centro_costo]]="","",_xlfn.XLOOKUP(tblOrdenes[[#This Row],[centro_costo]],tblCECO[codigo],tblCECO[linea],"(sin catálogo)"))</f>
        <v/>
      </c>
      <c r="U1006" s="3">
        <f>IF(tblOrdenes[[#This Row],[centro_costo]]="","",_xlfn.XLOOKUP(tblOrdenes[[#This Row],[centro_costo]],tblCECO[codigo],tblCECO[area],"(sin catálogo)"))</f>
        <v/>
      </c>
      <c r="V1006" s="3">
        <f>IF(tblOrdenes[[#This Row],[centro_costo]]="","",_xlfn.XLOOKUP(tblOrdenes[[#This Row],[centro_costo]],tblCECO[codigo],tblCECO[coordinador],"(sin catálogo)"))</f>
        <v/>
      </c>
      <c r="W1006" s="3">
        <f>IF(tblOrdenes[[#This Row],[puesto_trabajo]]="","",_xlfn.XLOOKUP(tblOrdenes[[#This Row],[puesto_trabajo]],tblPuestos[codigo],tblPuestos[especialidad],"(sin catálogo)"))</f>
        <v/>
      </c>
      <c r="X1006" s="3">
        <f>IF(tblOrdenes[[#This Row],[cod_actividad]]="","",_xlfn.XLOOKUP(tblOrdenes[[#This Row],[cod_actividad]],tblActividades[codigo],tblActividades[descripcion],"(sin catálogo)"))</f>
        <v/>
      </c>
      <c r="Y1006" s="12">
        <f>IF(tblOrdenes[[#This Row],[fecha_inicio]]="","",TODAY()-tblOrdenes[[#This Row],[fecha_inicio]])</f>
        <v/>
      </c>
      <c r="Z1006" s="3">
        <f>IF(tblOrdenes[[#This Row],[backlog_dias]]="","",IF(tblOrdenes[[#This Row],[backlog_dias]]&lt;0,"FUTURO",IF(tblOrdenes[[#This Row],[backlog_dias]]&gt;p_dias_backlog_max,"BACKLOG","MES CORRIENTE")))</f>
        <v/>
      </c>
      <c r="AA1006" s="3">
        <f>IF(tblOrdenes[[#This Row],[backlog_dias]]="",FALSE,AND(tblOrdenes[[#This Row],[backlog_dias]]&gt;p_dias_backlog_min,tblOrdenes[[#This Row],[backlog_dias]]&lt;=p_dias_backlog_max))</f>
        <v/>
      </c>
      <c r="AB1006" s="6" t="n"/>
      <c r="AC10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6" s="10">
        <f>IF(tblOrdenes[[#This Row],[orden]]="","",_xlfn.XLOOKUP(tblOrdenes[[#This Row],[id_operacion]],tblEjecucion[id_operacion],tblEjecucion[precio],0))</f>
        <v/>
      </c>
      <c r="AG1006" s="10">
        <f>IF(tblOrdenes[[#This Row],[orden]]="","",MAX(0,_xlfn.XLOOKUP(tblOrdenes[[#This Row],[id_operacion]],tblEjecucion[id_operacion],tblEjecucion[costo_plan_total],0)-tblOrdenes[[#This Row],[costo_servicio]]))</f>
        <v/>
      </c>
      <c r="AH1006" s="10">
        <f>IF(tblOrdenes[[#This Row],[orden]]="","",tblOrdenes[[#This Row],[costo_servicio]]+tblOrdenes[[#This Row],[costo_materiales]])</f>
        <v/>
      </c>
      <c r="AI1006" s="6" t="n"/>
      <c r="AJ1006" s="6" t="n"/>
      <c r="AK1006" s="6" t="n"/>
      <c r="AL1006" s="3">
        <f>IF(tblOrdenes[[#This Row],[link_checklist]]="","",HYPERLINK(p_ruta_base_checklists&amp;tblOrdenes[[#This Row],[link_checklist]],"abrir"))</f>
        <v/>
      </c>
      <c r="AM1006" s="6" t="n"/>
      <c r="AN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Row],[tipo_ot]]="","",_xlfn.XLOOKUP(tblOrdenes[[#This Row],[tipo_ot]],tblTiposOT[codigo],tblTiposOT[clasificacion],"sin_clasificar"))</f>
        <v/>
      </c>
      <c r="T1007" s="3">
        <f>IF(tblOrdenes[[#This Row],[centro_costo]]="","",_xlfn.XLOOKUP(tblOrdenes[[#This Row],[centro_costo]],tblCECO[codigo],tblCECO[linea],"(sin catálogo)"))</f>
        <v/>
      </c>
      <c r="U1007" s="3">
        <f>IF(tblOrdenes[[#This Row],[centro_costo]]="","",_xlfn.XLOOKUP(tblOrdenes[[#This Row],[centro_costo]],tblCECO[codigo],tblCECO[area],"(sin catálogo)"))</f>
        <v/>
      </c>
      <c r="V1007" s="3">
        <f>IF(tblOrdenes[[#This Row],[centro_costo]]="","",_xlfn.XLOOKUP(tblOrdenes[[#This Row],[centro_costo]],tblCECO[codigo],tblCECO[coordinador],"(sin catálogo)"))</f>
        <v/>
      </c>
      <c r="W1007" s="3">
        <f>IF(tblOrdenes[[#This Row],[puesto_trabajo]]="","",_xlfn.XLOOKUP(tblOrdenes[[#This Row],[puesto_trabajo]],tblPuestos[codigo],tblPuestos[especialidad],"(sin catálogo)"))</f>
        <v/>
      </c>
      <c r="X1007" s="3">
        <f>IF(tblOrdenes[[#This Row],[cod_actividad]]="","",_xlfn.XLOOKUP(tblOrdenes[[#This Row],[cod_actividad]],tblActividades[codigo],tblActividades[descripcion],"(sin catálogo)"))</f>
        <v/>
      </c>
      <c r="Y1007" s="12">
        <f>IF(tblOrdenes[[#This Row],[fecha_inicio]]="","",TODAY()-tblOrdenes[[#This Row],[fecha_inicio]])</f>
        <v/>
      </c>
      <c r="Z1007" s="3">
        <f>IF(tblOrdenes[[#This Row],[backlog_dias]]="","",IF(tblOrdenes[[#This Row],[backlog_dias]]&lt;0,"FUTURO",IF(tblOrdenes[[#This Row],[backlog_dias]]&gt;p_dias_backlog_max,"BACKLOG","MES CORRIENTE")))</f>
        <v/>
      </c>
      <c r="AA1007" s="3">
        <f>IF(tblOrdenes[[#This Row],[backlog_dias]]="",FALSE,AND(tblOrdenes[[#This Row],[backlog_dias]]&gt;p_dias_backlog_min,tblOrdenes[[#This Row],[backlog_dias]]&lt;=p_dias_backlog_max))</f>
        <v/>
      </c>
      <c r="AB1007" s="6" t="n"/>
      <c r="AC10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7" s="10">
        <f>IF(tblOrdenes[[#This Row],[orden]]="","",_xlfn.XLOOKUP(tblOrdenes[[#This Row],[id_operacion]],tblEjecucion[id_operacion],tblEjecucion[precio],0))</f>
        <v/>
      </c>
      <c r="AG1007" s="10">
        <f>IF(tblOrdenes[[#This Row],[orden]]="","",MAX(0,_xlfn.XLOOKUP(tblOrdenes[[#This Row],[id_operacion]],tblEjecucion[id_operacion],tblEjecucion[costo_plan_total],0)-tblOrdenes[[#This Row],[costo_servicio]]))</f>
        <v/>
      </c>
      <c r="AH1007" s="10">
        <f>IF(tblOrdenes[[#This Row],[orden]]="","",tblOrdenes[[#This Row],[costo_servicio]]+tblOrdenes[[#This Row],[costo_materiales]])</f>
        <v/>
      </c>
      <c r="AI1007" s="6" t="n"/>
      <c r="AJ1007" s="6" t="n"/>
      <c r="AK1007" s="6" t="n"/>
      <c r="AL1007" s="3">
        <f>IF(tblOrdenes[[#This Row],[link_checklist]]="","",HYPERLINK(p_ruta_base_checklists&amp;tblOrdenes[[#This Row],[link_checklist]],"abrir"))</f>
        <v/>
      </c>
      <c r="AM1007" s="6" t="n"/>
      <c r="AN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Row],[tipo_ot]]="","",_xlfn.XLOOKUP(tblOrdenes[[#This Row],[tipo_ot]],tblTiposOT[codigo],tblTiposOT[clasificacion],"sin_clasificar"))</f>
        <v/>
      </c>
      <c r="T1008" s="3">
        <f>IF(tblOrdenes[[#This Row],[centro_costo]]="","",_xlfn.XLOOKUP(tblOrdenes[[#This Row],[centro_costo]],tblCECO[codigo],tblCECO[linea],"(sin catálogo)"))</f>
        <v/>
      </c>
      <c r="U1008" s="3">
        <f>IF(tblOrdenes[[#This Row],[centro_costo]]="","",_xlfn.XLOOKUP(tblOrdenes[[#This Row],[centro_costo]],tblCECO[codigo],tblCECO[area],"(sin catálogo)"))</f>
        <v/>
      </c>
      <c r="V1008" s="3">
        <f>IF(tblOrdenes[[#This Row],[centro_costo]]="","",_xlfn.XLOOKUP(tblOrdenes[[#This Row],[centro_costo]],tblCECO[codigo],tblCECO[coordinador],"(sin catálogo)"))</f>
        <v/>
      </c>
      <c r="W1008" s="3">
        <f>IF(tblOrdenes[[#This Row],[puesto_trabajo]]="","",_xlfn.XLOOKUP(tblOrdenes[[#This Row],[puesto_trabajo]],tblPuestos[codigo],tblPuestos[especialidad],"(sin catálogo)"))</f>
        <v/>
      </c>
      <c r="X1008" s="3">
        <f>IF(tblOrdenes[[#This Row],[cod_actividad]]="","",_xlfn.XLOOKUP(tblOrdenes[[#This Row],[cod_actividad]],tblActividades[codigo],tblActividades[descripcion],"(sin catálogo)"))</f>
        <v/>
      </c>
      <c r="Y1008" s="12">
        <f>IF(tblOrdenes[[#This Row],[fecha_inicio]]="","",TODAY()-tblOrdenes[[#This Row],[fecha_inicio]])</f>
        <v/>
      </c>
      <c r="Z1008" s="3">
        <f>IF(tblOrdenes[[#This Row],[backlog_dias]]="","",IF(tblOrdenes[[#This Row],[backlog_dias]]&lt;0,"FUTURO",IF(tblOrdenes[[#This Row],[backlog_dias]]&gt;p_dias_backlog_max,"BACKLOG","MES CORRIENTE")))</f>
        <v/>
      </c>
      <c r="AA1008" s="3">
        <f>IF(tblOrdenes[[#This Row],[backlog_dias]]="",FALSE,AND(tblOrdenes[[#This Row],[backlog_dias]]&gt;p_dias_backlog_min,tblOrdenes[[#This Row],[backlog_dias]]&lt;=p_dias_backlog_max))</f>
        <v/>
      </c>
      <c r="AB1008" s="6" t="n"/>
      <c r="AC10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8" s="10">
        <f>IF(tblOrdenes[[#This Row],[orden]]="","",_xlfn.XLOOKUP(tblOrdenes[[#This Row],[id_operacion]],tblEjecucion[id_operacion],tblEjecucion[precio],0))</f>
        <v/>
      </c>
      <c r="AG1008" s="10">
        <f>IF(tblOrdenes[[#This Row],[orden]]="","",MAX(0,_xlfn.XLOOKUP(tblOrdenes[[#This Row],[id_operacion]],tblEjecucion[id_operacion],tblEjecucion[costo_plan_total],0)-tblOrdenes[[#This Row],[costo_servicio]]))</f>
        <v/>
      </c>
      <c r="AH1008" s="10">
        <f>IF(tblOrdenes[[#This Row],[orden]]="","",tblOrdenes[[#This Row],[costo_servicio]]+tblOrdenes[[#This Row],[costo_materiales]])</f>
        <v/>
      </c>
      <c r="AI1008" s="6" t="n"/>
      <c r="AJ1008" s="6" t="n"/>
      <c r="AK1008" s="6" t="n"/>
      <c r="AL1008" s="3">
        <f>IF(tblOrdenes[[#This Row],[link_checklist]]="","",HYPERLINK(p_ruta_base_checklists&amp;tblOrdenes[[#This Row],[link_checklist]],"abrir"))</f>
        <v/>
      </c>
      <c r="AM1008" s="6" t="n"/>
      <c r="AN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Row],[tipo_ot]]="","",_xlfn.XLOOKUP(tblOrdenes[[#This Row],[tipo_ot]],tblTiposOT[codigo],tblTiposOT[clasificacion],"sin_clasificar"))</f>
        <v/>
      </c>
      <c r="T1009" s="3">
        <f>IF(tblOrdenes[[#This Row],[centro_costo]]="","",_xlfn.XLOOKUP(tblOrdenes[[#This Row],[centro_costo]],tblCECO[codigo],tblCECO[linea],"(sin catálogo)"))</f>
        <v/>
      </c>
      <c r="U1009" s="3">
        <f>IF(tblOrdenes[[#This Row],[centro_costo]]="","",_xlfn.XLOOKUP(tblOrdenes[[#This Row],[centro_costo]],tblCECO[codigo],tblCECO[area],"(sin catálogo)"))</f>
        <v/>
      </c>
      <c r="V1009" s="3">
        <f>IF(tblOrdenes[[#This Row],[centro_costo]]="","",_xlfn.XLOOKUP(tblOrdenes[[#This Row],[centro_costo]],tblCECO[codigo],tblCECO[coordinador],"(sin catálogo)"))</f>
        <v/>
      </c>
      <c r="W1009" s="3">
        <f>IF(tblOrdenes[[#This Row],[puesto_trabajo]]="","",_xlfn.XLOOKUP(tblOrdenes[[#This Row],[puesto_trabajo]],tblPuestos[codigo],tblPuestos[especialidad],"(sin catálogo)"))</f>
        <v/>
      </c>
      <c r="X1009" s="3">
        <f>IF(tblOrdenes[[#This Row],[cod_actividad]]="","",_xlfn.XLOOKUP(tblOrdenes[[#This Row],[cod_actividad]],tblActividades[codigo],tblActividades[descripcion],"(sin catálogo)"))</f>
        <v/>
      </c>
      <c r="Y1009" s="12">
        <f>IF(tblOrdenes[[#This Row],[fecha_inicio]]="","",TODAY()-tblOrdenes[[#This Row],[fecha_inicio]])</f>
        <v/>
      </c>
      <c r="Z1009" s="3">
        <f>IF(tblOrdenes[[#This Row],[backlog_dias]]="","",IF(tblOrdenes[[#This Row],[backlog_dias]]&lt;0,"FUTURO",IF(tblOrdenes[[#This Row],[backlog_dias]]&gt;p_dias_backlog_max,"BACKLOG","MES CORRIENTE")))</f>
        <v/>
      </c>
      <c r="AA1009" s="3">
        <f>IF(tblOrdenes[[#This Row],[backlog_dias]]="",FALSE,AND(tblOrdenes[[#This Row],[backlog_dias]]&gt;p_dias_backlog_min,tblOrdenes[[#This Row],[backlog_dias]]&lt;=p_dias_backlog_max))</f>
        <v/>
      </c>
      <c r="AB1009" s="6" t="n"/>
      <c r="AC10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9" s="10">
        <f>IF(tblOrdenes[[#This Row],[orden]]="","",_xlfn.XLOOKUP(tblOrdenes[[#This Row],[id_operacion]],tblEjecucion[id_operacion],tblEjecucion[precio],0))</f>
        <v/>
      </c>
      <c r="AG1009" s="10">
        <f>IF(tblOrdenes[[#This Row],[orden]]="","",MAX(0,_xlfn.XLOOKUP(tblOrdenes[[#This Row],[id_operacion]],tblEjecucion[id_operacion],tblEjecucion[costo_plan_total],0)-tblOrdenes[[#This Row],[costo_servicio]]))</f>
        <v/>
      </c>
      <c r="AH1009" s="10">
        <f>IF(tblOrdenes[[#This Row],[orden]]="","",tblOrdenes[[#This Row],[costo_servicio]]+tblOrdenes[[#This Row],[costo_materiales]])</f>
        <v/>
      </c>
      <c r="AI1009" s="6" t="n"/>
      <c r="AJ1009" s="6" t="n"/>
      <c r="AK1009" s="6" t="n"/>
      <c r="AL1009" s="3">
        <f>IF(tblOrdenes[[#This Row],[link_checklist]]="","",HYPERLINK(p_ruta_base_checklists&amp;tblOrdenes[[#This Row],[link_checklist]],"abrir"))</f>
        <v/>
      </c>
      <c r="AM1009" s="6" t="n"/>
      <c r="AN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Row],[tipo_ot]]="","",_xlfn.XLOOKUP(tblOrdenes[[#This Row],[tipo_ot]],tblTiposOT[codigo],tblTiposOT[clasificacion],"sin_clasificar"))</f>
        <v/>
      </c>
      <c r="T1010" s="3">
        <f>IF(tblOrdenes[[#This Row],[centro_costo]]="","",_xlfn.XLOOKUP(tblOrdenes[[#This Row],[centro_costo]],tblCECO[codigo],tblCECO[linea],"(sin catálogo)"))</f>
        <v/>
      </c>
      <c r="U1010" s="3">
        <f>IF(tblOrdenes[[#This Row],[centro_costo]]="","",_xlfn.XLOOKUP(tblOrdenes[[#This Row],[centro_costo]],tblCECO[codigo],tblCECO[area],"(sin catálogo)"))</f>
        <v/>
      </c>
      <c r="V1010" s="3">
        <f>IF(tblOrdenes[[#This Row],[centro_costo]]="","",_xlfn.XLOOKUP(tblOrdenes[[#This Row],[centro_costo]],tblCECO[codigo],tblCECO[coordinador],"(sin catálogo)"))</f>
        <v/>
      </c>
      <c r="W1010" s="3">
        <f>IF(tblOrdenes[[#This Row],[puesto_trabajo]]="","",_xlfn.XLOOKUP(tblOrdenes[[#This Row],[puesto_trabajo]],tblPuestos[codigo],tblPuestos[especialidad],"(sin catálogo)"))</f>
        <v/>
      </c>
      <c r="X1010" s="3">
        <f>IF(tblOrdenes[[#This Row],[cod_actividad]]="","",_xlfn.XLOOKUP(tblOrdenes[[#This Row],[cod_actividad]],tblActividades[codigo],tblActividades[descripcion],"(sin catálogo)"))</f>
        <v/>
      </c>
      <c r="Y1010" s="12">
        <f>IF(tblOrdenes[[#This Row],[fecha_inicio]]="","",TODAY()-tblOrdenes[[#This Row],[fecha_inicio]])</f>
        <v/>
      </c>
      <c r="Z1010" s="3">
        <f>IF(tblOrdenes[[#This Row],[backlog_dias]]="","",IF(tblOrdenes[[#This Row],[backlog_dias]]&lt;0,"FUTURO",IF(tblOrdenes[[#This Row],[backlog_dias]]&gt;p_dias_backlog_max,"BACKLOG","MES CORRIENTE")))</f>
        <v/>
      </c>
      <c r="AA1010" s="3">
        <f>IF(tblOrdenes[[#This Row],[backlog_dias]]="",FALSE,AND(tblOrdenes[[#This Row],[backlog_dias]]&gt;p_dias_backlog_min,tblOrdenes[[#This Row],[backlog_dias]]&lt;=p_dias_backlog_max))</f>
        <v/>
      </c>
      <c r="AB1010" s="6" t="n"/>
      <c r="AC10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0" s="10">
        <f>IF(tblOrdenes[[#This Row],[orden]]="","",_xlfn.XLOOKUP(tblOrdenes[[#This Row],[id_operacion]],tblEjecucion[id_operacion],tblEjecucion[precio],0))</f>
        <v/>
      </c>
      <c r="AG1010" s="10">
        <f>IF(tblOrdenes[[#This Row],[orden]]="","",MAX(0,_xlfn.XLOOKUP(tblOrdenes[[#This Row],[id_operacion]],tblEjecucion[id_operacion],tblEjecucion[costo_plan_total],0)-tblOrdenes[[#This Row],[costo_servicio]]))</f>
        <v/>
      </c>
      <c r="AH1010" s="10">
        <f>IF(tblOrdenes[[#This Row],[orden]]="","",tblOrdenes[[#This Row],[costo_servicio]]+tblOrdenes[[#This Row],[costo_materiales]])</f>
        <v/>
      </c>
      <c r="AI1010" s="6" t="n"/>
      <c r="AJ1010" s="6" t="n"/>
      <c r="AK1010" s="6" t="n"/>
      <c r="AL1010" s="3">
        <f>IF(tblOrdenes[[#This Row],[link_checklist]]="","",HYPERLINK(p_ruta_base_checklists&amp;tblOrdenes[[#This Row],[link_checklist]],"abrir"))</f>
        <v/>
      </c>
      <c r="AM1010" s="6" t="n"/>
      <c r="AN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Row],[tipo_ot]]="","",_xlfn.XLOOKUP(tblOrdenes[[#This Row],[tipo_ot]],tblTiposOT[codigo],tblTiposOT[clasificacion],"sin_clasificar"))</f>
        <v/>
      </c>
      <c r="T1011" s="3">
        <f>IF(tblOrdenes[[#This Row],[centro_costo]]="","",_xlfn.XLOOKUP(tblOrdenes[[#This Row],[centro_costo]],tblCECO[codigo],tblCECO[linea],"(sin catálogo)"))</f>
        <v/>
      </c>
      <c r="U1011" s="3">
        <f>IF(tblOrdenes[[#This Row],[centro_costo]]="","",_xlfn.XLOOKUP(tblOrdenes[[#This Row],[centro_costo]],tblCECO[codigo],tblCECO[area],"(sin catálogo)"))</f>
        <v/>
      </c>
      <c r="V1011" s="3">
        <f>IF(tblOrdenes[[#This Row],[centro_costo]]="","",_xlfn.XLOOKUP(tblOrdenes[[#This Row],[centro_costo]],tblCECO[codigo],tblCECO[coordinador],"(sin catálogo)"))</f>
        <v/>
      </c>
      <c r="W1011" s="3">
        <f>IF(tblOrdenes[[#This Row],[puesto_trabajo]]="","",_xlfn.XLOOKUP(tblOrdenes[[#This Row],[puesto_trabajo]],tblPuestos[codigo],tblPuestos[especialidad],"(sin catálogo)"))</f>
        <v/>
      </c>
      <c r="X1011" s="3">
        <f>IF(tblOrdenes[[#This Row],[cod_actividad]]="","",_xlfn.XLOOKUP(tblOrdenes[[#This Row],[cod_actividad]],tblActividades[codigo],tblActividades[descripcion],"(sin catálogo)"))</f>
        <v/>
      </c>
      <c r="Y1011" s="12">
        <f>IF(tblOrdenes[[#This Row],[fecha_inicio]]="","",TODAY()-tblOrdenes[[#This Row],[fecha_inicio]])</f>
        <v/>
      </c>
      <c r="Z1011" s="3">
        <f>IF(tblOrdenes[[#This Row],[backlog_dias]]="","",IF(tblOrdenes[[#This Row],[backlog_dias]]&lt;0,"FUTURO",IF(tblOrdenes[[#This Row],[backlog_dias]]&gt;p_dias_backlog_max,"BACKLOG","MES CORRIENTE")))</f>
        <v/>
      </c>
      <c r="AA1011" s="3">
        <f>IF(tblOrdenes[[#This Row],[backlog_dias]]="",FALSE,AND(tblOrdenes[[#This Row],[backlog_dias]]&gt;p_dias_backlog_min,tblOrdenes[[#This Row],[backlog_dias]]&lt;=p_dias_backlog_max))</f>
        <v/>
      </c>
      <c r="AB1011" s="6" t="n"/>
      <c r="AC10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1" s="10">
        <f>IF(tblOrdenes[[#This Row],[orden]]="","",_xlfn.XLOOKUP(tblOrdenes[[#This Row],[id_operacion]],tblEjecucion[id_operacion],tblEjecucion[precio],0))</f>
        <v/>
      </c>
      <c r="AG1011" s="10">
        <f>IF(tblOrdenes[[#This Row],[orden]]="","",MAX(0,_xlfn.XLOOKUP(tblOrdenes[[#This Row],[id_operacion]],tblEjecucion[id_operacion],tblEjecucion[costo_plan_total],0)-tblOrdenes[[#This Row],[costo_servicio]]))</f>
        <v/>
      </c>
      <c r="AH1011" s="10">
        <f>IF(tblOrdenes[[#This Row],[orden]]="","",tblOrdenes[[#This Row],[costo_servicio]]+tblOrdenes[[#This Row],[costo_materiales]])</f>
        <v/>
      </c>
      <c r="AI1011" s="6" t="n"/>
      <c r="AJ1011" s="6" t="n"/>
      <c r="AK1011" s="6" t="n"/>
      <c r="AL1011" s="3">
        <f>IF(tblOrdenes[[#This Row],[link_checklist]]="","",HYPERLINK(p_ruta_base_checklists&amp;tblOrdenes[[#This Row],[link_checklist]],"abrir"))</f>
        <v/>
      </c>
      <c r="AM1011" s="6" t="n"/>
      <c r="AN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Row],[tipo_ot]]="","",_xlfn.XLOOKUP(tblOrdenes[[#This Row],[tipo_ot]],tblTiposOT[codigo],tblTiposOT[clasificacion],"sin_clasificar"))</f>
        <v/>
      </c>
      <c r="T1012" s="3">
        <f>IF(tblOrdenes[[#This Row],[centro_costo]]="","",_xlfn.XLOOKUP(tblOrdenes[[#This Row],[centro_costo]],tblCECO[codigo],tblCECO[linea],"(sin catálogo)"))</f>
        <v/>
      </c>
      <c r="U1012" s="3">
        <f>IF(tblOrdenes[[#This Row],[centro_costo]]="","",_xlfn.XLOOKUP(tblOrdenes[[#This Row],[centro_costo]],tblCECO[codigo],tblCECO[area],"(sin catálogo)"))</f>
        <v/>
      </c>
      <c r="V1012" s="3">
        <f>IF(tblOrdenes[[#This Row],[centro_costo]]="","",_xlfn.XLOOKUP(tblOrdenes[[#This Row],[centro_costo]],tblCECO[codigo],tblCECO[coordinador],"(sin catálogo)"))</f>
        <v/>
      </c>
      <c r="W1012" s="3">
        <f>IF(tblOrdenes[[#This Row],[puesto_trabajo]]="","",_xlfn.XLOOKUP(tblOrdenes[[#This Row],[puesto_trabajo]],tblPuestos[codigo],tblPuestos[especialidad],"(sin catálogo)"))</f>
        <v/>
      </c>
      <c r="X1012" s="3">
        <f>IF(tblOrdenes[[#This Row],[cod_actividad]]="","",_xlfn.XLOOKUP(tblOrdenes[[#This Row],[cod_actividad]],tblActividades[codigo],tblActividades[descripcion],"(sin catálogo)"))</f>
        <v/>
      </c>
      <c r="Y1012" s="12">
        <f>IF(tblOrdenes[[#This Row],[fecha_inicio]]="","",TODAY()-tblOrdenes[[#This Row],[fecha_inicio]])</f>
        <v/>
      </c>
      <c r="Z1012" s="3">
        <f>IF(tblOrdenes[[#This Row],[backlog_dias]]="","",IF(tblOrdenes[[#This Row],[backlog_dias]]&lt;0,"FUTURO",IF(tblOrdenes[[#This Row],[backlog_dias]]&gt;p_dias_backlog_max,"BACKLOG","MES CORRIENTE")))</f>
        <v/>
      </c>
      <c r="AA1012" s="3">
        <f>IF(tblOrdenes[[#This Row],[backlog_dias]]="",FALSE,AND(tblOrdenes[[#This Row],[backlog_dias]]&gt;p_dias_backlog_min,tblOrdenes[[#This Row],[backlog_dias]]&lt;=p_dias_backlog_max))</f>
        <v/>
      </c>
      <c r="AB1012" s="6" t="n"/>
      <c r="AC10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2" s="10">
        <f>IF(tblOrdenes[[#This Row],[orden]]="","",_xlfn.XLOOKUP(tblOrdenes[[#This Row],[id_operacion]],tblEjecucion[id_operacion],tblEjecucion[precio],0))</f>
        <v/>
      </c>
      <c r="AG1012" s="10">
        <f>IF(tblOrdenes[[#This Row],[orden]]="","",MAX(0,_xlfn.XLOOKUP(tblOrdenes[[#This Row],[id_operacion]],tblEjecucion[id_operacion],tblEjecucion[costo_plan_total],0)-tblOrdenes[[#This Row],[costo_servicio]]))</f>
        <v/>
      </c>
      <c r="AH1012" s="10">
        <f>IF(tblOrdenes[[#This Row],[orden]]="","",tblOrdenes[[#This Row],[costo_servicio]]+tblOrdenes[[#This Row],[costo_materiales]])</f>
        <v/>
      </c>
      <c r="AI1012" s="6" t="n"/>
      <c r="AJ1012" s="6" t="n"/>
      <c r="AK1012" s="6" t="n"/>
      <c r="AL1012" s="3">
        <f>IF(tblOrdenes[[#This Row],[link_checklist]]="","",HYPERLINK(p_ruta_base_checklists&amp;tblOrdenes[[#This Row],[link_checklist]],"abrir"))</f>
        <v/>
      </c>
      <c r="AM1012" s="6" t="n"/>
      <c r="AN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Row],[tipo_ot]]="","",_xlfn.XLOOKUP(tblOrdenes[[#This Row],[tipo_ot]],tblTiposOT[codigo],tblTiposOT[clasificacion],"sin_clasificar"))</f>
        <v/>
      </c>
      <c r="T1013" s="3">
        <f>IF(tblOrdenes[[#This Row],[centro_costo]]="","",_xlfn.XLOOKUP(tblOrdenes[[#This Row],[centro_costo]],tblCECO[codigo],tblCECO[linea],"(sin catálogo)"))</f>
        <v/>
      </c>
      <c r="U1013" s="3">
        <f>IF(tblOrdenes[[#This Row],[centro_costo]]="","",_xlfn.XLOOKUP(tblOrdenes[[#This Row],[centro_costo]],tblCECO[codigo],tblCECO[area],"(sin catálogo)"))</f>
        <v/>
      </c>
      <c r="V1013" s="3">
        <f>IF(tblOrdenes[[#This Row],[centro_costo]]="","",_xlfn.XLOOKUP(tblOrdenes[[#This Row],[centro_costo]],tblCECO[codigo],tblCECO[coordinador],"(sin catálogo)"))</f>
        <v/>
      </c>
      <c r="W1013" s="3">
        <f>IF(tblOrdenes[[#This Row],[puesto_trabajo]]="","",_xlfn.XLOOKUP(tblOrdenes[[#This Row],[puesto_trabajo]],tblPuestos[codigo],tblPuestos[especialidad],"(sin catálogo)"))</f>
        <v/>
      </c>
      <c r="X1013" s="3">
        <f>IF(tblOrdenes[[#This Row],[cod_actividad]]="","",_xlfn.XLOOKUP(tblOrdenes[[#This Row],[cod_actividad]],tblActividades[codigo],tblActividades[descripcion],"(sin catálogo)"))</f>
        <v/>
      </c>
      <c r="Y1013" s="12">
        <f>IF(tblOrdenes[[#This Row],[fecha_inicio]]="","",TODAY()-tblOrdenes[[#This Row],[fecha_inicio]])</f>
        <v/>
      </c>
      <c r="Z1013" s="3">
        <f>IF(tblOrdenes[[#This Row],[backlog_dias]]="","",IF(tblOrdenes[[#This Row],[backlog_dias]]&lt;0,"FUTURO",IF(tblOrdenes[[#This Row],[backlog_dias]]&gt;p_dias_backlog_max,"BACKLOG","MES CORRIENTE")))</f>
        <v/>
      </c>
      <c r="AA1013" s="3">
        <f>IF(tblOrdenes[[#This Row],[backlog_dias]]="",FALSE,AND(tblOrdenes[[#This Row],[backlog_dias]]&gt;p_dias_backlog_min,tblOrdenes[[#This Row],[backlog_dias]]&lt;=p_dias_backlog_max))</f>
        <v/>
      </c>
      <c r="AB1013" s="6" t="n"/>
      <c r="AC10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3" s="10">
        <f>IF(tblOrdenes[[#This Row],[orden]]="","",_xlfn.XLOOKUP(tblOrdenes[[#This Row],[id_operacion]],tblEjecucion[id_operacion],tblEjecucion[precio],0))</f>
        <v/>
      </c>
      <c r="AG1013" s="10">
        <f>IF(tblOrdenes[[#This Row],[orden]]="","",MAX(0,_xlfn.XLOOKUP(tblOrdenes[[#This Row],[id_operacion]],tblEjecucion[id_operacion],tblEjecucion[costo_plan_total],0)-tblOrdenes[[#This Row],[costo_servicio]]))</f>
        <v/>
      </c>
      <c r="AH1013" s="10">
        <f>IF(tblOrdenes[[#This Row],[orden]]="","",tblOrdenes[[#This Row],[costo_servicio]]+tblOrdenes[[#This Row],[costo_materiales]])</f>
        <v/>
      </c>
      <c r="AI1013" s="6" t="n"/>
      <c r="AJ1013" s="6" t="n"/>
      <c r="AK1013" s="6" t="n"/>
      <c r="AL1013" s="3">
        <f>IF(tblOrdenes[[#This Row],[link_checklist]]="","",HYPERLINK(p_ruta_base_checklists&amp;tblOrdenes[[#This Row],[link_checklist]],"abrir"))</f>
        <v/>
      </c>
      <c r="AM1013" s="6" t="n"/>
      <c r="AN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Row],[tipo_ot]]="","",_xlfn.XLOOKUP(tblOrdenes[[#This Row],[tipo_ot]],tblTiposOT[codigo],tblTiposOT[clasificacion],"sin_clasificar"))</f>
        <v/>
      </c>
      <c r="T1014" s="3">
        <f>IF(tblOrdenes[[#This Row],[centro_costo]]="","",_xlfn.XLOOKUP(tblOrdenes[[#This Row],[centro_costo]],tblCECO[codigo],tblCECO[linea],"(sin catálogo)"))</f>
        <v/>
      </c>
      <c r="U1014" s="3">
        <f>IF(tblOrdenes[[#This Row],[centro_costo]]="","",_xlfn.XLOOKUP(tblOrdenes[[#This Row],[centro_costo]],tblCECO[codigo],tblCECO[area],"(sin catálogo)"))</f>
        <v/>
      </c>
      <c r="V1014" s="3">
        <f>IF(tblOrdenes[[#This Row],[centro_costo]]="","",_xlfn.XLOOKUP(tblOrdenes[[#This Row],[centro_costo]],tblCECO[codigo],tblCECO[coordinador],"(sin catálogo)"))</f>
        <v/>
      </c>
      <c r="W1014" s="3">
        <f>IF(tblOrdenes[[#This Row],[puesto_trabajo]]="","",_xlfn.XLOOKUP(tblOrdenes[[#This Row],[puesto_trabajo]],tblPuestos[codigo],tblPuestos[especialidad],"(sin catálogo)"))</f>
        <v/>
      </c>
      <c r="X1014" s="3">
        <f>IF(tblOrdenes[[#This Row],[cod_actividad]]="","",_xlfn.XLOOKUP(tblOrdenes[[#This Row],[cod_actividad]],tblActividades[codigo],tblActividades[descripcion],"(sin catálogo)"))</f>
        <v/>
      </c>
      <c r="Y1014" s="12">
        <f>IF(tblOrdenes[[#This Row],[fecha_inicio]]="","",TODAY()-tblOrdenes[[#This Row],[fecha_inicio]])</f>
        <v/>
      </c>
      <c r="Z1014" s="3">
        <f>IF(tblOrdenes[[#This Row],[backlog_dias]]="","",IF(tblOrdenes[[#This Row],[backlog_dias]]&lt;0,"FUTURO",IF(tblOrdenes[[#This Row],[backlog_dias]]&gt;p_dias_backlog_max,"BACKLOG","MES CORRIENTE")))</f>
        <v/>
      </c>
      <c r="AA1014" s="3">
        <f>IF(tblOrdenes[[#This Row],[backlog_dias]]="",FALSE,AND(tblOrdenes[[#This Row],[backlog_dias]]&gt;p_dias_backlog_min,tblOrdenes[[#This Row],[backlog_dias]]&lt;=p_dias_backlog_max))</f>
        <v/>
      </c>
      <c r="AB1014" s="6" t="n"/>
      <c r="AC10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4" s="10">
        <f>IF(tblOrdenes[[#This Row],[orden]]="","",_xlfn.XLOOKUP(tblOrdenes[[#This Row],[id_operacion]],tblEjecucion[id_operacion],tblEjecucion[precio],0))</f>
        <v/>
      </c>
      <c r="AG1014" s="10">
        <f>IF(tblOrdenes[[#This Row],[orden]]="","",MAX(0,_xlfn.XLOOKUP(tblOrdenes[[#This Row],[id_operacion]],tblEjecucion[id_operacion],tblEjecucion[costo_plan_total],0)-tblOrdenes[[#This Row],[costo_servicio]]))</f>
        <v/>
      </c>
      <c r="AH1014" s="10">
        <f>IF(tblOrdenes[[#This Row],[orden]]="","",tblOrdenes[[#This Row],[costo_servicio]]+tblOrdenes[[#This Row],[costo_materiales]])</f>
        <v/>
      </c>
      <c r="AI1014" s="6" t="n"/>
      <c r="AJ1014" s="6" t="n"/>
      <c r="AK1014" s="6" t="n"/>
      <c r="AL1014" s="3">
        <f>IF(tblOrdenes[[#This Row],[link_checklist]]="","",HYPERLINK(p_ruta_base_checklists&amp;tblOrdenes[[#This Row],[link_checklist]],"abrir"))</f>
        <v/>
      </c>
      <c r="AM1014" s="6" t="n"/>
      <c r="AN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Row],[tipo_ot]]="","",_xlfn.XLOOKUP(tblOrdenes[[#This Row],[tipo_ot]],tblTiposOT[codigo],tblTiposOT[clasificacion],"sin_clasificar"))</f>
        <v/>
      </c>
      <c r="T1015" s="3">
        <f>IF(tblOrdenes[[#This Row],[centro_costo]]="","",_xlfn.XLOOKUP(tblOrdenes[[#This Row],[centro_costo]],tblCECO[codigo],tblCECO[linea],"(sin catálogo)"))</f>
        <v/>
      </c>
      <c r="U1015" s="3">
        <f>IF(tblOrdenes[[#This Row],[centro_costo]]="","",_xlfn.XLOOKUP(tblOrdenes[[#This Row],[centro_costo]],tblCECO[codigo],tblCECO[area],"(sin catálogo)"))</f>
        <v/>
      </c>
      <c r="V1015" s="3">
        <f>IF(tblOrdenes[[#This Row],[centro_costo]]="","",_xlfn.XLOOKUP(tblOrdenes[[#This Row],[centro_costo]],tblCECO[codigo],tblCECO[coordinador],"(sin catálogo)"))</f>
        <v/>
      </c>
      <c r="W1015" s="3">
        <f>IF(tblOrdenes[[#This Row],[puesto_trabajo]]="","",_xlfn.XLOOKUP(tblOrdenes[[#This Row],[puesto_trabajo]],tblPuestos[codigo],tblPuestos[especialidad],"(sin catálogo)"))</f>
        <v/>
      </c>
      <c r="X1015" s="3">
        <f>IF(tblOrdenes[[#This Row],[cod_actividad]]="","",_xlfn.XLOOKUP(tblOrdenes[[#This Row],[cod_actividad]],tblActividades[codigo],tblActividades[descripcion],"(sin catálogo)"))</f>
        <v/>
      </c>
      <c r="Y1015" s="12">
        <f>IF(tblOrdenes[[#This Row],[fecha_inicio]]="","",TODAY()-tblOrdenes[[#This Row],[fecha_inicio]])</f>
        <v/>
      </c>
      <c r="Z1015" s="3">
        <f>IF(tblOrdenes[[#This Row],[backlog_dias]]="","",IF(tblOrdenes[[#This Row],[backlog_dias]]&lt;0,"FUTURO",IF(tblOrdenes[[#This Row],[backlog_dias]]&gt;p_dias_backlog_max,"BACKLOG","MES CORRIENTE")))</f>
        <v/>
      </c>
      <c r="AA1015" s="3">
        <f>IF(tblOrdenes[[#This Row],[backlog_dias]]="",FALSE,AND(tblOrdenes[[#This Row],[backlog_dias]]&gt;p_dias_backlog_min,tblOrdenes[[#This Row],[backlog_dias]]&lt;=p_dias_backlog_max))</f>
        <v/>
      </c>
      <c r="AB1015" s="6" t="n"/>
      <c r="AC10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5" s="10">
        <f>IF(tblOrdenes[[#This Row],[orden]]="","",_xlfn.XLOOKUP(tblOrdenes[[#This Row],[id_operacion]],tblEjecucion[id_operacion],tblEjecucion[precio],0))</f>
        <v/>
      </c>
      <c r="AG1015" s="10">
        <f>IF(tblOrdenes[[#This Row],[orden]]="","",MAX(0,_xlfn.XLOOKUP(tblOrdenes[[#This Row],[id_operacion]],tblEjecucion[id_operacion],tblEjecucion[costo_plan_total],0)-tblOrdenes[[#This Row],[costo_servicio]]))</f>
        <v/>
      </c>
      <c r="AH1015" s="10">
        <f>IF(tblOrdenes[[#This Row],[orden]]="","",tblOrdenes[[#This Row],[costo_servicio]]+tblOrdenes[[#This Row],[costo_materiales]])</f>
        <v/>
      </c>
      <c r="AI1015" s="6" t="n"/>
      <c r="AJ1015" s="6" t="n"/>
      <c r="AK1015" s="6" t="n"/>
      <c r="AL1015" s="3">
        <f>IF(tblOrdenes[[#This Row],[link_checklist]]="","",HYPERLINK(p_ruta_base_checklists&amp;tblOrdenes[[#This Row],[link_checklist]],"abrir"))</f>
        <v/>
      </c>
      <c r="AM1015" s="6" t="n"/>
      <c r="AN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Row],[tipo_ot]]="","",_xlfn.XLOOKUP(tblOrdenes[[#This Row],[tipo_ot]],tblTiposOT[codigo],tblTiposOT[clasificacion],"sin_clasificar"))</f>
        <v/>
      </c>
      <c r="T1016" s="3">
        <f>IF(tblOrdenes[[#This Row],[centro_costo]]="","",_xlfn.XLOOKUP(tblOrdenes[[#This Row],[centro_costo]],tblCECO[codigo],tblCECO[linea],"(sin catálogo)"))</f>
        <v/>
      </c>
      <c r="U1016" s="3">
        <f>IF(tblOrdenes[[#This Row],[centro_costo]]="","",_xlfn.XLOOKUP(tblOrdenes[[#This Row],[centro_costo]],tblCECO[codigo],tblCECO[area],"(sin catálogo)"))</f>
        <v/>
      </c>
      <c r="V1016" s="3">
        <f>IF(tblOrdenes[[#This Row],[centro_costo]]="","",_xlfn.XLOOKUP(tblOrdenes[[#This Row],[centro_costo]],tblCECO[codigo],tblCECO[coordinador],"(sin catálogo)"))</f>
        <v/>
      </c>
      <c r="W1016" s="3">
        <f>IF(tblOrdenes[[#This Row],[puesto_trabajo]]="","",_xlfn.XLOOKUP(tblOrdenes[[#This Row],[puesto_trabajo]],tblPuestos[codigo],tblPuestos[especialidad],"(sin catálogo)"))</f>
        <v/>
      </c>
      <c r="X1016" s="3">
        <f>IF(tblOrdenes[[#This Row],[cod_actividad]]="","",_xlfn.XLOOKUP(tblOrdenes[[#This Row],[cod_actividad]],tblActividades[codigo],tblActividades[descripcion],"(sin catálogo)"))</f>
        <v/>
      </c>
      <c r="Y1016" s="12">
        <f>IF(tblOrdenes[[#This Row],[fecha_inicio]]="","",TODAY()-tblOrdenes[[#This Row],[fecha_inicio]])</f>
        <v/>
      </c>
      <c r="Z1016" s="3">
        <f>IF(tblOrdenes[[#This Row],[backlog_dias]]="","",IF(tblOrdenes[[#This Row],[backlog_dias]]&lt;0,"FUTURO",IF(tblOrdenes[[#This Row],[backlog_dias]]&gt;p_dias_backlog_max,"BACKLOG","MES CORRIENTE")))</f>
        <v/>
      </c>
      <c r="AA1016" s="3">
        <f>IF(tblOrdenes[[#This Row],[backlog_dias]]="",FALSE,AND(tblOrdenes[[#This Row],[backlog_dias]]&gt;p_dias_backlog_min,tblOrdenes[[#This Row],[backlog_dias]]&lt;=p_dias_backlog_max))</f>
        <v/>
      </c>
      <c r="AB1016" s="6" t="n"/>
      <c r="AC10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6" s="10">
        <f>IF(tblOrdenes[[#This Row],[orden]]="","",_xlfn.XLOOKUP(tblOrdenes[[#This Row],[id_operacion]],tblEjecucion[id_operacion],tblEjecucion[precio],0))</f>
        <v/>
      </c>
      <c r="AG1016" s="10">
        <f>IF(tblOrdenes[[#This Row],[orden]]="","",MAX(0,_xlfn.XLOOKUP(tblOrdenes[[#This Row],[id_operacion]],tblEjecucion[id_operacion],tblEjecucion[costo_plan_total],0)-tblOrdenes[[#This Row],[costo_servicio]]))</f>
        <v/>
      </c>
      <c r="AH1016" s="10">
        <f>IF(tblOrdenes[[#This Row],[orden]]="","",tblOrdenes[[#This Row],[costo_servicio]]+tblOrdenes[[#This Row],[costo_materiales]])</f>
        <v/>
      </c>
      <c r="AI1016" s="6" t="n"/>
      <c r="AJ1016" s="6" t="n"/>
      <c r="AK1016" s="6" t="n"/>
      <c r="AL1016" s="3">
        <f>IF(tblOrdenes[[#This Row],[link_checklist]]="","",HYPERLINK(p_ruta_base_checklists&amp;tblOrdenes[[#This Row],[link_checklist]],"abrir"))</f>
        <v/>
      </c>
      <c r="AM1016" s="6" t="n"/>
      <c r="AN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Row],[tipo_ot]]="","",_xlfn.XLOOKUP(tblOrdenes[[#This Row],[tipo_ot]],tblTiposOT[codigo],tblTiposOT[clasificacion],"sin_clasificar"))</f>
        <v/>
      </c>
      <c r="T1017" s="3">
        <f>IF(tblOrdenes[[#This Row],[centro_costo]]="","",_xlfn.XLOOKUP(tblOrdenes[[#This Row],[centro_costo]],tblCECO[codigo],tblCECO[linea],"(sin catálogo)"))</f>
        <v/>
      </c>
      <c r="U1017" s="3">
        <f>IF(tblOrdenes[[#This Row],[centro_costo]]="","",_xlfn.XLOOKUP(tblOrdenes[[#This Row],[centro_costo]],tblCECO[codigo],tblCECO[area],"(sin catálogo)"))</f>
        <v/>
      </c>
      <c r="V1017" s="3">
        <f>IF(tblOrdenes[[#This Row],[centro_costo]]="","",_xlfn.XLOOKUP(tblOrdenes[[#This Row],[centro_costo]],tblCECO[codigo],tblCECO[coordinador],"(sin catálogo)"))</f>
        <v/>
      </c>
      <c r="W1017" s="3">
        <f>IF(tblOrdenes[[#This Row],[puesto_trabajo]]="","",_xlfn.XLOOKUP(tblOrdenes[[#This Row],[puesto_trabajo]],tblPuestos[codigo],tblPuestos[especialidad],"(sin catálogo)"))</f>
        <v/>
      </c>
      <c r="X1017" s="3">
        <f>IF(tblOrdenes[[#This Row],[cod_actividad]]="","",_xlfn.XLOOKUP(tblOrdenes[[#This Row],[cod_actividad]],tblActividades[codigo],tblActividades[descripcion],"(sin catálogo)"))</f>
        <v/>
      </c>
      <c r="Y1017" s="12">
        <f>IF(tblOrdenes[[#This Row],[fecha_inicio]]="","",TODAY()-tblOrdenes[[#This Row],[fecha_inicio]])</f>
        <v/>
      </c>
      <c r="Z1017" s="3">
        <f>IF(tblOrdenes[[#This Row],[backlog_dias]]="","",IF(tblOrdenes[[#This Row],[backlog_dias]]&lt;0,"FUTURO",IF(tblOrdenes[[#This Row],[backlog_dias]]&gt;p_dias_backlog_max,"BACKLOG","MES CORRIENTE")))</f>
        <v/>
      </c>
      <c r="AA1017" s="3">
        <f>IF(tblOrdenes[[#This Row],[backlog_dias]]="",FALSE,AND(tblOrdenes[[#This Row],[backlog_dias]]&gt;p_dias_backlog_min,tblOrdenes[[#This Row],[backlog_dias]]&lt;=p_dias_backlog_max))</f>
        <v/>
      </c>
      <c r="AB1017" s="6" t="n"/>
      <c r="AC10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7" s="10">
        <f>IF(tblOrdenes[[#This Row],[orden]]="","",_xlfn.XLOOKUP(tblOrdenes[[#This Row],[id_operacion]],tblEjecucion[id_operacion],tblEjecucion[precio],0))</f>
        <v/>
      </c>
      <c r="AG1017" s="10">
        <f>IF(tblOrdenes[[#This Row],[orden]]="","",MAX(0,_xlfn.XLOOKUP(tblOrdenes[[#This Row],[id_operacion]],tblEjecucion[id_operacion],tblEjecucion[costo_plan_total],0)-tblOrdenes[[#This Row],[costo_servicio]]))</f>
        <v/>
      </c>
      <c r="AH1017" s="10">
        <f>IF(tblOrdenes[[#This Row],[orden]]="","",tblOrdenes[[#This Row],[costo_servicio]]+tblOrdenes[[#This Row],[costo_materiales]])</f>
        <v/>
      </c>
      <c r="AI1017" s="6" t="n"/>
      <c r="AJ1017" s="6" t="n"/>
      <c r="AK1017" s="6" t="n"/>
      <c r="AL1017" s="3">
        <f>IF(tblOrdenes[[#This Row],[link_checklist]]="","",HYPERLINK(p_ruta_base_checklists&amp;tblOrdenes[[#This Row],[link_checklist]],"abrir"))</f>
        <v/>
      </c>
      <c r="AM1017" s="6" t="n"/>
      <c r="AN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Row],[tipo_ot]]="","",_xlfn.XLOOKUP(tblOrdenes[[#This Row],[tipo_ot]],tblTiposOT[codigo],tblTiposOT[clasificacion],"sin_clasificar"))</f>
        <v/>
      </c>
      <c r="T1018" s="3">
        <f>IF(tblOrdenes[[#This Row],[centro_costo]]="","",_xlfn.XLOOKUP(tblOrdenes[[#This Row],[centro_costo]],tblCECO[codigo],tblCECO[linea],"(sin catálogo)"))</f>
        <v/>
      </c>
      <c r="U1018" s="3">
        <f>IF(tblOrdenes[[#This Row],[centro_costo]]="","",_xlfn.XLOOKUP(tblOrdenes[[#This Row],[centro_costo]],tblCECO[codigo],tblCECO[area],"(sin catálogo)"))</f>
        <v/>
      </c>
      <c r="V1018" s="3">
        <f>IF(tblOrdenes[[#This Row],[centro_costo]]="","",_xlfn.XLOOKUP(tblOrdenes[[#This Row],[centro_costo]],tblCECO[codigo],tblCECO[coordinador],"(sin catálogo)"))</f>
        <v/>
      </c>
      <c r="W1018" s="3">
        <f>IF(tblOrdenes[[#This Row],[puesto_trabajo]]="","",_xlfn.XLOOKUP(tblOrdenes[[#This Row],[puesto_trabajo]],tblPuestos[codigo],tblPuestos[especialidad],"(sin catálogo)"))</f>
        <v/>
      </c>
      <c r="X1018" s="3">
        <f>IF(tblOrdenes[[#This Row],[cod_actividad]]="","",_xlfn.XLOOKUP(tblOrdenes[[#This Row],[cod_actividad]],tblActividades[codigo],tblActividades[descripcion],"(sin catálogo)"))</f>
        <v/>
      </c>
      <c r="Y1018" s="12">
        <f>IF(tblOrdenes[[#This Row],[fecha_inicio]]="","",TODAY()-tblOrdenes[[#This Row],[fecha_inicio]])</f>
        <v/>
      </c>
      <c r="Z1018" s="3">
        <f>IF(tblOrdenes[[#This Row],[backlog_dias]]="","",IF(tblOrdenes[[#This Row],[backlog_dias]]&lt;0,"FUTURO",IF(tblOrdenes[[#This Row],[backlog_dias]]&gt;p_dias_backlog_max,"BACKLOG","MES CORRIENTE")))</f>
        <v/>
      </c>
      <c r="AA1018" s="3">
        <f>IF(tblOrdenes[[#This Row],[backlog_dias]]="",FALSE,AND(tblOrdenes[[#This Row],[backlog_dias]]&gt;p_dias_backlog_min,tblOrdenes[[#This Row],[backlog_dias]]&lt;=p_dias_backlog_max))</f>
        <v/>
      </c>
      <c r="AB1018" s="6" t="n"/>
      <c r="AC10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8" s="10">
        <f>IF(tblOrdenes[[#This Row],[orden]]="","",_xlfn.XLOOKUP(tblOrdenes[[#This Row],[id_operacion]],tblEjecucion[id_operacion],tblEjecucion[precio],0))</f>
        <v/>
      </c>
      <c r="AG1018" s="10">
        <f>IF(tblOrdenes[[#This Row],[orden]]="","",MAX(0,_xlfn.XLOOKUP(tblOrdenes[[#This Row],[id_operacion]],tblEjecucion[id_operacion],tblEjecucion[costo_plan_total],0)-tblOrdenes[[#This Row],[costo_servicio]]))</f>
        <v/>
      </c>
      <c r="AH1018" s="10">
        <f>IF(tblOrdenes[[#This Row],[orden]]="","",tblOrdenes[[#This Row],[costo_servicio]]+tblOrdenes[[#This Row],[costo_materiales]])</f>
        <v/>
      </c>
      <c r="AI1018" s="6" t="n"/>
      <c r="AJ1018" s="6" t="n"/>
      <c r="AK1018" s="6" t="n"/>
      <c r="AL1018" s="3">
        <f>IF(tblOrdenes[[#This Row],[link_checklist]]="","",HYPERLINK(p_ruta_base_checklists&amp;tblOrdenes[[#This Row],[link_checklist]],"abrir"))</f>
        <v/>
      </c>
      <c r="AM1018" s="6" t="n"/>
      <c r="AN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Row],[tipo_ot]]="","",_xlfn.XLOOKUP(tblOrdenes[[#This Row],[tipo_ot]],tblTiposOT[codigo],tblTiposOT[clasificacion],"sin_clasificar"))</f>
        <v/>
      </c>
      <c r="T1019" s="3">
        <f>IF(tblOrdenes[[#This Row],[centro_costo]]="","",_xlfn.XLOOKUP(tblOrdenes[[#This Row],[centro_costo]],tblCECO[codigo],tblCECO[linea],"(sin catálogo)"))</f>
        <v/>
      </c>
      <c r="U1019" s="3">
        <f>IF(tblOrdenes[[#This Row],[centro_costo]]="","",_xlfn.XLOOKUP(tblOrdenes[[#This Row],[centro_costo]],tblCECO[codigo],tblCECO[area],"(sin catálogo)"))</f>
        <v/>
      </c>
      <c r="V1019" s="3">
        <f>IF(tblOrdenes[[#This Row],[centro_costo]]="","",_xlfn.XLOOKUP(tblOrdenes[[#This Row],[centro_costo]],tblCECO[codigo],tblCECO[coordinador],"(sin catálogo)"))</f>
        <v/>
      </c>
      <c r="W1019" s="3">
        <f>IF(tblOrdenes[[#This Row],[puesto_trabajo]]="","",_xlfn.XLOOKUP(tblOrdenes[[#This Row],[puesto_trabajo]],tblPuestos[codigo],tblPuestos[especialidad],"(sin catálogo)"))</f>
        <v/>
      </c>
      <c r="X1019" s="3">
        <f>IF(tblOrdenes[[#This Row],[cod_actividad]]="","",_xlfn.XLOOKUP(tblOrdenes[[#This Row],[cod_actividad]],tblActividades[codigo],tblActividades[descripcion],"(sin catálogo)"))</f>
        <v/>
      </c>
      <c r="Y1019" s="12">
        <f>IF(tblOrdenes[[#This Row],[fecha_inicio]]="","",TODAY()-tblOrdenes[[#This Row],[fecha_inicio]])</f>
        <v/>
      </c>
      <c r="Z1019" s="3">
        <f>IF(tblOrdenes[[#This Row],[backlog_dias]]="","",IF(tblOrdenes[[#This Row],[backlog_dias]]&lt;0,"FUTURO",IF(tblOrdenes[[#This Row],[backlog_dias]]&gt;p_dias_backlog_max,"BACKLOG","MES CORRIENTE")))</f>
        <v/>
      </c>
      <c r="AA1019" s="3">
        <f>IF(tblOrdenes[[#This Row],[backlog_dias]]="",FALSE,AND(tblOrdenes[[#This Row],[backlog_dias]]&gt;p_dias_backlog_min,tblOrdenes[[#This Row],[backlog_dias]]&lt;=p_dias_backlog_max))</f>
        <v/>
      </c>
      <c r="AB1019" s="6" t="n"/>
      <c r="AC10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9" s="10">
        <f>IF(tblOrdenes[[#This Row],[orden]]="","",_xlfn.XLOOKUP(tblOrdenes[[#This Row],[id_operacion]],tblEjecucion[id_operacion],tblEjecucion[precio],0))</f>
        <v/>
      </c>
      <c r="AG1019" s="10">
        <f>IF(tblOrdenes[[#This Row],[orden]]="","",MAX(0,_xlfn.XLOOKUP(tblOrdenes[[#This Row],[id_operacion]],tblEjecucion[id_operacion],tblEjecucion[costo_plan_total],0)-tblOrdenes[[#This Row],[costo_servicio]]))</f>
        <v/>
      </c>
      <c r="AH1019" s="10">
        <f>IF(tblOrdenes[[#This Row],[orden]]="","",tblOrdenes[[#This Row],[costo_servicio]]+tblOrdenes[[#This Row],[costo_materiales]])</f>
        <v/>
      </c>
      <c r="AI1019" s="6" t="n"/>
      <c r="AJ1019" s="6" t="n"/>
      <c r="AK1019" s="6" t="n"/>
      <c r="AL1019" s="3">
        <f>IF(tblOrdenes[[#This Row],[link_checklist]]="","",HYPERLINK(p_ruta_base_checklists&amp;tblOrdenes[[#This Row],[link_checklist]],"abrir"))</f>
        <v/>
      </c>
      <c r="AM1019" s="6" t="n"/>
      <c r="AN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Row],[tipo_ot]]="","",_xlfn.XLOOKUP(tblOrdenes[[#This Row],[tipo_ot]],tblTiposOT[codigo],tblTiposOT[clasificacion],"sin_clasificar"))</f>
        <v/>
      </c>
      <c r="T1020" s="3">
        <f>IF(tblOrdenes[[#This Row],[centro_costo]]="","",_xlfn.XLOOKUP(tblOrdenes[[#This Row],[centro_costo]],tblCECO[codigo],tblCECO[linea],"(sin catálogo)"))</f>
        <v/>
      </c>
      <c r="U1020" s="3">
        <f>IF(tblOrdenes[[#This Row],[centro_costo]]="","",_xlfn.XLOOKUP(tblOrdenes[[#This Row],[centro_costo]],tblCECO[codigo],tblCECO[area],"(sin catálogo)"))</f>
        <v/>
      </c>
      <c r="V1020" s="3">
        <f>IF(tblOrdenes[[#This Row],[centro_costo]]="","",_xlfn.XLOOKUP(tblOrdenes[[#This Row],[centro_costo]],tblCECO[codigo],tblCECO[coordinador],"(sin catálogo)"))</f>
        <v/>
      </c>
      <c r="W1020" s="3">
        <f>IF(tblOrdenes[[#This Row],[puesto_trabajo]]="","",_xlfn.XLOOKUP(tblOrdenes[[#This Row],[puesto_trabajo]],tblPuestos[codigo],tblPuestos[especialidad],"(sin catálogo)"))</f>
        <v/>
      </c>
      <c r="X1020" s="3">
        <f>IF(tblOrdenes[[#This Row],[cod_actividad]]="","",_xlfn.XLOOKUP(tblOrdenes[[#This Row],[cod_actividad]],tblActividades[codigo],tblActividades[descripcion],"(sin catálogo)"))</f>
        <v/>
      </c>
      <c r="Y1020" s="12">
        <f>IF(tblOrdenes[[#This Row],[fecha_inicio]]="","",TODAY()-tblOrdenes[[#This Row],[fecha_inicio]])</f>
        <v/>
      </c>
      <c r="Z1020" s="3">
        <f>IF(tblOrdenes[[#This Row],[backlog_dias]]="","",IF(tblOrdenes[[#This Row],[backlog_dias]]&lt;0,"FUTURO",IF(tblOrdenes[[#This Row],[backlog_dias]]&gt;p_dias_backlog_max,"BACKLOG","MES CORRIENTE")))</f>
        <v/>
      </c>
      <c r="AA1020" s="3">
        <f>IF(tblOrdenes[[#This Row],[backlog_dias]]="",FALSE,AND(tblOrdenes[[#This Row],[backlog_dias]]&gt;p_dias_backlog_min,tblOrdenes[[#This Row],[backlog_dias]]&lt;=p_dias_backlog_max))</f>
        <v/>
      </c>
      <c r="AB1020" s="6" t="n"/>
      <c r="AC10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0" s="10">
        <f>IF(tblOrdenes[[#This Row],[orden]]="","",_xlfn.XLOOKUP(tblOrdenes[[#This Row],[id_operacion]],tblEjecucion[id_operacion],tblEjecucion[precio],0))</f>
        <v/>
      </c>
      <c r="AG1020" s="10">
        <f>IF(tblOrdenes[[#This Row],[orden]]="","",MAX(0,_xlfn.XLOOKUP(tblOrdenes[[#This Row],[id_operacion]],tblEjecucion[id_operacion],tblEjecucion[costo_plan_total],0)-tblOrdenes[[#This Row],[costo_servicio]]))</f>
        <v/>
      </c>
      <c r="AH1020" s="10">
        <f>IF(tblOrdenes[[#This Row],[orden]]="","",tblOrdenes[[#This Row],[costo_servicio]]+tblOrdenes[[#This Row],[costo_materiales]])</f>
        <v/>
      </c>
      <c r="AI1020" s="6" t="n"/>
      <c r="AJ1020" s="6" t="n"/>
      <c r="AK1020" s="6" t="n"/>
      <c r="AL1020" s="3">
        <f>IF(tblOrdenes[[#This Row],[link_checklist]]="","",HYPERLINK(p_ruta_base_checklists&amp;tblOrdenes[[#This Row],[link_checklist]],"abrir"))</f>
        <v/>
      </c>
      <c r="AM1020" s="6" t="n"/>
      <c r="AN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Row],[tipo_ot]]="","",_xlfn.XLOOKUP(tblOrdenes[[#This Row],[tipo_ot]],tblTiposOT[codigo],tblTiposOT[clasificacion],"sin_clasificar"))</f>
        <v/>
      </c>
      <c r="T1021" s="3">
        <f>IF(tblOrdenes[[#This Row],[centro_costo]]="","",_xlfn.XLOOKUP(tblOrdenes[[#This Row],[centro_costo]],tblCECO[codigo],tblCECO[linea],"(sin catálogo)"))</f>
        <v/>
      </c>
      <c r="U1021" s="3">
        <f>IF(tblOrdenes[[#This Row],[centro_costo]]="","",_xlfn.XLOOKUP(tblOrdenes[[#This Row],[centro_costo]],tblCECO[codigo],tblCECO[area],"(sin catálogo)"))</f>
        <v/>
      </c>
      <c r="V1021" s="3">
        <f>IF(tblOrdenes[[#This Row],[centro_costo]]="","",_xlfn.XLOOKUP(tblOrdenes[[#This Row],[centro_costo]],tblCECO[codigo],tblCECO[coordinador],"(sin catálogo)"))</f>
        <v/>
      </c>
      <c r="W1021" s="3">
        <f>IF(tblOrdenes[[#This Row],[puesto_trabajo]]="","",_xlfn.XLOOKUP(tblOrdenes[[#This Row],[puesto_trabajo]],tblPuestos[codigo],tblPuestos[especialidad],"(sin catálogo)"))</f>
        <v/>
      </c>
      <c r="X1021" s="3">
        <f>IF(tblOrdenes[[#This Row],[cod_actividad]]="","",_xlfn.XLOOKUP(tblOrdenes[[#This Row],[cod_actividad]],tblActividades[codigo],tblActividades[descripcion],"(sin catálogo)"))</f>
        <v/>
      </c>
      <c r="Y1021" s="12">
        <f>IF(tblOrdenes[[#This Row],[fecha_inicio]]="","",TODAY()-tblOrdenes[[#This Row],[fecha_inicio]])</f>
        <v/>
      </c>
      <c r="Z1021" s="3">
        <f>IF(tblOrdenes[[#This Row],[backlog_dias]]="","",IF(tblOrdenes[[#This Row],[backlog_dias]]&lt;0,"FUTURO",IF(tblOrdenes[[#This Row],[backlog_dias]]&gt;p_dias_backlog_max,"BACKLOG","MES CORRIENTE")))</f>
        <v/>
      </c>
      <c r="AA1021" s="3">
        <f>IF(tblOrdenes[[#This Row],[backlog_dias]]="",FALSE,AND(tblOrdenes[[#This Row],[backlog_dias]]&gt;p_dias_backlog_min,tblOrdenes[[#This Row],[backlog_dias]]&lt;=p_dias_backlog_max))</f>
        <v/>
      </c>
      <c r="AB1021" s="6" t="n"/>
      <c r="AC10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1" s="10">
        <f>IF(tblOrdenes[[#This Row],[orden]]="","",_xlfn.XLOOKUP(tblOrdenes[[#This Row],[id_operacion]],tblEjecucion[id_operacion],tblEjecucion[precio],0))</f>
        <v/>
      </c>
      <c r="AG1021" s="10">
        <f>IF(tblOrdenes[[#This Row],[orden]]="","",MAX(0,_xlfn.XLOOKUP(tblOrdenes[[#This Row],[id_operacion]],tblEjecucion[id_operacion],tblEjecucion[costo_plan_total],0)-tblOrdenes[[#This Row],[costo_servicio]]))</f>
        <v/>
      </c>
      <c r="AH1021" s="10">
        <f>IF(tblOrdenes[[#This Row],[orden]]="","",tblOrdenes[[#This Row],[costo_servicio]]+tblOrdenes[[#This Row],[costo_materiales]])</f>
        <v/>
      </c>
      <c r="AI1021" s="6" t="n"/>
      <c r="AJ1021" s="6" t="n"/>
      <c r="AK1021" s="6" t="n"/>
      <c r="AL1021" s="3">
        <f>IF(tblOrdenes[[#This Row],[link_checklist]]="","",HYPERLINK(p_ruta_base_checklists&amp;tblOrdenes[[#This Row],[link_checklist]],"abrir"))</f>
        <v/>
      </c>
      <c r="AM1021" s="6" t="n"/>
      <c r="AN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Row],[tipo_ot]]="","",_xlfn.XLOOKUP(tblOrdenes[[#This Row],[tipo_ot]],tblTiposOT[codigo],tblTiposOT[clasificacion],"sin_clasificar"))</f>
        <v/>
      </c>
      <c r="T1022" s="3">
        <f>IF(tblOrdenes[[#This Row],[centro_costo]]="","",_xlfn.XLOOKUP(tblOrdenes[[#This Row],[centro_costo]],tblCECO[codigo],tblCECO[linea],"(sin catálogo)"))</f>
        <v/>
      </c>
      <c r="U1022" s="3">
        <f>IF(tblOrdenes[[#This Row],[centro_costo]]="","",_xlfn.XLOOKUP(tblOrdenes[[#This Row],[centro_costo]],tblCECO[codigo],tblCECO[area],"(sin catálogo)"))</f>
        <v/>
      </c>
      <c r="V1022" s="3">
        <f>IF(tblOrdenes[[#This Row],[centro_costo]]="","",_xlfn.XLOOKUP(tblOrdenes[[#This Row],[centro_costo]],tblCECO[codigo],tblCECO[coordinador],"(sin catálogo)"))</f>
        <v/>
      </c>
      <c r="W1022" s="3">
        <f>IF(tblOrdenes[[#This Row],[puesto_trabajo]]="","",_xlfn.XLOOKUP(tblOrdenes[[#This Row],[puesto_trabajo]],tblPuestos[codigo],tblPuestos[especialidad],"(sin catálogo)"))</f>
        <v/>
      </c>
      <c r="X1022" s="3">
        <f>IF(tblOrdenes[[#This Row],[cod_actividad]]="","",_xlfn.XLOOKUP(tblOrdenes[[#This Row],[cod_actividad]],tblActividades[codigo],tblActividades[descripcion],"(sin catálogo)"))</f>
        <v/>
      </c>
      <c r="Y1022" s="12">
        <f>IF(tblOrdenes[[#This Row],[fecha_inicio]]="","",TODAY()-tblOrdenes[[#This Row],[fecha_inicio]])</f>
        <v/>
      </c>
      <c r="Z1022" s="3">
        <f>IF(tblOrdenes[[#This Row],[backlog_dias]]="","",IF(tblOrdenes[[#This Row],[backlog_dias]]&lt;0,"FUTURO",IF(tblOrdenes[[#This Row],[backlog_dias]]&gt;p_dias_backlog_max,"BACKLOG","MES CORRIENTE")))</f>
        <v/>
      </c>
      <c r="AA1022" s="3">
        <f>IF(tblOrdenes[[#This Row],[backlog_dias]]="",FALSE,AND(tblOrdenes[[#This Row],[backlog_dias]]&gt;p_dias_backlog_min,tblOrdenes[[#This Row],[backlog_dias]]&lt;=p_dias_backlog_max))</f>
        <v/>
      </c>
      <c r="AB1022" s="6" t="n"/>
      <c r="AC10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2" s="10">
        <f>IF(tblOrdenes[[#This Row],[orden]]="","",_xlfn.XLOOKUP(tblOrdenes[[#This Row],[id_operacion]],tblEjecucion[id_operacion],tblEjecucion[precio],0))</f>
        <v/>
      </c>
      <c r="AG1022" s="10">
        <f>IF(tblOrdenes[[#This Row],[orden]]="","",MAX(0,_xlfn.XLOOKUP(tblOrdenes[[#This Row],[id_operacion]],tblEjecucion[id_operacion],tblEjecucion[costo_plan_total],0)-tblOrdenes[[#This Row],[costo_servicio]]))</f>
        <v/>
      </c>
      <c r="AH1022" s="10">
        <f>IF(tblOrdenes[[#This Row],[orden]]="","",tblOrdenes[[#This Row],[costo_servicio]]+tblOrdenes[[#This Row],[costo_materiales]])</f>
        <v/>
      </c>
      <c r="AI1022" s="6" t="n"/>
      <c r="AJ1022" s="6" t="n"/>
      <c r="AK1022" s="6" t="n"/>
      <c r="AL1022" s="3">
        <f>IF(tblOrdenes[[#This Row],[link_checklist]]="","",HYPERLINK(p_ruta_base_checklists&amp;tblOrdenes[[#This Row],[link_checklist]],"abrir"))</f>
        <v/>
      </c>
      <c r="AM1022" s="6" t="n"/>
      <c r="AN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Row],[tipo_ot]]="","",_xlfn.XLOOKUP(tblOrdenes[[#This Row],[tipo_ot]],tblTiposOT[codigo],tblTiposOT[clasificacion],"sin_clasificar"))</f>
        <v/>
      </c>
      <c r="T1023" s="3">
        <f>IF(tblOrdenes[[#This Row],[centro_costo]]="","",_xlfn.XLOOKUP(tblOrdenes[[#This Row],[centro_costo]],tblCECO[codigo],tblCECO[linea],"(sin catálogo)"))</f>
        <v/>
      </c>
      <c r="U1023" s="3">
        <f>IF(tblOrdenes[[#This Row],[centro_costo]]="","",_xlfn.XLOOKUP(tblOrdenes[[#This Row],[centro_costo]],tblCECO[codigo],tblCECO[area],"(sin catálogo)"))</f>
        <v/>
      </c>
      <c r="V1023" s="3">
        <f>IF(tblOrdenes[[#This Row],[centro_costo]]="","",_xlfn.XLOOKUP(tblOrdenes[[#This Row],[centro_costo]],tblCECO[codigo],tblCECO[coordinador],"(sin catálogo)"))</f>
        <v/>
      </c>
      <c r="W1023" s="3">
        <f>IF(tblOrdenes[[#This Row],[puesto_trabajo]]="","",_xlfn.XLOOKUP(tblOrdenes[[#This Row],[puesto_trabajo]],tblPuestos[codigo],tblPuestos[especialidad],"(sin catálogo)"))</f>
        <v/>
      </c>
      <c r="X1023" s="3">
        <f>IF(tblOrdenes[[#This Row],[cod_actividad]]="","",_xlfn.XLOOKUP(tblOrdenes[[#This Row],[cod_actividad]],tblActividades[codigo],tblActividades[descripcion],"(sin catálogo)"))</f>
        <v/>
      </c>
      <c r="Y1023" s="12">
        <f>IF(tblOrdenes[[#This Row],[fecha_inicio]]="","",TODAY()-tblOrdenes[[#This Row],[fecha_inicio]])</f>
        <v/>
      </c>
      <c r="Z1023" s="3">
        <f>IF(tblOrdenes[[#This Row],[backlog_dias]]="","",IF(tblOrdenes[[#This Row],[backlog_dias]]&lt;0,"FUTURO",IF(tblOrdenes[[#This Row],[backlog_dias]]&gt;p_dias_backlog_max,"BACKLOG","MES CORRIENTE")))</f>
        <v/>
      </c>
      <c r="AA1023" s="3">
        <f>IF(tblOrdenes[[#This Row],[backlog_dias]]="",FALSE,AND(tblOrdenes[[#This Row],[backlog_dias]]&gt;p_dias_backlog_min,tblOrdenes[[#This Row],[backlog_dias]]&lt;=p_dias_backlog_max))</f>
        <v/>
      </c>
      <c r="AB1023" s="6" t="n"/>
      <c r="AC10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3" s="10">
        <f>IF(tblOrdenes[[#This Row],[orden]]="","",_xlfn.XLOOKUP(tblOrdenes[[#This Row],[id_operacion]],tblEjecucion[id_operacion],tblEjecucion[precio],0))</f>
        <v/>
      </c>
      <c r="AG1023" s="10">
        <f>IF(tblOrdenes[[#This Row],[orden]]="","",MAX(0,_xlfn.XLOOKUP(tblOrdenes[[#This Row],[id_operacion]],tblEjecucion[id_operacion],tblEjecucion[costo_plan_total],0)-tblOrdenes[[#This Row],[costo_servicio]]))</f>
        <v/>
      </c>
      <c r="AH1023" s="10">
        <f>IF(tblOrdenes[[#This Row],[orden]]="","",tblOrdenes[[#This Row],[costo_servicio]]+tblOrdenes[[#This Row],[costo_materiales]])</f>
        <v/>
      </c>
      <c r="AI1023" s="6" t="n"/>
      <c r="AJ1023" s="6" t="n"/>
      <c r="AK1023" s="6" t="n"/>
      <c r="AL1023" s="3">
        <f>IF(tblOrdenes[[#This Row],[link_checklist]]="","",HYPERLINK(p_ruta_base_checklists&amp;tblOrdenes[[#This Row],[link_checklist]],"abrir"))</f>
        <v/>
      </c>
      <c r="AM1023" s="6" t="n"/>
      <c r="AN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Row],[tipo_ot]]="","",_xlfn.XLOOKUP(tblOrdenes[[#This Row],[tipo_ot]],tblTiposOT[codigo],tblTiposOT[clasificacion],"sin_clasificar"))</f>
        <v/>
      </c>
      <c r="T1024" s="3">
        <f>IF(tblOrdenes[[#This Row],[centro_costo]]="","",_xlfn.XLOOKUP(tblOrdenes[[#This Row],[centro_costo]],tblCECO[codigo],tblCECO[linea],"(sin catálogo)"))</f>
        <v/>
      </c>
      <c r="U1024" s="3">
        <f>IF(tblOrdenes[[#This Row],[centro_costo]]="","",_xlfn.XLOOKUP(tblOrdenes[[#This Row],[centro_costo]],tblCECO[codigo],tblCECO[area],"(sin catálogo)"))</f>
        <v/>
      </c>
      <c r="V1024" s="3">
        <f>IF(tblOrdenes[[#This Row],[centro_costo]]="","",_xlfn.XLOOKUP(tblOrdenes[[#This Row],[centro_costo]],tblCECO[codigo],tblCECO[coordinador],"(sin catálogo)"))</f>
        <v/>
      </c>
      <c r="W1024" s="3">
        <f>IF(tblOrdenes[[#This Row],[puesto_trabajo]]="","",_xlfn.XLOOKUP(tblOrdenes[[#This Row],[puesto_trabajo]],tblPuestos[codigo],tblPuestos[especialidad],"(sin catálogo)"))</f>
        <v/>
      </c>
      <c r="X1024" s="3">
        <f>IF(tblOrdenes[[#This Row],[cod_actividad]]="","",_xlfn.XLOOKUP(tblOrdenes[[#This Row],[cod_actividad]],tblActividades[codigo],tblActividades[descripcion],"(sin catálogo)"))</f>
        <v/>
      </c>
      <c r="Y1024" s="12">
        <f>IF(tblOrdenes[[#This Row],[fecha_inicio]]="","",TODAY()-tblOrdenes[[#This Row],[fecha_inicio]])</f>
        <v/>
      </c>
      <c r="Z1024" s="3">
        <f>IF(tblOrdenes[[#This Row],[backlog_dias]]="","",IF(tblOrdenes[[#This Row],[backlog_dias]]&lt;0,"FUTURO",IF(tblOrdenes[[#This Row],[backlog_dias]]&gt;p_dias_backlog_max,"BACKLOG","MES CORRIENTE")))</f>
        <v/>
      </c>
      <c r="AA1024" s="3">
        <f>IF(tblOrdenes[[#This Row],[backlog_dias]]="",FALSE,AND(tblOrdenes[[#This Row],[backlog_dias]]&gt;p_dias_backlog_min,tblOrdenes[[#This Row],[backlog_dias]]&lt;=p_dias_backlog_max))</f>
        <v/>
      </c>
      <c r="AB1024" s="6" t="n"/>
      <c r="AC10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4" s="10">
        <f>IF(tblOrdenes[[#This Row],[orden]]="","",_xlfn.XLOOKUP(tblOrdenes[[#This Row],[id_operacion]],tblEjecucion[id_operacion],tblEjecucion[precio],0))</f>
        <v/>
      </c>
      <c r="AG1024" s="10">
        <f>IF(tblOrdenes[[#This Row],[orden]]="","",MAX(0,_xlfn.XLOOKUP(tblOrdenes[[#This Row],[id_operacion]],tblEjecucion[id_operacion],tblEjecucion[costo_plan_total],0)-tblOrdenes[[#This Row],[costo_servicio]]))</f>
        <v/>
      </c>
      <c r="AH1024" s="10">
        <f>IF(tblOrdenes[[#This Row],[orden]]="","",tblOrdenes[[#This Row],[costo_servicio]]+tblOrdenes[[#This Row],[costo_materiales]])</f>
        <v/>
      </c>
      <c r="AI1024" s="6" t="n"/>
      <c r="AJ1024" s="6" t="n"/>
      <c r="AK1024" s="6" t="n"/>
      <c r="AL1024" s="3">
        <f>IF(tblOrdenes[[#This Row],[link_checklist]]="","",HYPERLINK(p_ruta_base_checklists&amp;tblOrdenes[[#This Row],[link_checklist]],"abrir"))</f>
        <v/>
      </c>
      <c r="AM1024" s="6" t="n"/>
      <c r="AN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Row],[tipo_ot]]="","",_xlfn.XLOOKUP(tblOrdenes[[#This Row],[tipo_ot]],tblTiposOT[codigo],tblTiposOT[clasificacion],"sin_clasificar"))</f>
        <v/>
      </c>
      <c r="T1025" s="3">
        <f>IF(tblOrdenes[[#This Row],[centro_costo]]="","",_xlfn.XLOOKUP(tblOrdenes[[#This Row],[centro_costo]],tblCECO[codigo],tblCECO[linea],"(sin catálogo)"))</f>
        <v/>
      </c>
      <c r="U1025" s="3">
        <f>IF(tblOrdenes[[#This Row],[centro_costo]]="","",_xlfn.XLOOKUP(tblOrdenes[[#This Row],[centro_costo]],tblCECO[codigo],tblCECO[area],"(sin catálogo)"))</f>
        <v/>
      </c>
      <c r="V1025" s="3">
        <f>IF(tblOrdenes[[#This Row],[centro_costo]]="","",_xlfn.XLOOKUP(tblOrdenes[[#This Row],[centro_costo]],tblCECO[codigo],tblCECO[coordinador],"(sin catálogo)"))</f>
        <v/>
      </c>
      <c r="W1025" s="3">
        <f>IF(tblOrdenes[[#This Row],[puesto_trabajo]]="","",_xlfn.XLOOKUP(tblOrdenes[[#This Row],[puesto_trabajo]],tblPuestos[codigo],tblPuestos[especialidad],"(sin catálogo)"))</f>
        <v/>
      </c>
      <c r="X1025" s="3">
        <f>IF(tblOrdenes[[#This Row],[cod_actividad]]="","",_xlfn.XLOOKUP(tblOrdenes[[#This Row],[cod_actividad]],tblActividades[codigo],tblActividades[descripcion],"(sin catálogo)"))</f>
        <v/>
      </c>
      <c r="Y1025" s="12">
        <f>IF(tblOrdenes[[#This Row],[fecha_inicio]]="","",TODAY()-tblOrdenes[[#This Row],[fecha_inicio]])</f>
        <v/>
      </c>
      <c r="Z1025" s="3">
        <f>IF(tblOrdenes[[#This Row],[backlog_dias]]="","",IF(tblOrdenes[[#This Row],[backlog_dias]]&lt;0,"FUTURO",IF(tblOrdenes[[#This Row],[backlog_dias]]&gt;p_dias_backlog_max,"BACKLOG","MES CORRIENTE")))</f>
        <v/>
      </c>
      <c r="AA1025" s="3">
        <f>IF(tblOrdenes[[#This Row],[backlog_dias]]="",FALSE,AND(tblOrdenes[[#This Row],[backlog_dias]]&gt;p_dias_backlog_min,tblOrdenes[[#This Row],[backlog_dias]]&lt;=p_dias_backlog_max))</f>
        <v/>
      </c>
      <c r="AB1025" s="6" t="n"/>
      <c r="AC10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5" s="10">
        <f>IF(tblOrdenes[[#This Row],[orden]]="","",_xlfn.XLOOKUP(tblOrdenes[[#This Row],[id_operacion]],tblEjecucion[id_operacion],tblEjecucion[precio],0))</f>
        <v/>
      </c>
      <c r="AG1025" s="10">
        <f>IF(tblOrdenes[[#This Row],[orden]]="","",MAX(0,_xlfn.XLOOKUP(tblOrdenes[[#This Row],[id_operacion]],tblEjecucion[id_operacion],tblEjecucion[costo_plan_total],0)-tblOrdenes[[#This Row],[costo_servicio]]))</f>
        <v/>
      </c>
      <c r="AH1025" s="10">
        <f>IF(tblOrdenes[[#This Row],[orden]]="","",tblOrdenes[[#This Row],[costo_servicio]]+tblOrdenes[[#This Row],[costo_materiales]])</f>
        <v/>
      </c>
      <c r="AI1025" s="6" t="n"/>
      <c r="AJ1025" s="6" t="n"/>
      <c r="AK1025" s="6" t="n"/>
      <c r="AL1025" s="3">
        <f>IF(tblOrdenes[[#This Row],[link_checklist]]="","",HYPERLINK(p_ruta_base_checklists&amp;tblOrdenes[[#This Row],[link_checklist]],"abrir"))</f>
        <v/>
      </c>
      <c r="AM1025" s="6" t="n"/>
      <c r="AN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Row],[tipo_ot]]="","",_xlfn.XLOOKUP(tblOrdenes[[#This Row],[tipo_ot]],tblTiposOT[codigo],tblTiposOT[clasificacion],"sin_clasificar"))</f>
        <v/>
      </c>
      <c r="T1026" s="3">
        <f>IF(tblOrdenes[[#This Row],[centro_costo]]="","",_xlfn.XLOOKUP(tblOrdenes[[#This Row],[centro_costo]],tblCECO[codigo],tblCECO[linea],"(sin catálogo)"))</f>
        <v/>
      </c>
      <c r="U1026" s="3">
        <f>IF(tblOrdenes[[#This Row],[centro_costo]]="","",_xlfn.XLOOKUP(tblOrdenes[[#This Row],[centro_costo]],tblCECO[codigo],tblCECO[area],"(sin catálogo)"))</f>
        <v/>
      </c>
      <c r="V1026" s="3">
        <f>IF(tblOrdenes[[#This Row],[centro_costo]]="","",_xlfn.XLOOKUP(tblOrdenes[[#This Row],[centro_costo]],tblCECO[codigo],tblCECO[coordinador],"(sin catálogo)"))</f>
        <v/>
      </c>
      <c r="W1026" s="3">
        <f>IF(tblOrdenes[[#This Row],[puesto_trabajo]]="","",_xlfn.XLOOKUP(tblOrdenes[[#This Row],[puesto_trabajo]],tblPuestos[codigo],tblPuestos[especialidad],"(sin catálogo)"))</f>
        <v/>
      </c>
      <c r="X1026" s="3">
        <f>IF(tblOrdenes[[#This Row],[cod_actividad]]="","",_xlfn.XLOOKUP(tblOrdenes[[#This Row],[cod_actividad]],tblActividades[codigo],tblActividades[descripcion],"(sin catálogo)"))</f>
        <v/>
      </c>
      <c r="Y1026" s="12">
        <f>IF(tblOrdenes[[#This Row],[fecha_inicio]]="","",TODAY()-tblOrdenes[[#This Row],[fecha_inicio]])</f>
        <v/>
      </c>
      <c r="Z1026" s="3">
        <f>IF(tblOrdenes[[#This Row],[backlog_dias]]="","",IF(tblOrdenes[[#This Row],[backlog_dias]]&lt;0,"FUTURO",IF(tblOrdenes[[#This Row],[backlog_dias]]&gt;p_dias_backlog_max,"BACKLOG","MES CORRIENTE")))</f>
        <v/>
      </c>
      <c r="AA1026" s="3">
        <f>IF(tblOrdenes[[#This Row],[backlog_dias]]="",FALSE,AND(tblOrdenes[[#This Row],[backlog_dias]]&gt;p_dias_backlog_min,tblOrdenes[[#This Row],[backlog_dias]]&lt;=p_dias_backlog_max))</f>
        <v/>
      </c>
      <c r="AB1026" s="6" t="n"/>
      <c r="AC10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6" s="10">
        <f>IF(tblOrdenes[[#This Row],[orden]]="","",_xlfn.XLOOKUP(tblOrdenes[[#This Row],[id_operacion]],tblEjecucion[id_operacion],tblEjecucion[precio],0))</f>
        <v/>
      </c>
      <c r="AG1026" s="10">
        <f>IF(tblOrdenes[[#This Row],[orden]]="","",MAX(0,_xlfn.XLOOKUP(tblOrdenes[[#This Row],[id_operacion]],tblEjecucion[id_operacion],tblEjecucion[costo_plan_total],0)-tblOrdenes[[#This Row],[costo_servicio]]))</f>
        <v/>
      </c>
      <c r="AH1026" s="10">
        <f>IF(tblOrdenes[[#This Row],[orden]]="","",tblOrdenes[[#This Row],[costo_servicio]]+tblOrdenes[[#This Row],[costo_materiales]])</f>
        <v/>
      </c>
      <c r="AI1026" s="6" t="n"/>
      <c r="AJ1026" s="6" t="n"/>
      <c r="AK1026" s="6" t="n"/>
      <c r="AL1026" s="3">
        <f>IF(tblOrdenes[[#This Row],[link_checklist]]="","",HYPERLINK(p_ruta_base_checklists&amp;tblOrdenes[[#This Row],[link_checklist]],"abrir"))</f>
        <v/>
      </c>
      <c r="AM1026" s="6" t="n"/>
      <c r="AN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Row],[tipo_ot]]="","",_xlfn.XLOOKUP(tblOrdenes[[#This Row],[tipo_ot]],tblTiposOT[codigo],tblTiposOT[clasificacion],"sin_clasificar"))</f>
        <v/>
      </c>
      <c r="T1027" s="3">
        <f>IF(tblOrdenes[[#This Row],[centro_costo]]="","",_xlfn.XLOOKUP(tblOrdenes[[#This Row],[centro_costo]],tblCECO[codigo],tblCECO[linea],"(sin catálogo)"))</f>
        <v/>
      </c>
      <c r="U1027" s="3">
        <f>IF(tblOrdenes[[#This Row],[centro_costo]]="","",_xlfn.XLOOKUP(tblOrdenes[[#This Row],[centro_costo]],tblCECO[codigo],tblCECO[area],"(sin catálogo)"))</f>
        <v/>
      </c>
      <c r="V1027" s="3">
        <f>IF(tblOrdenes[[#This Row],[centro_costo]]="","",_xlfn.XLOOKUP(tblOrdenes[[#This Row],[centro_costo]],tblCECO[codigo],tblCECO[coordinador],"(sin catálogo)"))</f>
        <v/>
      </c>
      <c r="W1027" s="3">
        <f>IF(tblOrdenes[[#This Row],[puesto_trabajo]]="","",_xlfn.XLOOKUP(tblOrdenes[[#This Row],[puesto_trabajo]],tblPuestos[codigo],tblPuestos[especialidad],"(sin catálogo)"))</f>
        <v/>
      </c>
      <c r="X1027" s="3">
        <f>IF(tblOrdenes[[#This Row],[cod_actividad]]="","",_xlfn.XLOOKUP(tblOrdenes[[#This Row],[cod_actividad]],tblActividades[codigo],tblActividades[descripcion],"(sin catálogo)"))</f>
        <v/>
      </c>
      <c r="Y1027" s="12">
        <f>IF(tblOrdenes[[#This Row],[fecha_inicio]]="","",TODAY()-tblOrdenes[[#This Row],[fecha_inicio]])</f>
        <v/>
      </c>
      <c r="Z1027" s="3">
        <f>IF(tblOrdenes[[#This Row],[backlog_dias]]="","",IF(tblOrdenes[[#This Row],[backlog_dias]]&lt;0,"FUTURO",IF(tblOrdenes[[#This Row],[backlog_dias]]&gt;p_dias_backlog_max,"BACKLOG","MES CORRIENTE")))</f>
        <v/>
      </c>
      <c r="AA1027" s="3">
        <f>IF(tblOrdenes[[#This Row],[backlog_dias]]="",FALSE,AND(tblOrdenes[[#This Row],[backlog_dias]]&gt;p_dias_backlog_min,tblOrdenes[[#This Row],[backlog_dias]]&lt;=p_dias_backlog_max))</f>
        <v/>
      </c>
      <c r="AB1027" s="6" t="n"/>
      <c r="AC10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7" s="10">
        <f>IF(tblOrdenes[[#This Row],[orden]]="","",_xlfn.XLOOKUP(tblOrdenes[[#This Row],[id_operacion]],tblEjecucion[id_operacion],tblEjecucion[precio],0))</f>
        <v/>
      </c>
      <c r="AG1027" s="10">
        <f>IF(tblOrdenes[[#This Row],[orden]]="","",MAX(0,_xlfn.XLOOKUP(tblOrdenes[[#This Row],[id_operacion]],tblEjecucion[id_operacion],tblEjecucion[costo_plan_total],0)-tblOrdenes[[#This Row],[costo_servicio]]))</f>
        <v/>
      </c>
      <c r="AH1027" s="10">
        <f>IF(tblOrdenes[[#This Row],[orden]]="","",tblOrdenes[[#This Row],[costo_servicio]]+tblOrdenes[[#This Row],[costo_materiales]])</f>
        <v/>
      </c>
      <c r="AI1027" s="6" t="n"/>
      <c r="AJ1027" s="6" t="n"/>
      <c r="AK1027" s="6" t="n"/>
      <c r="AL1027" s="3">
        <f>IF(tblOrdenes[[#This Row],[link_checklist]]="","",HYPERLINK(p_ruta_base_checklists&amp;tblOrdenes[[#This Row],[link_checklist]],"abrir"))</f>
        <v/>
      </c>
      <c r="AM1027" s="6" t="n"/>
      <c r="AN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Row],[tipo_ot]]="","",_xlfn.XLOOKUP(tblOrdenes[[#This Row],[tipo_ot]],tblTiposOT[codigo],tblTiposOT[clasificacion],"sin_clasificar"))</f>
        <v/>
      </c>
      <c r="T1028" s="3">
        <f>IF(tblOrdenes[[#This Row],[centro_costo]]="","",_xlfn.XLOOKUP(tblOrdenes[[#This Row],[centro_costo]],tblCECO[codigo],tblCECO[linea],"(sin catálogo)"))</f>
        <v/>
      </c>
      <c r="U1028" s="3">
        <f>IF(tblOrdenes[[#This Row],[centro_costo]]="","",_xlfn.XLOOKUP(tblOrdenes[[#This Row],[centro_costo]],tblCECO[codigo],tblCECO[area],"(sin catálogo)"))</f>
        <v/>
      </c>
      <c r="V1028" s="3">
        <f>IF(tblOrdenes[[#This Row],[centro_costo]]="","",_xlfn.XLOOKUP(tblOrdenes[[#This Row],[centro_costo]],tblCECO[codigo],tblCECO[coordinador],"(sin catálogo)"))</f>
        <v/>
      </c>
      <c r="W1028" s="3">
        <f>IF(tblOrdenes[[#This Row],[puesto_trabajo]]="","",_xlfn.XLOOKUP(tblOrdenes[[#This Row],[puesto_trabajo]],tblPuestos[codigo],tblPuestos[especialidad],"(sin catálogo)"))</f>
        <v/>
      </c>
      <c r="X1028" s="3">
        <f>IF(tblOrdenes[[#This Row],[cod_actividad]]="","",_xlfn.XLOOKUP(tblOrdenes[[#This Row],[cod_actividad]],tblActividades[codigo],tblActividades[descripcion],"(sin catálogo)"))</f>
        <v/>
      </c>
      <c r="Y1028" s="12">
        <f>IF(tblOrdenes[[#This Row],[fecha_inicio]]="","",TODAY()-tblOrdenes[[#This Row],[fecha_inicio]])</f>
        <v/>
      </c>
      <c r="Z1028" s="3">
        <f>IF(tblOrdenes[[#This Row],[backlog_dias]]="","",IF(tblOrdenes[[#This Row],[backlog_dias]]&lt;0,"FUTURO",IF(tblOrdenes[[#This Row],[backlog_dias]]&gt;p_dias_backlog_max,"BACKLOG","MES CORRIENTE")))</f>
        <v/>
      </c>
      <c r="AA1028" s="3">
        <f>IF(tblOrdenes[[#This Row],[backlog_dias]]="",FALSE,AND(tblOrdenes[[#This Row],[backlog_dias]]&gt;p_dias_backlog_min,tblOrdenes[[#This Row],[backlog_dias]]&lt;=p_dias_backlog_max))</f>
        <v/>
      </c>
      <c r="AB1028" s="6" t="n"/>
      <c r="AC10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8" s="10">
        <f>IF(tblOrdenes[[#This Row],[orden]]="","",_xlfn.XLOOKUP(tblOrdenes[[#This Row],[id_operacion]],tblEjecucion[id_operacion],tblEjecucion[precio],0))</f>
        <v/>
      </c>
      <c r="AG1028" s="10">
        <f>IF(tblOrdenes[[#This Row],[orden]]="","",MAX(0,_xlfn.XLOOKUP(tblOrdenes[[#This Row],[id_operacion]],tblEjecucion[id_operacion],tblEjecucion[costo_plan_total],0)-tblOrdenes[[#This Row],[costo_servicio]]))</f>
        <v/>
      </c>
      <c r="AH1028" s="10">
        <f>IF(tblOrdenes[[#This Row],[orden]]="","",tblOrdenes[[#This Row],[costo_servicio]]+tblOrdenes[[#This Row],[costo_materiales]])</f>
        <v/>
      </c>
      <c r="AI1028" s="6" t="n"/>
      <c r="AJ1028" s="6" t="n"/>
      <c r="AK1028" s="6" t="n"/>
      <c r="AL1028" s="3">
        <f>IF(tblOrdenes[[#This Row],[link_checklist]]="","",HYPERLINK(p_ruta_base_checklists&amp;tblOrdenes[[#This Row],[link_checklist]],"abrir"))</f>
        <v/>
      </c>
      <c r="AM1028" s="6" t="n"/>
      <c r="AN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Row],[tipo_ot]]="","",_xlfn.XLOOKUP(tblOrdenes[[#This Row],[tipo_ot]],tblTiposOT[codigo],tblTiposOT[clasificacion],"sin_clasificar"))</f>
        <v/>
      </c>
      <c r="T1029" s="3">
        <f>IF(tblOrdenes[[#This Row],[centro_costo]]="","",_xlfn.XLOOKUP(tblOrdenes[[#This Row],[centro_costo]],tblCECO[codigo],tblCECO[linea],"(sin catálogo)"))</f>
        <v/>
      </c>
      <c r="U1029" s="3">
        <f>IF(tblOrdenes[[#This Row],[centro_costo]]="","",_xlfn.XLOOKUP(tblOrdenes[[#This Row],[centro_costo]],tblCECO[codigo],tblCECO[area],"(sin catálogo)"))</f>
        <v/>
      </c>
      <c r="V1029" s="3">
        <f>IF(tblOrdenes[[#This Row],[centro_costo]]="","",_xlfn.XLOOKUP(tblOrdenes[[#This Row],[centro_costo]],tblCECO[codigo],tblCECO[coordinador],"(sin catálogo)"))</f>
        <v/>
      </c>
      <c r="W1029" s="3">
        <f>IF(tblOrdenes[[#This Row],[puesto_trabajo]]="","",_xlfn.XLOOKUP(tblOrdenes[[#This Row],[puesto_trabajo]],tblPuestos[codigo],tblPuestos[especialidad],"(sin catálogo)"))</f>
        <v/>
      </c>
      <c r="X1029" s="3">
        <f>IF(tblOrdenes[[#This Row],[cod_actividad]]="","",_xlfn.XLOOKUP(tblOrdenes[[#This Row],[cod_actividad]],tblActividades[codigo],tblActividades[descripcion],"(sin catálogo)"))</f>
        <v/>
      </c>
      <c r="Y1029" s="12">
        <f>IF(tblOrdenes[[#This Row],[fecha_inicio]]="","",TODAY()-tblOrdenes[[#This Row],[fecha_inicio]])</f>
        <v/>
      </c>
      <c r="Z1029" s="3">
        <f>IF(tblOrdenes[[#This Row],[backlog_dias]]="","",IF(tblOrdenes[[#This Row],[backlog_dias]]&lt;0,"FUTURO",IF(tblOrdenes[[#This Row],[backlog_dias]]&gt;p_dias_backlog_max,"BACKLOG","MES CORRIENTE")))</f>
        <v/>
      </c>
      <c r="AA1029" s="3">
        <f>IF(tblOrdenes[[#This Row],[backlog_dias]]="",FALSE,AND(tblOrdenes[[#This Row],[backlog_dias]]&gt;p_dias_backlog_min,tblOrdenes[[#This Row],[backlog_dias]]&lt;=p_dias_backlog_max))</f>
        <v/>
      </c>
      <c r="AB1029" s="6" t="n"/>
      <c r="AC10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9" s="10">
        <f>IF(tblOrdenes[[#This Row],[orden]]="","",_xlfn.XLOOKUP(tblOrdenes[[#This Row],[id_operacion]],tblEjecucion[id_operacion],tblEjecucion[precio],0))</f>
        <v/>
      </c>
      <c r="AG1029" s="10">
        <f>IF(tblOrdenes[[#This Row],[orden]]="","",MAX(0,_xlfn.XLOOKUP(tblOrdenes[[#This Row],[id_operacion]],tblEjecucion[id_operacion],tblEjecucion[costo_plan_total],0)-tblOrdenes[[#This Row],[costo_servicio]]))</f>
        <v/>
      </c>
      <c r="AH1029" s="10">
        <f>IF(tblOrdenes[[#This Row],[orden]]="","",tblOrdenes[[#This Row],[costo_servicio]]+tblOrdenes[[#This Row],[costo_materiales]])</f>
        <v/>
      </c>
      <c r="AI1029" s="6" t="n"/>
      <c r="AJ1029" s="6" t="n"/>
      <c r="AK1029" s="6" t="n"/>
      <c r="AL1029" s="3">
        <f>IF(tblOrdenes[[#This Row],[link_checklist]]="","",HYPERLINK(p_ruta_base_checklists&amp;tblOrdenes[[#This Row],[link_checklist]],"abrir"))</f>
        <v/>
      </c>
      <c r="AM1029" s="6" t="n"/>
      <c r="AN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Row],[tipo_ot]]="","",_xlfn.XLOOKUP(tblOrdenes[[#This Row],[tipo_ot]],tblTiposOT[codigo],tblTiposOT[clasificacion],"sin_clasificar"))</f>
        <v/>
      </c>
      <c r="T1030" s="3">
        <f>IF(tblOrdenes[[#This Row],[centro_costo]]="","",_xlfn.XLOOKUP(tblOrdenes[[#This Row],[centro_costo]],tblCECO[codigo],tblCECO[linea],"(sin catálogo)"))</f>
        <v/>
      </c>
      <c r="U1030" s="3">
        <f>IF(tblOrdenes[[#This Row],[centro_costo]]="","",_xlfn.XLOOKUP(tblOrdenes[[#This Row],[centro_costo]],tblCECO[codigo],tblCECO[area],"(sin catálogo)"))</f>
        <v/>
      </c>
      <c r="V1030" s="3">
        <f>IF(tblOrdenes[[#This Row],[centro_costo]]="","",_xlfn.XLOOKUP(tblOrdenes[[#This Row],[centro_costo]],tblCECO[codigo],tblCECO[coordinador],"(sin catálogo)"))</f>
        <v/>
      </c>
      <c r="W1030" s="3">
        <f>IF(tblOrdenes[[#This Row],[puesto_trabajo]]="","",_xlfn.XLOOKUP(tblOrdenes[[#This Row],[puesto_trabajo]],tblPuestos[codigo],tblPuestos[especialidad],"(sin catálogo)"))</f>
        <v/>
      </c>
      <c r="X1030" s="3">
        <f>IF(tblOrdenes[[#This Row],[cod_actividad]]="","",_xlfn.XLOOKUP(tblOrdenes[[#This Row],[cod_actividad]],tblActividades[codigo],tblActividades[descripcion],"(sin catálogo)"))</f>
        <v/>
      </c>
      <c r="Y1030" s="12">
        <f>IF(tblOrdenes[[#This Row],[fecha_inicio]]="","",TODAY()-tblOrdenes[[#This Row],[fecha_inicio]])</f>
        <v/>
      </c>
      <c r="Z1030" s="3">
        <f>IF(tblOrdenes[[#This Row],[backlog_dias]]="","",IF(tblOrdenes[[#This Row],[backlog_dias]]&lt;0,"FUTURO",IF(tblOrdenes[[#This Row],[backlog_dias]]&gt;p_dias_backlog_max,"BACKLOG","MES CORRIENTE")))</f>
        <v/>
      </c>
      <c r="AA1030" s="3">
        <f>IF(tblOrdenes[[#This Row],[backlog_dias]]="",FALSE,AND(tblOrdenes[[#This Row],[backlog_dias]]&gt;p_dias_backlog_min,tblOrdenes[[#This Row],[backlog_dias]]&lt;=p_dias_backlog_max))</f>
        <v/>
      </c>
      <c r="AB1030" s="6" t="n"/>
      <c r="AC10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0" s="10">
        <f>IF(tblOrdenes[[#This Row],[orden]]="","",_xlfn.XLOOKUP(tblOrdenes[[#This Row],[id_operacion]],tblEjecucion[id_operacion],tblEjecucion[precio],0))</f>
        <v/>
      </c>
      <c r="AG1030" s="10">
        <f>IF(tblOrdenes[[#This Row],[orden]]="","",MAX(0,_xlfn.XLOOKUP(tblOrdenes[[#This Row],[id_operacion]],tblEjecucion[id_operacion],tblEjecucion[costo_plan_total],0)-tblOrdenes[[#This Row],[costo_servicio]]))</f>
        <v/>
      </c>
      <c r="AH1030" s="10">
        <f>IF(tblOrdenes[[#This Row],[orden]]="","",tblOrdenes[[#This Row],[costo_servicio]]+tblOrdenes[[#This Row],[costo_materiales]])</f>
        <v/>
      </c>
      <c r="AI1030" s="6" t="n"/>
      <c r="AJ1030" s="6" t="n"/>
      <c r="AK1030" s="6" t="n"/>
      <c r="AL1030" s="3">
        <f>IF(tblOrdenes[[#This Row],[link_checklist]]="","",HYPERLINK(p_ruta_base_checklists&amp;tblOrdenes[[#This Row],[link_checklist]],"abrir"))</f>
        <v/>
      </c>
      <c r="AM1030" s="6" t="n"/>
      <c r="AN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Row],[tipo_ot]]="","",_xlfn.XLOOKUP(tblOrdenes[[#This Row],[tipo_ot]],tblTiposOT[codigo],tblTiposOT[clasificacion],"sin_clasificar"))</f>
        <v/>
      </c>
      <c r="T1031" s="3">
        <f>IF(tblOrdenes[[#This Row],[centro_costo]]="","",_xlfn.XLOOKUP(tblOrdenes[[#This Row],[centro_costo]],tblCECO[codigo],tblCECO[linea],"(sin catálogo)"))</f>
        <v/>
      </c>
      <c r="U1031" s="3">
        <f>IF(tblOrdenes[[#This Row],[centro_costo]]="","",_xlfn.XLOOKUP(tblOrdenes[[#This Row],[centro_costo]],tblCECO[codigo],tblCECO[area],"(sin catálogo)"))</f>
        <v/>
      </c>
      <c r="V1031" s="3">
        <f>IF(tblOrdenes[[#This Row],[centro_costo]]="","",_xlfn.XLOOKUP(tblOrdenes[[#This Row],[centro_costo]],tblCECO[codigo],tblCECO[coordinador],"(sin catálogo)"))</f>
        <v/>
      </c>
      <c r="W1031" s="3">
        <f>IF(tblOrdenes[[#This Row],[puesto_trabajo]]="","",_xlfn.XLOOKUP(tblOrdenes[[#This Row],[puesto_trabajo]],tblPuestos[codigo],tblPuestos[especialidad],"(sin catálogo)"))</f>
        <v/>
      </c>
      <c r="X1031" s="3">
        <f>IF(tblOrdenes[[#This Row],[cod_actividad]]="","",_xlfn.XLOOKUP(tblOrdenes[[#This Row],[cod_actividad]],tblActividades[codigo],tblActividades[descripcion],"(sin catálogo)"))</f>
        <v/>
      </c>
      <c r="Y1031" s="12">
        <f>IF(tblOrdenes[[#This Row],[fecha_inicio]]="","",TODAY()-tblOrdenes[[#This Row],[fecha_inicio]])</f>
        <v/>
      </c>
      <c r="Z1031" s="3">
        <f>IF(tblOrdenes[[#This Row],[backlog_dias]]="","",IF(tblOrdenes[[#This Row],[backlog_dias]]&lt;0,"FUTURO",IF(tblOrdenes[[#This Row],[backlog_dias]]&gt;p_dias_backlog_max,"BACKLOG","MES CORRIENTE")))</f>
        <v/>
      </c>
      <c r="AA1031" s="3">
        <f>IF(tblOrdenes[[#This Row],[backlog_dias]]="",FALSE,AND(tblOrdenes[[#This Row],[backlog_dias]]&gt;p_dias_backlog_min,tblOrdenes[[#This Row],[backlog_dias]]&lt;=p_dias_backlog_max))</f>
        <v/>
      </c>
      <c r="AB1031" s="6" t="n"/>
      <c r="AC10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1" s="10">
        <f>IF(tblOrdenes[[#This Row],[orden]]="","",_xlfn.XLOOKUP(tblOrdenes[[#This Row],[id_operacion]],tblEjecucion[id_operacion],tblEjecucion[precio],0))</f>
        <v/>
      </c>
      <c r="AG1031" s="10">
        <f>IF(tblOrdenes[[#This Row],[orden]]="","",MAX(0,_xlfn.XLOOKUP(tblOrdenes[[#This Row],[id_operacion]],tblEjecucion[id_operacion],tblEjecucion[costo_plan_total],0)-tblOrdenes[[#This Row],[costo_servicio]]))</f>
        <v/>
      </c>
      <c r="AH1031" s="10">
        <f>IF(tblOrdenes[[#This Row],[orden]]="","",tblOrdenes[[#This Row],[costo_servicio]]+tblOrdenes[[#This Row],[costo_materiales]])</f>
        <v/>
      </c>
      <c r="AI1031" s="6" t="n"/>
      <c r="AJ1031" s="6" t="n"/>
      <c r="AK1031" s="6" t="n"/>
      <c r="AL1031" s="3">
        <f>IF(tblOrdenes[[#This Row],[link_checklist]]="","",HYPERLINK(p_ruta_base_checklists&amp;tblOrdenes[[#This Row],[link_checklist]],"abrir"))</f>
        <v/>
      </c>
      <c r="AM1031" s="6" t="n"/>
      <c r="AN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Row],[tipo_ot]]="","",_xlfn.XLOOKUP(tblOrdenes[[#This Row],[tipo_ot]],tblTiposOT[codigo],tblTiposOT[clasificacion],"sin_clasificar"))</f>
        <v/>
      </c>
      <c r="T1032" s="3">
        <f>IF(tblOrdenes[[#This Row],[centro_costo]]="","",_xlfn.XLOOKUP(tblOrdenes[[#This Row],[centro_costo]],tblCECO[codigo],tblCECO[linea],"(sin catálogo)"))</f>
        <v/>
      </c>
      <c r="U1032" s="3">
        <f>IF(tblOrdenes[[#This Row],[centro_costo]]="","",_xlfn.XLOOKUP(tblOrdenes[[#This Row],[centro_costo]],tblCECO[codigo],tblCECO[area],"(sin catálogo)"))</f>
        <v/>
      </c>
      <c r="V1032" s="3">
        <f>IF(tblOrdenes[[#This Row],[centro_costo]]="","",_xlfn.XLOOKUP(tblOrdenes[[#This Row],[centro_costo]],tblCECO[codigo],tblCECO[coordinador],"(sin catálogo)"))</f>
        <v/>
      </c>
      <c r="W1032" s="3">
        <f>IF(tblOrdenes[[#This Row],[puesto_trabajo]]="","",_xlfn.XLOOKUP(tblOrdenes[[#This Row],[puesto_trabajo]],tblPuestos[codigo],tblPuestos[especialidad],"(sin catálogo)"))</f>
        <v/>
      </c>
      <c r="X1032" s="3">
        <f>IF(tblOrdenes[[#This Row],[cod_actividad]]="","",_xlfn.XLOOKUP(tblOrdenes[[#This Row],[cod_actividad]],tblActividades[codigo],tblActividades[descripcion],"(sin catálogo)"))</f>
        <v/>
      </c>
      <c r="Y1032" s="12">
        <f>IF(tblOrdenes[[#This Row],[fecha_inicio]]="","",TODAY()-tblOrdenes[[#This Row],[fecha_inicio]])</f>
        <v/>
      </c>
      <c r="Z1032" s="3">
        <f>IF(tblOrdenes[[#This Row],[backlog_dias]]="","",IF(tblOrdenes[[#This Row],[backlog_dias]]&lt;0,"FUTURO",IF(tblOrdenes[[#This Row],[backlog_dias]]&gt;p_dias_backlog_max,"BACKLOG","MES CORRIENTE")))</f>
        <v/>
      </c>
      <c r="AA1032" s="3">
        <f>IF(tblOrdenes[[#This Row],[backlog_dias]]="",FALSE,AND(tblOrdenes[[#This Row],[backlog_dias]]&gt;p_dias_backlog_min,tblOrdenes[[#This Row],[backlog_dias]]&lt;=p_dias_backlog_max))</f>
        <v/>
      </c>
      <c r="AB1032" s="6" t="n"/>
      <c r="AC10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2" s="10">
        <f>IF(tblOrdenes[[#This Row],[orden]]="","",_xlfn.XLOOKUP(tblOrdenes[[#This Row],[id_operacion]],tblEjecucion[id_operacion],tblEjecucion[precio],0))</f>
        <v/>
      </c>
      <c r="AG1032" s="10">
        <f>IF(tblOrdenes[[#This Row],[orden]]="","",MAX(0,_xlfn.XLOOKUP(tblOrdenes[[#This Row],[id_operacion]],tblEjecucion[id_operacion],tblEjecucion[costo_plan_total],0)-tblOrdenes[[#This Row],[costo_servicio]]))</f>
        <v/>
      </c>
      <c r="AH1032" s="10">
        <f>IF(tblOrdenes[[#This Row],[orden]]="","",tblOrdenes[[#This Row],[costo_servicio]]+tblOrdenes[[#This Row],[costo_materiales]])</f>
        <v/>
      </c>
      <c r="AI1032" s="6" t="n"/>
      <c r="AJ1032" s="6" t="n"/>
      <c r="AK1032" s="6" t="n"/>
      <c r="AL1032" s="3">
        <f>IF(tblOrdenes[[#This Row],[link_checklist]]="","",HYPERLINK(p_ruta_base_checklists&amp;tblOrdenes[[#This Row],[link_checklist]],"abrir"))</f>
        <v/>
      </c>
      <c r="AM1032" s="6" t="n"/>
      <c r="AN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Row],[tipo_ot]]="","",_xlfn.XLOOKUP(tblOrdenes[[#This Row],[tipo_ot]],tblTiposOT[codigo],tblTiposOT[clasificacion],"sin_clasificar"))</f>
        <v/>
      </c>
      <c r="T1033" s="3">
        <f>IF(tblOrdenes[[#This Row],[centro_costo]]="","",_xlfn.XLOOKUP(tblOrdenes[[#This Row],[centro_costo]],tblCECO[codigo],tblCECO[linea],"(sin catálogo)"))</f>
        <v/>
      </c>
      <c r="U1033" s="3">
        <f>IF(tblOrdenes[[#This Row],[centro_costo]]="","",_xlfn.XLOOKUP(tblOrdenes[[#This Row],[centro_costo]],tblCECO[codigo],tblCECO[area],"(sin catálogo)"))</f>
        <v/>
      </c>
      <c r="V1033" s="3">
        <f>IF(tblOrdenes[[#This Row],[centro_costo]]="","",_xlfn.XLOOKUP(tblOrdenes[[#This Row],[centro_costo]],tblCECO[codigo],tblCECO[coordinador],"(sin catálogo)"))</f>
        <v/>
      </c>
      <c r="W1033" s="3">
        <f>IF(tblOrdenes[[#This Row],[puesto_trabajo]]="","",_xlfn.XLOOKUP(tblOrdenes[[#This Row],[puesto_trabajo]],tblPuestos[codigo],tblPuestos[especialidad],"(sin catálogo)"))</f>
        <v/>
      </c>
      <c r="X1033" s="3">
        <f>IF(tblOrdenes[[#This Row],[cod_actividad]]="","",_xlfn.XLOOKUP(tblOrdenes[[#This Row],[cod_actividad]],tblActividades[codigo],tblActividades[descripcion],"(sin catálogo)"))</f>
        <v/>
      </c>
      <c r="Y1033" s="12">
        <f>IF(tblOrdenes[[#This Row],[fecha_inicio]]="","",TODAY()-tblOrdenes[[#This Row],[fecha_inicio]])</f>
        <v/>
      </c>
      <c r="Z1033" s="3">
        <f>IF(tblOrdenes[[#This Row],[backlog_dias]]="","",IF(tblOrdenes[[#This Row],[backlog_dias]]&lt;0,"FUTURO",IF(tblOrdenes[[#This Row],[backlog_dias]]&gt;p_dias_backlog_max,"BACKLOG","MES CORRIENTE")))</f>
        <v/>
      </c>
      <c r="AA1033" s="3">
        <f>IF(tblOrdenes[[#This Row],[backlog_dias]]="",FALSE,AND(tblOrdenes[[#This Row],[backlog_dias]]&gt;p_dias_backlog_min,tblOrdenes[[#This Row],[backlog_dias]]&lt;=p_dias_backlog_max))</f>
        <v/>
      </c>
      <c r="AB1033" s="6" t="n"/>
      <c r="AC10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3" s="10">
        <f>IF(tblOrdenes[[#This Row],[orden]]="","",_xlfn.XLOOKUP(tblOrdenes[[#This Row],[id_operacion]],tblEjecucion[id_operacion],tblEjecucion[precio],0))</f>
        <v/>
      </c>
      <c r="AG1033" s="10">
        <f>IF(tblOrdenes[[#This Row],[orden]]="","",MAX(0,_xlfn.XLOOKUP(tblOrdenes[[#This Row],[id_operacion]],tblEjecucion[id_operacion],tblEjecucion[costo_plan_total],0)-tblOrdenes[[#This Row],[costo_servicio]]))</f>
        <v/>
      </c>
      <c r="AH1033" s="10">
        <f>IF(tblOrdenes[[#This Row],[orden]]="","",tblOrdenes[[#This Row],[costo_servicio]]+tblOrdenes[[#This Row],[costo_materiales]])</f>
        <v/>
      </c>
      <c r="AI1033" s="6" t="n"/>
      <c r="AJ1033" s="6" t="n"/>
      <c r="AK1033" s="6" t="n"/>
      <c r="AL1033" s="3">
        <f>IF(tblOrdenes[[#This Row],[link_checklist]]="","",HYPERLINK(p_ruta_base_checklists&amp;tblOrdenes[[#This Row],[link_checklist]],"abrir"))</f>
        <v/>
      </c>
      <c r="AM1033" s="6" t="n"/>
      <c r="AN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Row],[tipo_ot]]="","",_xlfn.XLOOKUP(tblOrdenes[[#This Row],[tipo_ot]],tblTiposOT[codigo],tblTiposOT[clasificacion],"sin_clasificar"))</f>
        <v/>
      </c>
      <c r="T1034" s="3">
        <f>IF(tblOrdenes[[#This Row],[centro_costo]]="","",_xlfn.XLOOKUP(tblOrdenes[[#This Row],[centro_costo]],tblCECO[codigo],tblCECO[linea],"(sin catálogo)"))</f>
        <v/>
      </c>
      <c r="U1034" s="3">
        <f>IF(tblOrdenes[[#This Row],[centro_costo]]="","",_xlfn.XLOOKUP(tblOrdenes[[#This Row],[centro_costo]],tblCECO[codigo],tblCECO[area],"(sin catálogo)"))</f>
        <v/>
      </c>
      <c r="V1034" s="3">
        <f>IF(tblOrdenes[[#This Row],[centro_costo]]="","",_xlfn.XLOOKUP(tblOrdenes[[#This Row],[centro_costo]],tblCECO[codigo],tblCECO[coordinador],"(sin catálogo)"))</f>
        <v/>
      </c>
      <c r="W1034" s="3">
        <f>IF(tblOrdenes[[#This Row],[puesto_trabajo]]="","",_xlfn.XLOOKUP(tblOrdenes[[#This Row],[puesto_trabajo]],tblPuestos[codigo],tblPuestos[especialidad],"(sin catálogo)"))</f>
        <v/>
      </c>
      <c r="X1034" s="3">
        <f>IF(tblOrdenes[[#This Row],[cod_actividad]]="","",_xlfn.XLOOKUP(tblOrdenes[[#This Row],[cod_actividad]],tblActividades[codigo],tblActividades[descripcion],"(sin catálogo)"))</f>
        <v/>
      </c>
      <c r="Y1034" s="12">
        <f>IF(tblOrdenes[[#This Row],[fecha_inicio]]="","",TODAY()-tblOrdenes[[#This Row],[fecha_inicio]])</f>
        <v/>
      </c>
      <c r="Z1034" s="3">
        <f>IF(tblOrdenes[[#This Row],[backlog_dias]]="","",IF(tblOrdenes[[#This Row],[backlog_dias]]&lt;0,"FUTURO",IF(tblOrdenes[[#This Row],[backlog_dias]]&gt;p_dias_backlog_max,"BACKLOG","MES CORRIENTE")))</f>
        <v/>
      </c>
      <c r="AA1034" s="3">
        <f>IF(tblOrdenes[[#This Row],[backlog_dias]]="",FALSE,AND(tblOrdenes[[#This Row],[backlog_dias]]&gt;p_dias_backlog_min,tblOrdenes[[#This Row],[backlog_dias]]&lt;=p_dias_backlog_max))</f>
        <v/>
      </c>
      <c r="AB1034" s="6" t="n"/>
      <c r="AC10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4" s="10">
        <f>IF(tblOrdenes[[#This Row],[orden]]="","",_xlfn.XLOOKUP(tblOrdenes[[#This Row],[id_operacion]],tblEjecucion[id_operacion],tblEjecucion[precio],0))</f>
        <v/>
      </c>
      <c r="AG1034" s="10">
        <f>IF(tblOrdenes[[#This Row],[orden]]="","",MAX(0,_xlfn.XLOOKUP(tblOrdenes[[#This Row],[id_operacion]],tblEjecucion[id_operacion],tblEjecucion[costo_plan_total],0)-tblOrdenes[[#This Row],[costo_servicio]]))</f>
        <v/>
      </c>
      <c r="AH1034" s="10">
        <f>IF(tblOrdenes[[#This Row],[orden]]="","",tblOrdenes[[#This Row],[costo_servicio]]+tblOrdenes[[#This Row],[costo_materiales]])</f>
        <v/>
      </c>
      <c r="AI1034" s="6" t="n"/>
      <c r="AJ1034" s="6" t="n"/>
      <c r="AK1034" s="6" t="n"/>
      <c r="AL1034" s="3">
        <f>IF(tblOrdenes[[#This Row],[link_checklist]]="","",HYPERLINK(p_ruta_base_checklists&amp;tblOrdenes[[#This Row],[link_checklist]],"abrir"))</f>
        <v/>
      </c>
      <c r="AM1034" s="6" t="n"/>
      <c r="AN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Row],[tipo_ot]]="","",_xlfn.XLOOKUP(tblOrdenes[[#This Row],[tipo_ot]],tblTiposOT[codigo],tblTiposOT[clasificacion],"sin_clasificar"))</f>
        <v/>
      </c>
      <c r="T1035" s="3">
        <f>IF(tblOrdenes[[#This Row],[centro_costo]]="","",_xlfn.XLOOKUP(tblOrdenes[[#This Row],[centro_costo]],tblCECO[codigo],tblCECO[linea],"(sin catálogo)"))</f>
        <v/>
      </c>
      <c r="U1035" s="3">
        <f>IF(tblOrdenes[[#This Row],[centro_costo]]="","",_xlfn.XLOOKUP(tblOrdenes[[#This Row],[centro_costo]],tblCECO[codigo],tblCECO[area],"(sin catálogo)"))</f>
        <v/>
      </c>
      <c r="V1035" s="3">
        <f>IF(tblOrdenes[[#This Row],[centro_costo]]="","",_xlfn.XLOOKUP(tblOrdenes[[#This Row],[centro_costo]],tblCECO[codigo],tblCECO[coordinador],"(sin catálogo)"))</f>
        <v/>
      </c>
      <c r="W1035" s="3">
        <f>IF(tblOrdenes[[#This Row],[puesto_trabajo]]="","",_xlfn.XLOOKUP(tblOrdenes[[#This Row],[puesto_trabajo]],tblPuestos[codigo],tblPuestos[especialidad],"(sin catálogo)"))</f>
        <v/>
      </c>
      <c r="X1035" s="3">
        <f>IF(tblOrdenes[[#This Row],[cod_actividad]]="","",_xlfn.XLOOKUP(tblOrdenes[[#This Row],[cod_actividad]],tblActividades[codigo],tblActividades[descripcion],"(sin catálogo)"))</f>
        <v/>
      </c>
      <c r="Y1035" s="12">
        <f>IF(tblOrdenes[[#This Row],[fecha_inicio]]="","",TODAY()-tblOrdenes[[#This Row],[fecha_inicio]])</f>
        <v/>
      </c>
      <c r="Z1035" s="3">
        <f>IF(tblOrdenes[[#This Row],[backlog_dias]]="","",IF(tblOrdenes[[#This Row],[backlog_dias]]&lt;0,"FUTURO",IF(tblOrdenes[[#This Row],[backlog_dias]]&gt;p_dias_backlog_max,"BACKLOG","MES CORRIENTE")))</f>
        <v/>
      </c>
      <c r="AA1035" s="3">
        <f>IF(tblOrdenes[[#This Row],[backlog_dias]]="",FALSE,AND(tblOrdenes[[#This Row],[backlog_dias]]&gt;p_dias_backlog_min,tblOrdenes[[#This Row],[backlog_dias]]&lt;=p_dias_backlog_max))</f>
        <v/>
      </c>
      <c r="AB1035" s="6" t="n"/>
      <c r="AC10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5" s="10">
        <f>IF(tblOrdenes[[#This Row],[orden]]="","",_xlfn.XLOOKUP(tblOrdenes[[#This Row],[id_operacion]],tblEjecucion[id_operacion],tblEjecucion[precio],0))</f>
        <v/>
      </c>
      <c r="AG1035" s="10">
        <f>IF(tblOrdenes[[#This Row],[orden]]="","",MAX(0,_xlfn.XLOOKUP(tblOrdenes[[#This Row],[id_operacion]],tblEjecucion[id_operacion],tblEjecucion[costo_plan_total],0)-tblOrdenes[[#This Row],[costo_servicio]]))</f>
        <v/>
      </c>
      <c r="AH1035" s="10">
        <f>IF(tblOrdenes[[#This Row],[orden]]="","",tblOrdenes[[#This Row],[costo_servicio]]+tblOrdenes[[#This Row],[costo_materiales]])</f>
        <v/>
      </c>
      <c r="AI1035" s="6" t="n"/>
      <c r="AJ1035" s="6" t="n"/>
      <c r="AK1035" s="6" t="n"/>
      <c r="AL1035" s="3">
        <f>IF(tblOrdenes[[#This Row],[link_checklist]]="","",HYPERLINK(p_ruta_base_checklists&amp;tblOrdenes[[#This Row],[link_checklist]],"abrir"))</f>
        <v/>
      </c>
      <c r="AM1035" s="6" t="n"/>
      <c r="AN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Row],[tipo_ot]]="","",_xlfn.XLOOKUP(tblOrdenes[[#This Row],[tipo_ot]],tblTiposOT[codigo],tblTiposOT[clasificacion],"sin_clasificar"))</f>
        <v/>
      </c>
      <c r="T1036" s="3">
        <f>IF(tblOrdenes[[#This Row],[centro_costo]]="","",_xlfn.XLOOKUP(tblOrdenes[[#This Row],[centro_costo]],tblCECO[codigo],tblCECO[linea],"(sin catálogo)"))</f>
        <v/>
      </c>
      <c r="U1036" s="3">
        <f>IF(tblOrdenes[[#This Row],[centro_costo]]="","",_xlfn.XLOOKUP(tblOrdenes[[#This Row],[centro_costo]],tblCECO[codigo],tblCECO[area],"(sin catálogo)"))</f>
        <v/>
      </c>
      <c r="V1036" s="3">
        <f>IF(tblOrdenes[[#This Row],[centro_costo]]="","",_xlfn.XLOOKUP(tblOrdenes[[#This Row],[centro_costo]],tblCECO[codigo],tblCECO[coordinador],"(sin catálogo)"))</f>
        <v/>
      </c>
      <c r="W1036" s="3">
        <f>IF(tblOrdenes[[#This Row],[puesto_trabajo]]="","",_xlfn.XLOOKUP(tblOrdenes[[#This Row],[puesto_trabajo]],tblPuestos[codigo],tblPuestos[especialidad],"(sin catálogo)"))</f>
        <v/>
      </c>
      <c r="X1036" s="3">
        <f>IF(tblOrdenes[[#This Row],[cod_actividad]]="","",_xlfn.XLOOKUP(tblOrdenes[[#This Row],[cod_actividad]],tblActividades[codigo],tblActividades[descripcion],"(sin catálogo)"))</f>
        <v/>
      </c>
      <c r="Y1036" s="12">
        <f>IF(tblOrdenes[[#This Row],[fecha_inicio]]="","",TODAY()-tblOrdenes[[#This Row],[fecha_inicio]])</f>
        <v/>
      </c>
      <c r="Z1036" s="3">
        <f>IF(tblOrdenes[[#This Row],[backlog_dias]]="","",IF(tblOrdenes[[#This Row],[backlog_dias]]&lt;0,"FUTURO",IF(tblOrdenes[[#This Row],[backlog_dias]]&gt;p_dias_backlog_max,"BACKLOG","MES CORRIENTE")))</f>
        <v/>
      </c>
      <c r="AA1036" s="3">
        <f>IF(tblOrdenes[[#This Row],[backlog_dias]]="",FALSE,AND(tblOrdenes[[#This Row],[backlog_dias]]&gt;p_dias_backlog_min,tblOrdenes[[#This Row],[backlog_dias]]&lt;=p_dias_backlog_max))</f>
        <v/>
      </c>
      <c r="AB1036" s="6" t="n"/>
      <c r="AC10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6" s="10">
        <f>IF(tblOrdenes[[#This Row],[orden]]="","",_xlfn.XLOOKUP(tblOrdenes[[#This Row],[id_operacion]],tblEjecucion[id_operacion],tblEjecucion[precio],0))</f>
        <v/>
      </c>
      <c r="AG1036" s="10">
        <f>IF(tblOrdenes[[#This Row],[orden]]="","",MAX(0,_xlfn.XLOOKUP(tblOrdenes[[#This Row],[id_operacion]],tblEjecucion[id_operacion],tblEjecucion[costo_plan_total],0)-tblOrdenes[[#This Row],[costo_servicio]]))</f>
        <v/>
      </c>
      <c r="AH1036" s="10">
        <f>IF(tblOrdenes[[#This Row],[orden]]="","",tblOrdenes[[#This Row],[costo_servicio]]+tblOrdenes[[#This Row],[costo_materiales]])</f>
        <v/>
      </c>
      <c r="AI1036" s="6" t="n"/>
      <c r="AJ1036" s="6" t="n"/>
      <c r="AK1036" s="6" t="n"/>
      <c r="AL1036" s="3">
        <f>IF(tblOrdenes[[#This Row],[link_checklist]]="","",HYPERLINK(p_ruta_base_checklists&amp;tblOrdenes[[#This Row],[link_checklist]],"abrir"))</f>
        <v/>
      </c>
      <c r="AM1036" s="6" t="n"/>
      <c r="AN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Row],[tipo_ot]]="","",_xlfn.XLOOKUP(tblOrdenes[[#This Row],[tipo_ot]],tblTiposOT[codigo],tblTiposOT[clasificacion],"sin_clasificar"))</f>
        <v/>
      </c>
      <c r="T1037" s="3">
        <f>IF(tblOrdenes[[#This Row],[centro_costo]]="","",_xlfn.XLOOKUP(tblOrdenes[[#This Row],[centro_costo]],tblCECO[codigo],tblCECO[linea],"(sin catálogo)"))</f>
        <v/>
      </c>
      <c r="U1037" s="3">
        <f>IF(tblOrdenes[[#This Row],[centro_costo]]="","",_xlfn.XLOOKUP(tblOrdenes[[#This Row],[centro_costo]],tblCECO[codigo],tblCECO[area],"(sin catálogo)"))</f>
        <v/>
      </c>
      <c r="V1037" s="3">
        <f>IF(tblOrdenes[[#This Row],[centro_costo]]="","",_xlfn.XLOOKUP(tblOrdenes[[#This Row],[centro_costo]],tblCECO[codigo],tblCECO[coordinador],"(sin catálogo)"))</f>
        <v/>
      </c>
      <c r="W1037" s="3">
        <f>IF(tblOrdenes[[#This Row],[puesto_trabajo]]="","",_xlfn.XLOOKUP(tblOrdenes[[#This Row],[puesto_trabajo]],tblPuestos[codigo],tblPuestos[especialidad],"(sin catálogo)"))</f>
        <v/>
      </c>
      <c r="X1037" s="3">
        <f>IF(tblOrdenes[[#This Row],[cod_actividad]]="","",_xlfn.XLOOKUP(tblOrdenes[[#This Row],[cod_actividad]],tblActividades[codigo],tblActividades[descripcion],"(sin catálogo)"))</f>
        <v/>
      </c>
      <c r="Y1037" s="12">
        <f>IF(tblOrdenes[[#This Row],[fecha_inicio]]="","",TODAY()-tblOrdenes[[#This Row],[fecha_inicio]])</f>
        <v/>
      </c>
      <c r="Z1037" s="3">
        <f>IF(tblOrdenes[[#This Row],[backlog_dias]]="","",IF(tblOrdenes[[#This Row],[backlog_dias]]&lt;0,"FUTURO",IF(tblOrdenes[[#This Row],[backlog_dias]]&gt;p_dias_backlog_max,"BACKLOG","MES CORRIENTE")))</f>
        <v/>
      </c>
      <c r="AA1037" s="3">
        <f>IF(tblOrdenes[[#This Row],[backlog_dias]]="",FALSE,AND(tblOrdenes[[#This Row],[backlog_dias]]&gt;p_dias_backlog_min,tblOrdenes[[#This Row],[backlog_dias]]&lt;=p_dias_backlog_max))</f>
        <v/>
      </c>
      <c r="AB1037" s="6" t="n"/>
      <c r="AC10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7" s="10">
        <f>IF(tblOrdenes[[#This Row],[orden]]="","",_xlfn.XLOOKUP(tblOrdenes[[#This Row],[id_operacion]],tblEjecucion[id_operacion],tblEjecucion[precio],0))</f>
        <v/>
      </c>
      <c r="AG1037" s="10">
        <f>IF(tblOrdenes[[#This Row],[orden]]="","",MAX(0,_xlfn.XLOOKUP(tblOrdenes[[#This Row],[id_operacion]],tblEjecucion[id_operacion],tblEjecucion[costo_plan_total],0)-tblOrdenes[[#This Row],[costo_servicio]]))</f>
        <v/>
      </c>
      <c r="AH1037" s="10">
        <f>IF(tblOrdenes[[#This Row],[orden]]="","",tblOrdenes[[#This Row],[costo_servicio]]+tblOrdenes[[#This Row],[costo_materiales]])</f>
        <v/>
      </c>
      <c r="AI1037" s="6" t="n"/>
      <c r="AJ1037" s="6" t="n"/>
      <c r="AK1037" s="6" t="n"/>
      <c r="AL1037" s="3">
        <f>IF(tblOrdenes[[#This Row],[link_checklist]]="","",HYPERLINK(p_ruta_base_checklists&amp;tblOrdenes[[#This Row],[link_checklist]],"abrir"))</f>
        <v/>
      </c>
      <c r="AM1037" s="6" t="n"/>
      <c r="AN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Row],[tipo_ot]]="","",_xlfn.XLOOKUP(tblOrdenes[[#This Row],[tipo_ot]],tblTiposOT[codigo],tblTiposOT[clasificacion],"sin_clasificar"))</f>
        <v/>
      </c>
      <c r="T1038" s="3">
        <f>IF(tblOrdenes[[#This Row],[centro_costo]]="","",_xlfn.XLOOKUP(tblOrdenes[[#This Row],[centro_costo]],tblCECO[codigo],tblCECO[linea],"(sin catálogo)"))</f>
        <v/>
      </c>
      <c r="U1038" s="3">
        <f>IF(tblOrdenes[[#This Row],[centro_costo]]="","",_xlfn.XLOOKUP(tblOrdenes[[#This Row],[centro_costo]],tblCECO[codigo],tblCECO[area],"(sin catálogo)"))</f>
        <v/>
      </c>
      <c r="V1038" s="3">
        <f>IF(tblOrdenes[[#This Row],[centro_costo]]="","",_xlfn.XLOOKUP(tblOrdenes[[#This Row],[centro_costo]],tblCECO[codigo],tblCECO[coordinador],"(sin catálogo)"))</f>
        <v/>
      </c>
      <c r="W1038" s="3">
        <f>IF(tblOrdenes[[#This Row],[puesto_trabajo]]="","",_xlfn.XLOOKUP(tblOrdenes[[#This Row],[puesto_trabajo]],tblPuestos[codigo],tblPuestos[especialidad],"(sin catálogo)"))</f>
        <v/>
      </c>
      <c r="X1038" s="3">
        <f>IF(tblOrdenes[[#This Row],[cod_actividad]]="","",_xlfn.XLOOKUP(tblOrdenes[[#This Row],[cod_actividad]],tblActividades[codigo],tblActividades[descripcion],"(sin catálogo)"))</f>
        <v/>
      </c>
      <c r="Y1038" s="12">
        <f>IF(tblOrdenes[[#This Row],[fecha_inicio]]="","",TODAY()-tblOrdenes[[#This Row],[fecha_inicio]])</f>
        <v/>
      </c>
      <c r="Z1038" s="3">
        <f>IF(tblOrdenes[[#This Row],[backlog_dias]]="","",IF(tblOrdenes[[#This Row],[backlog_dias]]&lt;0,"FUTURO",IF(tblOrdenes[[#This Row],[backlog_dias]]&gt;p_dias_backlog_max,"BACKLOG","MES CORRIENTE")))</f>
        <v/>
      </c>
      <c r="AA1038" s="3">
        <f>IF(tblOrdenes[[#This Row],[backlog_dias]]="",FALSE,AND(tblOrdenes[[#This Row],[backlog_dias]]&gt;p_dias_backlog_min,tblOrdenes[[#This Row],[backlog_dias]]&lt;=p_dias_backlog_max))</f>
        <v/>
      </c>
      <c r="AB1038" s="6" t="n"/>
      <c r="AC10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8" s="10">
        <f>IF(tblOrdenes[[#This Row],[orden]]="","",_xlfn.XLOOKUP(tblOrdenes[[#This Row],[id_operacion]],tblEjecucion[id_operacion],tblEjecucion[precio],0))</f>
        <v/>
      </c>
      <c r="AG1038" s="10">
        <f>IF(tblOrdenes[[#This Row],[orden]]="","",MAX(0,_xlfn.XLOOKUP(tblOrdenes[[#This Row],[id_operacion]],tblEjecucion[id_operacion],tblEjecucion[costo_plan_total],0)-tblOrdenes[[#This Row],[costo_servicio]]))</f>
        <v/>
      </c>
      <c r="AH1038" s="10">
        <f>IF(tblOrdenes[[#This Row],[orden]]="","",tblOrdenes[[#This Row],[costo_servicio]]+tblOrdenes[[#This Row],[costo_materiales]])</f>
        <v/>
      </c>
      <c r="AI1038" s="6" t="n"/>
      <c r="AJ1038" s="6" t="n"/>
      <c r="AK1038" s="6" t="n"/>
      <c r="AL1038" s="3">
        <f>IF(tblOrdenes[[#This Row],[link_checklist]]="","",HYPERLINK(p_ruta_base_checklists&amp;tblOrdenes[[#This Row],[link_checklist]],"abrir"))</f>
        <v/>
      </c>
      <c r="AM1038" s="6" t="n"/>
      <c r="AN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Row],[tipo_ot]]="","",_xlfn.XLOOKUP(tblOrdenes[[#This Row],[tipo_ot]],tblTiposOT[codigo],tblTiposOT[clasificacion],"sin_clasificar"))</f>
        <v/>
      </c>
      <c r="T1039" s="3">
        <f>IF(tblOrdenes[[#This Row],[centro_costo]]="","",_xlfn.XLOOKUP(tblOrdenes[[#This Row],[centro_costo]],tblCECO[codigo],tblCECO[linea],"(sin catálogo)"))</f>
        <v/>
      </c>
      <c r="U1039" s="3">
        <f>IF(tblOrdenes[[#This Row],[centro_costo]]="","",_xlfn.XLOOKUP(tblOrdenes[[#This Row],[centro_costo]],tblCECO[codigo],tblCECO[area],"(sin catálogo)"))</f>
        <v/>
      </c>
      <c r="V1039" s="3">
        <f>IF(tblOrdenes[[#This Row],[centro_costo]]="","",_xlfn.XLOOKUP(tblOrdenes[[#This Row],[centro_costo]],tblCECO[codigo],tblCECO[coordinador],"(sin catálogo)"))</f>
        <v/>
      </c>
      <c r="W1039" s="3">
        <f>IF(tblOrdenes[[#This Row],[puesto_trabajo]]="","",_xlfn.XLOOKUP(tblOrdenes[[#This Row],[puesto_trabajo]],tblPuestos[codigo],tblPuestos[especialidad],"(sin catálogo)"))</f>
        <v/>
      </c>
      <c r="X1039" s="3">
        <f>IF(tblOrdenes[[#This Row],[cod_actividad]]="","",_xlfn.XLOOKUP(tblOrdenes[[#This Row],[cod_actividad]],tblActividades[codigo],tblActividades[descripcion],"(sin catálogo)"))</f>
        <v/>
      </c>
      <c r="Y1039" s="12">
        <f>IF(tblOrdenes[[#This Row],[fecha_inicio]]="","",TODAY()-tblOrdenes[[#This Row],[fecha_inicio]])</f>
        <v/>
      </c>
      <c r="Z1039" s="3">
        <f>IF(tblOrdenes[[#This Row],[backlog_dias]]="","",IF(tblOrdenes[[#This Row],[backlog_dias]]&lt;0,"FUTURO",IF(tblOrdenes[[#This Row],[backlog_dias]]&gt;p_dias_backlog_max,"BACKLOG","MES CORRIENTE")))</f>
        <v/>
      </c>
      <c r="AA1039" s="3">
        <f>IF(tblOrdenes[[#This Row],[backlog_dias]]="",FALSE,AND(tblOrdenes[[#This Row],[backlog_dias]]&gt;p_dias_backlog_min,tblOrdenes[[#This Row],[backlog_dias]]&lt;=p_dias_backlog_max))</f>
        <v/>
      </c>
      <c r="AB1039" s="6" t="n"/>
      <c r="AC10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9" s="10">
        <f>IF(tblOrdenes[[#This Row],[orden]]="","",_xlfn.XLOOKUP(tblOrdenes[[#This Row],[id_operacion]],tblEjecucion[id_operacion],tblEjecucion[precio],0))</f>
        <v/>
      </c>
      <c r="AG1039" s="10">
        <f>IF(tblOrdenes[[#This Row],[orden]]="","",MAX(0,_xlfn.XLOOKUP(tblOrdenes[[#This Row],[id_operacion]],tblEjecucion[id_operacion],tblEjecucion[costo_plan_total],0)-tblOrdenes[[#This Row],[costo_servicio]]))</f>
        <v/>
      </c>
      <c r="AH1039" s="10">
        <f>IF(tblOrdenes[[#This Row],[orden]]="","",tblOrdenes[[#This Row],[costo_servicio]]+tblOrdenes[[#This Row],[costo_materiales]])</f>
        <v/>
      </c>
      <c r="AI1039" s="6" t="n"/>
      <c r="AJ1039" s="6" t="n"/>
      <c r="AK1039" s="6" t="n"/>
      <c r="AL1039" s="3">
        <f>IF(tblOrdenes[[#This Row],[link_checklist]]="","",HYPERLINK(p_ruta_base_checklists&amp;tblOrdenes[[#This Row],[link_checklist]],"abrir"))</f>
        <v/>
      </c>
      <c r="AM1039" s="6" t="n"/>
      <c r="AN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Row],[tipo_ot]]="","",_xlfn.XLOOKUP(tblOrdenes[[#This Row],[tipo_ot]],tblTiposOT[codigo],tblTiposOT[clasificacion],"sin_clasificar"))</f>
        <v/>
      </c>
      <c r="T1040" s="3">
        <f>IF(tblOrdenes[[#This Row],[centro_costo]]="","",_xlfn.XLOOKUP(tblOrdenes[[#This Row],[centro_costo]],tblCECO[codigo],tblCECO[linea],"(sin catálogo)"))</f>
        <v/>
      </c>
      <c r="U1040" s="3">
        <f>IF(tblOrdenes[[#This Row],[centro_costo]]="","",_xlfn.XLOOKUP(tblOrdenes[[#This Row],[centro_costo]],tblCECO[codigo],tblCECO[area],"(sin catálogo)"))</f>
        <v/>
      </c>
      <c r="V1040" s="3">
        <f>IF(tblOrdenes[[#This Row],[centro_costo]]="","",_xlfn.XLOOKUP(tblOrdenes[[#This Row],[centro_costo]],tblCECO[codigo],tblCECO[coordinador],"(sin catálogo)"))</f>
        <v/>
      </c>
      <c r="W1040" s="3">
        <f>IF(tblOrdenes[[#This Row],[puesto_trabajo]]="","",_xlfn.XLOOKUP(tblOrdenes[[#This Row],[puesto_trabajo]],tblPuestos[codigo],tblPuestos[especialidad],"(sin catálogo)"))</f>
        <v/>
      </c>
      <c r="X1040" s="3">
        <f>IF(tblOrdenes[[#This Row],[cod_actividad]]="","",_xlfn.XLOOKUP(tblOrdenes[[#This Row],[cod_actividad]],tblActividades[codigo],tblActividades[descripcion],"(sin catálogo)"))</f>
        <v/>
      </c>
      <c r="Y1040" s="12">
        <f>IF(tblOrdenes[[#This Row],[fecha_inicio]]="","",TODAY()-tblOrdenes[[#This Row],[fecha_inicio]])</f>
        <v/>
      </c>
      <c r="Z1040" s="3">
        <f>IF(tblOrdenes[[#This Row],[backlog_dias]]="","",IF(tblOrdenes[[#This Row],[backlog_dias]]&lt;0,"FUTURO",IF(tblOrdenes[[#This Row],[backlog_dias]]&gt;p_dias_backlog_max,"BACKLOG","MES CORRIENTE")))</f>
        <v/>
      </c>
      <c r="AA1040" s="3">
        <f>IF(tblOrdenes[[#This Row],[backlog_dias]]="",FALSE,AND(tblOrdenes[[#This Row],[backlog_dias]]&gt;p_dias_backlog_min,tblOrdenes[[#This Row],[backlog_dias]]&lt;=p_dias_backlog_max))</f>
        <v/>
      </c>
      <c r="AB1040" s="6" t="n"/>
      <c r="AC10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0" s="10">
        <f>IF(tblOrdenes[[#This Row],[orden]]="","",_xlfn.XLOOKUP(tblOrdenes[[#This Row],[id_operacion]],tblEjecucion[id_operacion],tblEjecucion[precio],0))</f>
        <v/>
      </c>
      <c r="AG1040" s="10">
        <f>IF(tblOrdenes[[#This Row],[orden]]="","",MAX(0,_xlfn.XLOOKUP(tblOrdenes[[#This Row],[id_operacion]],tblEjecucion[id_operacion],tblEjecucion[costo_plan_total],0)-tblOrdenes[[#This Row],[costo_servicio]]))</f>
        <v/>
      </c>
      <c r="AH1040" s="10">
        <f>IF(tblOrdenes[[#This Row],[orden]]="","",tblOrdenes[[#This Row],[costo_servicio]]+tblOrdenes[[#This Row],[costo_materiales]])</f>
        <v/>
      </c>
      <c r="AI1040" s="6" t="n"/>
      <c r="AJ1040" s="6" t="n"/>
      <c r="AK1040" s="6" t="n"/>
      <c r="AL1040" s="3">
        <f>IF(tblOrdenes[[#This Row],[link_checklist]]="","",HYPERLINK(p_ruta_base_checklists&amp;tblOrdenes[[#This Row],[link_checklist]],"abrir"))</f>
        <v/>
      </c>
      <c r="AM1040" s="6" t="n"/>
      <c r="AN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Row],[tipo_ot]]="","",_xlfn.XLOOKUP(tblOrdenes[[#This Row],[tipo_ot]],tblTiposOT[codigo],tblTiposOT[clasificacion],"sin_clasificar"))</f>
        <v/>
      </c>
      <c r="T1041" s="3">
        <f>IF(tblOrdenes[[#This Row],[centro_costo]]="","",_xlfn.XLOOKUP(tblOrdenes[[#This Row],[centro_costo]],tblCECO[codigo],tblCECO[linea],"(sin catálogo)"))</f>
        <v/>
      </c>
      <c r="U1041" s="3">
        <f>IF(tblOrdenes[[#This Row],[centro_costo]]="","",_xlfn.XLOOKUP(tblOrdenes[[#This Row],[centro_costo]],tblCECO[codigo],tblCECO[area],"(sin catálogo)"))</f>
        <v/>
      </c>
      <c r="V1041" s="3">
        <f>IF(tblOrdenes[[#This Row],[centro_costo]]="","",_xlfn.XLOOKUP(tblOrdenes[[#This Row],[centro_costo]],tblCECO[codigo],tblCECO[coordinador],"(sin catálogo)"))</f>
        <v/>
      </c>
      <c r="W1041" s="3">
        <f>IF(tblOrdenes[[#This Row],[puesto_trabajo]]="","",_xlfn.XLOOKUP(tblOrdenes[[#This Row],[puesto_trabajo]],tblPuestos[codigo],tblPuestos[especialidad],"(sin catálogo)"))</f>
        <v/>
      </c>
      <c r="X1041" s="3">
        <f>IF(tblOrdenes[[#This Row],[cod_actividad]]="","",_xlfn.XLOOKUP(tblOrdenes[[#This Row],[cod_actividad]],tblActividades[codigo],tblActividades[descripcion],"(sin catálogo)"))</f>
        <v/>
      </c>
      <c r="Y1041" s="12">
        <f>IF(tblOrdenes[[#This Row],[fecha_inicio]]="","",TODAY()-tblOrdenes[[#This Row],[fecha_inicio]])</f>
        <v/>
      </c>
      <c r="Z1041" s="3">
        <f>IF(tblOrdenes[[#This Row],[backlog_dias]]="","",IF(tblOrdenes[[#This Row],[backlog_dias]]&lt;0,"FUTURO",IF(tblOrdenes[[#This Row],[backlog_dias]]&gt;p_dias_backlog_max,"BACKLOG","MES CORRIENTE")))</f>
        <v/>
      </c>
      <c r="AA1041" s="3">
        <f>IF(tblOrdenes[[#This Row],[backlog_dias]]="",FALSE,AND(tblOrdenes[[#This Row],[backlog_dias]]&gt;p_dias_backlog_min,tblOrdenes[[#This Row],[backlog_dias]]&lt;=p_dias_backlog_max))</f>
        <v/>
      </c>
      <c r="AB1041" s="6" t="n"/>
      <c r="AC10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1" s="10">
        <f>IF(tblOrdenes[[#This Row],[orden]]="","",_xlfn.XLOOKUP(tblOrdenes[[#This Row],[id_operacion]],tblEjecucion[id_operacion],tblEjecucion[precio],0))</f>
        <v/>
      </c>
      <c r="AG1041" s="10">
        <f>IF(tblOrdenes[[#This Row],[orden]]="","",MAX(0,_xlfn.XLOOKUP(tblOrdenes[[#This Row],[id_operacion]],tblEjecucion[id_operacion],tblEjecucion[costo_plan_total],0)-tblOrdenes[[#This Row],[costo_servicio]]))</f>
        <v/>
      </c>
      <c r="AH1041" s="10">
        <f>IF(tblOrdenes[[#This Row],[orden]]="","",tblOrdenes[[#This Row],[costo_servicio]]+tblOrdenes[[#This Row],[costo_materiales]])</f>
        <v/>
      </c>
      <c r="AI1041" s="6" t="n"/>
      <c r="AJ1041" s="6" t="n"/>
      <c r="AK1041" s="6" t="n"/>
      <c r="AL1041" s="3">
        <f>IF(tblOrdenes[[#This Row],[link_checklist]]="","",HYPERLINK(p_ruta_base_checklists&amp;tblOrdenes[[#This Row],[link_checklist]],"abrir"))</f>
        <v/>
      </c>
      <c r="AM1041" s="6" t="n"/>
      <c r="AN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Row],[tipo_ot]]="","",_xlfn.XLOOKUP(tblOrdenes[[#This Row],[tipo_ot]],tblTiposOT[codigo],tblTiposOT[clasificacion],"sin_clasificar"))</f>
        <v/>
      </c>
      <c r="T1042" s="3">
        <f>IF(tblOrdenes[[#This Row],[centro_costo]]="","",_xlfn.XLOOKUP(tblOrdenes[[#This Row],[centro_costo]],tblCECO[codigo],tblCECO[linea],"(sin catálogo)"))</f>
        <v/>
      </c>
      <c r="U1042" s="3">
        <f>IF(tblOrdenes[[#This Row],[centro_costo]]="","",_xlfn.XLOOKUP(tblOrdenes[[#This Row],[centro_costo]],tblCECO[codigo],tblCECO[area],"(sin catálogo)"))</f>
        <v/>
      </c>
      <c r="V1042" s="3">
        <f>IF(tblOrdenes[[#This Row],[centro_costo]]="","",_xlfn.XLOOKUP(tblOrdenes[[#This Row],[centro_costo]],tblCECO[codigo],tblCECO[coordinador],"(sin catálogo)"))</f>
        <v/>
      </c>
      <c r="W1042" s="3">
        <f>IF(tblOrdenes[[#This Row],[puesto_trabajo]]="","",_xlfn.XLOOKUP(tblOrdenes[[#This Row],[puesto_trabajo]],tblPuestos[codigo],tblPuestos[especialidad],"(sin catálogo)"))</f>
        <v/>
      </c>
      <c r="X1042" s="3">
        <f>IF(tblOrdenes[[#This Row],[cod_actividad]]="","",_xlfn.XLOOKUP(tblOrdenes[[#This Row],[cod_actividad]],tblActividades[codigo],tblActividades[descripcion],"(sin catálogo)"))</f>
        <v/>
      </c>
      <c r="Y1042" s="12">
        <f>IF(tblOrdenes[[#This Row],[fecha_inicio]]="","",TODAY()-tblOrdenes[[#This Row],[fecha_inicio]])</f>
        <v/>
      </c>
      <c r="Z1042" s="3">
        <f>IF(tblOrdenes[[#This Row],[backlog_dias]]="","",IF(tblOrdenes[[#This Row],[backlog_dias]]&lt;0,"FUTURO",IF(tblOrdenes[[#This Row],[backlog_dias]]&gt;p_dias_backlog_max,"BACKLOG","MES CORRIENTE")))</f>
        <v/>
      </c>
      <c r="AA1042" s="3">
        <f>IF(tblOrdenes[[#This Row],[backlog_dias]]="",FALSE,AND(tblOrdenes[[#This Row],[backlog_dias]]&gt;p_dias_backlog_min,tblOrdenes[[#This Row],[backlog_dias]]&lt;=p_dias_backlog_max))</f>
        <v/>
      </c>
      <c r="AB1042" s="6" t="n"/>
      <c r="AC10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2" s="10">
        <f>IF(tblOrdenes[[#This Row],[orden]]="","",_xlfn.XLOOKUP(tblOrdenes[[#This Row],[id_operacion]],tblEjecucion[id_operacion],tblEjecucion[precio],0))</f>
        <v/>
      </c>
      <c r="AG1042" s="10">
        <f>IF(tblOrdenes[[#This Row],[orden]]="","",MAX(0,_xlfn.XLOOKUP(tblOrdenes[[#This Row],[id_operacion]],tblEjecucion[id_operacion],tblEjecucion[costo_plan_total],0)-tblOrdenes[[#This Row],[costo_servicio]]))</f>
        <v/>
      </c>
      <c r="AH1042" s="10">
        <f>IF(tblOrdenes[[#This Row],[orden]]="","",tblOrdenes[[#This Row],[costo_servicio]]+tblOrdenes[[#This Row],[costo_materiales]])</f>
        <v/>
      </c>
      <c r="AI1042" s="6" t="n"/>
      <c r="AJ1042" s="6" t="n"/>
      <c r="AK1042" s="6" t="n"/>
      <c r="AL1042" s="3">
        <f>IF(tblOrdenes[[#This Row],[link_checklist]]="","",HYPERLINK(p_ruta_base_checklists&amp;tblOrdenes[[#This Row],[link_checklist]],"abrir"))</f>
        <v/>
      </c>
      <c r="AM1042" s="6" t="n"/>
      <c r="AN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Row],[tipo_ot]]="","",_xlfn.XLOOKUP(tblOrdenes[[#This Row],[tipo_ot]],tblTiposOT[codigo],tblTiposOT[clasificacion],"sin_clasificar"))</f>
        <v/>
      </c>
      <c r="T1043" s="3">
        <f>IF(tblOrdenes[[#This Row],[centro_costo]]="","",_xlfn.XLOOKUP(tblOrdenes[[#This Row],[centro_costo]],tblCECO[codigo],tblCECO[linea],"(sin catálogo)"))</f>
        <v/>
      </c>
      <c r="U1043" s="3">
        <f>IF(tblOrdenes[[#This Row],[centro_costo]]="","",_xlfn.XLOOKUP(tblOrdenes[[#This Row],[centro_costo]],tblCECO[codigo],tblCECO[area],"(sin catálogo)"))</f>
        <v/>
      </c>
      <c r="V1043" s="3">
        <f>IF(tblOrdenes[[#This Row],[centro_costo]]="","",_xlfn.XLOOKUP(tblOrdenes[[#This Row],[centro_costo]],tblCECO[codigo],tblCECO[coordinador],"(sin catálogo)"))</f>
        <v/>
      </c>
      <c r="W1043" s="3">
        <f>IF(tblOrdenes[[#This Row],[puesto_trabajo]]="","",_xlfn.XLOOKUP(tblOrdenes[[#This Row],[puesto_trabajo]],tblPuestos[codigo],tblPuestos[especialidad],"(sin catálogo)"))</f>
        <v/>
      </c>
      <c r="X1043" s="3">
        <f>IF(tblOrdenes[[#This Row],[cod_actividad]]="","",_xlfn.XLOOKUP(tblOrdenes[[#This Row],[cod_actividad]],tblActividades[codigo],tblActividades[descripcion],"(sin catálogo)"))</f>
        <v/>
      </c>
      <c r="Y1043" s="12">
        <f>IF(tblOrdenes[[#This Row],[fecha_inicio]]="","",TODAY()-tblOrdenes[[#This Row],[fecha_inicio]])</f>
        <v/>
      </c>
      <c r="Z1043" s="3">
        <f>IF(tblOrdenes[[#This Row],[backlog_dias]]="","",IF(tblOrdenes[[#This Row],[backlog_dias]]&lt;0,"FUTURO",IF(tblOrdenes[[#This Row],[backlog_dias]]&gt;p_dias_backlog_max,"BACKLOG","MES CORRIENTE")))</f>
        <v/>
      </c>
      <c r="AA1043" s="3">
        <f>IF(tblOrdenes[[#This Row],[backlog_dias]]="",FALSE,AND(tblOrdenes[[#This Row],[backlog_dias]]&gt;p_dias_backlog_min,tblOrdenes[[#This Row],[backlog_dias]]&lt;=p_dias_backlog_max))</f>
        <v/>
      </c>
      <c r="AB1043" s="6" t="n"/>
      <c r="AC10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3" s="10">
        <f>IF(tblOrdenes[[#This Row],[orden]]="","",_xlfn.XLOOKUP(tblOrdenes[[#This Row],[id_operacion]],tblEjecucion[id_operacion],tblEjecucion[precio],0))</f>
        <v/>
      </c>
      <c r="AG1043" s="10">
        <f>IF(tblOrdenes[[#This Row],[orden]]="","",MAX(0,_xlfn.XLOOKUP(tblOrdenes[[#This Row],[id_operacion]],tblEjecucion[id_operacion],tblEjecucion[costo_plan_total],0)-tblOrdenes[[#This Row],[costo_servicio]]))</f>
        <v/>
      </c>
      <c r="AH1043" s="10">
        <f>IF(tblOrdenes[[#This Row],[orden]]="","",tblOrdenes[[#This Row],[costo_servicio]]+tblOrdenes[[#This Row],[costo_materiales]])</f>
        <v/>
      </c>
      <c r="AI1043" s="6" t="n"/>
      <c r="AJ1043" s="6" t="n"/>
      <c r="AK1043" s="6" t="n"/>
      <c r="AL1043" s="3">
        <f>IF(tblOrdenes[[#This Row],[link_checklist]]="","",HYPERLINK(p_ruta_base_checklists&amp;tblOrdenes[[#This Row],[link_checklist]],"abrir"))</f>
        <v/>
      </c>
      <c r="AM1043" s="6" t="n"/>
      <c r="AN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Row],[tipo_ot]]="","",_xlfn.XLOOKUP(tblOrdenes[[#This Row],[tipo_ot]],tblTiposOT[codigo],tblTiposOT[clasificacion],"sin_clasificar"))</f>
        <v/>
      </c>
      <c r="T1044" s="3">
        <f>IF(tblOrdenes[[#This Row],[centro_costo]]="","",_xlfn.XLOOKUP(tblOrdenes[[#This Row],[centro_costo]],tblCECO[codigo],tblCECO[linea],"(sin catálogo)"))</f>
        <v/>
      </c>
      <c r="U1044" s="3">
        <f>IF(tblOrdenes[[#This Row],[centro_costo]]="","",_xlfn.XLOOKUP(tblOrdenes[[#This Row],[centro_costo]],tblCECO[codigo],tblCECO[area],"(sin catálogo)"))</f>
        <v/>
      </c>
      <c r="V1044" s="3">
        <f>IF(tblOrdenes[[#This Row],[centro_costo]]="","",_xlfn.XLOOKUP(tblOrdenes[[#This Row],[centro_costo]],tblCECO[codigo],tblCECO[coordinador],"(sin catálogo)"))</f>
        <v/>
      </c>
      <c r="W1044" s="3">
        <f>IF(tblOrdenes[[#This Row],[puesto_trabajo]]="","",_xlfn.XLOOKUP(tblOrdenes[[#This Row],[puesto_trabajo]],tblPuestos[codigo],tblPuestos[especialidad],"(sin catálogo)"))</f>
        <v/>
      </c>
      <c r="X1044" s="3">
        <f>IF(tblOrdenes[[#This Row],[cod_actividad]]="","",_xlfn.XLOOKUP(tblOrdenes[[#This Row],[cod_actividad]],tblActividades[codigo],tblActividades[descripcion],"(sin catálogo)"))</f>
        <v/>
      </c>
      <c r="Y1044" s="12">
        <f>IF(tblOrdenes[[#This Row],[fecha_inicio]]="","",TODAY()-tblOrdenes[[#This Row],[fecha_inicio]])</f>
        <v/>
      </c>
      <c r="Z1044" s="3">
        <f>IF(tblOrdenes[[#This Row],[backlog_dias]]="","",IF(tblOrdenes[[#This Row],[backlog_dias]]&lt;0,"FUTURO",IF(tblOrdenes[[#This Row],[backlog_dias]]&gt;p_dias_backlog_max,"BACKLOG","MES CORRIENTE")))</f>
        <v/>
      </c>
      <c r="AA1044" s="3">
        <f>IF(tblOrdenes[[#This Row],[backlog_dias]]="",FALSE,AND(tblOrdenes[[#This Row],[backlog_dias]]&gt;p_dias_backlog_min,tblOrdenes[[#This Row],[backlog_dias]]&lt;=p_dias_backlog_max))</f>
        <v/>
      </c>
      <c r="AB1044" s="6" t="n"/>
      <c r="AC10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4" s="10">
        <f>IF(tblOrdenes[[#This Row],[orden]]="","",_xlfn.XLOOKUP(tblOrdenes[[#This Row],[id_operacion]],tblEjecucion[id_operacion],tblEjecucion[precio],0))</f>
        <v/>
      </c>
      <c r="AG1044" s="10">
        <f>IF(tblOrdenes[[#This Row],[orden]]="","",MAX(0,_xlfn.XLOOKUP(tblOrdenes[[#This Row],[id_operacion]],tblEjecucion[id_operacion],tblEjecucion[costo_plan_total],0)-tblOrdenes[[#This Row],[costo_servicio]]))</f>
        <v/>
      </c>
      <c r="AH1044" s="10">
        <f>IF(tblOrdenes[[#This Row],[orden]]="","",tblOrdenes[[#This Row],[costo_servicio]]+tblOrdenes[[#This Row],[costo_materiales]])</f>
        <v/>
      </c>
      <c r="AI1044" s="6" t="n"/>
      <c r="AJ1044" s="6" t="n"/>
      <c r="AK1044" s="6" t="n"/>
      <c r="AL1044" s="3">
        <f>IF(tblOrdenes[[#This Row],[link_checklist]]="","",HYPERLINK(p_ruta_base_checklists&amp;tblOrdenes[[#This Row],[link_checklist]],"abrir"))</f>
        <v/>
      </c>
      <c r="AM1044" s="6" t="n"/>
      <c r="AN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Row],[tipo_ot]]="","",_xlfn.XLOOKUP(tblOrdenes[[#This Row],[tipo_ot]],tblTiposOT[codigo],tblTiposOT[clasificacion],"sin_clasificar"))</f>
        <v/>
      </c>
      <c r="T1045" s="3">
        <f>IF(tblOrdenes[[#This Row],[centro_costo]]="","",_xlfn.XLOOKUP(tblOrdenes[[#This Row],[centro_costo]],tblCECO[codigo],tblCECO[linea],"(sin catálogo)"))</f>
        <v/>
      </c>
      <c r="U1045" s="3">
        <f>IF(tblOrdenes[[#This Row],[centro_costo]]="","",_xlfn.XLOOKUP(tblOrdenes[[#This Row],[centro_costo]],tblCECO[codigo],tblCECO[area],"(sin catálogo)"))</f>
        <v/>
      </c>
      <c r="V1045" s="3">
        <f>IF(tblOrdenes[[#This Row],[centro_costo]]="","",_xlfn.XLOOKUP(tblOrdenes[[#This Row],[centro_costo]],tblCECO[codigo],tblCECO[coordinador],"(sin catálogo)"))</f>
        <v/>
      </c>
      <c r="W1045" s="3">
        <f>IF(tblOrdenes[[#This Row],[puesto_trabajo]]="","",_xlfn.XLOOKUP(tblOrdenes[[#This Row],[puesto_trabajo]],tblPuestos[codigo],tblPuestos[especialidad],"(sin catálogo)"))</f>
        <v/>
      </c>
      <c r="X1045" s="3">
        <f>IF(tblOrdenes[[#This Row],[cod_actividad]]="","",_xlfn.XLOOKUP(tblOrdenes[[#This Row],[cod_actividad]],tblActividades[codigo],tblActividades[descripcion],"(sin catálogo)"))</f>
        <v/>
      </c>
      <c r="Y1045" s="12">
        <f>IF(tblOrdenes[[#This Row],[fecha_inicio]]="","",TODAY()-tblOrdenes[[#This Row],[fecha_inicio]])</f>
        <v/>
      </c>
      <c r="Z1045" s="3">
        <f>IF(tblOrdenes[[#This Row],[backlog_dias]]="","",IF(tblOrdenes[[#This Row],[backlog_dias]]&lt;0,"FUTURO",IF(tblOrdenes[[#This Row],[backlog_dias]]&gt;p_dias_backlog_max,"BACKLOG","MES CORRIENTE")))</f>
        <v/>
      </c>
      <c r="AA1045" s="3">
        <f>IF(tblOrdenes[[#This Row],[backlog_dias]]="",FALSE,AND(tblOrdenes[[#This Row],[backlog_dias]]&gt;p_dias_backlog_min,tblOrdenes[[#This Row],[backlog_dias]]&lt;=p_dias_backlog_max))</f>
        <v/>
      </c>
      <c r="AB1045" s="6" t="n"/>
      <c r="AC10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5" s="10">
        <f>IF(tblOrdenes[[#This Row],[orden]]="","",_xlfn.XLOOKUP(tblOrdenes[[#This Row],[id_operacion]],tblEjecucion[id_operacion],tblEjecucion[precio],0))</f>
        <v/>
      </c>
      <c r="AG1045" s="10">
        <f>IF(tblOrdenes[[#This Row],[orden]]="","",MAX(0,_xlfn.XLOOKUP(tblOrdenes[[#This Row],[id_operacion]],tblEjecucion[id_operacion],tblEjecucion[costo_plan_total],0)-tblOrdenes[[#This Row],[costo_servicio]]))</f>
        <v/>
      </c>
      <c r="AH1045" s="10">
        <f>IF(tblOrdenes[[#This Row],[orden]]="","",tblOrdenes[[#This Row],[costo_servicio]]+tblOrdenes[[#This Row],[costo_materiales]])</f>
        <v/>
      </c>
      <c r="AI1045" s="6" t="n"/>
      <c r="AJ1045" s="6" t="n"/>
      <c r="AK1045" s="6" t="n"/>
      <c r="AL1045" s="3">
        <f>IF(tblOrdenes[[#This Row],[link_checklist]]="","",HYPERLINK(p_ruta_base_checklists&amp;tblOrdenes[[#This Row],[link_checklist]],"abrir"))</f>
        <v/>
      </c>
      <c r="AM1045" s="6" t="n"/>
      <c r="AN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Row],[tipo_ot]]="","",_xlfn.XLOOKUP(tblOrdenes[[#This Row],[tipo_ot]],tblTiposOT[codigo],tblTiposOT[clasificacion],"sin_clasificar"))</f>
        <v/>
      </c>
      <c r="T1046" s="3">
        <f>IF(tblOrdenes[[#This Row],[centro_costo]]="","",_xlfn.XLOOKUP(tblOrdenes[[#This Row],[centro_costo]],tblCECO[codigo],tblCECO[linea],"(sin catálogo)"))</f>
        <v/>
      </c>
      <c r="U1046" s="3">
        <f>IF(tblOrdenes[[#This Row],[centro_costo]]="","",_xlfn.XLOOKUP(tblOrdenes[[#This Row],[centro_costo]],tblCECO[codigo],tblCECO[area],"(sin catálogo)"))</f>
        <v/>
      </c>
      <c r="V1046" s="3">
        <f>IF(tblOrdenes[[#This Row],[centro_costo]]="","",_xlfn.XLOOKUP(tblOrdenes[[#This Row],[centro_costo]],tblCECO[codigo],tblCECO[coordinador],"(sin catálogo)"))</f>
        <v/>
      </c>
      <c r="W1046" s="3">
        <f>IF(tblOrdenes[[#This Row],[puesto_trabajo]]="","",_xlfn.XLOOKUP(tblOrdenes[[#This Row],[puesto_trabajo]],tblPuestos[codigo],tblPuestos[especialidad],"(sin catálogo)"))</f>
        <v/>
      </c>
      <c r="X1046" s="3">
        <f>IF(tblOrdenes[[#This Row],[cod_actividad]]="","",_xlfn.XLOOKUP(tblOrdenes[[#This Row],[cod_actividad]],tblActividades[codigo],tblActividades[descripcion],"(sin catálogo)"))</f>
        <v/>
      </c>
      <c r="Y1046" s="12">
        <f>IF(tblOrdenes[[#This Row],[fecha_inicio]]="","",TODAY()-tblOrdenes[[#This Row],[fecha_inicio]])</f>
        <v/>
      </c>
      <c r="Z1046" s="3">
        <f>IF(tblOrdenes[[#This Row],[backlog_dias]]="","",IF(tblOrdenes[[#This Row],[backlog_dias]]&lt;0,"FUTURO",IF(tblOrdenes[[#This Row],[backlog_dias]]&gt;p_dias_backlog_max,"BACKLOG","MES CORRIENTE")))</f>
        <v/>
      </c>
      <c r="AA1046" s="3">
        <f>IF(tblOrdenes[[#This Row],[backlog_dias]]="",FALSE,AND(tblOrdenes[[#This Row],[backlog_dias]]&gt;p_dias_backlog_min,tblOrdenes[[#This Row],[backlog_dias]]&lt;=p_dias_backlog_max))</f>
        <v/>
      </c>
      <c r="AB1046" s="6" t="n"/>
      <c r="AC10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6" s="10">
        <f>IF(tblOrdenes[[#This Row],[orden]]="","",_xlfn.XLOOKUP(tblOrdenes[[#This Row],[id_operacion]],tblEjecucion[id_operacion],tblEjecucion[precio],0))</f>
        <v/>
      </c>
      <c r="AG1046" s="10">
        <f>IF(tblOrdenes[[#This Row],[orden]]="","",MAX(0,_xlfn.XLOOKUP(tblOrdenes[[#This Row],[id_operacion]],tblEjecucion[id_operacion],tblEjecucion[costo_plan_total],0)-tblOrdenes[[#This Row],[costo_servicio]]))</f>
        <v/>
      </c>
      <c r="AH1046" s="10">
        <f>IF(tblOrdenes[[#This Row],[orden]]="","",tblOrdenes[[#This Row],[costo_servicio]]+tblOrdenes[[#This Row],[costo_materiales]])</f>
        <v/>
      </c>
      <c r="AI1046" s="6" t="n"/>
      <c r="AJ1046" s="6" t="n"/>
      <c r="AK1046" s="6" t="n"/>
      <c r="AL1046" s="3">
        <f>IF(tblOrdenes[[#This Row],[link_checklist]]="","",HYPERLINK(p_ruta_base_checklists&amp;tblOrdenes[[#This Row],[link_checklist]],"abrir"))</f>
        <v/>
      </c>
      <c r="AM1046" s="6" t="n"/>
      <c r="AN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Row],[tipo_ot]]="","",_xlfn.XLOOKUP(tblOrdenes[[#This Row],[tipo_ot]],tblTiposOT[codigo],tblTiposOT[clasificacion],"sin_clasificar"))</f>
        <v/>
      </c>
      <c r="T1047" s="3">
        <f>IF(tblOrdenes[[#This Row],[centro_costo]]="","",_xlfn.XLOOKUP(tblOrdenes[[#This Row],[centro_costo]],tblCECO[codigo],tblCECO[linea],"(sin catálogo)"))</f>
        <v/>
      </c>
      <c r="U1047" s="3">
        <f>IF(tblOrdenes[[#This Row],[centro_costo]]="","",_xlfn.XLOOKUP(tblOrdenes[[#This Row],[centro_costo]],tblCECO[codigo],tblCECO[area],"(sin catálogo)"))</f>
        <v/>
      </c>
      <c r="V1047" s="3">
        <f>IF(tblOrdenes[[#This Row],[centro_costo]]="","",_xlfn.XLOOKUP(tblOrdenes[[#This Row],[centro_costo]],tblCECO[codigo],tblCECO[coordinador],"(sin catálogo)"))</f>
        <v/>
      </c>
      <c r="W1047" s="3">
        <f>IF(tblOrdenes[[#This Row],[puesto_trabajo]]="","",_xlfn.XLOOKUP(tblOrdenes[[#This Row],[puesto_trabajo]],tblPuestos[codigo],tblPuestos[especialidad],"(sin catálogo)"))</f>
        <v/>
      </c>
      <c r="X1047" s="3">
        <f>IF(tblOrdenes[[#This Row],[cod_actividad]]="","",_xlfn.XLOOKUP(tblOrdenes[[#This Row],[cod_actividad]],tblActividades[codigo],tblActividades[descripcion],"(sin catálogo)"))</f>
        <v/>
      </c>
      <c r="Y1047" s="12">
        <f>IF(tblOrdenes[[#This Row],[fecha_inicio]]="","",TODAY()-tblOrdenes[[#This Row],[fecha_inicio]])</f>
        <v/>
      </c>
      <c r="Z1047" s="3">
        <f>IF(tblOrdenes[[#This Row],[backlog_dias]]="","",IF(tblOrdenes[[#This Row],[backlog_dias]]&lt;0,"FUTURO",IF(tblOrdenes[[#This Row],[backlog_dias]]&gt;p_dias_backlog_max,"BACKLOG","MES CORRIENTE")))</f>
        <v/>
      </c>
      <c r="AA1047" s="3">
        <f>IF(tblOrdenes[[#This Row],[backlog_dias]]="",FALSE,AND(tblOrdenes[[#This Row],[backlog_dias]]&gt;p_dias_backlog_min,tblOrdenes[[#This Row],[backlog_dias]]&lt;=p_dias_backlog_max))</f>
        <v/>
      </c>
      <c r="AB1047" s="6" t="n"/>
      <c r="AC10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7" s="10">
        <f>IF(tblOrdenes[[#This Row],[orden]]="","",_xlfn.XLOOKUP(tblOrdenes[[#This Row],[id_operacion]],tblEjecucion[id_operacion],tblEjecucion[precio],0))</f>
        <v/>
      </c>
      <c r="AG1047" s="10">
        <f>IF(tblOrdenes[[#This Row],[orden]]="","",MAX(0,_xlfn.XLOOKUP(tblOrdenes[[#This Row],[id_operacion]],tblEjecucion[id_operacion],tblEjecucion[costo_plan_total],0)-tblOrdenes[[#This Row],[costo_servicio]]))</f>
        <v/>
      </c>
      <c r="AH1047" s="10">
        <f>IF(tblOrdenes[[#This Row],[orden]]="","",tblOrdenes[[#This Row],[costo_servicio]]+tblOrdenes[[#This Row],[costo_materiales]])</f>
        <v/>
      </c>
      <c r="AI1047" s="6" t="n"/>
      <c r="AJ1047" s="6" t="n"/>
      <c r="AK1047" s="6" t="n"/>
      <c r="AL1047" s="3">
        <f>IF(tblOrdenes[[#This Row],[link_checklist]]="","",HYPERLINK(p_ruta_base_checklists&amp;tblOrdenes[[#This Row],[link_checklist]],"abrir"))</f>
        <v/>
      </c>
      <c r="AM1047" s="6" t="n"/>
      <c r="AN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Row],[tipo_ot]]="","",_xlfn.XLOOKUP(tblOrdenes[[#This Row],[tipo_ot]],tblTiposOT[codigo],tblTiposOT[clasificacion],"sin_clasificar"))</f>
        <v/>
      </c>
      <c r="T1048" s="3">
        <f>IF(tblOrdenes[[#This Row],[centro_costo]]="","",_xlfn.XLOOKUP(tblOrdenes[[#This Row],[centro_costo]],tblCECO[codigo],tblCECO[linea],"(sin catálogo)"))</f>
        <v/>
      </c>
      <c r="U1048" s="3">
        <f>IF(tblOrdenes[[#This Row],[centro_costo]]="","",_xlfn.XLOOKUP(tblOrdenes[[#This Row],[centro_costo]],tblCECO[codigo],tblCECO[area],"(sin catálogo)"))</f>
        <v/>
      </c>
      <c r="V1048" s="3">
        <f>IF(tblOrdenes[[#This Row],[centro_costo]]="","",_xlfn.XLOOKUP(tblOrdenes[[#This Row],[centro_costo]],tblCECO[codigo],tblCECO[coordinador],"(sin catálogo)"))</f>
        <v/>
      </c>
      <c r="W1048" s="3">
        <f>IF(tblOrdenes[[#This Row],[puesto_trabajo]]="","",_xlfn.XLOOKUP(tblOrdenes[[#This Row],[puesto_trabajo]],tblPuestos[codigo],tblPuestos[especialidad],"(sin catálogo)"))</f>
        <v/>
      </c>
      <c r="X1048" s="3">
        <f>IF(tblOrdenes[[#This Row],[cod_actividad]]="","",_xlfn.XLOOKUP(tblOrdenes[[#This Row],[cod_actividad]],tblActividades[codigo],tblActividades[descripcion],"(sin catálogo)"))</f>
        <v/>
      </c>
      <c r="Y1048" s="12">
        <f>IF(tblOrdenes[[#This Row],[fecha_inicio]]="","",TODAY()-tblOrdenes[[#This Row],[fecha_inicio]])</f>
        <v/>
      </c>
      <c r="Z1048" s="3">
        <f>IF(tblOrdenes[[#This Row],[backlog_dias]]="","",IF(tblOrdenes[[#This Row],[backlog_dias]]&lt;0,"FUTURO",IF(tblOrdenes[[#This Row],[backlog_dias]]&gt;p_dias_backlog_max,"BACKLOG","MES CORRIENTE")))</f>
        <v/>
      </c>
      <c r="AA1048" s="3">
        <f>IF(tblOrdenes[[#This Row],[backlog_dias]]="",FALSE,AND(tblOrdenes[[#This Row],[backlog_dias]]&gt;p_dias_backlog_min,tblOrdenes[[#This Row],[backlog_dias]]&lt;=p_dias_backlog_max))</f>
        <v/>
      </c>
      <c r="AB1048" s="6" t="n"/>
      <c r="AC10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8" s="10">
        <f>IF(tblOrdenes[[#This Row],[orden]]="","",_xlfn.XLOOKUP(tblOrdenes[[#This Row],[id_operacion]],tblEjecucion[id_operacion],tblEjecucion[precio],0))</f>
        <v/>
      </c>
      <c r="AG1048" s="10">
        <f>IF(tblOrdenes[[#This Row],[orden]]="","",MAX(0,_xlfn.XLOOKUP(tblOrdenes[[#This Row],[id_operacion]],tblEjecucion[id_operacion],tblEjecucion[costo_plan_total],0)-tblOrdenes[[#This Row],[costo_servicio]]))</f>
        <v/>
      </c>
      <c r="AH1048" s="10">
        <f>IF(tblOrdenes[[#This Row],[orden]]="","",tblOrdenes[[#This Row],[costo_servicio]]+tblOrdenes[[#This Row],[costo_materiales]])</f>
        <v/>
      </c>
      <c r="AI1048" s="6" t="n"/>
      <c r="AJ1048" s="6" t="n"/>
      <c r="AK1048" s="6" t="n"/>
      <c r="AL1048" s="3">
        <f>IF(tblOrdenes[[#This Row],[link_checklist]]="","",HYPERLINK(p_ruta_base_checklists&amp;tblOrdenes[[#This Row],[link_checklist]],"abrir"))</f>
        <v/>
      </c>
      <c r="AM1048" s="6" t="n"/>
      <c r="AN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Row],[tipo_ot]]="","",_xlfn.XLOOKUP(tblOrdenes[[#This Row],[tipo_ot]],tblTiposOT[codigo],tblTiposOT[clasificacion],"sin_clasificar"))</f>
        <v/>
      </c>
      <c r="T1049" s="3">
        <f>IF(tblOrdenes[[#This Row],[centro_costo]]="","",_xlfn.XLOOKUP(tblOrdenes[[#This Row],[centro_costo]],tblCECO[codigo],tblCECO[linea],"(sin catálogo)"))</f>
        <v/>
      </c>
      <c r="U1049" s="3">
        <f>IF(tblOrdenes[[#This Row],[centro_costo]]="","",_xlfn.XLOOKUP(tblOrdenes[[#This Row],[centro_costo]],tblCECO[codigo],tblCECO[area],"(sin catálogo)"))</f>
        <v/>
      </c>
      <c r="V1049" s="3">
        <f>IF(tblOrdenes[[#This Row],[centro_costo]]="","",_xlfn.XLOOKUP(tblOrdenes[[#This Row],[centro_costo]],tblCECO[codigo],tblCECO[coordinador],"(sin catálogo)"))</f>
        <v/>
      </c>
      <c r="W1049" s="3">
        <f>IF(tblOrdenes[[#This Row],[puesto_trabajo]]="","",_xlfn.XLOOKUP(tblOrdenes[[#This Row],[puesto_trabajo]],tblPuestos[codigo],tblPuestos[especialidad],"(sin catálogo)"))</f>
        <v/>
      </c>
      <c r="X1049" s="3">
        <f>IF(tblOrdenes[[#This Row],[cod_actividad]]="","",_xlfn.XLOOKUP(tblOrdenes[[#This Row],[cod_actividad]],tblActividades[codigo],tblActividades[descripcion],"(sin catálogo)"))</f>
        <v/>
      </c>
      <c r="Y1049" s="12">
        <f>IF(tblOrdenes[[#This Row],[fecha_inicio]]="","",TODAY()-tblOrdenes[[#This Row],[fecha_inicio]])</f>
        <v/>
      </c>
      <c r="Z1049" s="3">
        <f>IF(tblOrdenes[[#This Row],[backlog_dias]]="","",IF(tblOrdenes[[#This Row],[backlog_dias]]&lt;0,"FUTURO",IF(tblOrdenes[[#This Row],[backlog_dias]]&gt;p_dias_backlog_max,"BACKLOG","MES CORRIENTE")))</f>
        <v/>
      </c>
      <c r="AA1049" s="3">
        <f>IF(tblOrdenes[[#This Row],[backlog_dias]]="",FALSE,AND(tblOrdenes[[#This Row],[backlog_dias]]&gt;p_dias_backlog_min,tblOrdenes[[#This Row],[backlog_dias]]&lt;=p_dias_backlog_max))</f>
        <v/>
      </c>
      <c r="AB1049" s="6" t="n"/>
      <c r="AC10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9" s="10">
        <f>IF(tblOrdenes[[#This Row],[orden]]="","",_xlfn.XLOOKUP(tblOrdenes[[#This Row],[id_operacion]],tblEjecucion[id_operacion],tblEjecucion[precio],0))</f>
        <v/>
      </c>
      <c r="AG1049" s="10">
        <f>IF(tblOrdenes[[#This Row],[orden]]="","",MAX(0,_xlfn.XLOOKUP(tblOrdenes[[#This Row],[id_operacion]],tblEjecucion[id_operacion],tblEjecucion[costo_plan_total],0)-tblOrdenes[[#This Row],[costo_servicio]]))</f>
        <v/>
      </c>
      <c r="AH1049" s="10">
        <f>IF(tblOrdenes[[#This Row],[orden]]="","",tblOrdenes[[#This Row],[costo_servicio]]+tblOrdenes[[#This Row],[costo_materiales]])</f>
        <v/>
      </c>
      <c r="AI1049" s="6" t="n"/>
      <c r="AJ1049" s="6" t="n"/>
      <c r="AK1049" s="6" t="n"/>
      <c r="AL1049" s="3">
        <f>IF(tblOrdenes[[#This Row],[link_checklist]]="","",HYPERLINK(p_ruta_base_checklists&amp;tblOrdenes[[#This Row],[link_checklist]],"abrir"))</f>
        <v/>
      </c>
      <c r="AM1049" s="6" t="n"/>
      <c r="AN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Row],[tipo_ot]]="","",_xlfn.XLOOKUP(tblOrdenes[[#This Row],[tipo_ot]],tblTiposOT[codigo],tblTiposOT[clasificacion],"sin_clasificar"))</f>
        <v/>
      </c>
      <c r="T1050" s="3">
        <f>IF(tblOrdenes[[#This Row],[centro_costo]]="","",_xlfn.XLOOKUP(tblOrdenes[[#This Row],[centro_costo]],tblCECO[codigo],tblCECO[linea],"(sin catálogo)"))</f>
        <v/>
      </c>
      <c r="U1050" s="3">
        <f>IF(tblOrdenes[[#This Row],[centro_costo]]="","",_xlfn.XLOOKUP(tblOrdenes[[#This Row],[centro_costo]],tblCECO[codigo],tblCECO[area],"(sin catálogo)"))</f>
        <v/>
      </c>
      <c r="V1050" s="3">
        <f>IF(tblOrdenes[[#This Row],[centro_costo]]="","",_xlfn.XLOOKUP(tblOrdenes[[#This Row],[centro_costo]],tblCECO[codigo],tblCECO[coordinador],"(sin catálogo)"))</f>
        <v/>
      </c>
      <c r="W1050" s="3">
        <f>IF(tblOrdenes[[#This Row],[puesto_trabajo]]="","",_xlfn.XLOOKUP(tblOrdenes[[#This Row],[puesto_trabajo]],tblPuestos[codigo],tblPuestos[especialidad],"(sin catálogo)"))</f>
        <v/>
      </c>
      <c r="X1050" s="3">
        <f>IF(tblOrdenes[[#This Row],[cod_actividad]]="","",_xlfn.XLOOKUP(tblOrdenes[[#This Row],[cod_actividad]],tblActividades[codigo],tblActividades[descripcion],"(sin catálogo)"))</f>
        <v/>
      </c>
      <c r="Y1050" s="12">
        <f>IF(tblOrdenes[[#This Row],[fecha_inicio]]="","",TODAY()-tblOrdenes[[#This Row],[fecha_inicio]])</f>
        <v/>
      </c>
      <c r="Z1050" s="3">
        <f>IF(tblOrdenes[[#This Row],[backlog_dias]]="","",IF(tblOrdenes[[#This Row],[backlog_dias]]&lt;0,"FUTURO",IF(tblOrdenes[[#This Row],[backlog_dias]]&gt;p_dias_backlog_max,"BACKLOG","MES CORRIENTE")))</f>
        <v/>
      </c>
      <c r="AA1050" s="3">
        <f>IF(tblOrdenes[[#This Row],[backlog_dias]]="",FALSE,AND(tblOrdenes[[#This Row],[backlog_dias]]&gt;p_dias_backlog_min,tblOrdenes[[#This Row],[backlog_dias]]&lt;=p_dias_backlog_max))</f>
        <v/>
      </c>
      <c r="AB1050" s="6" t="n"/>
      <c r="AC10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0" s="10">
        <f>IF(tblOrdenes[[#This Row],[orden]]="","",_xlfn.XLOOKUP(tblOrdenes[[#This Row],[id_operacion]],tblEjecucion[id_operacion],tblEjecucion[precio],0))</f>
        <v/>
      </c>
      <c r="AG1050" s="10">
        <f>IF(tblOrdenes[[#This Row],[orden]]="","",MAX(0,_xlfn.XLOOKUP(tblOrdenes[[#This Row],[id_operacion]],tblEjecucion[id_operacion],tblEjecucion[costo_plan_total],0)-tblOrdenes[[#This Row],[costo_servicio]]))</f>
        <v/>
      </c>
      <c r="AH1050" s="10">
        <f>IF(tblOrdenes[[#This Row],[orden]]="","",tblOrdenes[[#This Row],[costo_servicio]]+tblOrdenes[[#This Row],[costo_materiales]])</f>
        <v/>
      </c>
      <c r="AI1050" s="6" t="n"/>
      <c r="AJ1050" s="6" t="n"/>
      <c r="AK1050" s="6" t="n"/>
      <c r="AL1050" s="3">
        <f>IF(tblOrdenes[[#This Row],[link_checklist]]="","",HYPERLINK(p_ruta_base_checklists&amp;tblOrdenes[[#This Row],[link_checklist]],"abrir"))</f>
        <v/>
      </c>
      <c r="AM1050" s="6" t="n"/>
      <c r="AN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Row],[tipo_ot]]="","",_xlfn.XLOOKUP(tblOrdenes[[#This Row],[tipo_ot]],tblTiposOT[codigo],tblTiposOT[clasificacion],"sin_clasificar"))</f>
        <v/>
      </c>
      <c r="T1051" s="3">
        <f>IF(tblOrdenes[[#This Row],[centro_costo]]="","",_xlfn.XLOOKUP(tblOrdenes[[#This Row],[centro_costo]],tblCECO[codigo],tblCECO[linea],"(sin catálogo)"))</f>
        <v/>
      </c>
      <c r="U1051" s="3">
        <f>IF(tblOrdenes[[#This Row],[centro_costo]]="","",_xlfn.XLOOKUP(tblOrdenes[[#This Row],[centro_costo]],tblCECO[codigo],tblCECO[area],"(sin catálogo)"))</f>
        <v/>
      </c>
      <c r="V1051" s="3">
        <f>IF(tblOrdenes[[#This Row],[centro_costo]]="","",_xlfn.XLOOKUP(tblOrdenes[[#This Row],[centro_costo]],tblCECO[codigo],tblCECO[coordinador],"(sin catálogo)"))</f>
        <v/>
      </c>
      <c r="W1051" s="3">
        <f>IF(tblOrdenes[[#This Row],[puesto_trabajo]]="","",_xlfn.XLOOKUP(tblOrdenes[[#This Row],[puesto_trabajo]],tblPuestos[codigo],tblPuestos[especialidad],"(sin catálogo)"))</f>
        <v/>
      </c>
      <c r="X1051" s="3">
        <f>IF(tblOrdenes[[#This Row],[cod_actividad]]="","",_xlfn.XLOOKUP(tblOrdenes[[#This Row],[cod_actividad]],tblActividades[codigo],tblActividades[descripcion],"(sin catálogo)"))</f>
        <v/>
      </c>
      <c r="Y1051" s="12">
        <f>IF(tblOrdenes[[#This Row],[fecha_inicio]]="","",TODAY()-tblOrdenes[[#This Row],[fecha_inicio]])</f>
        <v/>
      </c>
      <c r="Z1051" s="3">
        <f>IF(tblOrdenes[[#This Row],[backlog_dias]]="","",IF(tblOrdenes[[#This Row],[backlog_dias]]&lt;0,"FUTURO",IF(tblOrdenes[[#This Row],[backlog_dias]]&gt;p_dias_backlog_max,"BACKLOG","MES CORRIENTE")))</f>
        <v/>
      </c>
      <c r="AA1051" s="3">
        <f>IF(tblOrdenes[[#This Row],[backlog_dias]]="",FALSE,AND(tblOrdenes[[#This Row],[backlog_dias]]&gt;p_dias_backlog_min,tblOrdenes[[#This Row],[backlog_dias]]&lt;=p_dias_backlog_max))</f>
        <v/>
      </c>
      <c r="AB1051" s="6" t="n"/>
      <c r="AC10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1" s="10">
        <f>IF(tblOrdenes[[#This Row],[orden]]="","",_xlfn.XLOOKUP(tblOrdenes[[#This Row],[id_operacion]],tblEjecucion[id_operacion],tblEjecucion[precio],0))</f>
        <v/>
      </c>
      <c r="AG1051" s="10">
        <f>IF(tblOrdenes[[#This Row],[orden]]="","",MAX(0,_xlfn.XLOOKUP(tblOrdenes[[#This Row],[id_operacion]],tblEjecucion[id_operacion],tblEjecucion[costo_plan_total],0)-tblOrdenes[[#This Row],[costo_servicio]]))</f>
        <v/>
      </c>
      <c r="AH1051" s="10">
        <f>IF(tblOrdenes[[#This Row],[orden]]="","",tblOrdenes[[#This Row],[costo_servicio]]+tblOrdenes[[#This Row],[costo_materiales]])</f>
        <v/>
      </c>
      <c r="AI1051" s="6" t="n"/>
      <c r="AJ1051" s="6" t="n"/>
      <c r="AK1051" s="6" t="n"/>
      <c r="AL1051" s="3">
        <f>IF(tblOrdenes[[#This Row],[link_checklist]]="","",HYPERLINK(p_ruta_base_checklists&amp;tblOrdenes[[#This Row],[link_checklist]],"abrir"))</f>
        <v/>
      </c>
      <c r="AM1051" s="6" t="n"/>
      <c r="AN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Row],[tipo_ot]]="","",_xlfn.XLOOKUP(tblOrdenes[[#This Row],[tipo_ot]],tblTiposOT[codigo],tblTiposOT[clasificacion],"sin_clasificar"))</f>
        <v/>
      </c>
      <c r="T1052" s="3">
        <f>IF(tblOrdenes[[#This Row],[centro_costo]]="","",_xlfn.XLOOKUP(tblOrdenes[[#This Row],[centro_costo]],tblCECO[codigo],tblCECO[linea],"(sin catálogo)"))</f>
        <v/>
      </c>
      <c r="U1052" s="3">
        <f>IF(tblOrdenes[[#This Row],[centro_costo]]="","",_xlfn.XLOOKUP(tblOrdenes[[#This Row],[centro_costo]],tblCECO[codigo],tblCECO[area],"(sin catálogo)"))</f>
        <v/>
      </c>
      <c r="V1052" s="3">
        <f>IF(tblOrdenes[[#This Row],[centro_costo]]="","",_xlfn.XLOOKUP(tblOrdenes[[#This Row],[centro_costo]],tblCECO[codigo],tblCECO[coordinador],"(sin catálogo)"))</f>
        <v/>
      </c>
      <c r="W1052" s="3">
        <f>IF(tblOrdenes[[#This Row],[puesto_trabajo]]="","",_xlfn.XLOOKUP(tblOrdenes[[#This Row],[puesto_trabajo]],tblPuestos[codigo],tblPuestos[especialidad],"(sin catálogo)"))</f>
        <v/>
      </c>
      <c r="X1052" s="3">
        <f>IF(tblOrdenes[[#This Row],[cod_actividad]]="","",_xlfn.XLOOKUP(tblOrdenes[[#This Row],[cod_actividad]],tblActividades[codigo],tblActividades[descripcion],"(sin catálogo)"))</f>
        <v/>
      </c>
      <c r="Y1052" s="12">
        <f>IF(tblOrdenes[[#This Row],[fecha_inicio]]="","",TODAY()-tblOrdenes[[#This Row],[fecha_inicio]])</f>
        <v/>
      </c>
      <c r="Z1052" s="3">
        <f>IF(tblOrdenes[[#This Row],[backlog_dias]]="","",IF(tblOrdenes[[#This Row],[backlog_dias]]&lt;0,"FUTURO",IF(tblOrdenes[[#This Row],[backlog_dias]]&gt;p_dias_backlog_max,"BACKLOG","MES CORRIENTE")))</f>
        <v/>
      </c>
      <c r="AA1052" s="3">
        <f>IF(tblOrdenes[[#This Row],[backlog_dias]]="",FALSE,AND(tblOrdenes[[#This Row],[backlog_dias]]&gt;p_dias_backlog_min,tblOrdenes[[#This Row],[backlog_dias]]&lt;=p_dias_backlog_max))</f>
        <v/>
      </c>
      <c r="AB1052" s="6" t="n"/>
      <c r="AC10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2" s="10">
        <f>IF(tblOrdenes[[#This Row],[orden]]="","",_xlfn.XLOOKUP(tblOrdenes[[#This Row],[id_operacion]],tblEjecucion[id_operacion],tblEjecucion[precio],0))</f>
        <v/>
      </c>
      <c r="AG1052" s="10">
        <f>IF(tblOrdenes[[#This Row],[orden]]="","",MAX(0,_xlfn.XLOOKUP(tblOrdenes[[#This Row],[id_operacion]],tblEjecucion[id_operacion],tblEjecucion[costo_plan_total],0)-tblOrdenes[[#This Row],[costo_servicio]]))</f>
        <v/>
      </c>
      <c r="AH1052" s="10">
        <f>IF(tblOrdenes[[#This Row],[orden]]="","",tblOrdenes[[#This Row],[costo_servicio]]+tblOrdenes[[#This Row],[costo_materiales]])</f>
        <v/>
      </c>
      <c r="AI1052" s="6" t="n"/>
      <c r="AJ1052" s="6" t="n"/>
      <c r="AK1052" s="6" t="n"/>
      <c r="AL1052" s="3">
        <f>IF(tblOrdenes[[#This Row],[link_checklist]]="","",HYPERLINK(p_ruta_base_checklists&amp;tblOrdenes[[#This Row],[link_checklist]],"abrir"))</f>
        <v/>
      </c>
      <c r="AM1052" s="6" t="n"/>
      <c r="AN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Row],[tipo_ot]]="","",_xlfn.XLOOKUP(tblOrdenes[[#This Row],[tipo_ot]],tblTiposOT[codigo],tblTiposOT[clasificacion],"sin_clasificar"))</f>
        <v/>
      </c>
      <c r="T1053" s="3">
        <f>IF(tblOrdenes[[#This Row],[centro_costo]]="","",_xlfn.XLOOKUP(tblOrdenes[[#This Row],[centro_costo]],tblCECO[codigo],tblCECO[linea],"(sin catálogo)"))</f>
        <v/>
      </c>
      <c r="U1053" s="3">
        <f>IF(tblOrdenes[[#This Row],[centro_costo]]="","",_xlfn.XLOOKUP(tblOrdenes[[#This Row],[centro_costo]],tblCECO[codigo],tblCECO[area],"(sin catálogo)"))</f>
        <v/>
      </c>
      <c r="V1053" s="3">
        <f>IF(tblOrdenes[[#This Row],[centro_costo]]="","",_xlfn.XLOOKUP(tblOrdenes[[#This Row],[centro_costo]],tblCECO[codigo],tblCECO[coordinador],"(sin catálogo)"))</f>
        <v/>
      </c>
      <c r="W1053" s="3">
        <f>IF(tblOrdenes[[#This Row],[puesto_trabajo]]="","",_xlfn.XLOOKUP(tblOrdenes[[#This Row],[puesto_trabajo]],tblPuestos[codigo],tblPuestos[especialidad],"(sin catálogo)"))</f>
        <v/>
      </c>
      <c r="X1053" s="3">
        <f>IF(tblOrdenes[[#This Row],[cod_actividad]]="","",_xlfn.XLOOKUP(tblOrdenes[[#This Row],[cod_actividad]],tblActividades[codigo],tblActividades[descripcion],"(sin catálogo)"))</f>
        <v/>
      </c>
      <c r="Y1053" s="12">
        <f>IF(tblOrdenes[[#This Row],[fecha_inicio]]="","",TODAY()-tblOrdenes[[#This Row],[fecha_inicio]])</f>
        <v/>
      </c>
      <c r="Z1053" s="3">
        <f>IF(tblOrdenes[[#This Row],[backlog_dias]]="","",IF(tblOrdenes[[#This Row],[backlog_dias]]&lt;0,"FUTURO",IF(tblOrdenes[[#This Row],[backlog_dias]]&gt;p_dias_backlog_max,"BACKLOG","MES CORRIENTE")))</f>
        <v/>
      </c>
      <c r="AA1053" s="3">
        <f>IF(tblOrdenes[[#This Row],[backlog_dias]]="",FALSE,AND(tblOrdenes[[#This Row],[backlog_dias]]&gt;p_dias_backlog_min,tblOrdenes[[#This Row],[backlog_dias]]&lt;=p_dias_backlog_max))</f>
        <v/>
      </c>
      <c r="AB1053" s="6" t="n"/>
      <c r="AC10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3" s="10">
        <f>IF(tblOrdenes[[#This Row],[orden]]="","",_xlfn.XLOOKUP(tblOrdenes[[#This Row],[id_operacion]],tblEjecucion[id_operacion],tblEjecucion[precio],0))</f>
        <v/>
      </c>
      <c r="AG1053" s="10">
        <f>IF(tblOrdenes[[#This Row],[orden]]="","",MAX(0,_xlfn.XLOOKUP(tblOrdenes[[#This Row],[id_operacion]],tblEjecucion[id_operacion],tblEjecucion[costo_plan_total],0)-tblOrdenes[[#This Row],[costo_servicio]]))</f>
        <v/>
      </c>
      <c r="AH1053" s="10">
        <f>IF(tblOrdenes[[#This Row],[orden]]="","",tblOrdenes[[#This Row],[costo_servicio]]+tblOrdenes[[#This Row],[costo_materiales]])</f>
        <v/>
      </c>
      <c r="AI1053" s="6" t="n"/>
      <c r="AJ1053" s="6" t="n"/>
      <c r="AK1053" s="6" t="n"/>
      <c r="AL1053" s="3">
        <f>IF(tblOrdenes[[#This Row],[link_checklist]]="","",HYPERLINK(p_ruta_base_checklists&amp;tblOrdenes[[#This Row],[link_checklist]],"abrir"))</f>
        <v/>
      </c>
      <c r="AM1053" s="6" t="n"/>
      <c r="AN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Row],[tipo_ot]]="","",_xlfn.XLOOKUP(tblOrdenes[[#This Row],[tipo_ot]],tblTiposOT[codigo],tblTiposOT[clasificacion],"sin_clasificar"))</f>
        <v/>
      </c>
      <c r="T1054" s="3">
        <f>IF(tblOrdenes[[#This Row],[centro_costo]]="","",_xlfn.XLOOKUP(tblOrdenes[[#This Row],[centro_costo]],tblCECO[codigo],tblCECO[linea],"(sin catálogo)"))</f>
        <v/>
      </c>
      <c r="U1054" s="3">
        <f>IF(tblOrdenes[[#This Row],[centro_costo]]="","",_xlfn.XLOOKUP(tblOrdenes[[#This Row],[centro_costo]],tblCECO[codigo],tblCECO[area],"(sin catálogo)"))</f>
        <v/>
      </c>
      <c r="V1054" s="3">
        <f>IF(tblOrdenes[[#This Row],[centro_costo]]="","",_xlfn.XLOOKUP(tblOrdenes[[#This Row],[centro_costo]],tblCECO[codigo],tblCECO[coordinador],"(sin catálogo)"))</f>
        <v/>
      </c>
      <c r="W1054" s="3">
        <f>IF(tblOrdenes[[#This Row],[puesto_trabajo]]="","",_xlfn.XLOOKUP(tblOrdenes[[#This Row],[puesto_trabajo]],tblPuestos[codigo],tblPuestos[especialidad],"(sin catálogo)"))</f>
        <v/>
      </c>
      <c r="X1054" s="3">
        <f>IF(tblOrdenes[[#This Row],[cod_actividad]]="","",_xlfn.XLOOKUP(tblOrdenes[[#This Row],[cod_actividad]],tblActividades[codigo],tblActividades[descripcion],"(sin catálogo)"))</f>
        <v/>
      </c>
      <c r="Y1054" s="12">
        <f>IF(tblOrdenes[[#This Row],[fecha_inicio]]="","",TODAY()-tblOrdenes[[#This Row],[fecha_inicio]])</f>
        <v/>
      </c>
      <c r="Z1054" s="3">
        <f>IF(tblOrdenes[[#This Row],[backlog_dias]]="","",IF(tblOrdenes[[#This Row],[backlog_dias]]&lt;0,"FUTURO",IF(tblOrdenes[[#This Row],[backlog_dias]]&gt;p_dias_backlog_max,"BACKLOG","MES CORRIENTE")))</f>
        <v/>
      </c>
      <c r="AA1054" s="3">
        <f>IF(tblOrdenes[[#This Row],[backlog_dias]]="",FALSE,AND(tblOrdenes[[#This Row],[backlog_dias]]&gt;p_dias_backlog_min,tblOrdenes[[#This Row],[backlog_dias]]&lt;=p_dias_backlog_max))</f>
        <v/>
      </c>
      <c r="AB1054" s="6" t="n"/>
      <c r="AC10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4" s="10">
        <f>IF(tblOrdenes[[#This Row],[orden]]="","",_xlfn.XLOOKUP(tblOrdenes[[#This Row],[id_operacion]],tblEjecucion[id_operacion],tblEjecucion[precio],0))</f>
        <v/>
      </c>
      <c r="AG1054" s="10">
        <f>IF(tblOrdenes[[#This Row],[orden]]="","",MAX(0,_xlfn.XLOOKUP(tblOrdenes[[#This Row],[id_operacion]],tblEjecucion[id_operacion],tblEjecucion[costo_plan_total],0)-tblOrdenes[[#This Row],[costo_servicio]]))</f>
        <v/>
      </c>
      <c r="AH1054" s="10">
        <f>IF(tblOrdenes[[#This Row],[orden]]="","",tblOrdenes[[#This Row],[costo_servicio]]+tblOrdenes[[#This Row],[costo_materiales]])</f>
        <v/>
      </c>
      <c r="AI1054" s="6" t="n"/>
      <c r="AJ1054" s="6" t="n"/>
      <c r="AK1054" s="6" t="n"/>
      <c r="AL1054" s="3">
        <f>IF(tblOrdenes[[#This Row],[link_checklist]]="","",HYPERLINK(p_ruta_base_checklists&amp;tblOrdenes[[#This Row],[link_checklist]],"abrir"))</f>
        <v/>
      </c>
      <c r="AM1054" s="6" t="n"/>
      <c r="AN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Row],[tipo_ot]]="","",_xlfn.XLOOKUP(tblOrdenes[[#This Row],[tipo_ot]],tblTiposOT[codigo],tblTiposOT[clasificacion],"sin_clasificar"))</f>
        <v/>
      </c>
      <c r="T1055" s="3">
        <f>IF(tblOrdenes[[#This Row],[centro_costo]]="","",_xlfn.XLOOKUP(tblOrdenes[[#This Row],[centro_costo]],tblCECO[codigo],tblCECO[linea],"(sin catálogo)"))</f>
        <v/>
      </c>
      <c r="U1055" s="3">
        <f>IF(tblOrdenes[[#This Row],[centro_costo]]="","",_xlfn.XLOOKUP(tblOrdenes[[#This Row],[centro_costo]],tblCECO[codigo],tblCECO[area],"(sin catálogo)"))</f>
        <v/>
      </c>
      <c r="V1055" s="3">
        <f>IF(tblOrdenes[[#This Row],[centro_costo]]="","",_xlfn.XLOOKUP(tblOrdenes[[#This Row],[centro_costo]],tblCECO[codigo],tblCECO[coordinador],"(sin catálogo)"))</f>
        <v/>
      </c>
      <c r="W1055" s="3">
        <f>IF(tblOrdenes[[#This Row],[puesto_trabajo]]="","",_xlfn.XLOOKUP(tblOrdenes[[#This Row],[puesto_trabajo]],tblPuestos[codigo],tblPuestos[especialidad],"(sin catálogo)"))</f>
        <v/>
      </c>
      <c r="X1055" s="3">
        <f>IF(tblOrdenes[[#This Row],[cod_actividad]]="","",_xlfn.XLOOKUP(tblOrdenes[[#This Row],[cod_actividad]],tblActividades[codigo],tblActividades[descripcion],"(sin catálogo)"))</f>
        <v/>
      </c>
      <c r="Y1055" s="12">
        <f>IF(tblOrdenes[[#This Row],[fecha_inicio]]="","",TODAY()-tblOrdenes[[#This Row],[fecha_inicio]])</f>
        <v/>
      </c>
      <c r="Z1055" s="3">
        <f>IF(tblOrdenes[[#This Row],[backlog_dias]]="","",IF(tblOrdenes[[#This Row],[backlog_dias]]&lt;0,"FUTURO",IF(tblOrdenes[[#This Row],[backlog_dias]]&gt;p_dias_backlog_max,"BACKLOG","MES CORRIENTE")))</f>
        <v/>
      </c>
      <c r="AA1055" s="3">
        <f>IF(tblOrdenes[[#This Row],[backlog_dias]]="",FALSE,AND(tblOrdenes[[#This Row],[backlog_dias]]&gt;p_dias_backlog_min,tblOrdenes[[#This Row],[backlog_dias]]&lt;=p_dias_backlog_max))</f>
        <v/>
      </c>
      <c r="AB1055" s="6" t="n"/>
      <c r="AC10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5" s="10">
        <f>IF(tblOrdenes[[#This Row],[orden]]="","",_xlfn.XLOOKUP(tblOrdenes[[#This Row],[id_operacion]],tblEjecucion[id_operacion],tblEjecucion[precio],0))</f>
        <v/>
      </c>
      <c r="AG1055" s="10">
        <f>IF(tblOrdenes[[#This Row],[orden]]="","",MAX(0,_xlfn.XLOOKUP(tblOrdenes[[#This Row],[id_operacion]],tblEjecucion[id_operacion],tblEjecucion[costo_plan_total],0)-tblOrdenes[[#This Row],[costo_servicio]]))</f>
        <v/>
      </c>
      <c r="AH1055" s="10">
        <f>IF(tblOrdenes[[#This Row],[orden]]="","",tblOrdenes[[#This Row],[costo_servicio]]+tblOrdenes[[#This Row],[costo_materiales]])</f>
        <v/>
      </c>
      <c r="AI1055" s="6" t="n"/>
      <c r="AJ1055" s="6" t="n"/>
      <c r="AK1055" s="6" t="n"/>
      <c r="AL1055" s="3">
        <f>IF(tblOrdenes[[#This Row],[link_checklist]]="","",HYPERLINK(p_ruta_base_checklists&amp;tblOrdenes[[#This Row],[link_checklist]],"abrir"))</f>
        <v/>
      </c>
      <c r="AM1055" s="6" t="n"/>
      <c r="AN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Row],[tipo_ot]]="","",_xlfn.XLOOKUP(tblOrdenes[[#This Row],[tipo_ot]],tblTiposOT[codigo],tblTiposOT[clasificacion],"sin_clasificar"))</f>
        <v/>
      </c>
      <c r="T1056" s="3">
        <f>IF(tblOrdenes[[#This Row],[centro_costo]]="","",_xlfn.XLOOKUP(tblOrdenes[[#This Row],[centro_costo]],tblCECO[codigo],tblCECO[linea],"(sin catálogo)"))</f>
        <v/>
      </c>
      <c r="U1056" s="3">
        <f>IF(tblOrdenes[[#This Row],[centro_costo]]="","",_xlfn.XLOOKUP(tblOrdenes[[#This Row],[centro_costo]],tblCECO[codigo],tblCECO[area],"(sin catálogo)"))</f>
        <v/>
      </c>
      <c r="V1056" s="3">
        <f>IF(tblOrdenes[[#This Row],[centro_costo]]="","",_xlfn.XLOOKUP(tblOrdenes[[#This Row],[centro_costo]],tblCECO[codigo],tblCECO[coordinador],"(sin catálogo)"))</f>
        <v/>
      </c>
      <c r="W1056" s="3">
        <f>IF(tblOrdenes[[#This Row],[puesto_trabajo]]="","",_xlfn.XLOOKUP(tblOrdenes[[#This Row],[puesto_trabajo]],tblPuestos[codigo],tblPuestos[especialidad],"(sin catálogo)"))</f>
        <v/>
      </c>
      <c r="X1056" s="3">
        <f>IF(tblOrdenes[[#This Row],[cod_actividad]]="","",_xlfn.XLOOKUP(tblOrdenes[[#This Row],[cod_actividad]],tblActividades[codigo],tblActividades[descripcion],"(sin catálogo)"))</f>
        <v/>
      </c>
      <c r="Y1056" s="12">
        <f>IF(tblOrdenes[[#This Row],[fecha_inicio]]="","",TODAY()-tblOrdenes[[#This Row],[fecha_inicio]])</f>
        <v/>
      </c>
      <c r="Z1056" s="3">
        <f>IF(tblOrdenes[[#This Row],[backlog_dias]]="","",IF(tblOrdenes[[#This Row],[backlog_dias]]&lt;0,"FUTURO",IF(tblOrdenes[[#This Row],[backlog_dias]]&gt;p_dias_backlog_max,"BACKLOG","MES CORRIENTE")))</f>
        <v/>
      </c>
      <c r="AA1056" s="3">
        <f>IF(tblOrdenes[[#This Row],[backlog_dias]]="",FALSE,AND(tblOrdenes[[#This Row],[backlog_dias]]&gt;p_dias_backlog_min,tblOrdenes[[#This Row],[backlog_dias]]&lt;=p_dias_backlog_max))</f>
        <v/>
      </c>
      <c r="AB1056" s="6" t="n"/>
      <c r="AC10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6" s="10">
        <f>IF(tblOrdenes[[#This Row],[orden]]="","",_xlfn.XLOOKUP(tblOrdenes[[#This Row],[id_operacion]],tblEjecucion[id_operacion],tblEjecucion[precio],0))</f>
        <v/>
      </c>
      <c r="AG1056" s="10">
        <f>IF(tblOrdenes[[#This Row],[orden]]="","",MAX(0,_xlfn.XLOOKUP(tblOrdenes[[#This Row],[id_operacion]],tblEjecucion[id_operacion],tblEjecucion[costo_plan_total],0)-tblOrdenes[[#This Row],[costo_servicio]]))</f>
        <v/>
      </c>
      <c r="AH1056" s="10">
        <f>IF(tblOrdenes[[#This Row],[orden]]="","",tblOrdenes[[#This Row],[costo_servicio]]+tblOrdenes[[#This Row],[costo_materiales]])</f>
        <v/>
      </c>
      <c r="AI1056" s="6" t="n"/>
      <c r="AJ1056" s="6" t="n"/>
      <c r="AK1056" s="6" t="n"/>
      <c r="AL1056" s="3">
        <f>IF(tblOrdenes[[#This Row],[link_checklist]]="","",HYPERLINK(p_ruta_base_checklists&amp;tblOrdenes[[#This Row],[link_checklist]],"abrir"))</f>
        <v/>
      </c>
      <c r="AM1056" s="6" t="n"/>
      <c r="AN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Row],[tipo_ot]]="","",_xlfn.XLOOKUP(tblOrdenes[[#This Row],[tipo_ot]],tblTiposOT[codigo],tblTiposOT[clasificacion],"sin_clasificar"))</f>
        <v/>
      </c>
      <c r="T1057" s="3">
        <f>IF(tblOrdenes[[#This Row],[centro_costo]]="","",_xlfn.XLOOKUP(tblOrdenes[[#This Row],[centro_costo]],tblCECO[codigo],tblCECO[linea],"(sin catálogo)"))</f>
        <v/>
      </c>
      <c r="U1057" s="3">
        <f>IF(tblOrdenes[[#This Row],[centro_costo]]="","",_xlfn.XLOOKUP(tblOrdenes[[#This Row],[centro_costo]],tblCECO[codigo],tblCECO[area],"(sin catálogo)"))</f>
        <v/>
      </c>
      <c r="V1057" s="3">
        <f>IF(tblOrdenes[[#This Row],[centro_costo]]="","",_xlfn.XLOOKUP(tblOrdenes[[#This Row],[centro_costo]],tblCECO[codigo],tblCECO[coordinador],"(sin catálogo)"))</f>
        <v/>
      </c>
      <c r="W1057" s="3">
        <f>IF(tblOrdenes[[#This Row],[puesto_trabajo]]="","",_xlfn.XLOOKUP(tblOrdenes[[#This Row],[puesto_trabajo]],tblPuestos[codigo],tblPuestos[especialidad],"(sin catálogo)"))</f>
        <v/>
      </c>
      <c r="X1057" s="3">
        <f>IF(tblOrdenes[[#This Row],[cod_actividad]]="","",_xlfn.XLOOKUP(tblOrdenes[[#This Row],[cod_actividad]],tblActividades[codigo],tblActividades[descripcion],"(sin catálogo)"))</f>
        <v/>
      </c>
      <c r="Y1057" s="12">
        <f>IF(tblOrdenes[[#This Row],[fecha_inicio]]="","",TODAY()-tblOrdenes[[#This Row],[fecha_inicio]])</f>
        <v/>
      </c>
      <c r="Z1057" s="3">
        <f>IF(tblOrdenes[[#This Row],[backlog_dias]]="","",IF(tblOrdenes[[#This Row],[backlog_dias]]&lt;0,"FUTURO",IF(tblOrdenes[[#This Row],[backlog_dias]]&gt;p_dias_backlog_max,"BACKLOG","MES CORRIENTE")))</f>
        <v/>
      </c>
      <c r="AA1057" s="3">
        <f>IF(tblOrdenes[[#This Row],[backlog_dias]]="",FALSE,AND(tblOrdenes[[#This Row],[backlog_dias]]&gt;p_dias_backlog_min,tblOrdenes[[#This Row],[backlog_dias]]&lt;=p_dias_backlog_max))</f>
        <v/>
      </c>
      <c r="AB1057" s="6" t="n"/>
      <c r="AC10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7" s="10">
        <f>IF(tblOrdenes[[#This Row],[orden]]="","",_xlfn.XLOOKUP(tblOrdenes[[#This Row],[id_operacion]],tblEjecucion[id_operacion],tblEjecucion[precio],0))</f>
        <v/>
      </c>
      <c r="AG1057" s="10">
        <f>IF(tblOrdenes[[#This Row],[orden]]="","",MAX(0,_xlfn.XLOOKUP(tblOrdenes[[#This Row],[id_operacion]],tblEjecucion[id_operacion],tblEjecucion[costo_plan_total],0)-tblOrdenes[[#This Row],[costo_servicio]]))</f>
        <v/>
      </c>
      <c r="AH1057" s="10">
        <f>IF(tblOrdenes[[#This Row],[orden]]="","",tblOrdenes[[#This Row],[costo_servicio]]+tblOrdenes[[#This Row],[costo_materiales]])</f>
        <v/>
      </c>
      <c r="AI1057" s="6" t="n"/>
      <c r="AJ1057" s="6" t="n"/>
      <c r="AK1057" s="6" t="n"/>
      <c r="AL1057" s="3">
        <f>IF(tblOrdenes[[#This Row],[link_checklist]]="","",HYPERLINK(p_ruta_base_checklists&amp;tblOrdenes[[#This Row],[link_checklist]],"abrir"))</f>
        <v/>
      </c>
      <c r="AM1057" s="6" t="n"/>
      <c r="AN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Row],[tipo_ot]]="","",_xlfn.XLOOKUP(tblOrdenes[[#This Row],[tipo_ot]],tblTiposOT[codigo],tblTiposOT[clasificacion],"sin_clasificar"))</f>
        <v/>
      </c>
      <c r="T1058" s="3">
        <f>IF(tblOrdenes[[#This Row],[centro_costo]]="","",_xlfn.XLOOKUP(tblOrdenes[[#This Row],[centro_costo]],tblCECO[codigo],tblCECO[linea],"(sin catálogo)"))</f>
        <v/>
      </c>
      <c r="U1058" s="3">
        <f>IF(tblOrdenes[[#This Row],[centro_costo]]="","",_xlfn.XLOOKUP(tblOrdenes[[#This Row],[centro_costo]],tblCECO[codigo],tblCECO[area],"(sin catálogo)"))</f>
        <v/>
      </c>
      <c r="V1058" s="3">
        <f>IF(tblOrdenes[[#This Row],[centro_costo]]="","",_xlfn.XLOOKUP(tblOrdenes[[#This Row],[centro_costo]],tblCECO[codigo],tblCECO[coordinador],"(sin catálogo)"))</f>
        <v/>
      </c>
      <c r="W1058" s="3">
        <f>IF(tblOrdenes[[#This Row],[puesto_trabajo]]="","",_xlfn.XLOOKUP(tblOrdenes[[#This Row],[puesto_trabajo]],tblPuestos[codigo],tblPuestos[especialidad],"(sin catálogo)"))</f>
        <v/>
      </c>
      <c r="X1058" s="3">
        <f>IF(tblOrdenes[[#This Row],[cod_actividad]]="","",_xlfn.XLOOKUP(tblOrdenes[[#This Row],[cod_actividad]],tblActividades[codigo],tblActividades[descripcion],"(sin catálogo)"))</f>
        <v/>
      </c>
      <c r="Y1058" s="12">
        <f>IF(tblOrdenes[[#This Row],[fecha_inicio]]="","",TODAY()-tblOrdenes[[#This Row],[fecha_inicio]])</f>
        <v/>
      </c>
      <c r="Z1058" s="3">
        <f>IF(tblOrdenes[[#This Row],[backlog_dias]]="","",IF(tblOrdenes[[#This Row],[backlog_dias]]&lt;0,"FUTURO",IF(tblOrdenes[[#This Row],[backlog_dias]]&gt;p_dias_backlog_max,"BACKLOG","MES CORRIENTE")))</f>
        <v/>
      </c>
      <c r="AA1058" s="3">
        <f>IF(tblOrdenes[[#This Row],[backlog_dias]]="",FALSE,AND(tblOrdenes[[#This Row],[backlog_dias]]&gt;p_dias_backlog_min,tblOrdenes[[#This Row],[backlog_dias]]&lt;=p_dias_backlog_max))</f>
        <v/>
      </c>
      <c r="AB1058" s="6" t="n"/>
      <c r="AC10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8" s="10">
        <f>IF(tblOrdenes[[#This Row],[orden]]="","",_xlfn.XLOOKUP(tblOrdenes[[#This Row],[id_operacion]],tblEjecucion[id_operacion],tblEjecucion[precio],0))</f>
        <v/>
      </c>
      <c r="AG1058" s="10">
        <f>IF(tblOrdenes[[#This Row],[orden]]="","",MAX(0,_xlfn.XLOOKUP(tblOrdenes[[#This Row],[id_operacion]],tblEjecucion[id_operacion],tblEjecucion[costo_plan_total],0)-tblOrdenes[[#This Row],[costo_servicio]]))</f>
        <v/>
      </c>
      <c r="AH1058" s="10">
        <f>IF(tblOrdenes[[#This Row],[orden]]="","",tblOrdenes[[#This Row],[costo_servicio]]+tblOrdenes[[#This Row],[costo_materiales]])</f>
        <v/>
      </c>
      <c r="AI1058" s="6" t="n"/>
      <c r="AJ1058" s="6" t="n"/>
      <c r="AK1058" s="6" t="n"/>
      <c r="AL1058" s="3">
        <f>IF(tblOrdenes[[#This Row],[link_checklist]]="","",HYPERLINK(p_ruta_base_checklists&amp;tblOrdenes[[#This Row],[link_checklist]],"abrir"))</f>
        <v/>
      </c>
      <c r="AM1058" s="6" t="n"/>
      <c r="AN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Row],[tipo_ot]]="","",_xlfn.XLOOKUP(tblOrdenes[[#This Row],[tipo_ot]],tblTiposOT[codigo],tblTiposOT[clasificacion],"sin_clasificar"))</f>
        <v/>
      </c>
      <c r="T1059" s="3">
        <f>IF(tblOrdenes[[#This Row],[centro_costo]]="","",_xlfn.XLOOKUP(tblOrdenes[[#This Row],[centro_costo]],tblCECO[codigo],tblCECO[linea],"(sin catálogo)"))</f>
        <v/>
      </c>
      <c r="U1059" s="3">
        <f>IF(tblOrdenes[[#This Row],[centro_costo]]="","",_xlfn.XLOOKUP(tblOrdenes[[#This Row],[centro_costo]],tblCECO[codigo],tblCECO[area],"(sin catálogo)"))</f>
        <v/>
      </c>
      <c r="V1059" s="3">
        <f>IF(tblOrdenes[[#This Row],[centro_costo]]="","",_xlfn.XLOOKUP(tblOrdenes[[#This Row],[centro_costo]],tblCECO[codigo],tblCECO[coordinador],"(sin catálogo)"))</f>
        <v/>
      </c>
      <c r="W1059" s="3">
        <f>IF(tblOrdenes[[#This Row],[puesto_trabajo]]="","",_xlfn.XLOOKUP(tblOrdenes[[#This Row],[puesto_trabajo]],tblPuestos[codigo],tblPuestos[especialidad],"(sin catálogo)"))</f>
        <v/>
      </c>
      <c r="X1059" s="3">
        <f>IF(tblOrdenes[[#This Row],[cod_actividad]]="","",_xlfn.XLOOKUP(tblOrdenes[[#This Row],[cod_actividad]],tblActividades[codigo],tblActividades[descripcion],"(sin catálogo)"))</f>
        <v/>
      </c>
      <c r="Y1059" s="12">
        <f>IF(tblOrdenes[[#This Row],[fecha_inicio]]="","",TODAY()-tblOrdenes[[#This Row],[fecha_inicio]])</f>
        <v/>
      </c>
      <c r="Z1059" s="3">
        <f>IF(tblOrdenes[[#This Row],[backlog_dias]]="","",IF(tblOrdenes[[#This Row],[backlog_dias]]&lt;0,"FUTURO",IF(tblOrdenes[[#This Row],[backlog_dias]]&gt;p_dias_backlog_max,"BACKLOG","MES CORRIENTE")))</f>
        <v/>
      </c>
      <c r="AA1059" s="3">
        <f>IF(tblOrdenes[[#This Row],[backlog_dias]]="",FALSE,AND(tblOrdenes[[#This Row],[backlog_dias]]&gt;p_dias_backlog_min,tblOrdenes[[#This Row],[backlog_dias]]&lt;=p_dias_backlog_max))</f>
        <v/>
      </c>
      <c r="AB1059" s="6" t="n"/>
      <c r="AC10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9" s="10">
        <f>IF(tblOrdenes[[#This Row],[orden]]="","",_xlfn.XLOOKUP(tblOrdenes[[#This Row],[id_operacion]],tblEjecucion[id_operacion],tblEjecucion[precio],0))</f>
        <v/>
      </c>
      <c r="AG1059" s="10">
        <f>IF(tblOrdenes[[#This Row],[orden]]="","",MAX(0,_xlfn.XLOOKUP(tblOrdenes[[#This Row],[id_operacion]],tblEjecucion[id_operacion],tblEjecucion[costo_plan_total],0)-tblOrdenes[[#This Row],[costo_servicio]]))</f>
        <v/>
      </c>
      <c r="AH1059" s="10">
        <f>IF(tblOrdenes[[#This Row],[orden]]="","",tblOrdenes[[#This Row],[costo_servicio]]+tblOrdenes[[#This Row],[costo_materiales]])</f>
        <v/>
      </c>
      <c r="AI1059" s="6" t="n"/>
      <c r="AJ1059" s="6" t="n"/>
      <c r="AK1059" s="6" t="n"/>
      <c r="AL1059" s="3">
        <f>IF(tblOrdenes[[#This Row],[link_checklist]]="","",HYPERLINK(p_ruta_base_checklists&amp;tblOrdenes[[#This Row],[link_checklist]],"abrir"))</f>
        <v/>
      </c>
      <c r="AM1059" s="6" t="n"/>
      <c r="AN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Row],[tipo_ot]]="","",_xlfn.XLOOKUP(tblOrdenes[[#This Row],[tipo_ot]],tblTiposOT[codigo],tblTiposOT[clasificacion],"sin_clasificar"))</f>
        <v/>
      </c>
      <c r="T1060" s="3">
        <f>IF(tblOrdenes[[#This Row],[centro_costo]]="","",_xlfn.XLOOKUP(tblOrdenes[[#This Row],[centro_costo]],tblCECO[codigo],tblCECO[linea],"(sin catálogo)"))</f>
        <v/>
      </c>
      <c r="U1060" s="3">
        <f>IF(tblOrdenes[[#This Row],[centro_costo]]="","",_xlfn.XLOOKUP(tblOrdenes[[#This Row],[centro_costo]],tblCECO[codigo],tblCECO[area],"(sin catálogo)"))</f>
        <v/>
      </c>
      <c r="V1060" s="3">
        <f>IF(tblOrdenes[[#This Row],[centro_costo]]="","",_xlfn.XLOOKUP(tblOrdenes[[#This Row],[centro_costo]],tblCECO[codigo],tblCECO[coordinador],"(sin catálogo)"))</f>
        <v/>
      </c>
      <c r="W1060" s="3">
        <f>IF(tblOrdenes[[#This Row],[puesto_trabajo]]="","",_xlfn.XLOOKUP(tblOrdenes[[#This Row],[puesto_trabajo]],tblPuestos[codigo],tblPuestos[especialidad],"(sin catálogo)"))</f>
        <v/>
      </c>
      <c r="X1060" s="3">
        <f>IF(tblOrdenes[[#This Row],[cod_actividad]]="","",_xlfn.XLOOKUP(tblOrdenes[[#This Row],[cod_actividad]],tblActividades[codigo],tblActividades[descripcion],"(sin catálogo)"))</f>
        <v/>
      </c>
      <c r="Y1060" s="12">
        <f>IF(tblOrdenes[[#This Row],[fecha_inicio]]="","",TODAY()-tblOrdenes[[#This Row],[fecha_inicio]])</f>
        <v/>
      </c>
      <c r="Z1060" s="3">
        <f>IF(tblOrdenes[[#This Row],[backlog_dias]]="","",IF(tblOrdenes[[#This Row],[backlog_dias]]&lt;0,"FUTURO",IF(tblOrdenes[[#This Row],[backlog_dias]]&gt;p_dias_backlog_max,"BACKLOG","MES CORRIENTE")))</f>
        <v/>
      </c>
      <c r="AA1060" s="3">
        <f>IF(tblOrdenes[[#This Row],[backlog_dias]]="",FALSE,AND(tblOrdenes[[#This Row],[backlog_dias]]&gt;p_dias_backlog_min,tblOrdenes[[#This Row],[backlog_dias]]&lt;=p_dias_backlog_max))</f>
        <v/>
      </c>
      <c r="AB1060" s="6" t="n"/>
      <c r="AC10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0" s="10">
        <f>IF(tblOrdenes[[#This Row],[orden]]="","",_xlfn.XLOOKUP(tblOrdenes[[#This Row],[id_operacion]],tblEjecucion[id_operacion],tblEjecucion[precio],0))</f>
        <v/>
      </c>
      <c r="AG1060" s="10">
        <f>IF(tblOrdenes[[#This Row],[orden]]="","",MAX(0,_xlfn.XLOOKUP(tblOrdenes[[#This Row],[id_operacion]],tblEjecucion[id_operacion],tblEjecucion[costo_plan_total],0)-tblOrdenes[[#This Row],[costo_servicio]]))</f>
        <v/>
      </c>
      <c r="AH1060" s="10">
        <f>IF(tblOrdenes[[#This Row],[orden]]="","",tblOrdenes[[#This Row],[costo_servicio]]+tblOrdenes[[#This Row],[costo_materiales]])</f>
        <v/>
      </c>
      <c r="AI1060" s="6" t="n"/>
      <c r="AJ1060" s="6" t="n"/>
      <c r="AK1060" s="6" t="n"/>
      <c r="AL1060" s="3">
        <f>IF(tblOrdenes[[#This Row],[link_checklist]]="","",HYPERLINK(p_ruta_base_checklists&amp;tblOrdenes[[#This Row],[link_checklist]],"abrir"))</f>
        <v/>
      </c>
      <c r="AM1060" s="6" t="n"/>
      <c r="AN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Row],[tipo_ot]]="","",_xlfn.XLOOKUP(tblOrdenes[[#This Row],[tipo_ot]],tblTiposOT[codigo],tblTiposOT[clasificacion],"sin_clasificar"))</f>
        <v/>
      </c>
      <c r="T1061" s="3">
        <f>IF(tblOrdenes[[#This Row],[centro_costo]]="","",_xlfn.XLOOKUP(tblOrdenes[[#This Row],[centro_costo]],tblCECO[codigo],tblCECO[linea],"(sin catálogo)"))</f>
        <v/>
      </c>
      <c r="U1061" s="3">
        <f>IF(tblOrdenes[[#This Row],[centro_costo]]="","",_xlfn.XLOOKUP(tblOrdenes[[#This Row],[centro_costo]],tblCECO[codigo],tblCECO[area],"(sin catálogo)"))</f>
        <v/>
      </c>
      <c r="V1061" s="3">
        <f>IF(tblOrdenes[[#This Row],[centro_costo]]="","",_xlfn.XLOOKUP(tblOrdenes[[#This Row],[centro_costo]],tblCECO[codigo],tblCECO[coordinador],"(sin catálogo)"))</f>
        <v/>
      </c>
      <c r="W1061" s="3">
        <f>IF(tblOrdenes[[#This Row],[puesto_trabajo]]="","",_xlfn.XLOOKUP(tblOrdenes[[#This Row],[puesto_trabajo]],tblPuestos[codigo],tblPuestos[especialidad],"(sin catálogo)"))</f>
        <v/>
      </c>
      <c r="X1061" s="3">
        <f>IF(tblOrdenes[[#This Row],[cod_actividad]]="","",_xlfn.XLOOKUP(tblOrdenes[[#This Row],[cod_actividad]],tblActividades[codigo],tblActividades[descripcion],"(sin catálogo)"))</f>
        <v/>
      </c>
      <c r="Y1061" s="12">
        <f>IF(tblOrdenes[[#This Row],[fecha_inicio]]="","",TODAY()-tblOrdenes[[#This Row],[fecha_inicio]])</f>
        <v/>
      </c>
      <c r="Z1061" s="3">
        <f>IF(tblOrdenes[[#This Row],[backlog_dias]]="","",IF(tblOrdenes[[#This Row],[backlog_dias]]&lt;0,"FUTURO",IF(tblOrdenes[[#This Row],[backlog_dias]]&gt;p_dias_backlog_max,"BACKLOG","MES CORRIENTE")))</f>
        <v/>
      </c>
      <c r="AA1061" s="3">
        <f>IF(tblOrdenes[[#This Row],[backlog_dias]]="",FALSE,AND(tblOrdenes[[#This Row],[backlog_dias]]&gt;p_dias_backlog_min,tblOrdenes[[#This Row],[backlog_dias]]&lt;=p_dias_backlog_max))</f>
        <v/>
      </c>
      <c r="AB1061" s="6" t="n"/>
      <c r="AC10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1" s="10">
        <f>IF(tblOrdenes[[#This Row],[orden]]="","",_xlfn.XLOOKUP(tblOrdenes[[#This Row],[id_operacion]],tblEjecucion[id_operacion],tblEjecucion[precio],0))</f>
        <v/>
      </c>
      <c r="AG1061" s="10">
        <f>IF(tblOrdenes[[#This Row],[orden]]="","",MAX(0,_xlfn.XLOOKUP(tblOrdenes[[#This Row],[id_operacion]],tblEjecucion[id_operacion],tblEjecucion[costo_plan_total],0)-tblOrdenes[[#This Row],[costo_servicio]]))</f>
        <v/>
      </c>
      <c r="AH1061" s="10">
        <f>IF(tblOrdenes[[#This Row],[orden]]="","",tblOrdenes[[#This Row],[costo_servicio]]+tblOrdenes[[#This Row],[costo_materiales]])</f>
        <v/>
      </c>
      <c r="AI1061" s="6" t="n"/>
      <c r="AJ1061" s="6" t="n"/>
      <c r="AK1061" s="6" t="n"/>
      <c r="AL1061" s="3">
        <f>IF(tblOrdenes[[#This Row],[link_checklist]]="","",HYPERLINK(p_ruta_base_checklists&amp;tblOrdenes[[#This Row],[link_checklist]],"abrir"))</f>
        <v/>
      </c>
      <c r="AM1061" s="6" t="n"/>
      <c r="AN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Row],[tipo_ot]]="","",_xlfn.XLOOKUP(tblOrdenes[[#This Row],[tipo_ot]],tblTiposOT[codigo],tblTiposOT[clasificacion],"sin_clasificar"))</f>
        <v/>
      </c>
      <c r="T1062" s="3">
        <f>IF(tblOrdenes[[#This Row],[centro_costo]]="","",_xlfn.XLOOKUP(tblOrdenes[[#This Row],[centro_costo]],tblCECO[codigo],tblCECO[linea],"(sin catálogo)"))</f>
        <v/>
      </c>
      <c r="U1062" s="3">
        <f>IF(tblOrdenes[[#This Row],[centro_costo]]="","",_xlfn.XLOOKUP(tblOrdenes[[#This Row],[centro_costo]],tblCECO[codigo],tblCECO[area],"(sin catálogo)"))</f>
        <v/>
      </c>
      <c r="V1062" s="3">
        <f>IF(tblOrdenes[[#This Row],[centro_costo]]="","",_xlfn.XLOOKUP(tblOrdenes[[#This Row],[centro_costo]],tblCECO[codigo],tblCECO[coordinador],"(sin catálogo)"))</f>
        <v/>
      </c>
      <c r="W1062" s="3">
        <f>IF(tblOrdenes[[#This Row],[puesto_trabajo]]="","",_xlfn.XLOOKUP(tblOrdenes[[#This Row],[puesto_trabajo]],tblPuestos[codigo],tblPuestos[especialidad],"(sin catálogo)"))</f>
        <v/>
      </c>
      <c r="X1062" s="3">
        <f>IF(tblOrdenes[[#This Row],[cod_actividad]]="","",_xlfn.XLOOKUP(tblOrdenes[[#This Row],[cod_actividad]],tblActividades[codigo],tblActividades[descripcion],"(sin catálogo)"))</f>
        <v/>
      </c>
      <c r="Y1062" s="12">
        <f>IF(tblOrdenes[[#This Row],[fecha_inicio]]="","",TODAY()-tblOrdenes[[#This Row],[fecha_inicio]])</f>
        <v/>
      </c>
      <c r="Z1062" s="3">
        <f>IF(tblOrdenes[[#This Row],[backlog_dias]]="","",IF(tblOrdenes[[#This Row],[backlog_dias]]&lt;0,"FUTURO",IF(tblOrdenes[[#This Row],[backlog_dias]]&gt;p_dias_backlog_max,"BACKLOG","MES CORRIENTE")))</f>
        <v/>
      </c>
      <c r="AA1062" s="3">
        <f>IF(tblOrdenes[[#This Row],[backlog_dias]]="",FALSE,AND(tblOrdenes[[#This Row],[backlog_dias]]&gt;p_dias_backlog_min,tblOrdenes[[#This Row],[backlog_dias]]&lt;=p_dias_backlog_max))</f>
        <v/>
      </c>
      <c r="AB1062" s="6" t="n"/>
      <c r="AC10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2" s="10">
        <f>IF(tblOrdenes[[#This Row],[orden]]="","",_xlfn.XLOOKUP(tblOrdenes[[#This Row],[id_operacion]],tblEjecucion[id_operacion],tblEjecucion[precio],0))</f>
        <v/>
      </c>
      <c r="AG1062" s="10">
        <f>IF(tblOrdenes[[#This Row],[orden]]="","",MAX(0,_xlfn.XLOOKUP(tblOrdenes[[#This Row],[id_operacion]],tblEjecucion[id_operacion],tblEjecucion[costo_plan_total],0)-tblOrdenes[[#This Row],[costo_servicio]]))</f>
        <v/>
      </c>
      <c r="AH1062" s="10">
        <f>IF(tblOrdenes[[#This Row],[orden]]="","",tblOrdenes[[#This Row],[costo_servicio]]+tblOrdenes[[#This Row],[costo_materiales]])</f>
        <v/>
      </c>
      <c r="AI1062" s="6" t="n"/>
      <c r="AJ1062" s="6" t="n"/>
      <c r="AK1062" s="6" t="n"/>
      <c r="AL1062" s="3">
        <f>IF(tblOrdenes[[#This Row],[link_checklist]]="","",HYPERLINK(p_ruta_base_checklists&amp;tblOrdenes[[#This Row],[link_checklist]],"abrir"))</f>
        <v/>
      </c>
      <c r="AM1062" s="6" t="n"/>
      <c r="AN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Row],[tipo_ot]]="","",_xlfn.XLOOKUP(tblOrdenes[[#This Row],[tipo_ot]],tblTiposOT[codigo],tblTiposOT[clasificacion],"sin_clasificar"))</f>
        <v/>
      </c>
      <c r="T1063" s="3">
        <f>IF(tblOrdenes[[#This Row],[centro_costo]]="","",_xlfn.XLOOKUP(tblOrdenes[[#This Row],[centro_costo]],tblCECO[codigo],tblCECO[linea],"(sin catálogo)"))</f>
        <v/>
      </c>
      <c r="U1063" s="3">
        <f>IF(tblOrdenes[[#This Row],[centro_costo]]="","",_xlfn.XLOOKUP(tblOrdenes[[#This Row],[centro_costo]],tblCECO[codigo],tblCECO[area],"(sin catálogo)"))</f>
        <v/>
      </c>
      <c r="V1063" s="3">
        <f>IF(tblOrdenes[[#This Row],[centro_costo]]="","",_xlfn.XLOOKUP(tblOrdenes[[#This Row],[centro_costo]],tblCECO[codigo],tblCECO[coordinador],"(sin catálogo)"))</f>
        <v/>
      </c>
      <c r="W1063" s="3">
        <f>IF(tblOrdenes[[#This Row],[puesto_trabajo]]="","",_xlfn.XLOOKUP(tblOrdenes[[#This Row],[puesto_trabajo]],tblPuestos[codigo],tblPuestos[especialidad],"(sin catálogo)"))</f>
        <v/>
      </c>
      <c r="X1063" s="3">
        <f>IF(tblOrdenes[[#This Row],[cod_actividad]]="","",_xlfn.XLOOKUP(tblOrdenes[[#This Row],[cod_actividad]],tblActividades[codigo],tblActividades[descripcion],"(sin catálogo)"))</f>
        <v/>
      </c>
      <c r="Y1063" s="12">
        <f>IF(tblOrdenes[[#This Row],[fecha_inicio]]="","",TODAY()-tblOrdenes[[#This Row],[fecha_inicio]])</f>
        <v/>
      </c>
      <c r="Z1063" s="3">
        <f>IF(tblOrdenes[[#This Row],[backlog_dias]]="","",IF(tblOrdenes[[#This Row],[backlog_dias]]&lt;0,"FUTURO",IF(tblOrdenes[[#This Row],[backlog_dias]]&gt;p_dias_backlog_max,"BACKLOG","MES CORRIENTE")))</f>
        <v/>
      </c>
      <c r="AA1063" s="3">
        <f>IF(tblOrdenes[[#This Row],[backlog_dias]]="",FALSE,AND(tblOrdenes[[#This Row],[backlog_dias]]&gt;p_dias_backlog_min,tblOrdenes[[#This Row],[backlog_dias]]&lt;=p_dias_backlog_max))</f>
        <v/>
      </c>
      <c r="AB1063" s="6" t="n"/>
      <c r="AC10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3" s="10">
        <f>IF(tblOrdenes[[#This Row],[orden]]="","",_xlfn.XLOOKUP(tblOrdenes[[#This Row],[id_operacion]],tblEjecucion[id_operacion],tblEjecucion[precio],0))</f>
        <v/>
      </c>
      <c r="AG1063" s="10">
        <f>IF(tblOrdenes[[#This Row],[orden]]="","",MAX(0,_xlfn.XLOOKUP(tblOrdenes[[#This Row],[id_operacion]],tblEjecucion[id_operacion],tblEjecucion[costo_plan_total],0)-tblOrdenes[[#This Row],[costo_servicio]]))</f>
        <v/>
      </c>
      <c r="AH1063" s="10">
        <f>IF(tblOrdenes[[#This Row],[orden]]="","",tblOrdenes[[#This Row],[costo_servicio]]+tblOrdenes[[#This Row],[costo_materiales]])</f>
        <v/>
      </c>
      <c r="AI1063" s="6" t="n"/>
      <c r="AJ1063" s="6" t="n"/>
      <c r="AK1063" s="6" t="n"/>
      <c r="AL1063" s="3">
        <f>IF(tblOrdenes[[#This Row],[link_checklist]]="","",HYPERLINK(p_ruta_base_checklists&amp;tblOrdenes[[#This Row],[link_checklist]],"abrir"))</f>
        <v/>
      </c>
      <c r="AM1063" s="6" t="n"/>
      <c r="AN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Row],[tipo_ot]]="","",_xlfn.XLOOKUP(tblOrdenes[[#This Row],[tipo_ot]],tblTiposOT[codigo],tblTiposOT[clasificacion],"sin_clasificar"))</f>
        <v/>
      </c>
      <c r="T1064" s="3">
        <f>IF(tblOrdenes[[#This Row],[centro_costo]]="","",_xlfn.XLOOKUP(tblOrdenes[[#This Row],[centro_costo]],tblCECO[codigo],tblCECO[linea],"(sin catálogo)"))</f>
        <v/>
      </c>
      <c r="U1064" s="3">
        <f>IF(tblOrdenes[[#This Row],[centro_costo]]="","",_xlfn.XLOOKUP(tblOrdenes[[#This Row],[centro_costo]],tblCECO[codigo],tblCECO[area],"(sin catálogo)"))</f>
        <v/>
      </c>
      <c r="V1064" s="3">
        <f>IF(tblOrdenes[[#This Row],[centro_costo]]="","",_xlfn.XLOOKUP(tblOrdenes[[#This Row],[centro_costo]],tblCECO[codigo],tblCECO[coordinador],"(sin catálogo)"))</f>
        <v/>
      </c>
      <c r="W1064" s="3">
        <f>IF(tblOrdenes[[#This Row],[puesto_trabajo]]="","",_xlfn.XLOOKUP(tblOrdenes[[#This Row],[puesto_trabajo]],tblPuestos[codigo],tblPuestos[especialidad],"(sin catálogo)"))</f>
        <v/>
      </c>
      <c r="X1064" s="3">
        <f>IF(tblOrdenes[[#This Row],[cod_actividad]]="","",_xlfn.XLOOKUP(tblOrdenes[[#This Row],[cod_actividad]],tblActividades[codigo],tblActividades[descripcion],"(sin catálogo)"))</f>
        <v/>
      </c>
      <c r="Y1064" s="12">
        <f>IF(tblOrdenes[[#This Row],[fecha_inicio]]="","",TODAY()-tblOrdenes[[#This Row],[fecha_inicio]])</f>
        <v/>
      </c>
      <c r="Z1064" s="3">
        <f>IF(tblOrdenes[[#This Row],[backlog_dias]]="","",IF(tblOrdenes[[#This Row],[backlog_dias]]&lt;0,"FUTURO",IF(tblOrdenes[[#This Row],[backlog_dias]]&gt;p_dias_backlog_max,"BACKLOG","MES CORRIENTE")))</f>
        <v/>
      </c>
      <c r="AA1064" s="3">
        <f>IF(tblOrdenes[[#This Row],[backlog_dias]]="",FALSE,AND(tblOrdenes[[#This Row],[backlog_dias]]&gt;p_dias_backlog_min,tblOrdenes[[#This Row],[backlog_dias]]&lt;=p_dias_backlog_max))</f>
        <v/>
      </c>
      <c r="AB1064" s="6" t="n"/>
      <c r="AC10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4" s="10">
        <f>IF(tblOrdenes[[#This Row],[orden]]="","",_xlfn.XLOOKUP(tblOrdenes[[#This Row],[id_operacion]],tblEjecucion[id_operacion],tblEjecucion[precio],0))</f>
        <v/>
      </c>
      <c r="AG1064" s="10">
        <f>IF(tblOrdenes[[#This Row],[orden]]="","",MAX(0,_xlfn.XLOOKUP(tblOrdenes[[#This Row],[id_operacion]],tblEjecucion[id_operacion],tblEjecucion[costo_plan_total],0)-tblOrdenes[[#This Row],[costo_servicio]]))</f>
        <v/>
      </c>
      <c r="AH1064" s="10">
        <f>IF(tblOrdenes[[#This Row],[orden]]="","",tblOrdenes[[#This Row],[costo_servicio]]+tblOrdenes[[#This Row],[costo_materiales]])</f>
        <v/>
      </c>
      <c r="AI1064" s="6" t="n"/>
      <c r="AJ1064" s="6" t="n"/>
      <c r="AK1064" s="6" t="n"/>
      <c r="AL1064" s="3">
        <f>IF(tblOrdenes[[#This Row],[link_checklist]]="","",HYPERLINK(p_ruta_base_checklists&amp;tblOrdenes[[#This Row],[link_checklist]],"abrir"))</f>
        <v/>
      </c>
      <c r="AM1064" s="6" t="n"/>
      <c r="AN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Row],[tipo_ot]]="","",_xlfn.XLOOKUP(tblOrdenes[[#This Row],[tipo_ot]],tblTiposOT[codigo],tblTiposOT[clasificacion],"sin_clasificar"))</f>
        <v/>
      </c>
      <c r="T1065" s="3">
        <f>IF(tblOrdenes[[#This Row],[centro_costo]]="","",_xlfn.XLOOKUP(tblOrdenes[[#This Row],[centro_costo]],tblCECO[codigo],tblCECO[linea],"(sin catálogo)"))</f>
        <v/>
      </c>
      <c r="U1065" s="3">
        <f>IF(tblOrdenes[[#This Row],[centro_costo]]="","",_xlfn.XLOOKUP(tblOrdenes[[#This Row],[centro_costo]],tblCECO[codigo],tblCECO[area],"(sin catálogo)"))</f>
        <v/>
      </c>
      <c r="V1065" s="3">
        <f>IF(tblOrdenes[[#This Row],[centro_costo]]="","",_xlfn.XLOOKUP(tblOrdenes[[#This Row],[centro_costo]],tblCECO[codigo],tblCECO[coordinador],"(sin catálogo)"))</f>
        <v/>
      </c>
      <c r="W1065" s="3">
        <f>IF(tblOrdenes[[#This Row],[puesto_trabajo]]="","",_xlfn.XLOOKUP(tblOrdenes[[#This Row],[puesto_trabajo]],tblPuestos[codigo],tblPuestos[especialidad],"(sin catálogo)"))</f>
        <v/>
      </c>
      <c r="X1065" s="3">
        <f>IF(tblOrdenes[[#This Row],[cod_actividad]]="","",_xlfn.XLOOKUP(tblOrdenes[[#This Row],[cod_actividad]],tblActividades[codigo],tblActividades[descripcion],"(sin catálogo)"))</f>
        <v/>
      </c>
      <c r="Y1065" s="12">
        <f>IF(tblOrdenes[[#This Row],[fecha_inicio]]="","",TODAY()-tblOrdenes[[#This Row],[fecha_inicio]])</f>
        <v/>
      </c>
      <c r="Z1065" s="3">
        <f>IF(tblOrdenes[[#This Row],[backlog_dias]]="","",IF(tblOrdenes[[#This Row],[backlog_dias]]&lt;0,"FUTURO",IF(tblOrdenes[[#This Row],[backlog_dias]]&gt;p_dias_backlog_max,"BACKLOG","MES CORRIENTE")))</f>
        <v/>
      </c>
      <c r="AA1065" s="3">
        <f>IF(tblOrdenes[[#This Row],[backlog_dias]]="",FALSE,AND(tblOrdenes[[#This Row],[backlog_dias]]&gt;p_dias_backlog_min,tblOrdenes[[#This Row],[backlog_dias]]&lt;=p_dias_backlog_max))</f>
        <v/>
      </c>
      <c r="AB1065" s="6" t="n"/>
      <c r="AC10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5" s="10">
        <f>IF(tblOrdenes[[#This Row],[orden]]="","",_xlfn.XLOOKUP(tblOrdenes[[#This Row],[id_operacion]],tblEjecucion[id_operacion],tblEjecucion[precio],0))</f>
        <v/>
      </c>
      <c r="AG1065" s="10">
        <f>IF(tblOrdenes[[#This Row],[orden]]="","",MAX(0,_xlfn.XLOOKUP(tblOrdenes[[#This Row],[id_operacion]],tblEjecucion[id_operacion],tblEjecucion[costo_plan_total],0)-tblOrdenes[[#This Row],[costo_servicio]]))</f>
        <v/>
      </c>
      <c r="AH1065" s="10">
        <f>IF(tblOrdenes[[#This Row],[orden]]="","",tblOrdenes[[#This Row],[costo_servicio]]+tblOrdenes[[#This Row],[costo_materiales]])</f>
        <v/>
      </c>
      <c r="AI1065" s="6" t="n"/>
      <c r="AJ1065" s="6" t="n"/>
      <c r="AK1065" s="6" t="n"/>
      <c r="AL1065" s="3">
        <f>IF(tblOrdenes[[#This Row],[link_checklist]]="","",HYPERLINK(p_ruta_base_checklists&amp;tblOrdenes[[#This Row],[link_checklist]],"abrir"))</f>
        <v/>
      </c>
      <c r="AM1065" s="6" t="n"/>
      <c r="AN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Row],[tipo_ot]]="","",_xlfn.XLOOKUP(tblOrdenes[[#This Row],[tipo_ot]],tblTiposOT[codigo],tblTiposOT[clasificacion],"sin_clasificar"))</f>
        <v/>
      </c>
      <c r="T1066" s="3">
        <f>IF(tblOrdenes[[#This Row],[centro_costo]]="","",_xlfn.XLOOKUP(tblOrdenes[[#This Row],[centro_costo]],tblCECO[codigo],tblCECO[linea],"(sin catálogo)"))</f>
        <v/>
      </c>
      <c r="U1066" s="3">
        <f>IF(tblOrdenes[[#This Row],[centro_costo]]="","",_xlfn.XLOOKUP(tblOrdenes[[#This Row],[centro_costo]],tblCECO[codigo],tblCECO[area],"(sin catálogo)"))</f>
        <v/>
      </c>
      <c r="V1066" s="3">
        <f>IF(tblOrdenes[[#This Row],[centro_costo]]="","",_xlfn.XLOOKUP(tblOrdenes[[#This Row],[centro_costo]],tblCECO[codigo],tblCECO[coordinador],"(sin catálogo)"))</f>
        <v/>
      </c>
      <c r="W1066" s="3">
        <f>IF(tblOrdenes[[#This Row],[puesto_trabajo]]="","",_xlfn.XLOOKUP(tblOrdenes[[#This Row],[puesto_trabajo]],tblPuestos[codigo],tblPuestos[especialidad],"(sin catálogo)"))</f>
        <v/>
      </c>
      <c r="X1066" s="3">
        <f>IF(tblOrdenes[[#This Row],[cod_actividad]]="","",_xlfn.XLOOKUP(tblOrdenes[[#This Row],[cod_actividad]],tblActividades[codigo],tblActividades[descripcion],"(sin catálogo)"))</f>
        <v/>
      </c>
      <c r="Y1066" s="12">
        <f>IF(tblOrdenes[[#This Row],[fecha_inicio]]="","",TODAY()-tblOrdenes[[#This Row],[fecha_inicio]])</f>
        <v/>
      </c>
      <c r="Z1066" s="3">
        <f>IF(tblOrdenes[[#This Row],[backlog_dias]]="","",IF(tblOrdenes[[#This Row],[backlog_dias]]&lt;0,"FUTURO",IF(tblOrdenes[[#This Row],[backlog_dias]]&gt;p_dias_backlog_max,"BACKLOG","MES CORRIENTE")))</f>
        <v/>
      </c>
      <c r="AA1066" s="3">
        <f>IF(tblOrdenes[[#This Row],[backlog_dias]]="",FALSE,AND(tblOrdenes[[#This Row],[backlog_dias]]&gt;p_dias_backlog_min,tblOrdenes[[#This Row],[backlog_dias]]&lt;=p_dias_backlog_max))</f>
        <v/>
      </c>
      <c r="AB1066" s="6" t="n"/>
      <c r="AC10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6" s="10">
        <f>IF(tblOrdenes[[#This Row],[orden]]="","",_xlfn.XLOOKUP(tblOrdenes[[#This Row],[id_operacion]],tblEjecucion[id_operacion],tblEjecucion[precio],0))</f>
        <v/>
      </c>
      <c r="AG1066" s="10">
        <f>IF(tblOrdenes[[#This Row],[orden]]="","",MAX(0,_xlfn.XLOOKUP(tblOrdenes[[#This Row],[id_operacion]],tblEjecucion[id_operacion],tblEjecucion[costo_plan_total],0)-tblOrdenes[[#This Row],[costo_servicio]]))</f>
        <v/>
      </c>
      <c r="AH1066" s="10">
        <f>IF(tblOrdenes[[#This Row],[orden]]="","",tblOrdenes[[#This Row],[costo_servicio]]+tblOrdenes[[#This Row],[costo_materiales]])</f>
        <v/>
      </c>
      <c r="AI1066" s="6" t="n"/>
      <c r="AJ1066" s="6" t="n"/>
      <c r="AK1066" s="6" t="n"/>
      <c r="AL1066" s="3">
        <f>IF(tblOrdenes[[#This Row],[link_checklist]]="","",HYPERLINK(p_ruta_base_checklists&amp;tblOrdenes[[#This Row],[link_checklist]],"abrir"))</f>
        <v/>
      </c>
      <c r="AM1066" s="6" t="n"/>
      <c r="AN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Row],[tipo_ot]]="","",_xlfn.XLOOKUP(tblOrdenes[[#This Row],[tipo_ot]],tblTiposOT[codigo],tblTiposOT[clasificacion],"sin_clasificar"))</f>
        <v/>
      </c>
      <c r="T1067" s="3">
        <f>IF(tblOrdenes[[#This Row],[centro_costo]]="","",_xlfn.XLOOKUP(tblOrdenes[[#This Row],[centro_costo]],tblCECO[codigo],tblCECO[linea],"(sin catálogo)"))</f>
        <v/>
      </c>
      <c r="U1067" s="3">
        <f>IF(tblOrdenes[[#This Row],[centro_costo]]="","",_xlfn.XLOOKUP(tblOrdenes[[#This Row],[centro_costo]],tblCECO[codigo],tblCECO[area],"(sin catálogo)"))</f>
        <v/>
      </c>
      <c r="V1067" s="3">
        <f>IF(tblOrdenes[[#This Row],[centro_costo]]="","",_xlfn.XLOOKUP(tblOrdenes[[#This Row],[centro_costo]],tblCECO[codigo],tblCECO[coordinador],"(sin catálogo)"))</f>
        <v/>
      </c>
      <c r="W1067" s="3">
        <f>IF(tblOrdenes[[#This Row],[puesto_trabajo]]="","",_xlfn.XLOOKUP(tblOrdenes[[#This Row],[puesto_trabajo]],tblPuestos[codigo],tblPuestos[especialidad],"(sin catálogo)"))</f>
        <v/>
      </c>
      <c r="X1067" s="3">
        <f>IF(tblOrdenes[[#This Row],[cod_actividad]]="","",_xlfn.XLOOKUP(tblOrdenes[[#This Row],[cod_actividad]],tblActividades[codigo],tblActividades[descripcion],"(sin catálogo)"))</f>
        <v/>
      </c>
      <c r="Y1067" s="12">
        <f>IF(tblOrdenes[[#This Row],[fecha_inicio]]="","",TODAY()-tblOrdenes[[#This Row],[fecha_inicio]])</f>
        <v/>
      </c>
      <c r="Z1067" s="3">
        <f>IF(tblOrdenes[[#This Row],[backlog_dias]]="","",IF(tblOrdenes[[#This Row],[backlog_dias]]&lt;0,"FUTURO",IF(tblOrdenes[[#This Row],[backlog_dias]]&gt;p_dias_backlog_max,"BACKLOG","MES CORRIENTE")))</f>
        <v/>
      </c>
      <c r="AA1067" s="3">
        <f>IF(tblOrdenes[[#This Row],[backlog_dias]]="",FALSE,AND(tblOrdenes[[#This Row],[backlog_dias]]&gt;p_dias_backlog_min,tblOrdenes[[#This Row],[backlog_dias]]&lt;=p_dias_backlog_max))</f>
        <v/>
      </c>
      <c r="AB1067" s="6" t="n"/>
      <c r="AC10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7" s="10">
        <f>IF(tblOrdenes[[#This Row],[orden]]="","",_xlfn.XLOOKUP(tblOrdenes[[#This Row],[id_operacion]],tblEjecucion[id_operacion],tblEjecucion[precio],0))</f>
        <v/>
      </c>
      <c r="AG1067" s="10">
        <f>IF(tblOrdenes[[#This Row],[orden]]="","",MAX(0,_xlfn.XLOOKUP(tblOrdenes[[#This Row],[id_operacion]],tblEjecucion[id_operacion],tblEjecucion[costo_plan_total],0)-tblOrdenes[[#This Row],[costo_servicio]]))</f>
        <v/>
      </c>
      <c r="AH1067" s="10">
        <f>IF(tblOrdenes[[#This Row],[orden]]="","",tblOrdenes[[#This Row],[costo_servicio]]+tblOrdenes[[#This Row],[costo_materiales]])</f>
        <v/>
      </c>
      <c r="AI1067" s="6" t="n"/>
      <c r="AJ1067" s="6" t="n"/>
      <c r="AK1067" s="6" t="n"/>
      <c r="AL1067" s="3">
        <f>IF(tblOrdenes[[#This Row],[link_checklist]]="","",HYPERLINK(p_ruta_base_checklists&amp;tblOrdenes[[#This Row],[link_checklist]],"abrir"))</f>
        <v/>
      </c>
      <c r="AM1067" s="6" t="n"/>
      <c r="AN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Row],[tipo_ot]]="","",_xlfn.XLOOKUP(tblOrdenes[[#This Row],[tipo_ot]],tblTiposOT[codigo],tblTiposOT[clasificacion],"sin_clasificar"))</f>
        <v/>
      </c>
      <c r="T1068" s="3">
        <f>IF(tblOrdenes[[#This Row],[centro_costo]]="","",_xlfn.XLOOKUP(tblOrdenes[[#This Row],[centro_costo]],tblCECO[codigo],tblCECO[linea],"(sin catálogo)"))</f>
        <v/>
      </c>
      <c r="U1068" s="3">
        <f>IF(tblOrdenes[[#This Row],[centro_costo]]="","",_xlfn.XLOOKUP(tblOrdenes[[#This Row],[centro_costo]],tblCECO[codigo],tblCECO[area],"(sin catálogo)"))</f>
        <v/>
      </c>
      <c r="V1068" s="3">
        <f>IF(tblOrdenes[[#This Row],[centro_costo]]="","",_xlfn.XLOOKUP(tblOrdenes[[#This Row],[centro_costo]],tblCECO[codigo],tblCECO[coordinador],"(sin catálogo)"))</f>
        <v/>
      </c>
      <c r="W1068" s="3">
        <f>IF(tblOrdenes[[#This Row],[puesto_trabajo]]="","",_xlfn.XLOOKUP(tblOrdenes[[#This Row],[puesto_trabajo]],tblPuestos[codigo],tblPuestos[especialidad],"(sin catálogo)"))</f>
        <v/>
      </c>
      <c r="X1068" s="3">
        <f>IF(tblOrdenes[[#This Row],[cod_actividad]]="","",_xlfn.XLOOKUP(tblOrdenes[[#This Row],[cod_actividad]],tblActividades[codigo],tblActividades[descripcion],"(sin catálogo)"))</f>
        <v/>
      </c>
      <c r="Y1068" s="12">
        <f>IF(tblOrdenes[[#This Row],[fecha_inicio]]="","",TODAY()-tblOrdenes[[#This Row],[fecha_inicio]])</f>
        <v/>
      </c>
      <c r="Z1068" s="3">
        <f>IF(tblOrdenes[[#This Row],[backlog_dias]]="","",IF(tblOrdenes[[#This Row],[backlog_dias]]&lt;0,"FUTURO",IF(tblOrdenes[[#This Row],[backlog_dias]]&gt;p_dias_backlog_max,"BACKLOG","MES CORRIENTE")))</f>
        <v/>
      </c>
      <c r="AA1068" s="3">
        <f>IF(tblOrdenes[[#This Row],[backlog_dias]]="",FALSE,AND(tblOrdenes[[#This Row],[backlog_dias]]&gt;p_dias_backlog_min,tblOrdenes[[#This Row],[backlog_dias]]&lt;=p_dias_backlog_max))</f>
        <v/>
      </c>
      <c r="AB1068" s="6" t="n"/>
      <c r="AC10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8" s="10">
        <f>IF(tblOrdenes[[#This Row],[orden]]="","",_xlfn.XLOOKUP(tblOrdenes[[#This Row],[id_operacion]],tblEjecucion[id_operacion],tblEjecucion[precio],0))</f>
        <v/>
      </c>
      <c r="AG1068" s="10">
        <f>IF(tblOrdenes[[#This Row],[orden]]="","",MAX(0,_xlfn.XLOOKUP(tblOrdenes[[#This Row],[id_operacion]],tblEjecucion[id_operacion],tblEjecucion[costo_plan_total],0)-tblOrdenes[[#This Row],[costo_servicio]]))</f>
        <v/>
      </c>
      <c r="AH1068" s="10">
        <f>IF(tblOrdenes[[#This Row],[orden]]="","",tblOrdenes[[#This Row],[costo_servicio]]+tblOrdenes[[#This Row],[costo_materiales]])</f>
        <v/>
      </c>
      <c r="AI1068" s="6" t="n"/>
      <c r="AJ1068" s="6" t="n"/>
      <c r="AK1068" s="6" t="n"/>
      <c r="AL1068" s="3">
        <f>IF(tblOrdenes[[#This Row],[link_checklist]]="","",HYPERLINK(p_ruta_base_checklists&amp;tblOrdenes[[#This Row],[link_checklist]],"abrir"))</f>
        <v/>
      </c>
      <c r="AM1068" s="6" t="n"/>
      <c r="AN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Row],[tipo_ot]]="","",_xlfn.XLOOKUP(tblOrdenes[[#This Row],[tipo_ot]],tblTiposOT[codigo],tblTiposOT[clasificacion],"sin_clasificar"))</f>
        <v/>
      </c>
      <c r="T1069" s="3">
        <f>IF(tblOrdenes[[#This Row],[centro_costo]]="","",_xlfn.XLOOKUP(tblOrdenes[[#This Row],[centro_costo]],tblCECO[codigo],tblCECO[linea],"(sin catálogo)"))</f>
        <v/>
      </c>
      <c r="U1069" s="3">
        <f>IF(tblOrdenes[[#This Row],[centro_costo]]="","",_xlfn.XLOOKUP(tblOrdenes[[#This Row],[centro_costo]],tblCECO[codigo],tblCECO[area],"(sin catálogo)"))</f>
        <v/>
      </c>
      <c r="V1069" s="3">
        <f>IF(tblOrdenes[[#This Row],[centro_costo]]="","",_xlfn.XLOOKUP(tblOrdenes[[#This Row],[centro_costo]],tblCECO[codigo],tblCECO[coordinador],"(sin catálogo)"))</f>
        <v/>
      </c>
      <c r="W1069" s="3">
        <f>IF(tblOrdenes[[#This Row],[puesto_trabajo]]="","",_xlfn.XLOOKUP(tblOrdenes[[#This Row],[puesto_trabajo]],tblPuestos[codigo],tblPuestos[especialidad],"(sin catálogo)"))</f>
        <v/>
      </c>
      <c r="X1069" s="3">
        <f>IF(tblOrdenes[[#This Row],[cod_actividad]]="","",_xlfn.XLOOKUP(tblOrdenes[[#This Row],[cod_actividad]],tblActividades[codigo],tblActividades[descripcion],"(sin catálogo)"))</f>
        <v/>
      </c>
      <c r="Y1069" s="12">
        <f>IF(tblOrdenes[[#This Row],[fecha_inicio]]="","",TODAY()-tblOrdenes[[#This Row],[fecha_inicio]])</f>
        <v/>
      </c>
      <c r="Z1069" s="3">
        <f>IF(tblOrdenes[[#This Row],[backlog_dias]]="","",IF(tblOrdenes[[#This Row],[backlog_dias]]&lt;0,"FUTURO",IF(tblOrdenes[[#This Row],[backlog_dias]]&gt;p_dias_backlog_max,"BACKLOG","MES CORRIENTE")))</f>
        <v/>
      </c>
      <c r="AA1069" s="3">
        <f>IF(tblOrdenes[[#This Row],[backlog_dias]]="",FALSE,AND(tblOrdenes[[#This Row],[backlog_dias]]&gt;p_dias_backlog_min,tblOrdenes[[#This Row],[backlog_dias]]&lt;=p_dias_backlog_max))</f>
        <v/>
      </c>
      <c r="AB1069" s="6" t="n"/>
      <c r="AC10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9" s="10">
        <f>IF(tblOrdenes[[#This Row],[orden]]="","",_xlfn.XLOOKUP(tblOrdenes[[#This Row],[id_operacion]],tblEjecucion[id_operacion],tblEjecucion[precio],0))</f>
        <v/>
      </c>
      <c r="AG1069" s="10">
        <f>IF(tblOrdenes[[#This Row],[orden]]="","",MAX(0,_xlfn.XLOOKUP(tblOrdenes[[#This Row],[id_operacion]],tblEjecucion[id_operacion],tblEjecucion[costo_plan_total],0)-tblOrdenes[[#This Row],[costo_servicio]]))</f>
        <v/>
      </c>
      <c r="AH1069" s="10">
        <f>IF(tblOrdenes[[#This Row],[orden]]="","",tblOrdenes[[#This Row],[costo_servicio]]+tblOrdenes[[#This Row],[costo_materiales]])</f>
        <v/>
      </c>
      <c r="AI1069" s="6" t="n"/>
      <c r="AJ1069" s="6" t="n"/>
      <c r="AK1069" s="6" t="n"/>
      <c r="AL1069" s="3">
        <f>IF(tblOrdenes[[#This Row],[link_checklist]]="","",HYPERLINK(p_ruta_base_checklists&amp;tblOrdenes[[#This Row],[link_checklist]],"abrir"))</f>
        <v/>
      </c>
      <c r="AM1069" s="6" t="n"/>
      <c r="AN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Row],[tipo_ot]]="","",_xlfn.XLOOKUP(tblOrdenes[[#This Row],[tipo_ot]],tblTiposOT[codigo],tblTiposOT[clasificacion],"sin_clasificar"))</f>
        <v/>
      </c>
      <c r="T1070" s="3">
        <f>IF(tblOrdenes[[#This Row],[centro_costo]]="","",_xlfn.XLOOKUP(tblOrdenes[[#This Row],[centro_costo]],tblCECO[codigo],tblCECO[linea],"(sin catálogo)"))</f>
        <v/>
      </c>
      <c r="U1070" s="3">
        <f>IF(tblOrdenes[[#This Row],[centro_costo]]="","",_xlfn.XLOOKUP(tblOrdenes[[#This Row],[centro_costo]],tblCECO[codigo],tblCECO[area],"(sin catálogo)"))</f>
        <v/>
      </c>
      <c r="V1070" s="3">
        <f>IF(tblOrdenes[[#This Row],[centro_costo]]="","",_xlfn.XLOOKUP(tblOrdenes[[#This Row],[centro_costo]],tblCECO[codigo],tblCECO[coordinador],"(sin catálogo)"))</f>
        <v/>
      </c>
      <c r="W1070" s="3">
        <f>IF(tblOrdenes[[#This Row],[puesto_trabajo]]="","",_xlfn.XLOOKUP(tblOrdenes[[#This Row],[puesto_trabajo]],tblPuestos[codigo],tblPuestos[especialidad],"(sin catálogo)"))</f>
        <v/>
      </c>
      <c r="X1070" s="3">
        <f>IF(tblOrdenes[[#This Row],[cod_actividad]]="","",_xlfn.XLOOKUP(tblOrdenes[[#This Row],[cod_actividad]],tblActividades[codigo],tblActividades[descripcion],"(sin catálogo)"))</f>
        <v/>
      </c>
      <c r="Y1070" s="12">
        <f>IF(tblOrdenes[[#This Row],[fecha_inicio]]="","",TODAY()-tblOrdenes[[#This Row],[fecha_inicio]])</f>
        <v/>
      </c>
      <c r="Z1070" s="3">
        <f>IF(tblOrdenes[[#This Row],[backlog_dias]]="","",IF(tblOrdenes[[#This Row],[backlog_dias]]&lt;0,"FUTURO",IF(tblOrdenes[[#This Row],[backlog_dias]]&gt;p_dias_backlog_max,"BACKLOG","MES CORRIENTE")))</f>
        <v/>
      </c>
      <c r="AA1070" s="3">
        <f>IF(tblOrdenes[[#This Row],[backlog_dias]]="",FALSE,AND(tblOrdenes[[#This Row],[backlog_dias]]&gt;p_dias_backlog_min,tblOrdenes[[#This Row],[backlog_dias]]&lt;=p_dias_backlog_max))</f>
        <v/>
      </c>
      <c r="AB1070" s="6" t="n"/>
      <c r="AC10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0" s="10">
        <f>IF(tblOrdenes[[#This Row],[orden]]="","",_xlfn.XLOOKUP(tblOrdenes[[#This Row],[id_operacion]],tblEjecucion[id_operacion],tblEjecucion[precio],0))</f>
        <v/>
      </c>
      <c r="AG1070" s="10">
        <f>IF(tblOrdenes[[#This Row],[orden]]="","",MAX(0,_xlfn.XLOOKUP(tblOrdenes[[#This Row],[id_operacion]],tblEjecucion[id_operacion],tblEjecucion[costo_plan_total],0)-tblOrdenes[[#This Row],[costo_servicio]]))</f>
        <v/>
      </c>
      <c r="AH1070" s="10">
        <f>IF(tblOrdenes[[#This Row],[orden]]="","",tblOrdenes[[#This Row],[costo_servicio]]+tblOrdenes[[#This Row],[costo_materiales]])</f>
        <v/>
      </c>
      <c r="AI1070" s="6" t="n"/>
      <c r="AJ1070" s="6" t="n"/>
      <c r="AK1070" s="6" t="n"/>
      <c r="AL1070" s="3">
        <f>IF(tblOrdenes[[#This Row],[link_checklist]]="","",HYPERLINK(p_ruta_base_checklists&amp;tblOrdenes[[#This Row],[link_checklist]],"abrir"))</f>
        <v/>
      </c>
      <c r="AM1070" s="6" t="n"/>
      <c r="AN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Row],[tipo_ot]]="","",_xlfn.XLOOKUP(tblOrdenes[[#This Row],[tipo_ot]],tblTiposOT[codigo],tblTiposOT[clasificacion],"sin_clasificar"))</f>
        <v/>
      </c>
      <c r="T1071" s="3">
        <f>IF(tblOrdenes[[#This Row],[centro_costo]]="","",_xlfn.XLOOKUP(tblOrdenes[[#This Row],[centro_costo]],tblCECO[codigo],tblCECO[linea],"(sin catálogo)"))</f>
        <v/>
      </c>
      <c r="U1071" s="3">
        <f>IF(tblOrdenes[[#This Row],[centro_costo]]="","",_xlfn.XLOOKUP(tblOrdenes[[#This Row],[centro_costo]],tblCECO[codigo],tblCECO[area],"(sin catálogo)"))</f>
        <v/>
      </c>
      <c r="V1071" s="3">
        <f>IF(tblOrdenes[[#This Row],[centro_costo]]="","",_xlfn.XLOOKUP(tblOrdenes[[#This Row],[centro_costo]],tblCECO[codigo],tblCECO[coordinador],"(sin catálogo)"))</f>
        <v/>
      </c>
      <c r="W1071" s="3">
        <f>IF(tblOrdenes[[#This Row],[puesto_trabajo]]="","",_xlfn.XLOOKUP(tblOrdenes[[#This Row],[puesto_trabajo]],tblPuestos[codigo],tblPuestos[especialidad],"(sin catálogo)"))</f>
        <v/>
      </c>
      <c r="X1071" s="3">
        <f>IF(tblOrdenes[[#This Row],[cod_actividad]]="","",_xlfn.XLOOKUP(tblOrdenes[[#This Row],[cod_actividad]],tblActividades[codigo],tblActividades[descripcion],"(sin catálogo)"))</f>
        <v/>
      </c>
      <c r="Y1071" s="12">
        <f>IF(tblOrdenes[[#This Row],[fecha_inicio]]="","",TODAY()-tblOrdenes[[#This Row],[fecha_inicio]])</f>
        <v/>
      </c>
      <c r="Z1071" s="3">
        <f>IF(tblOrdenes[[#This Row],[backlog_dias]]="","",IF(tblOrdenes[[#This Row],[backlog_dias]]&lt;0,"FUTURO",IF(tblOrdenes[[#This Row],[backlog_dias]]&gt;p_dias_backlog_max,"BACKLOG","MES CORRIENTE")))</f>
        <v/>
      </c>
      <c r="AA1071" s="3">
        <f>IF(tblOrdenes[[#This Row],[backlog_dias]]="",FALSE,AND(tblOrdenes[[#This Row],[backlog_dias]]&gt;p_dias_backlog_min,tblOrdenes[[#This Row],[backlog_dias]]&lt;=p_dias_backlog_max))</f>
        <v/>
      </c>
      <c r="AB1071" s="6" t="n"/>
      <c r="AC10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1" s="10">
        <f>IF(tblOrdenes[[#This Row],[orden]]="","",_xlfn.XLOOKUP(tblOrdenes[[#This Row],[id_operacion]],tblEjecucion[id_operacion],tblEjecucion[precio],0))</f>
        <v/>
      </c>
      <c r="AG1071" s="10">
        <f>IF(tblOrdenes[[#This Row],[orden]]="","",MAX(0,_xlfn.XLOOKUP(tblOrdenes[[#This Row],[id_operacion]],tblEjecucion[id_operacion],tblEjecucion[costo_plan_total],0)-tblOrdenes[[#This Row],[costo_servicio]]))</f>
        <v/>
      </c>
      <c r="AH1071" s="10">
        <f>IF(tblOrdenes[[#This Row],[orden]]="","",tblOrdenes[[#This Row],[costo_servicio]]+tblOrdenes[[#This Row],[costo_materiales]])</f>
        <v/>
      </c>
      <c r="AI1071" s="6" t="n"/>
      <c r="AJ1071" s="6" t="n"/>
      <c r="AK1071" s="6" t="n"/>
      <c r="AL1071" s="3">
        <f>IF(tblOrdenes[[#This Row],[link_checklist]]="","",HYPERLINK(p_ruta_base_checklists&amp;tblOrdenes[[#This Row],[link_checklist]],"abrir"))</f>
        <v/>
      </c>
      <c r="AM1071" s="6" t="n"/>
      <c r="AN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Row],[tipo_ot]]="","",_xlfn.XLOOKUP(tblOrdenes[[#This Row],[tipo_ot]],tblTiposOT[codigo],tblTiposOT[clasificacion],"sin_clasificar"))</f>
        <v/>
      </c>
      <c r="T1072" s="3">
        <f>IF(tblOrdenes[[#This Row],[centro_costo]]="","",_xlfn.XLOOKUP(tblOrdenes[[#This Row],[centro_costo]],tblCECO[codigo],tblCECO[linea],"(sin catálogo)"))</f>
        <v/>
      </c>
      <c r="U1072" s="3">
        <f>IF(tblOrdenes[[#This Row],[centro_costo]]="","",_xlfn.XLOOKUP(tblOrdenes[[#This Row],[centro_costo]],tblCECO[codigo],tblCECO[area],"(sin catálogo)"))</f>
        <v/>
      </c>
      <c r="V1072" s="3">
        <f>IF(tblOrdenes[[#This Row],[centro_costo]]="","",_xlfn.XLOOKUP(tblOrdenes[[#This Row],[centro_costo]],tblCECO[codigo],tblCECO[coordinador],"(sin catálogo)"))</f>
        <v/>
      </c>
      <c r="W1072" s="3">
        <f>IF(tblOrdenes[[#This Row],[puesto_trabajo]]="","",_xlfn.XLOOKUP(tblOrdenes[[#This Row],[puesto_trabajo]],tblPuestos[codigo],tblPuestos[especialidad],"(sin catálogo)"))</f>
        <v/>
      </c>
      <c r="X1072" s="3">
        <f>IF(tblOrdenes[[#This Row],[cod_actividad]]="","",_xlfn.XLOOKUP(tblOrdenes[[#This Row],[cod_actividad]],tblActividades[codigo],tblActividades[descripcion],"(sin catálogo)"))</f>
        <v/>
      </c>
      <c r="Y1072" s="12">
        <f>IF(tblOrdenes[[#This Row],[fecha_inicio]]="","",TODAY()-tblOrdenes[[#This Row],[fecha_inicio]])</f>
        <v/>
      </c>
      <c r="Z1072" s="3">
        <f>IF(tblOrdenes[[#This Row],[backlog_dias]]="","",IF(tblOrdenes[[#This Row],[backlog_dias]]&lt;0,"FUTURO",IF(tblOrdenes[[#This Row],[backlog_dias]]&gt;p_dias_backlog_max,"BACKLOG","MES CORRIENTE")))</f>
        <v/>
      </c>
      <c r="AA1072" s="3">
        <f>IF(tblOrdenes[[#This Row],[backlog_dias]]="",FALSE,AND(tblOrdenes[[#This Row],[backlog_dias]]&gt;p_dias_backlog_min,tblOrdenes[[#This Row],[backlog_dias]]&lt;=p_dias_backlog_max))</f>
        <v/>
      </c>
      <c r="AB1072" s="6" t="n"/>
      <c r="AC10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2" s="10">
        <f>IF(tblOrdenes[[#This Row],[orden]]="","",_xlfn.XLOOKUP(tblOrdenes[[#This Row],[id_operacion]],tblEjecucion[id_operacion],tblEjecucion[precio],0))</f>
        <v/>
      </c>
      <c r="AG1072" s="10">
        <f>IF(tblOrdenes[[#This Row],[orden]]="","",MAX(0,_xlfn.XLOOKUP(tblOrdenes[[#This Row],[id_operacion]],tblEjecucion[id_operacion],tblEjecucion[costo_plan_total],0)-tblOrdenes[[#This Row],[costo_servicio]]))</f>
        <v/>
      </c>
      <c r="AH1072" s="10">
        <f>IF(tblOrdenes[[#This Row],[orden]]="","",tblOrdenes[[#This Row],[costo_servicio]]+tblOrdenes[[#This Row],[costo_materiales]])</f>
        <v/>
      </c>
      <c r="AI1072" s="6" t="n"/>
      <c r="AJ1072" s="6" t="n"/>
      <c r="AK1072" s="6" t="n"/>
      <c r="AL1072" s="3">
        <f>IF(tblOrdenes[[#This Row],[link_checklist]]="","",HYPERLINK(p_ruta_base_checklists&amp;tblOrdenes[[#This Row],[link_checklist]],"abrir"))</f>
        <v/>
      </c>
      <c r="AM1072" s="6" t="n"/>
      <c r="AN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Row],[tipo_ot]]="","",_xlfn.XLOOKUP(tblOrdenes[[#This Row],[tipo_ot]],tblTiposOT[codigo],tblTiposOT[clasificacion],"sin_clasificar"))</f>
        <v/>
      </c>
      <c r="T1073" s="3">
        <f>IF(tblOrdenes[[#This Row],[centro_costo]]="","",_xlfn.XLOOKUP(tblOrdenes[[#This Row],[centro_costo]],tblCECO[codigo],tblCECO[linea],"(sin catálogo)"))</f>
        <v/>
      </c>
      <c r="U1073" s="3">
        <f>IF(tblOrdenes[[#This Row],[centro_costo]]="","",_xlfn.XLOOKUP(tblOrdenes[[#This Row],[centro_costo]],tblCECO[codigo],tblCECO[area],"(sin catálogo)"))</f>
        <v/>
      </c>
      <c r="V1073" s="3">
        <f>IF(tblOrdenes[[#This Row],[centro_costo]]="","",_xlfn.XLOOKUP(tblOrdenes[[#This Row],[centro_costo]],tblCECO[codigo],tblCECO[coordinador],"(sin catálogo)"))</f>
        <v/>
      </c>
      <c r="W1073" s="3">
        <f>IF(tblOrdenes[[#This Row],[puesto_trabajo]]="","",_xlfn.XLOOKUP(tblOrdenes[[#This Row],[puesto_trabajo]],tblPuestos[codigo],tblPuestos[especialidad],"(sin catálogo)"))</f>
        <v/>
      </c>
      <c r="X1073" s="3">
        <f>IF(tblOrdenes[[#This Row],[cod_actividad]]="","",_xlfn.XLOOKUP(tblOrdenes[[#This Row],[cod_actividad]],tblActividades[codigo],tblActividades[descripcion],"(sin catálogo)"))</f>
        <v/>
      </c>
      <c r="Y1073" s="12">
        <f>IF(tblOrdenes[[#This Row],[fecha_inicio]]="","",TODAY()-tblOrdenes[[#This Row],[fecha_inicio]])</f>
        <v/>
      </c>
      <c r="Z1073" s="3">
        <f>IF(tblOrdenes[[#This Row],[backlog_dias]]="","",IF(tblOrdenes[[#This Row],[backlog_dias]]&lt;0,"FUTURO",IF(tblOrdenes[[#This Row],[backlog_dias]]&gt;p_dias_backlog_max,"BACKLOG","MES CORRIENTE")))</f>
        <v/>
      </c>
      <c r="AA1073" s="3">
        <f>IF(tblOrdenes[[#This Row],[backlog_dias]]="",FALSE,AND(tblOrdenes[[#This Row],[backlog_dias]]&gt;p_dias_backlog_min,tblOrdenes[[#This Row],[backlog_dias]]&lt;=p_dias_backlog_max))</f>
        <v/>
      </c>
      <c r="AB1073" s="6" t="n"/>
      <c r="AC10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3" s="10">
        <f>IF(tblOrdenes[[#This Row],[orden]]="","",_xlfn.XLOOKUP(tblOrdenes[[#This Row],[id_operacion]],tblEjecucion[id_operacion],tblEjecucion[precio],0))</f>
        <v/>
      </c>
      <c r="AG1073" s="10">
        <f>IF(tblOrdenes[[#This Row],[orden]]="","",MAX(0,_xlfn.XLOOKUP(tblOrdenes[[#This Row],[id_operacion]],tblEjecucion[id_operacion],tblEjecucion[costo_plan_total],0)-tblOrdenes[[#This Row],[costo_servicio]]))</f>
        <v/>
      </c>
      <c r="AH1073" s="10">
        <f>IF(tblOrdenes[[#This Row],[orden]]="","",tblOrdenes[[#This Row],[costo_servicio]]+tblOrdenes[[#This Row],[costo_materiales]])</f>
        <v/>
      </c>
      <c r="AI1073" s="6" t="n"/>
      <c r="AJ1073" s="6" t="n"/>
      <c r="AK1073" s="6" t="n"/>
      <c r="AL1073" s="3">
        <f>IF(tblOrdenes[[#This Row],[link_checklist]]="","",HYPERLINK(p_ruta_base_checklists&amp;tblOrdenes[[#This Row],[link_checklist]],"abrir"))</f>
        <v/>
      </c>
      <c r="AM1073" s="6" t="n"/>
      <c r="AN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Row],[tipo_ot]]="","",_xlfn.XLOOKUP(tblOrdenes[[#This Row],[tipo_ot]],tblTiposOT[codigo],tblTiposOT[clasificacion],"sin_clasificar"))</f>
        <v/>
      </c>
      <c r="T1074" s="3">
        <f>IF(tblOrdenes[[#This Row],[centro_costo]]="","",_xlfn.XLOOKUP(tblOrdenes[[#This Row],[centro_costo]],tblCECO[codigo],tblCECO[linea],"(sin catálogo)"))</f>
        <v/>
      </c>
      <c r="U1074" s="3">
        <f>IF(tblOrdenes[[#This Row],[centro_costo]]="","",_xlfn.XLOOKUP(tblOrdenes[[#This Row],[centro_costo]],tblCECO[codigo],tblCECO[area],"(sin catálogo)"))</f>
        <v/>
      </c>
      <c r="V1074" s="3">
        <f>IF(tblOrdenes[[#This Row],[centro_costo]]="","",_xlfn.XLOOKUP(tblOrdenes[[#This Row],[centro_costo]],tblCECO[codigo],tblCECO[coordinador],"(sin catálogo)"))</f>
        <v/>
      </c>
      <c r="W1074" s="3">
        <f>IF(tblOrdenes[[#This Row],[puesto_trabajo]]="","",_xlfn.XLOOKUP(tblOrdenes[[#This Row],[puesto_trabajo]],tblPuestos[codigo],tblPuestos[especialidad],"(sin catálogo)"))</f>
        <v/>
      </c>
      <c r="X1074" s="3">
        <f>IF(tblOrdenes[[#This Row],[cod_actividad]]="","",_xlfn.XLOOKUP(tblOrdenes[[#This Row],[cod_actividad]],tblActividades[codigo],tblActividades[descripcion],"(sin catálogo)"))</f>
        <v/>
      </c>
      <c r="Y1074" s="12">
        <f>IF(tblOrdenes[[#This Row],[fecha_inicio]]="","",TODAY()-tblOrdenes[[#This Row],[fecha_inicio]])</f>
        <v/>
      </c>
      <c r="Z1074" s="3">
        <f>IF(tblOrdenes[[#This Row],[backlog_dias]]="","",IF(tblOrdenes[[#This Row],[backlog_dias]]&lt;0,"FUTURO",IF(tblOrdenes[[#This Row],[backlog_dias]]&gt;p_dias_backlog_max,"BACKLOG","MES CORRIENTE")))</f>
        <v/>
      </c>
      <c r="AA1074" s="3">
        <f>IF(tblOrdenes[[#This Row],[backlog_dias]]="",FALSE,AND(tblOrdenes[[#This Row],[backlog_dias]]&gt;p_dias_backlog_min,tblOrdenes[[#This Row],[backlog_dias]]&lt;=p_dias_backlog_max))</f>
        <v/>
      </c>
      <c r="AB1074" s="6" t="n"/>
      <c r="AC10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4" s="10">
        <f>IF(tblOrdenes[[#This Row],[orden]]="","",_xlfn.XLOOKUP(tblOrdenes[[#This Row],[id_operacion]],tblEjecucion[id_operacion],tblEjecucion[precio],0))</f>
        <v/>
      </c>
      <c r="AG1074" s="10">
        <f>IF(tblOrdenes[[#This Row],[orden]]="","",MAX(0,_xlfn.XLOOKUP(tblOrdenes[[#This Row],[id_operacion]],tblEjecucion[id_operacion],tblEjecucion[costo_plan_total],0)-tblOrdenes[[#This Row],[costo_servicio]]))</f>
        <v/>
      </c>
      <c r="AH1074" s="10">
        <f>IF(tblOrdenes[[#This Row],[orden]]="","",tblOrdenes[[#This Row],[costo_servicio]]+tblOrdenes[[#This Row],[costo_materiales]])</f>
        <v/>
      </c>
      <c r="AI1074" s="6" t="n"/>
      <c r="AJ1074" s="6" t="n"/>
      <c r="AK1074" s="6" t="n"/>
      <c r="AL1074" s="3">
        <f>IF(tblOrdenes[[#This Row],[link_checklist]]="","",HYPERLINK(p_ruta_base_checklists&amp;tblOrdenes[[#This Row],[link_checklist]],"abrir"))</f>
        <v/>
      </c>
      <c r="AM1074" s="6" t="n"/>
      <c r="AN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Row],[tipo_ot]]="","",_xlfn.XLOOKUP(tblOrdenes[[#This Row],[tipo_ot]],tblTiposOT[codigo],tblTiposOT[clasificacion],"sin_clasificar"))</f>
        <v/>
      </c>
      <c r="T1075" s="3">
        <f>IF(tblOrdenes[[#This Row],[centro_costo]]="","",_xlfn.XLOOKUP(tblOrdenes[[#This Row],[centro_costo]],tblCECO[codigo],tblCECO[linea],"(sin catálogo)"))</f>
        <v/>
      </c>
      <c r="U1075" s="3">
        <f>IF(tblOrdenes[[#This Row],[centro_costo]]="","",_xlfn.XLOOKUP(tblOrdenes[[#This Row],[centro_costo]],tblCECO[codigo],tblCECO[area],"(sin catálogo)"))</f>
        <v/>
      </c>
      <c r="V1075" s="3">
        <f>IF(tblOrdenes[[#This Row],[centro_costo]]="","",_xlfn.XLOOKUP(tblOrdenes[[#This Row],[centro_costo]],tblCECO[codigo],tblCECO[coordinador],"(sin catálogo)"))</f>
        <v/>
      </c>
      <c r="W1075" s="3">
        <f>IF(tblOrdenes[[#This Row],[puesto_trabajo]]="","",_xlfn.XLOOKUP(tblOrdenes[[#This Row],[puesto_trabajo]],tblPuestos[codigo],tblPuestos[especialidad],"(sin catálogo)"))</f>
        <v/>
      </c>
      <c r="X1075" s="3">
        <f>IF(tblOrdenes[[#This Row],[cod_actividad]]="","",_xlfn.XLOOKUP(tblOrdenes[[#This Row],[cod_actividad]],tblActividades[codigo],tblActividades[descripcion],"(sin catálogo)"))</f>
        <v/>
      </c>
      <c r="Y1075" s="12">
        <f>IF(tblOrdenes[[#This Row],[fecha_inicio]]="","",TODAY()-tblOrdenes[[#This Row],[fecha_inicio]])</f>
        <v/>
      </c>
      <c r="Z1075" s="3">
        <f>IF(tblOrdenes[[#This Row],[backlog_dias]]="","",IF(tblOrdenes[[#This Row],[backlog_dias]]&lt;0,"FUTURO",IF(tblOrdenes[[#This Row],[backlog_dias]]&gt;p_dias_backlog_max,"BACKLOG","MES CORRIENTE")))</f>
        <v/>
      </c>
      <c r="AA1075" s="3">
        <f>IF(tblOrdenes[[#This Row],[backlog_dias]]="",FALSE,AND(tblOrdenes[[#This Row],[backlog_dias]]&gt;p_dias_backlog_min,tblOrdenes[[#This Row],[backlog_dias]]&lt;=p_dias_backlog_max))</f>
        <v/>
      </c>
      <c r="AB1075" s="6" t="n"/>
      <c r="AC10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5" s="10">
        <f>IF(tblOrdenes[[#This Row],[orden]]="","",_xlfn.XLOOKUP(tblOrdenes[[#This Row],[id_operacion]],tblEjecucion[id_operacion],tblEjecucion[precio],0))</f>
        <v/>
      </c>
      <c r="AG1075" s="10">
        <f>IF(tblOrdenes[[#This Row],[orden]]="","",MAX(0,_xlfn.XLOOKUP(tblOrdenes[[#This Row],[id_operacion]],tblEjecucion[id_operacion],tblEjecucion[costo_plan_total],0)-tblOrdenes[[#This Row],[costo_servicio]]))</f>
        <v/>
      </c>
      <c r="AH1075" s="10">
        <f>IF(tblOrdenes[[#This Row],[orden]]="","",tblOrdenes[[#This Row],[costo_servicio]]+tblOrdenes[[#This Row],[costo_materiales]])</f>
        <v/>
      </c>
      <c r="AI1075" s="6" t="n"/>
      <c r="AJ1075" s="6" t="n"/>
      <c r="AK1075" s="6" t="n"/>
      <c r="AL1075" s="3">
        <f>IF(tblOrdenes[[#This Row],[link_checklist]]="","",HYPERLINK(p_ruta_base_checklists&amp;tblOrdenes[[#This Row],[link_checklist]],"abrir"))</f>
        <v/>
      </c>
      <c r="AM1075" s="6" t="n"/>
      <c r="AN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Row],[tipo_ot]]="","",_xlfn.XLOOKUP(tblOrdenes[[#This Row],[tipo_ot]],tblTiposOT[codigo],tblTiposOT[clasificacion],"sin_clasificar"))</f>
        <v/>
      </c>
      <c r="T1076" s="3">
        <f>IF(tblOrdenes[[#This Row],[centro_costo]]="","",_xlfn.XLOOKUP(tblOrdenes[[#This Row],[centro_costo]],tblCECO[codigo],tblCECO[linea],"(sin catálogo)"))</f>
        <v/>
      </c>
      <c r="U1076" s="3">
        <f>IF(tblOrdenes[[#This Row],[centro_costo]]="","",_xlfn.XLOOKUP(tblOrdenes[[#This Row],[centro_costo]],tblCECO[codigo],tblCECO[area],"(sin catálogo)"))</f>
        <v/>
      </c>
      <c r="V1076" s="3">
        <f>IF(tblOrdenes[[#This Row],[centro_costo]]="","",_xlfn.XLOOKUP(tblOrdenes[[#This Row],[centro_costo]],tblCECO[codigo],tblCECO[coordinador],"(sin catálogo)"))</f>
        <v/>
      </c>
      <c r="W1076" s="3">
        <f>IF(tblOrdenes[[#This Row],[puesto_trabajo]]="","",_xlfn.XLOOKUP(tblOrdenes[[#This Row],[puesto_trabajo]],tblPuestos[codigo],tblPuestos[especialidad],"(sin catálogo)"))</f>
        <v/>
      </c>
      <c r="X1076" s="3">
        <f>IF(tblOrdenes[[#This Row],[cod_actividad]]="","",_xlfn.XLOOKUP(tblOrdenes[[#This Row],[cod_actividad]],tblActividades[codigo],tblActividades[descripcion],"(sin catálogo)"))</f>
        <v/>
      </c>
      <c r="Y1076" s="12">
        <f>IF(tblOrdenes[[#This Row],[fecha_inicio]]="","",TODAY()-tblOrdenes[[#This Row],[fecha_inicio]])</f>
        <v/>
      </c>
      <c r="Z1076" s="3">
        <f>IF(tblOrdenes[[#This Row],[backlog_dias]]="","",IF(tblOrdenes[[#This Row],[backlog_dias]]&lt;0,"FUTURO",IF(tblOrdenes[[#This Row],[backlog_dias]]&gt;p_dias_backlog_max,"BACKLOG","MES CORRIENTE")))</f>
        <v/>
      </c>
      <c r="AA1076" s="3">
        <f>IF(tblOrdenes[[#This Row],[backlog_dias]]="",FALSE,AND(tblOrdenes[[#This Row],[backlog_dias]]&gt;p_dias_backlog_min,tblOrdenes[[#This Row],[backlog_dias]]&lt;=p_dias_backlog_max))</f>
        <v/>
      </c>
      <c r="AB1076" s="6" t="n"/>
      <c r="AC10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6" s="10">
        <f>IF(tblOrdenes[[#This Row],[orden]]="","",_xlfn.XLOOKUP(tblOrdenes[[#This Row],[id_operacion]],tblEjecucion[id_operacion],tblEjecucion[precio],0))</f>
        <v/>
      </c>
      <c r="AG1076" s="10">
        <f>IF(tblOrdenes[[#This Row],[orden]]="","",MAX(0,_xlfn.XLOOKUP(tblOrdenes[[#This Row],[id_operacion]],tblEjecucion[id_operacion],tblEjecucion[costo_plan_total],0)-tblOrdenes[[#This Row],[costo_servicio]]))</f>
        <v/>
      </c>
      <c r="AH1076" s="10">
        <f>IF(tblOrdenes[[#This Row],[orden]]="","",tblOrdenes[[#This Row],[costo_servicio]]+tblOrdenes[[#This Row],[costo_materiales]])</f>
        <v/>
      </c>
      <c r="AI1076" s="6" t="n"/>
      <c r="AJ1076" s="6" t="n"/>
      <c r="AK1076" s="6" t="n"/>
      <c r="AL1076" s="3">
        <f>IF(tblOrdenes[[#This Row],[link_checklist]]="","",HYPERLINK(p_ruta_base_checklists&amp;tblOrdenes[[#This Row],[link_checklist]],"abrir"))</f>
        <v/>
      </c>
      <c r="AM1076" s="6" t="n"/>
      <c r="AN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Row],[tipo_ot]]="","",_xlfn.XLOOKUP(tblOrdenes[[#This Row],[tipo_ot]],tblTiposOT[codigo],tblTiposOT[clasificacion],"sin_clasificar"))</f>
        <v/>
      </c>
      <c r="T1077" s="3">
        <f>IF(tblOrdenes[[#This Row],[centro_costo]]="","",_xlfn.XLOOKUP(tblOrdenes[[#This Row],[centro_costo]],tblCECO[codigo],tblCECO[linea],"(sin catálogo)"))</f>
        <v/>
      </c>
      <c r="U1077" s="3">
        <f>IF(tblOrdenes[[#This Row],[centro_costo]]="","",_xlfn.XLOOKUP(tblOrdenes[[#This Row],[centro_costo]],tblCECO[codigo],tblCECO[area],"(sin catálogo)"))</f>
        <v/>
      </c>
      <c r="V1077" s="3">
        <f>IF(tblOrdenes[[#This Row],[centro_costo]]="","",_xlfn.XLOOKUP(tblOrdenes[[#This Row],[centro_costo]],tblCECO[codigo],tblCECO[coordinador],"(sin catálogo)"))</f>
        <v/>
      </c>
      <c r="W1077" s="3">
        <f>IF(tblOrdenes[[#This Row],[puesto_trabajo]]="","",_xlfn.XLOOKUP(tblOrdenes[[#This Row],[puesto_trabajo]],tblPuestos[codigo],tblPuestos[especialidad],"(sin catálogo)"))</f>
        <v/>
      </c>
      <c r="X1077" s="3">
        <f>IF(tblOrdenes[[#This Row],[cod_actividad]]="","",_xlfn.XLOOKUP(tblOrdenes[[#This Row],[cod_actividad]],tblActividades[codigo],tblActividades[descripcion],"(sin catálogo)"))</f>
        <v/>
      </c>
      <c r="Y1077" s="12">
        <f>IF(tblOrdenes[[#This Row],[fecha_inicio]]="","",TODAY()-tblOrdenes[[#This Row],[fecha_inicio]])</f>
        <v/>
      </c>
      <c r="Z1077" s="3">
        <f>IF(tblOrdenes[[#This Row],[backlog_dias]]="","",IF(tblOrdenes[[#This Row],[backlog_dias]]&lt;0,"FUTURO",IF(tblOrdenes[[#This Row],[backlog_dias]]&gt;p_dias_backlog_max,"BACKLOG","MES CORRIENTE")))</f>
        <v/>
      </c>
      <c r="AA1077" s="3">
        <f>IF(tblOrdenes[[#This Row],[backlog_dias]]="",FALSE,AND(tblOrdenes[[#This Row],[backlog_dias]]&gt;p_dias_backlog_min,tblOrdenes[[#This Row],[backlog_dias]]&lt;=p_dias_backlog_max))</f>
        <v/>
      </c>
      <c r="AB1077" s="6" t="n"/>
      <c r="AC10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7" s="10">
        <f>IF(tblOrdenes[[#This Row],[orden]]="","",_xlfn.XLOOKUP(tblOrdenes[[#This Row],[id_operacion]],tblEjecucion[id_operacion],tblEjecucion[precio],0))</f>
        <v/>
      </c>
      <c r="AG1077" s="10">
        <f>IF(tblOrdenes[[#This Row],[orden]]="","",MAX(0,_xlfn.XLOOKUP(tblOrdenes[[#This Row],[id_operacion]],tblEjecucion[id_operacion],tblEjecucion[costo_plan_total],0)-tblOrdenes[[#This Row],[costo_servicio]]))</f>
        <v/>
      </c>
      <c r="AH1077" s="10">
        <f>IF(tblOrdenes[[#This Row],[orden]]="","",tblOrdenes[[#This Row],[costo_servicio]]+tblOrdenes[[#This Row],[costo_materiales]])</f>
        <v/>
      </c>
      <c r="AI1077" s="6" t="n"/>
      <c r="AJ1077" s="6" t="n"/>
      <c r="AK1077" s="6" t="n"/>
      <c r="AL1077" s="3">
        <f>IF(tblOrdenes[[#This Row],[link_checklist]]="","",HYPERLINK(p_ruta_base_checklists&amp;tblOrdenes[[#This Row],[link_checklist]],"abrir"))</f>
        <v/>
      </c>
      <c r="AM1077" s="6" t="n"/>
      <c r="AN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Row],[tipo_ot]]="","",_xlfn.XLOOKUP(tblOrdenes[[#This Row],[tipo_ot]],tblTiposOT[codigo],tblTiposOT[clasificacion],"sin_clasificar"))</f>
        <v/>
      </c>
      <c r="T1078" s="3">
        <f>IF(tblOrdenes[[#This Row],[centro_costo]]="","",_xlfn.XLOOKUP(tblOrdenes[[#This Row],[centro_costo]],tblCECO[codigo],tblCECO[linea],"(sin catálogo)"))</f>
        <v/>
      </c>
      <c r="U1078" s="3">
        <f>IF(tblOrdenes[[#This Row],[centro_costo]]="","",_xlfn.XLOOKUP(tblOrdenes[[#This Row],[centro_costo]],tblCECO[codigo],tblCECO[area],"(sin catálogo)"))</f>
        <v/>
      </c>
      <c r="V1078" s="3">
        <f>IF(tblOrdenes[[#This Row],[centro_costo]]="","",_xlfn.XLOOKUP(tblOrdenes[[#This Row],[centro_costo]],tblCECO[codigo],tblCECO[coordinador],"(sin catálogo)"))</f>
        <v/>
      </c>
      <c r="W1078" s="3">
        <f>IF(tblOrdenes[[#This Row],[puesto_trabajo]]="","",_xlfn.XLOOKUP(tblOrdenes[[#This Row],[puesto_trabajo]],tblPuestos[codigo],tblPuestos[especialidad],"(sin catálogo)"))</f>
        <v/>
      </c>
      <c r="X1078" s="3">
        <f>IF(tblOrdenes[[#This Row],[cod_actividad]]="","",_xlfn.XLOOKUP(tblOrdenes[[#This Row],[cod_actividad]],tblActividades[codigo],tblActividades[descripcion],"(sin catálogo)"))</f>
        <v/>
      </c>
      <c r="Y1078" s="12">
        <f>IF(tblOrdenes[[#This Row],[fecha_inicio]]="","",TODAY()-tblOrdenes[[#This Row],[fecha_inicio]])</f>
        <v/>
      </c>
      <c r="Z1078" s="3">
        <f>IF(tblOrdenes[[#This Row],[backlog_dias]]="","",IF(tblOrdenes[[#This Row],[backlog_dias]]&lt;0,"FUTURO",IF(tblOrdenes[[#This Row],[backlog_dias]]&gt;p_dias_backlog_max,"BACKLOG","MES CORRIENTE")))</f>
        <v/>
      </c>
      <c r="AA1078" s="3">
        <f>IF(tblOrdenes[[#This Row],[backlog_dias]]="",FALSE,AND(tblOrdenes[[#This Row],[backlog_dias]]&gt;p_dias_backlog_min,tblOrdenes[[#This Row],[backlog_dias]]&lt;=p_dias_backlog_max))</f>
        <v/>
      </c>
      <c r="AB1078" s="6" t="n"/>
      <c r="AC10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8" s="10">
        <f>IF(tblOrdenes[[#This Row],[orden]]="","",_xlfn.XLOOKUP(tblOrdenes[[#This Row],[id_operacion]],tblEjecucion[id_operacion],tblEjecucion[precio],0))</f>
        <v/>
      </c>
      <c r="AG1078" s="10">
        <f>IF(tblOrdenes[[#This Row],[orden]]="","",MAX(0,_xlfn.XLOOKUP(tblOrdenes[[#This Row],[id_operacion]],tblEjecucion[id_operacion],tblEjecucion[costo_plan_total],0)-tblOrdenes[[#This Row],[costo_servicio]]))</f>
        <v/>
      </c>
      <c r="AH1078" s="10">
        <f>IF(tblOrdenes[[#This Row],[orden]]="","",tblOrdenes[[#This Row],[costo_servicio]]+tblOrdenes[[#This Row],[costo_materiales]])</f>
        <v/>
      </c>
      <c r="AI1078" s="6" t="n"/>
      <c r="AJ1078" s="6" t="n"/>
      <c r="AK1078" s="6" t="n"/>
      <c r="AL1078" s="3">
        <f>IF(tblOrdenes[[#This Row],[link_checklist]]="","",HYPERLINK(p_ruta_base_checklists&amp;tblOrdenes[[#This Row],[link_checklist]],"abrir"))</f>
        <v/>
      </c>
      <c r="AM1078" s="6" t="n"/>
      <c r="AN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Row],[tipo_ot]]="","",_xlfn.XLOOKUP(tblOrdenes[[#This Row],[tipo_ot]],tblTiposOT[codigo],tblTiposOT[clasificacion],"sin_clasificar"))</f>
        <v/>
      </c>
      <c r="T1079" s="3">
        <f>IF(tblOrdenes[[#This Row],[centro_costo]]="","",_xlfn.XLOOKUP(tblOrdenes[[#This Row],[centro_costo]],tblCECO[codigo],tblCECO[linea],"(sin catálogo)"))</f>
        <v/>
      </c>
      <c r="U1079" s="3">
        <f>IF(tblOrdenes[[#This Row],[centro_costo]]="","",_xlfn.XLOOKUP(tblOrdenes[[#This Row],[centro_costo]],tblCECO[codigo],tblCECO[area],"(sin catálogo)"))</f>
        <v/>
      </c>
      <c r="V1079" s="3">
        <f>IF(tblOrdenes[[#This Row],[centro_costo]]="","",_xlfn.XLOOKUP(tblOrdenes[[#This Row],[centro_costo]],tblCECO[codigo],tblCECO[coordinador],"(sin catálogo)"))</f>
        <v/>
      </c>
      <c r="W1079" s="3">
        <f>IF(tblOrdenes[[#This Row],[puesto_trabajo]]="","",_xlfn.XLOOKUP(tblOrdenes[[#This Row],[puesto_trabajo]],tblPuestos[codigo],tblPuestos[especialidad],"(sin catálogo)"))</f>
        <v/>
      </c>
      <c r="X1079" s="3">
        <f>IF(tblOrdenes[[#This Row],[cod_actividad]]="","",_xlfn.XLOOKUP(tblOrdenes[[#This Row],[cod_actividad]],tblActividades[codigo],tblActividades[descripcion],"(sin catálogo)"))</f>
        <v/>
      </c>
      <c r="Y1079" s="12">
        <f>IF(tblOrdenes[[#This Row],[fecha_inicio]]="","",TODAY()-tblOrdenes[[#This Row],[fecha_inicio]])</f>
        <v/>
      </c>
      <c r="Z1079" s="3">
        <f>IF(tblOrdenes[[#This Row],[backlog_dias]]="","",IF(tblOrdenes[[#This Row],[backlog_dias]]&lt;0,"FUTURO",IF(tblOrdenes[[#This Row],[backlog_dias]]&gt;p_dias_backlog_max,"BACKLOG","MES CORRIENTE")))</f>
        <v/>
      </c>
      <c r="AA1079" s="3">
        <f>IF(tblOrdenes[[#This Row],[backlog_dias]]="",FALSE,AND(tblOrdenes[[#This Row],[backlog_dias]]&gt;p_dias_backlog_min,tblOrdenes[[#This Row],[backlog_dias]]&lt;=p_dias_backlog_max))</f>
        <v/>
      </c>
      <c r="AB1079" s="6" t="n"/>
      <c r="AC10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9" s="10">
        <f>IF(tblOrdenes[[#This Row],[orden]]="","",_xlfn.XLOOKUP(tblOrdenes[[#This Row],[id_operacion]],tblEjecucion[id_operacion],tblEjecucion[precio],0))</f>
        <v/>
      </c>
      <c r="AG1079" s="10">
        <f>IF(tblOrdenes[[#This Row],[orden]]="","",MAX(0,_xlfn.XLOOKUP(tblOrdenes[[#This Row],[id_operacion]],tblEjecucion[id_operacion],tblEjecucion[costo_plan_total],0)-tblOrdenes[[#This Row],[costo_servicio]]))</f>
        <v/>
      </c>
      <c r="AH1079" s="10">
        <f>IF(tblOrdenes[[#This Row],[orden]]="","",tblOrdenes[[#This Row],[costo_servicio]]+tblOrdenes[[#This Row],[costo_materiales]])</f>
        <v/>
      </c>
      <c r="AI1079" s="6" t="n"/>
      <c r="AJ1079" s="6" t="n"/>
      <c r="AK1079" s="6" t="n"/>
      <c r="AL1079" s="3">
        <f>IF(tblOrdenes[[#This Row],[link_checklist]]="","",HYPERLINK(p_ruta_base_checklists&amp;tblOrdenes[[#This Row],[link_checklist]],"abrir"))</f>
        <v/>
      </c>
      <c r="AM1079" s="6" t="n"/>
      <c r="AN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Row],[tipo_ot]]="","",_xlfn.XLOOKUP(tblOrdenes[[#This Row],[tipo_ot]],tblTiposOT[codigo],tblTiposOT[clasificacion],"sin_clasificar"))</f>
        <v/>
      </c>
      <c r="T1080" s="3">
        <f>IF(tblOrdenes[[#This Row],[centro_costo]]="","",_xlfn.XLOOKUP(tblOrdenes[[#This Row],[centro_costo]],tblCECO[codigo],tblCECO[linea],"(sin catálogo)"))</f>
        <v/>
      </c>
      <c r="U1080" s="3">
        <f>IF(tblOrdenes[[#This Row],[centro_costo]]="","",_xlfn.XLOOKUP(tblOrdenes[[#This Row],[centro_costo]],tblCECO[codigo],tblCECO[area],"(sin catálogo)"))</f>
        <v/>
      </c>
      <c r="V1080" s="3">
        <f>IF(tblOrdenes[[#This Row],[centro_costo]]="","",_xlfn.XLOOKUP(tblOrdenes[[#This Row],[centro_costo]],tblCECO[codigo],tblCECO[coordinador],"(sin catálogo)"))</f>
        <v/>
      </c>
      <c r="W1080" s="3">
        <f>IF(tblOrdenes[[#This Row],[puesto_trabajo]]="","",_xlfn.XLOOKUP(tblOrdenes[[#This Row],[puesto_trabajo]],tblPuestos[codigo],tblPuestos[especialidad],"(sin catálogo)"))</f>
        <v/>
      </c>
      <c r="X1080" s="3">
        <f>IF(tblOrdenes[[#This Row],[cod_actividad]]="","",_xlfn.XLOOKUP(tblOrdenes[[#This Row],[cod_actividad]],tblActividades[codigo],tblActividades[descripcion],"(sin catálogo)"))</f>
        <v/>
      </c>
      <c r="Y1080" s="12">
        <f>IF(tblOrdenes[[#This Row],[fecha_inicio]]="","",TODAY()-tblOrdenes[[#This Row],[fecha_inicio]])</f>
        <v/>
      </c>
      <c r="Z1080" s="3">
        <f>IF(tblOrdenes[[#This Row],[backlog_dias]]="","",IF(tblOrdenes[[#This Row],[backlog_dias]]&lt;0,"FUTURO",IF(tblOrdenes[[#This Row],[backlog_dias]]&gt;p_dias_backlog_max,"BACKLOG","MES CORRIENTE")))</f>
        <v/>
      </c>
      <c r="AA1080" s="3">
        <f>IF(tblOrdenes[[#This Row],[backlog_dias]]="",FALSE,AND(tblOrdenes[[#This Row],[backlog_dias]]&gt;p_dias_backlog_min,tblOrdenes[[#This Row],[backlog_dias]]&lt;=p_dias_backlog_max))</f>
        <v/>
      </c>
      <c r="AB1080" s="6" t="n"/>
      <c r="AC10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0" s="10">
        <f>IF(tblOrdenes[[#This Row],[orden]]="","",_xlfn.XLOOKUP(tblOrdenes[[#This Row],[id_operacion]],tblEjecucion[id_operacion],tblEjecucion[precio],0))</f>
        <v/>
      </c>
      <c r="AG1080" s="10">
        <f>IF(tblOrdenes[[#This Row],[orden]]="","",MAX(0,_xlfn.XLOOKUP(tblOrdenes[[#This Row],[id_operacion]],tblEjecucion[id_operacion],tblEjecucion[costo_plan_total],0)-tblOrdenes[[#This Row],[costo_servicio]]))</f>
        <v/>
      </c>
      <c r="AH1080" s="10">
        <f>IF(tblOrdenes[[#This Row],[orden]]="","",tblOrdenes[[#This Row],[costo_servicio]]+tblOrdenes[[#This Row],[costo_materiales]])</f>
        <v/>
      </c>
      <c r="AI1080" s="6" t="n"/>
      <c r="AJ1080" s="6" t="n"/>
      <c r="AK1080" s="6" t="n"/>
      <c r="AL1080" s="3">
        <f>IF(tblOrdenes[[#This Row],[link_checklist]]="","",HYPERLINK(p_ruta_base_checklists&amp;tblOrdenes[[#This Row],[link_checklist]],"abrir"))</f>
        <v/>
      </c>
      <c r="AM1080" s="6" t="n"/>
      <c r="AN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Row],[tipo_ot]]="","",_xlfn.XLOOKUP(tblOrdenes[[#This Row],[tipo_ot]],tblTiposOT[codigo],tblTiposOT[clasificacion],"sin_clasificar"))</f>
        <v/>
      </c>
      <c r="T1081" s="3">
        <f>IF(tblOrdenes[[#This Row],[centro_costo]]="","",_xlfn.XLOOKUP(tblOrdenes[[#This Row],[centro_costo]],tblCECO[codigo],tblCECO[linea],"(sin catálogo)"))</f>
        <v/>
      </c>
      <c r="U1081" s="3">
        <f>IF(tblOrdenes[[#This Row],[centro_costo]]="","",_xlfn.XLOOKUP(tblOrdenes[[#This Row],[centro_costo]],tblCECO[codigo],tblCECO[area],"(sin catálogo)"))</f>
        <v/>
      </c>
      <c r="V1081" s="3">
        <f>IF(tblOrdenes[[#This Row],[centro_costo]]="","",_xlfn.XLOOKUP(tblOrdenes[[#This Row],[centro_costo]],tblCECO[codigo],tblCECO[coordinador],"(sin catálogo)"))</f>
        <v/>
      </c>
      <c r="W1081" s="3">
        <f>IF(tblOrdenes[[#This Row],[puesto_trabajo]]="","",_xlfn.XLOOKUP(tblOrdenes[[#This Row],[puesto_trabajo]],tblPuestos[codigo],tblPuestos[especialidad],"(sin catálogo)"))</f>
        <v/>
      </c>
      <c r="X1081" s="3">
        <f>IF(tblOrdenes[[#This Row],[cod_actividad]]="","",_xlfn.XLOOKUP(tblOrdenes[[#This Row],[cod_actividad]],tblActividades[codigo],tblActividades[descripcion],"(sin catálogo)"))</f>
        <v/>
      </c>
      <c r="Y1081" s="12">
        <f>IF(tblOrdenes[[#This Row],[fecha_inicio]]="","",TODAY()-tblOrdenes[[#This Row],[fecha_inicio]])</f>
        <v/>
      </c>
      <c r="Z1081" s="3">
        <f>IF(tblOrdenes[[#This Row],[backlog_dias]]="","",IF(tblOrdenes[[#This Row],[backlog_dias]]&lt;0,"FUTURO",IF(tblOrdenes[[#This Row],[backlog_dias]]&gt;p_dias_backlog_max,"BACKLOG","MES CORRIENTE")))</f>
        <v/>
      </c>
      <c r="AA1081" s="3">
        <f>IF(tblOrdenes[[#This Row],[backlog_dias]]="",FALSE,AND(tblOrdenes[[#This Row],[backlog_dias]]&gt;p_dias_backlog_min,tblOrdenes[[#This Row],[backlog_dias]]&lt;=p_dias_backlog_max))</f>
        <v/>
      </c>
      <c r="AB1081" s="6" t="n"/>
      <c r="AC10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1" s="10">
        <f>IF(tblOrdenes[[#This Row],[orden]]="","",_xlfn.XLOOKUP(tblOrdenes[[#This Row],[id_operacion]],tblEjecucion[id_operacion],tblEjecucion[precio],0))</f>
        <v/>
      </c>
      <c r="AG1081" s="10">
        <f>IF(tblOrdenes[[#This Row],[orden]]="","",MAX(0,_xlfn.XLOOKUP(tblOrdenes[[#This Row],[id_operacion]],tblEjecucion[id_operacion],tblEjecucion[costo_plan_total],0)-tblOrdenes[[#This Row],[costo_servicio]]))</f>
        <v/>
      </c>
      <c r="AH1081" s="10">
        <f>IF(tblOrdenes[[#This Row],[orden]]="","",tblOrdenes[[#This Row],[costo_servicio]]+tblOrdenes[[#This Row],[costo_materiales]])</f>
        <v/>
      </c>
      <c r="AI1081" s="6" t="n"/>
      <c r="AJ1081" s="6" t="n"/>
      <c r="AK1081" s="6" t="n"/>
      <c r="AL1081" s="3">
        <f>IF(tblOrdenes[[#This Row],[link_checklist]]="","",HYPERLINK(p_ruta_base_checklists&amp;tblOrdenes[[#This Row],[link_checklist]],"abrir"))</f>
        <v/>
      </c>
      <c r="AM1081" s="6" t="n"/>
      <c r="AN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Row],[tipo_ot]]="","",_xlfn.XLOOKUP(tblOrdenes[[#This Row],[tipo_ot]],tblTiposOT[codigo],tblTiposOT[clasificacion],"sin_clasificar"))</f>
        <v/>
      </c>
      <c r="T1082" s="3">
        <f>IF(tblOrdenes[[#This Row],[centro_costo]]="","",_xlfn.XLOOKUP(tblOrdenes[[#This Row],[centro_costo]],tblCECO[codigo],tblCECO[linea],"(sin catálogo)"))</f>
        <v/>
      </c>
      <c r="U1082" s="3">
        <f>IF(tblOrdenes[[#This Row],[centro_costo]]="","",_xlfn.XLOOKUP(tblOrdenes[[#This Row],[centro_costo]],tblCECO[codigo],tblCECO[area],"(sin catálogo)"))</f>
        <v/>
      </c>
      <c r="V1082" s="3">
        <f>IF(tblOrdenes[[#This Row],[centro_costo]]="","",_xlfn.XLOOKUP(tblOrdenes[[#This Row],[centro_costo]],tblCECO[codigo],tblCECO[coordinador],"(sin catálogo)"))</f>
        <v/>
      </c>
      <c r="W1082" s="3">
        <f>IF(tblOrdenes[[#This Row],[puesto_trabajo]]="","",_xlfn.XLOOKUP(tblOrdenes[[#This Row],[puesto_trabajo]],tblPuestos[codigo],tblPuestos[especialidad],"(sin catálogo)"))</f>
        <v/>
      </c>
      <c r="X1082" s="3">
        <f>IF(tblOrdenes[[#This Row],[cod_actividad]]="","",_xlfn.XLOOKUP(tblOrdenes[[#This Row],[cod_actividad]],tblActividades[codigo],tblActividades[descripcion],"(sin catálogo)"))</f>
        <v/>
      </c>
      <c r="Y1082" s="12">
        <f>IF(tblOrdenes[[#This Row],[fecha_inicio]]="","",TODAY()-tblOrdenes[[#This Row],[fecha_inicio]])</f>
        <v/>
      </c>
      <c r="Z1082" s="3">
        <f>IF(tblOrdenes[[#This Row],[backlog_dias]]="","",IF(tblOrdenes[[#This Row],[backlog_dias]]&lt;0,"FUTURO",IF(tblOrdenes[[#This Row],[backlog_dias]]&gt;p_dias_backlog_max,"BACKLOG","MES CORRIENTE")))</f>
        <v/>
      </c>
      <c r="AA1082" s="3">
        <f>IF(tblOrdenes[[#This Row],[backlog_dias]]="",FALSE,AND(tblOrdenes[[#This Row],[backlog_dias]]&gt;p_dias_backlog_min,tblOrdenes[[#This Row],[backlog_dias]]&lt;=p_dias_backlog_max))</f>
        <v/>
      </c>
      <c r="AB1082" s="6" t="n"/>
      <c r="AC10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2" s="10">
        <f>IF(tblOrdenes[[#This Row],[orden]]="","",_xlfn.XLOOKUP(tblOrdenes[[#This Row],[id_operacion]],tblEjecucion[id_operacion],tblEjecucion[precio],0))</f>
        <v/>
      </c>
      <c r="AG1082" s="10">
        <f>IF(tblOrdenes[[#This Row],[orden]]="","",MAX(0,_xlfn.XLOOKUP(tblOrdenes[[#This Row],[id_operacion]],tblEjecucion[id_operacion],tblEjecucion[costo_plan_total],0)-tblOrdenes[[#This Row],[costo_servicio]]))</f>
        <v/>
      </c>
      <c r="AH1082" s="10">
        <f>IF(tblOrdenes[[#This Row],[orden]]="","",tblOrdenes[[#This Row],[costo_servicio]]+tblOrdenes[[#This Row],[costo_materiales]])</f>
        <v/>
      </c>
      <c r="AI1082" s="6" t="n"/>
      <c r="AJ1082" s="6" t="n"/>
      <c r="AK1082" s="6" t="n"/>
      <c r="AL1082" s="3">
        <f>IF(tblOrdenes[[#This Row],[link_checklist]]="","",HYPERLINK(p_ruta_base_checklists&amp;tblOrdenes[[#This Row],[link_checklist]],"abrir"))</f>
        <v/>
      </c>
      <c r="AM1082" s="6" t="n"/>
      <c r="AN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Row],[tipo_ot]]="","",_xlfn.XLOOKUP(tblOrdenes[[#This Row],[tipo_ot]],tblTiposOT[codigo],tblTiposOT[clasificacion],"sin_clasificar"))</f>
        <v/>
      </c>
      <c r="T1083" s="3">
        <f>IF(tblOrdenes[[#This Row],[centro_costo]]="","",_xlfn.XLOOKUP(tblOrdenes[[#This Row],[centro_costo]],tblCECO[codigo],tblCECO[linea],"(sin catálogo)"))</f>
        <v/>
      </c>
      <c r="U1083" s="3">
        <f>IF(tblOrdenes[[#This Row],[centro_costo]]="","",_xlfn.XLOOKUP(tblOrdenes[[#This Row],[centro_costo]],tblCECO[codigo],tblCECO[area],"(sin catálogo)"))</f>
        <v/>
      </c>
      <c r="V1083" s="3">
        <f>IF(tblOrdenes[[#This Row],[centro_costo]]="","",_xlfn.XLOOKUP(tblOrdenes[[#This Row],[centro_costo]],tblCECO[codigo],tblCECO[coordinador],"(sin catálogo)"))</f>
        <v/>
      </c>
      <c r="W1083" s="3">
        <f>IF(tblOrdenes[[#This Row],[puesto_trabajo]]="","",_xlfn.XLOOKUP(tblOrdenes[[#This Row],[puesto_trabajo]],tblPuestos[codigo],tblPuestos[especialidad],"(sin catálogo)"))</f>
        <v/>
      </c>
      <c r="X1083" s="3">
        <f>IF(tblOrdenes[[#This Row],[cod_actividad]]="","",_xlfn.XLOOKUP(tblOrdenes[[#This Row],[cod_actividad]],tblActividades[codigo],tblActividades[descripcion],"(sin catálogo)"))</f>
        <v/>
      </c>
      <c r="Y1083" s="12">
        <f>IF(tblOrdenes[[#This Row],[fecha_inicio]]="","",TODAY()-tblOrdenes[[#This Row],[fecha_inicio]])</f>
        <v/>
      </c>
      <c r="Z1083" s="3">
        <f>IF(tblOrdenes[[#This Row],[backlog_dias]]="","",IF(tblOrdenes[[#This Row],[backlog_dias]]&lt;0,"FUTURO",IF(tblOrdenes[[#This Row],[backlog_dias]]&gt;p_dias_backlog_max,"BACKLOG","MES CORRIENTE")))</f>
        <v/>
      </c>
      <c r="AA1083" s="3">
        <f>IF(tblOrdenes[[#This Row],[backlog_dias]]="",FALSE,AND(tblOrdenes[[#This Row],[backlog_dias]]&gt;p_dias_backlog_min,tblOrdenes[[#This Row],[backlog_dias]]&lt;=p_dias_backlog_max))</f>
        <v/>
      </c>
      <c r="AB1083" s="6" t="n"/>
      <c r="AC10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3" s="10">
        <f>IF(tblOrdenes[[#This Row],[orden]]="","",_xlfn.XLOOKUP(tblOrdenes[[#This Row],[id_operacion]],tblEjecucion[id_operacion],tblEjecucion[precio],0))</f>
        <v/>
      </c>
      <c r="AG1083" s="10">
        <f>IF(tblOrdenes[[#This Row],[orden]]="","",MAX(0,_xlfn.XLOOKUP(tblOrdenes[[#This Row],[id_operacion]],tblEjecucion[id_operacion],tblEjecucion[costo_plan_total],0)-tblOrdenes[[#This Row],[costo_servicio]]))</f>
        <v/>
      </c>
      <c r="AH1083" s="10">
        <f>IF(tblOrdenes[[#This Row],[orden]]="","",tblOrdenes[[#This Row],[costo_servicio]]+tblOrdenes[[#This Row],[costo_materiales]])</f>
        <v/>
      </c>
      <c r="AI1083" s="6" t="n"/>
      <c r="AJ1083" s="6" t="n"/>
      <c r="AK1083" s="6" t="n"/>
      <c r="AL1083" s="3">
        <f>IF(tblOrdenes[[#This Row],[link_checklist]]="","",HYPERLINK(p_ruta_base_checklists&amp;tblOrdenes[[#This Row],[link_checklist]],"abrir"))</f>
        <v/>
      </c>
      <c r="AM1083" s="6" t="n"/>
      <c r="AN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Row],[tipo_ot]]="","",_xlfn.XLOOKUP(tblOrdenes[[#This Row],[tipo_ot]],tblTiposOT[codigo],tblTiposOT[clasificacion],"sin_clasificar"))</f>
        <v/>
      </c>
      <c r="T1084" s="3">
        <f>IF(tblOrdenes[[#This Row],[centro_costo]]="","",_xlfn.XLOOKUP(tblOrdenes[[#This Row],[centro_costo]],tblCECO[codigo],tblCECO[linea],"(sin catálogo)"))</f>
        <v/>
      </c>
      <c r="U1084" s="3">
        <f>IF(tblOrdenes[[#This Row],[centro_costo]]="","",_xlfn.XLOOKUP(tblOrdenes[[#This Row],[centro_costo]],tblCECO[codigo],tblCECO[area],"(sin catálogo)"))</f>
        <v/>
      </c>
      <c r="V1084" s="3">
        <f>IF(tblOrdenes[[#This Row],[centro_costo]]="","",_xlfn.XLOOKUP(tblOrdenes[[#This Row],[centro_costo]],tblCECO[codigo],tblCECO[coordinador],"(sin catálogo)"))</f>
        <v/>
      </c>
      <c r="W1084" s="3">
        <f>IF(tblOrdenes[[#This Row],[puesto_trabajo]]="","",_xlfn.XLOOKUP(tblOrdenes[[#This Row],[puesto_trabajo]],tblPuestos[codigo],tblPuestos[especialidad],"(sin catálogo)"))</f>
        <v/>
      </c>
      <c r="X1084" s="3">
        <f>IF(tblOrdenes[[#This Row],[cod_actividad]]="","",_xlfn.XLOOKUP(tblOrdenes[[#This Row],[cod_actividad]],tblActividades[codigo],tblActividades[descripcion],"(sin catálogo)"))</f>
        <v/>
      </c>
      <c r="Y1084" s="12">
        <f>IF(tblOrdenes[[#This Row],[fecha_inicio]]="","",TODAY()-tblOrdenes[[#This Row],[fecha_inicio]])</f>
        <v/>
      </c>
      <c r="Z1084" s="3">
        <f>IF(tblOrdenes[[#This Row],[backlog_dias]]="","",IF(tblOrdenes[[#This Row],[backlog_dias]]&lt;0,"FUTURO",IF(tblOrdenes[[#This Row],[backlog_dias]]&gt;p_dias_backlog_max,"BACKLOG","MES CORRIENTE")))</f>
        <v/>
      </c>
      <c r="AA1084" s="3">
        <f>IF(tblOrdenes[[#This Row],[backlog_dias]]="",FALSE,AND(tblOrdenes[[#This Row],[backlog_dias]]&gt;p_dias_backlog_min,tblOrdenes[[#This Row],[backlog_dias]]&lt;=p_dias_backlog_max))</f>
        <v/>
      </c>
      <c r="AB1084" s="6" t="n"/>
      <c r="AC10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4" s="10">
        <f>IF(tblOrdenes[[#This Row],[orden]]="","",_xlfn.XLOOKUP(tblOrdenes[[#This Row],[id_operacion]],tblEjecucion[id_operacion],tblEjecucion[precio],0))</f>
        <v/>
      </c>
      <c r="AG1084" s="10">
        <f>IF(tblOrdenes[[#This Row],[orden]]="","",MAX(0,_xlfn.XLOOKUP(tblOrdenes[[#This Row],[id_operacion]],tblEjecucion[id_operacion],tblEjecucion[costo_plan_total],0)-tblOrdenes[[#This Row],[costo_servicio]]))</f>
        <v/>
      </c>
      <c r="AH1084" s="10">
        <f>IF(tblOrdenes[[#This Row],[orden]]="","",tblOrdenes[[#This Row],[costo_servicio]]+tblOrdenes[[#This Row],[costo_materiales]])</f>
        <v/>
      </c>
      <c r="AI1084" s="6" t="n"/>
      <c r="AJ1084" s="6" t="n"/>
      <c r="AK1084" s="6" t="n"/>
      <c r="AL1084" s="3">
        <f>IF(tblOrdenes[[#This Row],[link_checklist]]="","",HYPERLINK(p_ruta_base_checklists&amp;tblOrdenes[[#This Row],[link_checklist]],"abrir"))</f>
        <v/>
      </c>
      <c r="AM1084" s="6" t="n"/>
      <c r="AN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Row],[tipo_ot]]="","",_xlfn.XLOOKUP(tblOrdenes[[#This Row],[tipo_ot]],tblTiposOT[codigo],tblTiposOT[clasificacion],"sin_clasificar"))</f>
        <v/>
      </c>
      <c r="T1085" s="3">
        <f>IF(tblOrdenes[[#This Row],[centro_costo]]="","",_xlfn.XLOOKUP(tblOrdenes[[#This Row],[centro_costo]],tblCECO[codigo],tblCECO[linea],"(sin catálogo)"))</f>
        <v/>
      </c>
      <c r="U1085" s="3">
        <f>IF(tblOrdenes[[#This Row],[centro_costo]]="","",_xlfn.XLOOKUP(tblOrdenes[[#This Row],[centro_costo]],tblCECO[codigo],tblCECO[area],"(sin catálogo)"))</f>
        <v/>
      </c>
      <c r="V1085" s="3">
        <f>IF(tblOrdenes[[#This Row],[centro_costo]]="","",_xlfn.XLOOKUP(tblOrdenes[[#This Row],[centro_costo]],tblCECO[codigo],tblCECO[coordinador],"(sin catálogo)"))</f>
        <v/>
      </c>
      <c r="W1085" s="3">
        <f>IF(tblOrdenes[[#This Row],[puesto_trabajo]]="","",_xlfn.XLOOKUP(tblOrdenes[[#This Row],[puesto_trabajo]],tblPuestos[codigo],tblPuestos[especialidad],"(sin catálogo)"))</f>
        <v/>
      </c>
      <c r="X1085" s="3">
        <f>IF(tblOrdenes[[#This Row],[cod_actividad]]="","",_xlfn.XLOOKUP(tblOrdenes[[#This Row],[cod_actividad]],tblActividades[codigo],tblActividades[descripcion],"(sin catálogo)"))</f>
        <v/>
      </c>
      <c r="Y1085" s="12">
        <f>IF(tblOrdenes[[#This Row],[fecha_inicio]]="","",TODAY()-tblOrdenes[[#This Row],[fecha_inicio]])</f>
        <v/>
      </c>
      <c r="Z1085" s="3">
        <f>IF(tblOrdenes[[#This Row],[backlog_dias]]="","",IF(tblOrdenes[[#This Row],[backlog_dias]]&lt;0,"FUTURO",IF(tblOrdenes[[#This Row],[backlog_dias]]&gt;p_dias_backlog_max,"BACKLOG","MES CORRIENTE")))</f>
        <v/>
      </c>
      <c r="AA1085" s="3">
        <f>IF(tblOrdenes[[#This Row],[backlog_dias]]="",FALSE,AND(tblOrdenes[[#This Row],[backlog_dias]]&gt;p_dias_backlog_min,tblOrdenes[[#This Row],[backlog_dias]]&lt;=p_dias_backlog_max))</f>
        <v/>
      </c>
      <c r="AB1085" s="6" t="n"/>
      <c r="AC10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5" s="10">
        <f>IF(tblOrdenes[[#This Row],[orden]]="","",_xlfn.XLOOKUP(tblOrdenes[[#This Row],[id_operacion]],tblEjecucion[id_operacion],tblEjecucion[precio],0))</f>
        <v/>
      </c>
      <c r="AG1085" s="10">
        <f>IF(tblOrdenes[[#This Row],[orden]]="","",MAX(0,_xlfn.XLOOKUP(tblOrdenes[[#This Row],[id_operacion]],tblEjecucion[id_operacion],tblEjecucion[costo_plan_total],0)-tblOrdenes[[#This Row],[costo_servicio]]))</f>
        <v/>
      </c>
      <c r="AH1085" s="10">
        <f>IF(tblOrdenes[[#This Row],[orden]]="","",tblOrdenes[[#This Row],[costo_servicio]]+tblOrdenes[[#This Row],[costo_materiales]])</f>
        <v/>
      </c>
      <c r="AI1085" s="6" t="n"/>
      <c r="AJ1085" s="6" t="n"/>
      <c r="AK1085" s="6" t="n"/>
      <c r="AL1085" s="3">
        <f>IF(tblOrdenes[[#This Row],[link_checklist]]="","",HYPERLINK(p_ruta_base_checklists&amp;tblOrdenes[[#This Row],[link_checklist]],"abrir"))</f>
        <v/>
      </c>
      <c r="AM1085" s="6" t="n"/>
      <c r="AN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Row],[tipo_ot]]="","",_xlfn.XLOOKUP(tblOrdenes[[#This Row],[tipo_ot]],tblTiposOT[codigo],tblTiposOT[clasificacion],"sin_clasificar"))</f>
        <v/>
      </c>
      <c r="T1086" s="3">
        <f>IF(tblOrdenes[[#This Row],[centro_costo]]="","",_xlfn.XLOOKUP(tblOrdenes[[#This Row],[centro_costo]],tblCECO[codigo],tblCECO[linea],"(sin catálogo)"))</f>
        <v/>
      </c>
      <c r="U1086" s="3">
        <f>IF(tblOrdenes[[#This Row],[centro_costo]]="","",_xlfn.XLOOKUP(tblOrdenes[[#This Row],[centro_costo]],tblCECO[codigo],tblCECO[area],"(sin catálogo)"))</f>
        <v/>
      </c>
      <c r="V1086" s="3">
        <f>IF(tblOrdenes[[#This Row],[centro_costo]]="","",_xlfn.XLOOKUP(tblOrdenes[[#This Row],[centro_costo]],tblCECO[codigo],tblCECO[coordinador],"(sin catálogo)"))</f>
        <v/>
      </c>
      <c r="W1086" s="3">
        <f>IF(tblOrdenes[[#This Row],[puesto_trabajo]]="","",_xlfn.XLOOKUP(tblOrdenes[[#This Row],[puesto_trabajo]],tblPuestos[codigo],tblPuestos[especialidad],"(sin catálogo)"))</f>
        <v/>
      </c>
      <c r="X1086" s="3">
        <f>IF(tblOrdenes[[#This Row],[cod_actividad]]="","",_xlfn.XLOOKUP(tblOrdenes[[#This Row],[cod_actividad]],tblActividades[codigo],tblActividades[descripcion],"(sin catálogo)"))</f>
        <v/>
      </c>
      <c r="Y1086" s="12">
        <f>IF(tblOrdenes[[#This Row],[fecha_inicio]]="","",TODAY()-tblOrdenes[[#This Row],[fecha_inicio]])</f>
        <v/>
      </c>
      <c r="Z1086" s="3">
        <f>IF(tblOrdenes[[#This Row],[backlog_dias]]="","",IF(tblOrdenes[[#This Row],[backlog_dias]]&lt;0,"FUTURO",IF(tblOrdenes[[#This Row],[backlog_dias]]&gt;p_dias_backlog_max,"BACKLOG","MES CORRIENTE")))</f>
        <v/>
      </c>
      <c r="AA1086" s="3">
        <f>IF(tblOrdenes[[#This Row],[backlog_dias]]="",FALSE,AND(tblOrdenes[[#This Row],[backlog_dias]]&gt;p_dias_backlog_min,tblOrdenes[[#This Row],[backlog_dias]]&lt;=p_dias_backlog_max))</f>
        <v/>
      </c>
      <c r="AB1086" s="6" t="n"/>
      <c r="AC10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6" s="10">
        <f>IF(tblOrdenes[[#This Row],[orden]]="","",_xlfn.XLOOKUP(tblOrdenes[[#This Row],[id_operacion]],tblEjecucion[id_operacion],tblEjecucion[precio],0))</f>
        <v/>
      </c>
      <c r="AG1086" s="10">
        <f>IF(tblOrdenes[[#This Row],[orden]]="","",MAX(0,_xlfn.XLOOKUP(tblOrdenes[[#This Row],[id_operacion]],tblEjecucion[id_operacion],tblEjecucion[costo_plan_total],0)-tblOrdenes[[#This Row],[costo_servicio]]))</f>
        <v/>
      </c>
      <c r="AH1086" s="10">
        <f>IF(tblOrdenes[[#This Row],[orden]]="","",tblOrdenes[[#This Row],[costo_servicio]]+tblOrdenes[[#This Row],[costo_materiales]])</f>
        <v/>
      </c>
      <c r="AI1086" s="6" t="n"/>
      <c r="AJ1086" s="6" t="n"/>
      <c r="AK1086" s="6" t="n"/>
      <c r="AL1086" s="3">
        <f>IF(tblOrdenes[[#This Row],[link_checklist]]="","",HYPERLINK(p_ruta_base_checklists&amp;tblOrdenes[[#This Row],[link_checklist]],"abrir"))</f>
        <v/>
      </c>
      <c r="AM1086" s="6" t="n"/>
      <c r="AN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Row],[tipo_ot]]="","",_xlfn.XLOOKUP(tblOrdenes[[#This Row],[tipo_ot]],tblTiposOT[codigo],tblTiposOT[clasificacion],"sin_clasificar"))</f>
        <v/>
      </c>
      <c r="T1087" s="3">
        <f>IF(tblOrdenes[[#This Row],[centro_costo]]="","",_xlfn.XLOOKUP(tblOrdenes[[#This Row],[centro_costo]],tblCECO[codigo],tblCECO[linea],"(sin catálogo)"))</f>
        <v/>
      </c>
      <c r="U1087" s="3">
        <f>IF(tblOrdenes[[#This Row],[centro_costo]]="","",_xlfn.XLOOKUP(tblOrdenes[[#This Row],[centro_costo]],tblCECO[codigo],tblCECO[area],"(sin catálogo)"))</f>
        <v/>
      </c>
      <c r="V1087" s="3">
        <f>IF(tblOrdenes[[#This Row],[centro_costo]]="","",_xlfn.XLOOKUP(tblOrdenes[[#This Row],[centro_costo]],tblCECO[codigo],tblCECO[coordinador],"(sin catálogo)"))</f>
        <v/>
      </c>
      <c r="W1087" s="3">
        <f>IF(tblOrdenes[[#This Row],[puesto_trabajo]]="","",_xlfn.XLOOKUP(tblOrdenes[[#This Row],[puesto_trabajo]],tblPuestos[codigo],tblPuestos[especialidad],"(sin catálogo)"))</f>
        <v/>
      </c>
      <c r="X1087" s="3">
        <f>IF(tblOrdenes[[#This Row],[cod_actividad]]="","",_xlfn.XLOOKUP(tblOrdenes[[#This Row],[cod_actividad]],tblActividades[codigo],tblActividades[descripcion],"(sin catálogo)"))</f>
        <v/>
      </c>
      <c r="Y1087" s="12">
        <f>IF(tblOrdenes[[#This Row],[fecha_inicio]]="","",TODAY()-tblOrdenes[[#This Row],[fecha_inicio]])</f>
        <v/>
      </c>
      <c r="Z1087" s="3">
        <f>IF(tblOrdenes[[#This Row],[backlog_dias]]="","",IF(tblOrdenes[[#This Row],[backlog_dias]]&lt;0,"FUTURO",IF(tblOrdenes[[#This Row],[backlog_dias]]&gt;p_dias_backlog_max,"BACKLOG","MES CORRIENTE")))</f>
        <v/>
      </c>
      <c r="AA1087" s="3">
        <f>IF(tblOrdenes[[#This Row],[backlog_dias]]="",FALSE,AND(tblOrdenes[[#This Row],[backlog_dias]]&gt;p_dias_backlog_min,tblOrdenes[[#This Row],[backlog_dias]]&lt;=p_dias_backlog_max))</f>
        <v/>
      </c>
      <c r="AB1087" s="6" t="n"/>
      <c r="AC10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7" s="10">
        <f>IF(tblOrdenes[[#This Row],[orden]]="","",_xlfn.XLOOKUP(tblOrdenes[[#This Row],[id_operacion]],tblEjecucion[id_operacion],tblEjecucion[precio],0))</f>
        <v/>
      </c>
      <c r="AG1087" s="10">
        <f>IF(tblOrdenes[[#This Row],[orden]]="","",MAX(0,_xlfn.XLOOKUP(tblOrdenes[[#This Row],[id_operacion]],tblEjecucion[id_operacion],tblEjecucion[costo_plan_total],0)-tblOrdenes[[#This Row],[costo_servicio]]))</f>
        <v/>
      </c>
      <c r="AH1087" s="10">
        <f>IF(tblOrdenes[[#This Row],[orden]]="","",tblOrdenes[[#This Row],[costo_servicio]]+tblOrdenes[[#This Row],[costo_materiales]])</f>
        <v/>
      </c>
      <c r="AI1087" s="6" t="n"/>
      <c r="AJ1087" s="6" t="n"/>
      <c r="AK1087" s="6" t="n"/>
      <c r="AL1087" s="3">
        <f>IF(tblOrdenes[[#This Row],[link_checklist]]="","",HYPERLINK(p_ruta_base_checklists&amp;tblOrdenes[[#This Row],[link_checklist]],"abrir"))</f>
        <v/>
      </c>
      <c r="AM1087" s="6" t="n"/>
      <c r="AN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Row],[tipo_ot]]="","",_xlfn.XLOOKUP(tblOrdenes[[#This Row],[tipo_ot]],tblTiposOT[codigo],tblTiposOT[clasificacion],"sin_clasificar"))</f>
        <v/>
      </c>
      <c r="T1088" s="3">
        <f>IF(tblOrdenes[[#This Row],[centro_costo]]="","",_xlfn.XLOOKUP(tblOrdenes[[#This Row],[centro_costo]],tblCECO[codigo],tblCECO[linea],"(sin catálogo)"))</f>
        <v/>
      </c>
      <c r="U1088" s="3">
        <f>IF(tblOrdenes[[#This Row],[centro_costo]]="","",_xlfn.XLOOKUP(tblOrdenes[[#This Row],[centro_costo]],tblCECO[codigo],tblCECO[area],"(sin catálogo)"))</f>
        <v/>
      </c>
      <c r="V1088" s="3">
        <f>IF(tblOrdenes[[#This Row],[centro_costo]]="","",_xlfn.XLOOKUP(tblOrdenes[[#This Row],[centro_costo]],tblCECO[codigo],tblCECO[coordinador],"(sin catálogo)"))</f>
        <v/>
      </c>
      <c r="W1088" s="3">
        <f>IF(tblOrdenes[[#This Row],[puesto_trabajo]]="","",_xlfn.XLOOKUP(tblOrdenes[[#This Row],[puesto_trabajo]],tblPuestos[codigo],tblPuestos[especialidad],"(sin catálogo)"))</f>
        <v/>
      </c>
      <c r="X1088" s="3">
        <f>IF(tblOrdenes[[#This Row],[cod_actividad]]="","",_xlfn.XLOOKUP(tblOrdenes[[#This Row],[cod_actividad]],tblActividades[codigo],tblActividades[descripcion],"(sin catálogo)"))</f>
        <v/>
      </c>
      <c r="Y1088" s="12">
        <f>IF(tblOrdenes[[#This Row],[fecha_inicio]]="","",TODAY()-tblOrdenes[[#This Row],[fecha_inicio]])</f>
        <v/>
      </c>
      <c r="Z1088" s="3">
        <f>IF(tblOrdenes[[#This Row],[backlog_dias]]="","",IF(tblOrdenes[[#This Row],[backlog_dias]]&lt;0,"FUTURO",IF(tblOrdenes[[#This Row],[backlog_dias]]&gt;p_dias_backlog_max,"BACKLOG","MES CORRIENTE")))</f>
        <v/>
      </c>
      <c r="AA1088" s="3">
        <f>IF(tblOrdenes[[#This Row],[backlog_dias]]="",FALSE,AND(tblOrdenes[[#This Row],[backlog_dias]]&gt;p_dias_backlog_min,tblOrdenes[[#This Row],[backlog_dias]]&lt;=p_dias_backlog_max))</f>
        <v/>
      </c>
      <c r="AB1088" s="6" t="n"/>
      <c r="AC10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8" s="10">
        <f>IF(tblOrdenes[[#This Row],[orden]]="","",_xlfn.XLOOKUP(tblOrdenes[[#This Row],[id_operacion]],tblEjecucion[id_operacion],tblEjecucion[precio],0))</f>
        <v/>
      </c>
      <c r="AG1088" s="10">
        <f>IF(tblOrdenes[[#This Row],[orden]]="","",MAX(0,_xlfn.XLOOKUP(tblOrdenes[[#This Row],[id_operacion]],tblEjecucion[id_operacion],tblEjecucion[costo_plan_total],0)-tblOrdenes[[#This Row],[costo_servicio]]))</f>
        <v/>
      </c>
      <c r="AH1088" s="10">
        <f>IF(tblOrdenes[[#This Row],[orden]]="","",tblOrdenes[[#This Row],[costo_servicio]]+tblOrdenes[[#This Row],[costo_materiales]])</f>
        <v/>
      </c>
      <c r="AI1088" s="6" t="n"/>
      <c r="AJ1088" s="6" t="n"/>
      <c r="AK1088" s="6" t="n"/>
      <c r="AL1088" s="3">
        <f>IF(tblOrdenes[[#This Row],[link_checklist]]="","",HYPERLINK(p_ruta_base_checklists&amp;tblOrdenes[[#This Row],[link_checklist]],"abrir"))</f>
        <v/>
      </c>
      <c r="AM1088" s="6" t="n"/>
      <c r="AN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Row],[tipo_ot]]="","",_xlfn.XLOOKUP(tblOrdenes[[#This Row],[tipo_ot]],tblTiposOT[codigo],tblTiposOT[clasificacion],"sin_clasificar"))</f>
        <v/>
      </c>
      <c r="T1089" s="3">
        <f>IF(tblOrdenes[[#This Row],[centro_costo]]="","",_xlfn.XLOOKUP(tblOrdenes[[#This Row],[centro_costo]],tblCECO[codigo],tblCECO[linea],"(sin catálogo)"))</f>
        <v/>
      </c>
      <c r="U1089" s="3">
        <f>IF(tblOrdenes[[#This Row],[centro_costo]]="","",_xlfn.XLOOKUP(tblOrdenes[[#This Row],[centro_costo]],tblCECO[codigo],tblCECO[area],"(sin catálogo)"))</f>
        <v/>
      </c>
      <c r="V1089" s="3">
        <f>IF(tblOrdenes[[#This Row],[centro_costo]]="","",_xlfn.XLOOKUP(tblOrdenes[[#This Row],[centro_costo]],tblCECO[codigo],tblCECO[coordinador],"(sin catálogo)"))</f>
        <v/>
      </c>
      <c r="W1089" s="3">
        <f>IF(tblOrdenes[[#This Row],[puesto_trabajo]]="","",_xlfn.XLOOKUP(tblOrdenes[[#This Row],[puesto_trabajo]],tblPuestos[codigo],tblPuestos[especialidad],"(sin catálogo)"))</f>
        <v/>
      </c>
      <c r="X1089" s="3">
        <f>IF(tblOrdenes[[#This Row],[cod_actividad]]="","",_xlfn.XLOOKUP(tblOrdenes[[#This Row],[cod_actividad]],tblActividades[codigo],tblActividades[descripcion],"(sin catálogo)"))</f>
        <v/>
      </c>
      <c r="Y1089" s="12">
        <f>IF(tblOrdenes[[#This Row],[fecha_inicio]]="","",TODAY()-tblOrdenes[[#This Row],[fecha_inicio]])</f>
        <v/>
      </c>
      <c r="Z1089" s="3">
        <f>IF(tblOrdenes[[#This Row],[backlog_dias]]="","",IF(tblOrdenes[[#This Row],[backlog_dias]]&lt;0,"FUTURO",IF(tblOrdenes[[#This Row],[backlog_dias]]&gt;p_dias_backlog_max,"BACKLOG","MES CORRIENTE")))</f>
        <v/>
      </c>
      <c r="AA1089" s="3">
        <f>IF(tblOrdenes[[#This Row],[backlog_dias]]="",FALSE,AND(tblOrdenes[[#This Row],[backlog_dias]]&gt;p_dias_backlog_min,tblOrdenes[[#This Row],[backlog_dias]]&lt;=p_dias_backlog_max))</f>
        <v/>
      </c>
      <c r="AB1089" s="6" t="n"/>
      <c r="AC10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9" s="10">
        <f>IF(tblOrdenes[[#This Row],[orden]]="","",_xlfn.XLOOKUP(tblOrdenes[[#This Row],[id_operacion]],tblEjecucion[id_operacion],tblEjecucion[precio],0))</f>
        <v/>
      </c>
      <c r="AG1089" s="10">
        <f>IF(tblOrdenes[[#This Row],[orden]]="","",MAX(0,_xlfn.XLOOKUP(tblOrdenes[[#This Row],[id_operacion]],tblEjecucion[id_operacion],tblEjecucion[costo_plan_total],0)-tblOrdenes[[#This Row],[costo_servicio]]))</f>
        <v/>
      </c>
      <c r="AH1089" s="10">
        <f>IF(tblOrdenes[[#This Row],[orden]]="","",tblOrdenes[[#This Row],[costo_servicio]]+tblOrdenes[[#This Row],[costo_materiales]])</f>
        <v/>
      </c>
      <c r="AI1089" s="6" t="n"/>
      <c r="AJ1089" s="6" t="n"/>
      <c r="AK1089" s="6" t="n"/>
      <c r="AL1089" s="3">
        <f>IF(tblOrdenes[[#This Row],[link_checklist]]="","",HYPERLINK(p_ruta_base_checklists&amp;tblOrdenes[[#This Row],[link_checklist]],"abrir"))</f>
        <v/>
      </c>
      <c r="AM1089" s="6" t="n"/>
      <c r="AN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Row],[tipo_ot]]="","",_xlfn.XLOOKUP(tblOrdenes[[#This Row],[tipo_ot]],tblTiposOT[codigo],tblTiposOT[clasificacion],"sin_clasificar"))</f>
        <v/>
      </c>
      <c r="T1090" s="3">
        <f>IF(tblOrdenes[[#This Row],[centro_costo]]="","",_xlfn.XLOOKUP(tblOrdenes[[#This Row],[centro_costo]],tblCECO[codigo],tblCECO[linea],"(sin catálogo)"))</f>
        <v/>
      </c>
      <c r="U1090" s="3">
        <f>IF(tblOrdenes[[#This Row],[centro_costo]]="","",_xlfn.XLOOKUP(tblOrdenes[[#This Row],[centro_costo]],tblCECO[codigo],tblCECO[area],"(sin catálogo)"))</f>
        <v/>
      </c>
      <c r="V1090" s="3">
        <f>IF(tblOrdenes[[#This Row],[centro_costo]]="","",_xlfn.XLOOKUP(tblOrdenes[[#This Row],[centro_costo]],tblCECO[codigo],tblCECO[coordinador],"(sin catálogo)"))</f>
        <v/>
      </c>
      <c r="W1090" s="3">
        <f>IF(tblOrdenes[[#This Row],[puesto_trabajo]]="","",_xlfn.XLOOKUP(tblOrdenes[[#This Row],[puesto_trabajo]],tblPuestos[codigo],tblPuestos[especialidad],"(sin catálogo)"))</f>
        <v/>
      </c>
      <c r="X1090" s="3">
        <f>IF(tblOrdenes[[#This Row],[cod_actividad]]="","",_xlfn.XLOOKUP(tblOrdenes[[#This Row],[cod_actividad]],tblActividades[codigo],tblActividades[descripcion],"(sin catálogo)"))</f>
        <v/>
      </c>
      <c r="Y1090" s="12">
        <f>IF(tblOrdenes[[#This Row],[fecha_inicio]]="","",TODAY()-tblOrdenes[[#This Row],[fecha_inicio]])</f>
        <v/>
      </c>
      <c r="Z1090" s="3">
        <f>IF(tblOrdenes[[#This Row],[backlog_dias]]="","",IF(tblOrdenes[[#This Row],[backlog_dias]]&lt;0,"FUTURO",IF(tblOrdenes[[#This Row],[backlog_dias]]&gt;p_dias_backlog_max,"BACKLOG","MES CORRIENTE")))</f>
        <v/>
      </c>
      <c r="AA1090" s="3">
        <f>IF(tblOrdenes[[#This Row],[backlog_dias]]="",FALSE,AND(tblOrdenes[[#This Row],[backlog_dias]]&gt;p_dias_backlog_min,tblOrdenes[[#This Row],[backlog_dias]]&lt;=p_dias_backlog_max))</f>
        <v/>
      </c>
      <c r="AB1090" s="6" t="n"/>
      <c r="AC10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0" s="10">
        <f>IF(tblOrdenes[[#This Row],[orden]]="","",_xlfn.XLOOKUP(tblOrdenes[[#This Row],[id_operacion]],tblEjecucion[id_operacion],tblEjecucion[precio],0))</f>
        <v/>
      </c>
      <c r="AG1090" s="10">
        <f>IF(tblOrdenes[[#This Row],[orden]]="","",MAX(0,_xlfn.XLOOKUP(tblOrdenes[[#This Row],[id_operacion]],tblEjecucion[id_operacion],tblEjecucion[costo_plan_total],0)-tblOrdenes[[#This Row],[costo_servicio]]))</f>
        <v/>
      </c>
      <c r="AH1090" s="10">
        <f>IF(tblOrdenes[[#This Row],[orden]]="","",tblOrdenes[[#This Row],[costo_servicio]]+tblOrdenes[[#This Row],[costo_materiales]])</f>
        <v/>
      </c>
      <c r="AI1090" s="6" t="n"/>
      <c r="AJ1090" s="6" t="n"/>
      <c r="AK1090" s="6" t="n"/>
      <c r="AL1090" s="3">
        <f>IF(tblOrdenes[[#This Row],[link_checklist]]="","",HYPERLINK(p_ruta_base_checklists&amp;tblOrdenes[[#This Row],[link_checklist]],"abrir"))</f>
        <v/>
      </c>
      <c r="AM1090" s="6" t="n"/>
      <c r="AN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Row],[tipo_ot]]="","",_xlfn.XLOOKUP(tblOrdenes[[#This Row],[tipo_ot]],tblTiposOT[codigo],tblTiposOT[clasificacion],"sin_clasificar"))</f>
        <v/>
      </c>
      <c r="T1091" s="3">
        <f>IF(tblOrdenes[[#This Row],[centro_costo]]="","",_xlfn.XLOOKUP(tblOrdenes[[#This Row],[centro_costo]],tblCECO[codigo],tblCECO[linea],"(sin catálogo)"))</f>
        <v/>
      </c>
      <c r="U1091" s="3">
        <f>IF(tblOrdenes[[#This Row],[centro_costo]]="","",_xlfn.XLOOKUP(tblOrdenes[[#This Row],[centro_costo]],tblCECO[codigo],tblCECO[area],"(sin catálogo)"))</f>
        <v/>
      </c>
      <c r="V1091" s="3">
        <f>IF(tblOrdenes[[#This Row],[centro_costo]]="","",_xlfn.XLOOKUP(tblOrdenes[[#This Row],[centro_costo]],tblCECO[codigo],tblCECO[coordinador],"(sin catálogo)"))</f>
        <v/>
      </c>
      <c r="W1091" s="3">
        <f>IF(tblOrdenes[[#This Row],[puesto_trabajo]]="","",_xlfn.XLOOKUP(tblOrdenes[[#This Row],[puesto_trabajo]],tblPuestos[codigo],tblPuestos[especialidad],"(sin catálogo)"))</f>
        <v/>
      </c>
      <c r="X1091" s="3">
        <f>IF(tblOrdenes[[#This Row],[cod_actividad]]="","",_xlfn.XLOOKUP(tblOrdenes[[#This Row],[cod_actividad]],tblActividades[codigo],tblActividades[descripcion],"(sin catálogo)"))</f>
        <v/>
      </c>
      <c r="Y1091" s="12">
        <f>IF(tblOrdenes[[#This Row],[fecha_inicio]]="","",TODAY()-tblOrdenes[[#This Row],[fecha_inicio]])</f>
        <v/>
      </c>
      <c r="Z1091" s="3">
        <f>IF(tblOrdenes[[#This Row],[backlog_dias]]="","",IF(tblOrdenes[[#This Row],[backlog_dias]]&lt;0,"FUTURO",IF(tblOrdenes[[#This Row],[backlog_dias]]&gt;p_dias_backlog_max,"BACKLOG","MES CORRIENTE")))</f>
        <v/>
      </c>
      <c r="AA1091" s="3">
        <f>IF(tblOrdenes[[#This Row],[backlog_dias]]="",FALSE,AND(tblOrdenes[[#This Row],[backlog_dias]]&gt;p_dias_backlog_min,tblOrdenes[[#This Row],[backlog_dias]]&lt;=p_dias_backlog_max))</f>
        <v/>
      </c>
      <c r="AB1091" s="6" t="n"/>
      <c r="AC10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1" s="10">
        <f>IF(tblOrdenes[[#This Row],[orden]]="","",_xlfn.XLOOKUP(tblOrdenes[[#This Row],[id_operacion]],tblEjecucion[id_operacion],tblEjecucion[precio],0))</f>
        <v/>
      </c>
      <c r="AG1091" s="10">
        <f>IF(tblOrdenes[[#This Row],[orden]]="","",MAX(0,_xlfn.XLOOKUP(tblOrdenes[[#This Row],[id_operacion]],tblEjecucion[id_operacion],tblEjecucion[costo_plan_total],0)-tblOrdenes[[#This Row],[costo_servicio]]))</f>
        <v/>
      </c>
      <c r="AH1091" s="10">
        <f>IF(tblOrdenes[[#This Row],[orden]]="","",tblOrdenes[[#This Row],[costo_servicio]]+tblOrdenes[[#This Row],[costo_materiales]])</f>
        <v/>
      </c>
      <c r="AI1091" s="6" t="n"/>
      <c r="AJ1091" s="6" t="n"/>
      <c r="AK1091" s="6" t="n"/>
      <c r="AL1091" s="3">
        <f>IF(tblOrdenes[[#This Row],[link_checklist]]="","",HYPERLINK(p_ruta_base_checklists&amp;tblOrdenes[[#This Row],[link_checklist]],"abrir"))</f>
        <v/>
      </c>
      <c r="AM1091" s="6" t="n"/>
      <c r="AN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Row],[tipo_ot]]="","",_xlfn.XLOOKUP(tblOrdenes[[#This Row],[tipo_ot]],tblTiposOT[codigo],tblTiposOT[clasificacion],"sin_clasificar"))</f>
        <v/>
      </c>
      <c r="T1092" s="3">
        <f>IF(tblOrdenes[[#This Row],[centro_costo]]="","",_xlfn.XLOOKUP(tblOrdenes[[#This Row],[centro_costo]],tblCECO[codigo],tblCECO[linea],"(sin catálogo)"))</f>
        <v/>
      </c>
      <c r="U1092" s="3">
        <f>IF(tblOrdenes[[#This Row],[centro_costo]]="","",_xlfn.XLOOKUP(tblOrdenes[[#This Row],[centro_costo]],tblCECO[codigo],tblCECO[area],"(sin catálogo)"))</f>
        <v/>
      </c>
      <c r="V1092" s="3">
        <f>IF(tblOrdenes[[#This Row],[centro_costo]]="","",_xlfn.XLOOKUP(tblOrdenes[[#This Row],[centro_costo]],tblCECO[codigo],tblCECO[coordinador],"(sin catálogo)"))</f>
        <v/>
      </c>
      <c r="W1092" s="3">
        <f>IF(tblOrdenes[[#This Row],[puesto_trabajo]]="","",_xlfn.XLOOKUP(tblOrdenes[[#This Row],[puesto_trabajo]],tblPuestos[codigo],tblPuestos[especialidad],"(sin catálogo)"))</f>
        <v/>
      </c>
      <c r="X1092" s="3">
        <f>IF(tblOrdenes[[#This Row],[cod_actividad]]="","",_xlfn.XLOOKUP(tblOrdenes[[#This Row],[cod_actividad]],tblActividades[codigo],tblActividades[descripcion],"(sin catálogo)"))</f>
        <v/>
      </c>
      <c r="Y1092" s="12">
        <f>IF(tblOrdenes[[#This Row],[fecha_inicio]]="","",TODAY()-tblOrdenes[[#This Row],[fecha_inicio]])</f>
        <v/>
      </c>
      <c r="Z1092" s="3">
        <f>IF(tblOrdenes[[#This Row],[backlog_dias]]="","",IF(tblOrdenes[[#This Row],[backlog_dias]]&lt;0,"FUTURO",IF(tblOrdenes[[#This Row],[backlog_dias]]&gt;p_dias_backlog_max,"BACKLOG","MES CORRIENTE")))</f>
        <v/>
      </c>
      <c r="AA1092" s="3">
        <f>IF(tblOrdenes[[#This Row],[backlog_dias]]="",FALSE,AND(tblOrdenes[[#This Row],[backlog_dias]]&gt;p_dias_backlog_min,tblOrdenes[[#This Row],[backlog_dias]]&lt;=p_dias_backlog_max))</f>
        <v/>
      </c>
      <c r="AB1092" s="6" t="n"/>
      <c r="AC10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2" s="10">
        <f>IF(tblOrdenes[[#This Row],[orden]]="","",_xlfn.XLOOKUP(tblOrdenes[[#This Row],[id_operacion]],tblEjecucion[id_operacion],tblEjecucion[precio],0))</f>
        <v/>
      </c>
      <c r="AG1092" s="10">
        <f>IF(tblOrdenes[[#This Row],[orden]]="","",MAX(0,_xlfn.XLOOKUP(tblOrdenes[[#This Row],[id_operacion]],tblEjecucion[id_operacion],tblEjecucion[costo_plan_total],0)-tblOrdenes[[#This Row],[costo_servicio]]))</f>
        <v/>
      </c>
      <c r="AH1092" s="10">
        <f>IF(tblOrdenes[[#This Row],[orden]]="","",tblOrdenes[[#This Row],[costo_servicio]]+tblOrdenes[[#This Row],[costo_materiales]])</f>
        <v/>
      </c>
      <c r="AI1092" s="6" t="n"/>
      <c r="AJ1092" s="6" t="n"/>
      <c r="AK1092" s="6" t="n"/>
      <c r="AL1092" s="3">
        <f>IF(tblOrdenes[[#This Row],[link_checklist]]="","",HYPERLINK(p_ruta_base_checklists&amp;tblOrdenes[[#This Row],[link_checklist]],"abrir"))</f>
        <v/>
      </c>
      <c r="AM1092" s="6" t="n"/>
      <c r="AN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Row],[tipo_ot]]="","",_xlfn.XLOOKUP(tblOrdenes[[#This Row],[tipo_ot]],tblTiposOT[codigo],tblTiposOT[clasificacion],"sin_clasificar"))</f>
        <v/>
      </c>
      <c r="T1093" s="3">
        <f>IF(tblOrdenes[[#This Row],[centro_costo]]="","",_xlfn.XLOOKUP(tblOrdenes[[#This Row],[centro_costo]],tblCECO[codigo],tblCECO[linea],"(sin catálogo)"))</f>
        <v/>
      </c>
      <c r="U1093" s="3">
        <f>IF(tblOrdenes[[#This Row],[centro_costo]]="","",_xlfn.XLOOKUP(tblOrdenes[[#This Row],[centro_costo]],tblCECO[codigo],tblCECO[area],"(sin catálogo)"))</f>
        <v/>
      </c>
      <c r="V1093" s="3">
        <f>IF(tblOrdenes[[#This Row],[centro_costo]]="","",_xlfn.XLOOKUP(tblOrdenes[[#This Row],[centro_costo]],tblCECO[codigo],tblCECO[coordinador],"(sin catálogo)"))</f>
        <v/>
      </c>
      <c r="W1093" s="3">
        <f>IF(tblOrdenes[[#This Row],[puesto_trabajo]]="","",_xlfn.XLOOKUP(tblOrdenes[[#This Row],[puesto_trabajo]],tblPuestos[codigo],tblPuestos[especialidad],"(sin catálogo)"))</f>
        <v/>
      </c>
      <c r="X1093" s="3">
        <f>IF(tblOrdenes[[#This Row],[cod_actividad]]="","",_xlfn.XLOOKUP(tblOrdenes[[#This Row],[cod_actividad]],tblActividades[codigo],tblActividades[descripcion],"(sin catálogo)"))</f>
        <v/>
      </c>
      <c r="Y1093" s="12">
        <f>IF(tblOrdenes[[#This Row],[fecha_inicio]]="","",TODAY()-tblOrdenes[[#This Row],[fecha_inicio]])</f>
        <v/>
      </c>
      <c r="Z1093" s="3">
        <f>IF(tblOrdenes[[#This Row],[backlog_dias]]="","",IF(tblOrdenes[[#This Row],[backlog_dias]]&lt;0,"FUTURO",IF(tblOrdenes[[#This Row],[backlog_dias]]&gt;p_dias_backlog_max,"BACKLOG","MES CORRIENTE")))</f>
        <v/>
      </c>
      <c r="AA1093" s="3">
        <f>IF(tblOrdenes[[#This Row],[backlog_dias]]="",FALSE,AND(tblOrdenes[[#This Row],[backlog_dias]]&gt;p_dias_backlog_min,tblOrdenes[[#This Row],[backlog_dias]]&lt;=p_dias_backlog_max))</f>
        <v/>
      </c>
      <c r="AB1093" s="6" t="n"/>
      <c r="AC10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3" s="10">
        <f>IF(tblOrdenes[[#This Row],[orden]]="","",_xlfn.XLOOKUP(tblOrdenes[[#This Row],[id_operacion]],tblEjecucion[id_operacion],tblEjecucion[precio],0))</f>
        <v/>
      </c>
      <c r="AG1093" s="10">
        <f>IF(tblOrdenes[[#This Row],[orden]]="","",MAX(0,_xlfn.XLOOKUP(tblOrdenes[[#This Row],[id_operacion]],tblEjecucion[id_operacion],tblEjecucion[costo_plan_total],0)-tblOrdenes[[#This Row],[costo_servicio]]))</f>
        <v/>
      </c>
      <c r="AH1093" s="10">
        <f>IF(tblOrdenes[[#This Row],[orden]]="","",tblOrdenes[[#This Row],[costo_servicio]]+tblOrdenes[[#This Row],[costo_materiales]])</f>
        <v/>
      </c>
      <c r="AI1093" s="6" t="n"/>
      <c r="AJ1093" s="6" t="n"/>
      <c r="AK1093" s="6" t="n"/>
      <c r="AL1093" s="3">
        <f>IF(tblOrdenes[[#This Row],[link_checklist]]="","",HYPERLINK(p_ruta_base_checklists&amp;tblOrdenes[[#This Row],[link_checklist]],"abrir"))</f>
        <v/>
      </c>
      <c r="AM1093" s="6" t="n"/>
      <c r="AN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Row],[tipo_ot]]="","",_xlfn.XLOOKUP(tblOrdenes[[#This Row],[tipo_ot]],tblTiposOT[codigo],tblTiposOT[clasificacion],"sin_clasificar"))</f>
        <v/>
      </c>
      <c r="T1094" s="3">
        <f>IF(tblOrdenes[[#This Row],[centro_costo]]="","",_xlfn.XLOOKUP(tblOrdenes[[#This Row],[centro_costo]],tblCECO[codigo],tblCECO[linea],"(sin catálogo)"))</f>
        <v/>
      </c>
      <c r="U1094" s="3">
        <f>IF(tblOrdenes[[#This Row],[centro_costo]]="","",_xlfn.XLOOKUP(tblOrdenes[[#This Row],[centro_costo]],tblCECO[codigo],tblCECO[area],"(sin catálogo)"))</f>
        <v/>
      </c>
      <c r="V1094" s="3">
        <f>IF(tblOrdenes[[#This Row],[centro_costo]]="","",_xlfn.XLOOKUP(tblOrdenes[[#This Row],[centro_costo]],tblCECO[codigo],tblCECO[coordinador],"(sin catálogo)"))</f>
        <v/>
      </c>
      <c r="W1094" s="3">
        <f>IF(tblOrdenes[[#This Row],[puesto_trabajo]]="","",_xlfn.XLOOKUP(tblOrdenes[[#This Row],[puesto_trabajo]],tblPuestos[codigo],tblPuestos[especialidad],"(sin catálogo)"))</f>
        <v/>
      </c>
      <c r="X1094" s="3">
        <f>IF(tblOrdenes[[#This Row],[cod_actividad]]="","",_xlfn.XLOOKUP(tblOrdenes[[#This Row],[cod_actividad]],tblActividades[codigo],tblActividades[descripcion],"(sin catálogo)"))</f>
        <v/>
      </c>
      <c r="Y1094" s="12">
        <f>IF(tblOrdenes[[#This Row],[fecha_inicio]]="","",TODAY()-tblOrdenes[[#This Row],[fecha_inicio]])</f>
        <v/>
      </c>
      <c r="Z1094" s="3">
        <f>IF(tblOrdenes[[#This Row],[backlog_dias]]="","",IF(tblOrdenes[[#This Row],[backlog_dias]]&lt;0,"FUTURO",IF(tblOrdenes[[#This Row],[backlog_dias]]&gt;p_dias_backlog_max,"BACKLOG","MES CORRIENTE")))</f>
        <v/>
      </c>
      <c r="AA1094" s="3">
        <f>IF(tblOrdenes[[#This Row],[backlog_dias]]="",FALSE,AND(tblOrdenes[[#This Row],[backlog_dias]]&gt;p_dias_backlog_min,tblOrdenes[[#This Row],[backlog_dias]]&lt;=p_dias_backlog_max))</f>
        <v/>
      </c>
      <c r="AB1094" s="6" t="n"/>
      <c r="AC10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4" s="10">
        <f>IF(tblOrdenes[[#This Row],[orden]]="","",_xlfn.XLOOKUP(tblOrdenes[[#This Row],[id_operacion]],tblEjecucion[id_operacion],tblEjecucion[precio],0))</f>
        <v/>
      </c>
      <c r="AG1094" s="10">
        <f>IF(tblOrdenes[[#This Row],[orden]]="","",MAX(0,_xlfn.XLOOKUP(tblOrdenes[[#This Row],[id_operacion]],tblEjecucion[id_operacion],tblEjecucion[costo_plan_total],0)-tblOrdenes[[#This Row],[costo_servicio]]))</f>
        <v/>
      </c>
      <c r="AH1094" s="10">
        <f>IF(tblOrdenes[[#This Row],[orden]]="","",tblOrdenes[[#This Row],[costo_servicio]]+tblOrdenes[[#This Row],[costo_materiales]])</f>
        <v/>
      </c>
      <c r="AI1094" s="6" t="n"/>
      <c r="AJ1094" s="6" t="n"/>
      <c r="AK1094" s="6" t="n"/>
      <c r="AL1094" s="3">
        <f>IF(tblOrdenes[[#This Row],[link_checklist]]="","",HYPERLINK(p_ruta_base_checklists&amp;tblOrdenes[[#This Row],[link_checklist]],"abrir"))</f>
        <v/>
      </c>
      <c r="AM1094" s="6" t="n"/>
      <c r="AN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Row],[tipo_ot]]="","",_xlfn.XLOOKUP(tblOrdenes[[#This Row],[tipo_ot]],tblTiposOT[codigo],tblTiposOT[clasificacion],"sin_clasificar"))</f>
        <v/>
      </c>
      <c r="T1095" s="3">
        <f>IF(tblOrdenes[[#This Row],[centro_costo]]="","",_xlfn.XLOOKUP(tblOrdenes[[#This Row],[centro_costo]],tblCECO[codigo],tblCECO[linea],"(sin catálogo)"))</f>
        <v/>
      </c>
      <c r="U1095" s="3">
        <f>IF(tblOrdenes[[#This Row],[centro_costo]]="","",_xlfn.XLOOKUP(tblOrdenes[[#This Row],[centro_costo]],tblCECO[codigo],tblCECO[area],"(sin catálogo)"))</f>
        <v/>
      </c>
      <c r="V1095" s="3">
        <f>IF(tblOrdenes[[#This Row],[centro_costo]]="","",_xlfn.XLOOKUP(tblOrdenes[[#This Row],[centro_costo]],tblCECO[codigo],tblCECO[coordinador],"(sin catálogo)"))</f>
        <v/>
      </c>
      <c r="W1095" s="3">
        <f>IF(tblOrdenes[[#This Row],[puesto_trabajo]]="","",_xlfn.XLOOKUP(tblOrdenes[[#This Row],[puesto_trabajo]],tblPuestos[codigo],tblPuestos[especialidad],"(sin catálogo)"))</f>
        <v/>
      </c>
      <c r="X1095" s="3">
        <f>IF(tblOrdenes[[#This Row],[cod_actividad]]="","",_xlfn.XLOOKUP(tblOrdenes[[#This Row],[cod_actividad]],tblActividades[codigo],tblActividades[descripcion],"(sin catálogo)"))</f>
        <v/>
      </c>
      <c r="Y1095" s="12">
        <f>IF(tblOrdenes[[#This Row],[fecha_inicio]]="","",TODAY()-tblOrdenes[[#This Row],[fecha_inicio]])</f>
        <v/>
      </c>
      <c r="Z1095" s="3">
        <f>IF(tblOrdenes[[#This Row],[backlog_dias]]="","",IF(tblOrdenes[[#This Row],[backlog_dias]]&lt;0,"FUTURO",IF(tblOrdenes[[#This Row],[backlog_dias]]&gt;p_dias_backlog_max,"BACKLOG","MES CORRIENTE")))</f>
        <v/>
      </c>
      <c r="AA1095" s="3">
        <f>IF(tblOrdenes[[#This Row],[backlog_dias]]="",FALSE,AND(tblOrdenes[[#This Row],[backlog_dias]]&gt;p_dias_backlog_min,tblOrdenes[[#This Row],[backlog_dias]]&lt;=p_dias_backlog_max))</f>
        <v/>
      </c>
      <c r="AB1095" s="6" t="n"/>
      <c r="AC10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5" s="10">
        <f>IF(tblOrdenes[[#This Row],[orden]]="","",_xlfn.XLOOKUP(tblOrdenes[[#This Row],[id_operacion]],tblEjecucion[id_operacion],tblEjecucion[precio],0))</f>
        <v/>
      </c>
      <c r="AG1095" s="10">
        <f>IF(tblOrdenes[[#This Row],[orden]]="","",MAX(0,_xlfn.XLOOKUP(tblOrdenes[[#This Row],[id_operacion]],tblEjecucion[id_operacion],tblEjecucion[costo_plan_total],0)-tblOrdenes[[#This Row],[costo_servicio]]))</f>
        <v/>
      </c>
      <c r="AH1095" s="10">
        <f>IF(tblOrdenes[[#This Row],[orden]]="","",tblOrdenes[[#This Row],[costo_servicio]]+tblOrdenes[[#This Row],[costo_materiales]])</f>
        <v/>
      </c>
      <c r="AI1095" s="6" t="n"/>
      <c r="AJ1095" s="6" t="n"/>
      <c r="AK1095" s="6" t="n"/>
      <c r="AL1095" s="3">
        <f>IF(tblOrdenes[[#This Row],[link_checklist]]="","",HYPERLINK(p_ruta_base_checklists&amp;tblOrdenes[[#This Row],[link_checklist]],"abrir"))</f>
        <v/>
      </c>
      <c r="AM1095" s="6" t="n"/>
      <c r="AN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Row],[tipo_ot]]="","",_xlfn.XLOOKUP(tblOrdenes[[#This Row],[tipo_ot]],tblTiposOT[codigo],tblTiposOT[clasificacion],"sin_clasificar"))</f>
        <v/>
      </c>
      <c r="T1096" s="3">
        <f>IF(tblOrdenes[[#This Row],[centro_costo]]="","",_xlfn.XLOOKUP(tblOrdenes[[#This Row],[centro_costo]],tblCECO[codigo],tblCECO[linea],"(sin catálogo)"))</f>
        <v/>
      </c>
      <c r="U1096" s="3">
        <f>IF(tblOrdenes[[#This Row],[centro_costo]]="","",_xlfn.XLOOKUP(tblOrdenes[[#This Row],[centro_costo]],tblCECO[codigo],tblCECO[area],"(sin catálogo)"))</f>
        <v/>
      </c>
      <c r="V1096" s="3">
        <f>IF(tblOrdenes[[#This Row],[centro_costo]]="","",_xlfn.XLOOKUP(tblOrdenes[[#This Row],[centro_costo]],tblCECO[codigo],tblCECO[coordinador],"(sin catálogo)"))</f>
        <v/>
      </c>
      <c r="W1096" s="3">
        <f>IF(tblOrdenes[[#This Row],[puesto_trabajo]]="","",_xlfn.XLOOKUP(tblOrdenes[[#This Row],[puesto_trabajo]],tblPuestos[codigo],tblPuestos[especialidad],"(sin catálogo)"))</f>
        <v/>
      </c>
      <c r="X1096" s="3">
        <f>IF(tblOrdenes[[#This Row],[cod_actividad]]="","",_xlfn.XLOOKUP(tblOrdenes[[#This Row],[cod_actividad]],tblActividades[codigo],tblActividades[descripcion],"(sin catálogo)"))</f>
        <v/>
      </c>
      <c r="Y1096" s="12">
        <f>IF(tblOrdenes[[#This Row],[fecha_inicio]]="","",TODAY()-tblOrdenes[[#This Row],[fecha_inicio]])</f>
        <v/>
      </c>
      <c r="Z1096" s="3">
        <f>IF(tblOrdenes[[#This Row],[backlog_dias]]="","",IF(tblOrdenes[[#This Row],[backlog_dias]]&lt;0,"FUTURO",IF(tblOrdenes[[#This Row],[backlog_dias]]&gt;p_dias_backlog_max,"BACKLOG","MES CORRIENTE")))</f>
        <v/>
      </c>
      <c r="AA1096" s="3">
        <f>IF(tblOrdenes[[#This Row],[backlog_dias]]="",FALSE,AND(tblOrdenes[[#This Row],[backlog_dias]]&gt;p_dias_backlog_min,tblOrdenes[[#This Row],[backlog_dias]]&lt;=p_dias_backlog_max))</f>
        <v/>
      </c>
      <c r="AB1096" s="6" t="n"/>
      <c r="AC10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6" s="10">
        <f>IF(tblOrdenes[[#This Row],[orden]]="","",_xlfn.XLOOKUP(tblOrdenes[[#This Row],[id_operacion]],tblEjecucion[id_operacion],tblEjecucion[precio],0))</f>
        <v/>
      </c>
      <c r="AG1096" s="10">
        <f>IF(tblOrdenes[[#This Row],[orden]]="","",MAX(0,_xlfn.XLOOKUP(tblOrdenes[[#This Row],[id_operacion]],tblEjecucion[id_operacion],tblEjecucion[costo_plan_total],0)-tblOrdenes[[#This Row],[costo_servicio]]))</f>
        <v/>
      </c>
      <c r="AH1096" s="10">
        <f>IF(tblOrdenes[[#This Row],[orden]]="","",tblOrdenes[[#This Row],[costo_servicio]]+tblOrdenes[[#This Row],[costo_materiales]])</f>
        <v/>
      </c>
      <c r="AI1096" s="6" t="n"/>
      <c r="AJ1096" s="6" t="n"/>
      <c r="AK1096" s="6" t="n"/>
      <c r="AL1096" s="3">
        <f>IF(tblOrdenes[[#This Row],[link_checklist]]="","",HYPERLINK(p_ruta_base_checklists&amp;tblOrdenes[[#This Row],[link_checklist]],"abrir"))</f>
        <v/>
      </c>
      <c r="AM1096" s="6" t="n"/>
      <c r="AN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Row],[tipo_ot]]="","",_xlfn.XLOOKUP(tblOrdenes[[#This Row],[tipo_ot]],tblTiposOT[codigo],tblTiposOT[clasificacion],"sin_clasificar"))</f>
        <v/>
      </c>
      <c r="T1097" s="3">
        <f>IF(tblOrdenes[[#This Row],[centro_costo]]="","",_xlfn.XLOOKUP(tblOrdenes[[#This Row],[centro_costo]],tblCECO[codigo],tblCECO[linea],"(sin catálogo)"))</f>
        <v/>
      </c>
      <c r="U1097" s="3">
        <f>IF(tblOrdenes[[#This Row],[centro_costo]]="","",_xlfn.XLOOKUP(tblOrdenes[[#This Row],[centro_costo]],tblCECO[codigo],tblCECO[area],"(sin catálogo)"))</f>
        <v/>
      </c>
      <c r="V1097" s="3">
        <f>IF(tblOrdenes[[#This Row],[centro_costo]]="","",_xlfn.XLOOKUP(tblOrdenes[[#This Row],[centro_costo]],tblCECO[codigo],tblCECO[coordinador],"(sin catálogo)"))</f>
        <v/>
      </c>
      <c r="W1097" s="3">
        <f>IF(tblOrdenes[[#This Row],[puesto_trabajo]]="","",_xlfn.XLOOKUP(tblOrdenes[[#This Row],[puesto_trabajo]],tblPuestos[codigo],tblPuestos[especialidad],"(sin catálogo)"))</f>
        <v/>
      </c>
      <c r="X1097" s="3">
        <f>IF(tblOrdenes[[#This Row],[cod_actividad]]="","",_xlfn.XLOOKUP(tblOrdenes[[#This Row],[cod_actividad]],tblActividades[codigo],tblActividades[descripcion],"(sin catálogo)"))</f>
        <v/>
      </c>
      <c r="Y1097" s="12">
        <f>IF(tblOrdenes[[#This Row],[fecha_inicio]]="","",TODAY()-tblOrdenes[[#This Row],[fecha_inicio]])</f>
        <v/>
      </c>
      <c r="Z1097" s="3">
        <f>IF(tblOrdenes[[#This Row],[backlog_dias]]="","",IF(tblOrdenes[[#This Row],[backlog_dias]]&lt;0,"FUTURO",IF(tblOrdenes[[#This Row],[backlog_dias]]&gt;p_dias_backlog_max,"BACKLOG","MES CORRIENTE")))</f>
        <v/>
      </c>
      <c r="AA1097" s="3">
        <f>IF(tblOrdenes[[#This Row],[backlog_dias]]="",FALSE,AND(tblOrdenes[[#This Row],[backlog_dias]]&gt;p_dias_backlog_min,tblOrdenes[[#This Row],[backlog_dias]]&lt;=p_dias_backlog_max))</f>
        <v/>
      </c>
      <c r="AB1097" s="6" t="n"/>
      <c r="AC10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7" s="10">
        <f>IF(tblOrdenes[[#This Row],[orden]]="","",_xlfn.XLOOKUP(tblOrdenes[[#This Row],[id_operacion]],tblEjecucion[id_operacion],tblEjecucion[precio],0))</f>
        <v/>
      </c>
      <c r="AG1097" s="10">
        <f>IF(tblOrdenes[[#This Row],[orden]]="","",MAX(0,_xlfn.XLOOKUP(tblOrdenes[[#This Row],[id_operacion]],tblEjecucion[id_operacion],tblEjecucion[costo_plan_total],0)-tblOrdenes[[#This Row],[costo_servicio]]))</f>
        <v/>
      </c>
      <c r="AH1097" s="10">
        <f>IF(tblOrdenes[[#This Row],[orden]]="","",tblOrdenes[[#This Row],[costo_servicio]]+tblOrdenes[[#This Row],[costo_materiales]])</f>
        <v/>
      </c>
      <c r="AI1097" s="6" t="n"/>
      <c r="AJ1097" s="6" t="n"/>
      <c r="AK1097" s="6" t="n"/>
      <c r="AL1097" s="3">
        <f>IF(tblOrdenes[[#This Row],[link_checklist]]="","",HYPERLINK(p_ruta_base_checklists&amp;tblOrdenes[[#This Row],[link_checklist]],"abrir"))</f>
        <v/>
      </c>
      <c r="AM1097" s="6" t="n"/>
      <c r="AN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Row],[tipo_ot]]="","",_xlfn.XLOOKUP(tblOrdenes[[#This Row],[tipo_ot]],tblTiposOT[codigo],tblTiposOT[clasificacion],"sin_clasificar"))</f>
        <v/>
      </c>
      <c r="T1098" s="3">
        <f>IF(tblOrdenes[[#This Row],[centro_costo]]="","",_xlfn.XLOOKUP(tblOrdenes[[#This Row],[centro_costo]],tblCECO[codigo],tblCECO[linea],"(sin catálogo)"))</f>
        <v/>
      </c>
      <c r="U1098" s="3">
        <f>IF(tblOrdenes[[#This Row],[centro_costo]]="","",_xlfn.XLOOKUP(tblOrdenes[[#This Row],[centro_costo]],tblCECO[codigo],tblCECO[area],"(sin catálogo)"))</f>
        <v/>
      </c>
      <c r="V1098" s="3">
        <f>IF(tblOrdenes[[#This Row],[centro_costo]]="","",_xlfn.XLOOKUP(tblOrdenes[[#This Row],[centro_costo]],tblCECO[codigo],tblCECO[coordinador],"(sin catálogo)"))</f>
        <v/>
      </c>
      <c r="W1098" s="3">
        <f>IF(tblOrdenes[[#This Row],[puesto_trabajo]]="","",_xlfn.XLOOKUP(tblOrdenes[[#This Row],[puesto_trabajo]],tblPuestos[codigo],tblPuestos[especialidad],"(sin catálogo)"))</f>
        <v/>
      </c>
      <c r="X1098" s="3">
        <f>IF(tblOrdenes[[#This Row],[cod_actividad]]="","",_xlfn.XLOOKUP(tblOrdenes[[#This Row],[cod_actividad]],tblActividades[codigo],tblActividades[descripcion],"(sin catálogo)"))</f>
        <v/>
      </c>
      <c r="Y1098" s="12">
        <f>IF(tblOrdenes[[#This Row],[fecha_inicio]]="","",TODAY()-tblOrdenes[[#This Row],[fecha_inicio]])</f>
        <v/>
      </c>
      <c r="Z1098" s="3">
        <f>IF(tblOrdenes[[#This Row],[backlog_dias]]="","",IF(tblOrdenes[[#This Row],[backlog_dias]]&lt;0,"FUTURO",IF(tblOrdenes[[#This Row],[backlog_dias]]&gt;p_dias_backlog_max,"BACKLOG","MES CORRIENTE")))</f>
        <v/>
      </c>
      <c r="AA1098" s="3">
        <f>IF(tblOrdenes[[#This Row],[backlog_dias]]="",FALSE,AND(tblOrdenes[[#This Row],[backlog_dias]]&gt;p_dias_backlog_min,tblOrdenes[[#This Row],[backlog_dias]]&lt;=p_dias_backlog_max))</f>
        <v/>
      </c>
      <c r="AB1098" s="6" t="n"/>
      <c r="AC10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8" s="10">
        <f>IF(tblOrdenes[[#This Row],[orden]]="","",_xlfn.XLOOKUP(tblOrdenes[[#This Row],[id_operacion]],tblEjecucion[id_operacion],tblEjecucion[precio],0))</f>
        <v/>
      </c>
      <c r="AG1098" s="10">
        <f>IF(tblOrdenes[[#This Row],[orden]]="","",MAX(0,_xlfn.XLOOKUP(tblOrdenes[[#This Row],[id_operacion]],tblEjecucion[id_operacion],tblEjecucion[costo_plan_total],0)-tblOrdenes[[#This Row],[costo_servicio]]))</f>
        <v/>
      </c>
      <c r="AH1098" s="10">
        <f>IF(tblOrdenes[[#This Row],[orden]]="","",tblOrdenes[[#This Row],[costo_servicio]]+tblOrdenes[[#This Row],[costo_materiales]])</f>
        <v/>
      </c>
      <c r="AI1098" s="6" t="n"/>
      <c r="AJ1098" s="6" t="n"/>
      <c r="AK1098" s="6" t="n"/>
      <c r="AL1098" s="3">
        <f>IF(tblOrdenes[[#This Row],[link_checklist]]="","",HYPERLINK(p_ruta_base_checklists&amp;tblOrdenes[[#This Row],[link_checklist]],"abrir"))</f>
        <v/>
      </c>
      <c r="AM1098" s="6" t="n"/>
      <c r="AN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Row],[tipo_ot]]="","",_xlfn.XLOOKUP(tblOrdenes[[#This Row],[tipo_ot]],tblTiposOT[codigo],tblTiposOT[clasificacion],"sin_clasificar"))</f>
        <v/>
      </c>
      <c r="T1099" s="3">
        <f>IF(tblOrdenes[[#This Row],[centro_costo]]="","",_xlfn.XLOOKUP(tblOrdenes[[#This Row],[centro_costo]],tblCECO[codigo],tblCECO[linea],"(sin catálogo)"))</f>
        <v/>
      </c>
      <c r="U1099" s="3">
        <f>IF(tblOrdenes[[#This Row],[centro_costo]]="","",_xlfn.XLOOKUP(tblOrdenes[[#This Row],[centro_costo]],tblCECO[codigo],tblCECO[area],"(sin catálogo)"))</f>
        <v/>
      </c>
      <c r="V1099" s="3">
        <f>IF(tblOrdenes[[#This Row],[centro_costo]]="","",_xlfn.XLOOKUP(tblOrdenes[[#This Row],[centro_costo]],tblCECO[codigo],tblCECO[coordinador],"(sin catálogo)"))</f>
        <v/>
      </c>
      <c r="W1099" s="3">
        <f>IF(tblOrdenes[[#This Row],[puesto_trabajo]]="","",_xlfn.XLOOKUP(tblOrdenes[[#This Row],[puesto_trabajo]],tblPuestos[codigo],tblPuestos[especialidad],"(sin catálogo)"))</f>
        <v/>
      </c>
      <c r="X1099" s="3">
        <f>IF(tblOrdenes[[#This Row],[cod_actividad]]="","",_xlfn.XLOOKUP(tblOrdenes[[#This Row],[cod_actividad]],tblActividades[codigo],tblActividades[descripcion],"(sin catálogo)"))</f>
        <v/>
      </c>
      <c r="Y1099" s="12">
        <f>IF(tblOrdenes[[#This Row],[fecha_inicio]]="","",TODAY()-tblOrdenes[[#This Row],[fecha_inicio]])</f>
        <v/>
      </c>
      <c r="Z1099" s="3">
        <f>IF(tblOrdenes[[#This Row],[backlog_dias]]="","",IF(tblOrdenes[[#This Row],[backlog_dias]]&lt;0,"FUTURO",IF(tblOrdenes[[#This Row],[backlog_dias]]&gt;p_dias_backlog_max,"BACKLOG","MES CORRIENTE")))</f>
        <v/>
      </c>
      <c r="AA1099" s="3">
        <f>IF(tblOrdenes[[#This Row],[backlog_dias]]="",FALSE,AND(tblOrdenes[[#This Row],[backlog_dias]]&gt;p_dias_backlog_min,tblOrdenes[[#This Row],[backlog_dias]]&lt;=p_dias_backlog_max))</f>
        <v/>
      </c>
      <c r="AB1099" s="6" t="n"/>
      <c r="AC10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9" s="10">
        <f>IF(tblOrdenes[[#This Row],[orden]]="","",_xlfn.XLOOKUP(tblOrdenes[[#This Row],[id_operacion]],tblEjecucion[id_operacion],tblEjecucion[precio],0))</f>
        <v/>
      </c>
      <c r="AG1099" s="10">
        <f>IF(tblOrdenes[[#This Row],[orden]]="","",MAX(0,_xlfn.XLOOKUP(tblOrdenes[[#This Row],[id_operacion]],tblEjecucion[id_operacion],tblEjecucion[costo_plan_total],0)-tblOrdenes[[#This Row],[costo_servicio]]))</f>
        <v/>
      </c>
      <c r="AH1099" s="10">
        <f>IF(tblOrdenes[[#This Row],[orden]]="","",tblOrdenes[[#This Row],[costo_servicio]]+tblOrdenes[[#This Row],[costo_materiales]])</f>
        <v/>
      </c>
      <c r="AI1099" s="6" t="n"/>
      <c r="AJ1099" s="6" t="n"/>
      <c r="AK1099" s="6" t="n"/>
      <c r="AL1099" s="3">
        <f>IF(tblOrdenes[[#This Row],[link_checklist]]="","",HYPERLINK(p_ruta_base_checklists&amp;tblOrdenes[[#This Row],[link_checklist]],"abrir"))</f>
        <v/>
      </c>
      <c r="AM1099" s="6" t="n"/>
      <c r="AN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Row],[tipo_ot]]="","",_xlfn.XLOOKUP(tblOrdenes[[#This Row],[tipo_ot]],tblTiposOT[codigo],tblTiposOT[clasificacion],"sin_clasificar"))</f>
        <v/>
      </c>
      <c r="T1100" s="3">
        <f>IF(tblOrdenes[[#This Row],[centro_costo]]="","",_xlfn.XLOOKUP(tblOrdenes[[#This Row],[centro_costo]],tblCECO[codigo],tblCECO[linea],"(sin catálogo)"))</f>
        <v/>
      </c>
      <c r="U1100" s="3">
        <f>IF(tblOrdenes[[#This Row],[centro_costo]]="","",_xlfn.XLOOKUP(tblOrdenes[[#This Row],[centro_costo]],tblCECO[codigo],tblCECO[area],"(sin catálogo)"))</f>
        <v/>
      </c>
      <c r="V1100" s="3">
        <f>IF(tblOrdenes[[#This Row],[centro_costo]]="","",_xlfn.XLOOKUP(tblOrdenes[[#This Row],[centro_costo]],tblCECO[codigo],tblCECO[coordinador],"(sin catálogo)"))</f>
        <v/>
      </c>
      <c r="W1100" s="3">
        <f>IF(tblOrdenes[[#This Row],[puesto_trabajo]]="","",_xlfn.XLOOKUP(tblOrdenes[[#This Row],[puesto_trabajo]],tblPuestos[codigo],tblPuestos[especialidad],"(sin catálogo)"))</f>
        <v/>
      </c>
      <c r="X1100" s="3">
        <f>IF(tblOrdenes[[#This Row],[cod_actividad]]="","",_xlfn.XLOOKUP(tblOrdenes[[#This Row],[cod_actividad]],tblActividades[codigo],tblActividades[descripcion],"(sin catálogo)"))</f>
        <v/>
      </c>
      <c r="Y1100" s="12">
        <f>IF(tblOrdenes[[#This Row],[fecha_inicio]]="","",TODAY()-tblOrdenes[[#This Row],[fecha_inicio]])</f>
        <v/>
      </c>
      <c r="Z1100" s="3">
        <f>IF(tblOrdenes[[#This Row],[backlog_dias]]="","",IF(tblOrdenes[[#This Row],[backlog_dias]]&lt;0,"FUTURO",IF(tblOrdenes[[#This Row],[backlog_dias]]&gt;p_dias_backlog_max,"BACKLOG","MES CORRIENTE")))</f>
        <v/>
      </c>
      <c r="AA1100" s="3">
        <f>IF(tblOrdenes[[#This Row],[backlog_dias]]="",FALSE,AND(tblOrdenes[[#This Row],[backlog_dias]]&gt;p_dias_backlog_min,tblOrdenes[[#This Row],[backlog_dias]]&lt;=p_dias_backlog_max))</f>
        <v/>
      </c>
      <c r="AB1100" s="6" t="n"/>
      <c r="AC1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0" s="10">
        <f>IF(tblOrdenes[[#This Row],[orden]]="","",_xlfn.XLOOKUP(tblOrdenes[[#This Row],[id_operacion]],tblEjecucion[id_operacion],tblEjecucion[precio],0))</f>
        <v/>
      </c>
      <c r="AG1100" s="10">
        <f>IF(tblOrdenes[[#This Row],[orden]]="","",MAX(0,_xlfn.XLOOKUP(tblOrdenes[[#This Row],[id_operacion]],tblEjecucion[id_operacion],tblEjecucion[costo_plan_total],0)-tblOrdenes[[#This Row],[costo_servicio]]))</f>
        <v/>
      </c>
      <c r="AH1100" s="10">
        <f>IF(tblOrdenes[[#This Row],[orden]]="","",tblOrdenes[[#This Row],[costo_servicio]]+tblOrdenes[[#This Row],[costo_materiales]])</f>
        <v/>
      </c>
      <c r="AI1100" s="6" t="n"/>
      <c r="AJ1100" s="6" t="n"/>
      <c r="AK1100" s="6" t="n"/>
      <c r="AL1100" s="3">
        <f>IF(tblOrdenes[[#This Row],[link_checklist]]="","",HYPERLINK(p_ruta_base_checklists&amp;tblOrdenes[[#This Row],[link_checklist]],"abrir"))</f>
        <v/>
      </c>
      <c r="AM1100" s="6" t="n"/>
      <c r="AN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Row],[tipo_ot]]="","",_xlfn.XLOOKUP(tblOrdenes[[#This Row],[tipo_ot]],tblTiposOT[codigo],tblTiposOT[clasificacion],"sin_clasificar"))</f>
        <v/>
      </c>
      <c r="T1101" s="3">
        <f>IF(tblOrdenes[[#This Row],[centro_costo]]="","",_xlfn.XLOOKUP(tblOrdenes[[#This Row],[centro_costo]],tblCECO[codigo],tblCECO[linea],"(sin catálogo)"))</f>
        <v/>
      </c>
      <c r="U1101" s="3">
        <f>IF(tblOrdenes[[#This Row],[centro_costo]]="","",_xlfn.XLOOKUP(tblOrdenes[[#This Row],[centro_costo]],tblCECO[codigo],tblCECO[area],"(sin catálogo)"))</f>
        <v/>
      </c>
      <c r="V1101" s="3">
        <f>IF(tblOrdenes[[#This Row],[centro_costo]]="","",_xlfn.XLOOKUP(tblOrdenes[[#This Row],[centro_costo]],tblCECO[codigo],tblCECO[coordinador],"(sin catálogo)"))</f>
        <v/>
      </c>
      <c r="W1101" s="3">
        <f>IF(tblOrdenes[[#This Row],[puesto_trabajo]]="","",_xlfn.XLOOKUP(tblOrdenes[[#This Row],[puesto_trabajo]],tblPuestos[codigo],tblPuestos[especialidad],"(sin catálogo)"))</f>
        <v/>
      </c>
      <c r="X1101" s="3">
        <f>IF(tblOrdenes[[#This Row],[cod_actividad]]="","",_xlfn.XLOOKUP(tblOrdenes[[#This Row],[cod_actividad]],tblActividades[codigo],tblActividades[descripcion],"(sin catálogo)"))</f>
        <v/>
      </c>
      <c r="Y1101" s="12">
        <f>IF(tblOrdenes[[#This Row],[fecha_inicio]]="","",TODAY()-tblOrdenes[[#This Row],[fecha_inicio]])</f>
        <v/>
      </c>
      <c r="Z1101" s="3">
        <f>IF(tblOrdenes[[#This Row],[backlog_dias]]="","",IF(tblOrdenes[[#This Row],[backlog_dias]]&lt;0,"FUTURO",IF(tblOrdenes[[#This Row],[backlog_dias]]&gt;p_dias_backlog_max,"BACKLOG","MES CORRIENTE")))</f>
        <v/>
      </c>
      <c r="AA1101" s="3">
        <f>IF(tblOrdenes[[#This Row],[backlog_dias]]="",FALSE,AND(tblOrdenes[[#This Row],[backlog_dias]]&gt;p_dias_backlog_min,tblOrdenes[[#This Row],[backlog_dias]]&lt;=p_dias_backlog_max))</f>
        <v/>
      </c>
      <c r="AB1101" s="6" t="n"/>
      <c r="AC1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1" s="10">
        <f>IF(tblOrdenes[[#This Row],[orden]]="","",_xlfn.XLOOKUP(tblOrdenes[[#This Row],[id_operacion]],tblEjecucion[id_operacion],tblEjecucion[precio],0))</f>
        <v/>
      </c>
      <c r="AG1101" s="10">
        <f>IF(tblOrdenes[[#This Row],[orden]]="","",MAX(0,_xlfn.XLOOKUP(tblOrdenes[[#This Row],[id_operacion]],tblEjecucion[id_operacion],tblEjecucion[costo_plan_total],0)-tblOrdenes[[#This Row],[costo_servicio]]))</f>
        <v/>
      </c>
      <c r="AH1101" s="10">
        <f>IF(tblOrdenes[[#This Row],[orden]]="","",tblOrdenes[[#This Row],[costo_servicio]]+tblOrdenes[[#This Row],[costo_materiales]])</f>
        <v/>
      </c>
      <c r="AI1101" s="6" t="n"/>
      <c r="AJ1101" s="6" t="n"/>
      <c r="AK1101" s="6" t="n"/>
      <c r="AL1101" s="3">
        <f>IF(tblOrdenes[[#This Row],[link_checklist]]="","",HYPERLINK(p_ruta_base_checklists&amp;tblOrdenes[[#This Row],[link_checklist]],"abrir"))</f>
        <v/>
      </c>
      <c r="AM1101" s="6" t="n"/>
      <c r="AN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Row],[tipo_ot]]="","",_xlfn.XLOOKUP(tblOrdenes[[#This Row],[tipo_ot]],tblTiposOT[codigo],tblTiposOT[clasificacion],"sin_clasificar"))</f>
        <v/>
      </c>
      <c r="T1102" s="3">
        <f>IF(tblOrdenes[[#This Row],[centro_costo]]="","",_xlfn.XLOOKUP(tblOrdenes[[#This Row],[centro_costo]],tblCECO[codigo],tblCECO[linea],"(sin catálogo)"))</f>
        <v/>
      </c>
      <c r="U1102" s="3">
        <f>IF(tblOrdenes[[#This Row],[centro_costo]]="","",_xlfn.XLOOKUP(tblOrdenes[[#This Row],[centro_costo]],tblCECO[codigo],tblCECO[area],"(sin catálogo)"))</f>
        <v/>
      </c>
      <c r="V1102" s="3">
        <f>IF(tblOrdenes[[#This Row],[centro_costo]]="","",_xlfn.XLOOKUP(tblOrdenes[[#This Row],[centro_costo]],tblCECO[codigo],tblCECO[coordinador],"(sin catálogo)"))</f>
        <v/>
      </c>
      <c r="W1102" s="3">
        <f>IF(tblOrdenes[[#This Row],[puesto_trabajo]]="","",_xlfn.XLOOKUP(tblOrdenes[[#This Row],[puesto_trabajo]],tblPuestos[codigo],tblPuestos[especialidad],"(sin catálogo)"))</f>
        <v/>
      </c>
      <c r="X1102" s="3">
        <f>IF(tblOrdenes[[#This Row],[cod_actividad]]="","",_xlfn.XLOOKUP(tblOrdenes[[#This Row],[cod_actividad]],tblActividades[codigo],tblActividades[descripcion],"(sin catálogo)"))</f>
        <v/>
      </c>
      <c r="Y1102" s="12">
        <f>IF(tblOrdenes[[#This Row],[fecha_inicio]]="","",TODAY()-tblOrdenes[[#This Row],[fecha_inicio]])</f>
        <v/>
      </c>
      <c r="Z1102" s="3">
        <f>IF(tblOrdenes[[#This Row],[backlog_dias]]="","",IF(tblOrdenes[[#This Row],[backlog_dias]]&lt;0,"FUTURO",IF(tblOrdenes[[#This Row],[backlog_dias]]&gt;p_dias_backlog_max,"BACKLOG","MES CORRIENTE")))</f>
        <v/>
      </c>
      <c r="AA1102" s="3">
        <f>IF(tblOrdenes[[#This Row],[backlog_dias]]="",FALSE,AND(tblOrdenes[[#This Row],[backlog_dias]]&gt;p_dias_backlog_min,tblOrdenes[[#This Row],[backlog_dias]]&lt;=p_dias_backlog_max))</f>
        <v/>
      </c>
      <c r="AB1102" s="6" t="n"/>
      <c r="AC1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2" s="10">
        <f>IF(tblOrdenes[[#This Row],[orden]]="","",_xlfn.XLOOKUP(tblOrdenes[[#This Row],[id_operacion]],tblEjecucion[id_operacion],tblEjecucion[precio],0))</f>
        <v/>
      </c>
      <c r="AG1102" s="10">
        <f>IF(tblOrdenes[[#This Row],[orden]]="","",MAX(0,_xlfn.XLOOKUP(tblOrdenes[[#This Row],[id_operacion]],tblEjecucion[id_operacion],tblEjecucion[costo_plan_total],0)-tblOrdenes[[#This Row],[costo_servicio]]))</f>
        <v/>
      </c>
      <c r="AH1102" s="10">
        <f>IF(tblOrdenes[[#This Row],[orden]]="","",tblOrdenes[[#This Row],[costo_servicio]]+tblOrdenes[[#This Row],[costo_materiales]])</f>
        <v/>
      </c>
      <c r="AI1102" s="6" t="n"/>
      <c r="AJ1102" s="6" t="n"/>
      <c r="AK1102" s="6" t="n"/>
      <c r="AL1102" s="3">
        <f>IF(tblOrdenes[[#This Row],[link_checklist]]="","",HYPERLINK(p_ruta_base_checklists&amp;tblOrdenes[[#This Row],[link_checklist]],"abrir"))</f>
        <v/>
      </c>
      <c r="AM1102" s="6" t="n"/>
      <c r="AN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Row],[tipo_ot]]="","",_xlfn.XLOOKUP(tblOrdenes[[#This Row],[tipo_ot]],tblTiposOT[codigo],tblTiposOT[clasificacion],"sin_clasificar"))</f>
        <v/>
      </c>
      <c r="T1103" s="3">
        <f>IF(tblOrdenes[[#This Row],[centro_costo]]="","",_xlfn.XLOOKUP(tblOrdenes[[#This Row],[centro_costo]],tblCECO[codigo],tblCECO[linea],"(sin catálogo)"))</f>
        <v/>
      </c>
      <c r="U1103" s="3">
        <f>IF(tblOrdenes[[#This Row],[centro_costo]]="","",_xlfn.XLOOKUP(tblOrdenes[[#This Row],[centro_costo]],tblCECO[codigo],tblCECO[area],"(sin catálogo)"))</f>
        <v/>
      </c>
      <c r="V1103" s="3">
        <f>IF(tblOrdenes[[#This Row],[centro_costo]]="","",_xlfn.XLOOKUP(tblOrdenes[[#This Row],[centro_costo]],tblCECO[codigo],tblCECO[coordinador],"(sin catálogo)"))</f>
        <v/>
      </c>
      <c r="W1103" s="3">
        <f>IF(tblOrdenes[[#This Row],[puesto_trabajo]]="","",_xlfn.XLOOKUP(tblOrdenes[[#This Row],[puesto_trabajo]],tblPuestos[codigo],tblPuestos[especialidad],"(sin catálogo)"))</f>
        <v/>
      </c>
      <c r="X1103" s="3">
        <f>IF(tblOrdenes[[#This Row],[cod_actividad]]="","",_xlfn.XLOOKUP(tblOrdenes[[#This Row],[cod_actividad]],tblActividades[codigo],tblActividades[descripcion],"(sin catálogo)"))</f>
        <v/>
      </c>
      <c r="Y1103" s="12">
        <f>IF(tblOrdenes[[#This Row],[fecha_inicio]]="","",TODAY()-tblOrdenes[[#This Row],[fecha_inicio]])</f>
        <v/>
      </c>
      <c r="Z1103" s="3">
        <f>IF(tblOrdenes[[#This Row],[backlog_dias]]="","",IF(tblOrdenes[[#This Row],[backlog_dias]]&lt;0,"FUTURO",IF(tblOrdenes[[#This Row],[backlog_dias]]&gt;p_dias_backlog_max,"BACKLOG","MES CORRIENTE")))</f>
        <v/>
      </c>
      <c r="AA1103" s="3">
        <f>IF(tblOrdenes[[#This Row],[backlog_dias]]="",FALSE,AND(tblOrdenes[[#This Row],[backlog_dias]]&gt;p_dias_backlog_min,tblOrdenes[[#This Row],[backlog_dias]]&lt;=p_dias_backlog_max))</f>
        <v/>
      </c>
      <c r="AB1103" s="6" t="n"/>
      <c r="AC1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3" s="10">
        <f>IF(tblOrdenes[[#This Row],[orden]]="","",_xlfn.XLOOKUP(tblOrdenes[[#This Row],[id_operacion]],tblEjecucion[id_operacion],tblEjecucion[precio],0))</f>
        <v/>
      </c>
      <c r="AG1103" s="10">
        <f>IF(tblOrdenes[[#This Row],[orden]]="","",MAX(0,_xlfn.XLOOKUP(tblOrdenes[[#This Row],[id_operacion]],tblEjecucion[id_operacion],tblEjecucion[costo_plan_total],0)-tblOrdenes[[#This Row],[costo_servicio]]))</f>
        <v/>
      </c>
      <c r="AH1103" s="10">
        <f>IF(tblOrdenes[[#This Row],[orden]]="","",tblOrdenes[[#This Row],[costo_servicio]]+tblOrdenes[[#This Row],[costo_materiales]])</f>
        <v/>
      </c>
      <c r="AI1103" s="6" t="n"/>
      <c r="AJ1103" s="6" t="n"/>
      <c r="AK1103" s="6" t="n"/>
      <c r="AL1103" s="3">
        <f>IF(tblOrdenes[[#This Row],[link_checklist]]="","",HYPERLINK(p_ruta_base_checklists&amp;tblOrdenes[[#This Row],[link_checklist]],"abrir"))</f>
        <v/>
      </c>
      <c r="AM1103" s="6" t="n"/>
      <c r="AN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Row],[tipo_ot]]="","",_xlfn.XLOOKUP(tblOrdenes[[#This Row],[tipo_ot]],tblTiposOT[codigo],tblTiposOT[clasificacion],"sin_clasificar"))</f>
        <v/>
      </c>
      <c r="T1104" s="3">
        <f>IF(tblOrdenes[[#This Row],[centro_costo]]="","",_xlfn.XLOOKUP(tblOrdenes[[#This Row],[centro_costo]],tblCECO[codigo],tblCECO[linea],"(sin catálogo)"))</f>
        <v/>
      </c>
      <c r="U1104" s="3">
        <f>IF(tblOrdenes[[#This Row],[centro_costo]]="","",_xlfn.XLOOKUP(tblOrdenes[[#This Row],[centro_costo]],tblCECO[codigo],tblCECO[area],"(sin catálogo)"))</f>
        <v/>
      </c>
      <c r="V1104" s="3">
        <f>IF(tblOrdenes[[#This Row],[centro_costo]]="","",_xlfn.XLOOKUP(tblOrdenes[[#This Row],[centro_costo]],tblCECO[codigo],tblCECO[coordinador],"(sin catálogo)"))</f>
        <v/>
      </c>
      <c r="W1104" s="3">
        <f>IF(tblOrdenes[[#This Row],[puesto_trabajo]]="","",_xlfn.XLOOKUP(tblOrdenes[[#This Row],[puesto_trabajo]],tblPuestos[codigo],tblPuestos[especialidad],"(sin catálogo)"))</f>
        <v/>
      </c>
      <c r="X1104" s="3">
        <f>IF(tblOrdenes[[#This Row],[cod_actividad]]="","",_xlfn.XLOOKUP(tblOrdenes[[#This Row],[cod_actividad]],tblActividades[codigo],tblActividades[descripcion],"(sin catálogo)"))</f>
        <v/>
      </c>
      <c r="Y1104" s="12">
        <f>IF(tblOrdenes[[#This Row],[fecha_inicio]]="","",TODAY()-tblOrdenes[[#This Row],[fecha_inicio]])</f>
        <v/>
      </c>
      <c r="Z1104" s="3">
        <f>IF(tblOrdenes[[#This Row],[backlog_dias]]="","",IF(tblOrdenes[[#This Row],[backlog_dias]]&lt;0,"FUTURO",IF(tblOrdenes[[#This Row],[backlog_dias]]&gt;p_dias_backlog_max,"BACKLOG","MES CORRIENTE")))</f>
        <v/>
      </c>
      <c r="AA1104" s="3">
        <f>IF(tblOrdenes[[#This Row],[backlog_dias]]="",FALSE,AND(tblOrdenes[[#This Row],[backlog_dias]]&gt;p_dias_backlog_min,tblOrdenes[[#This Row],[backlog_dias]]&lt;=p_dias_backlog_max))</f>
        <v/>
      </c>
      <c r="AB1104" s="6" t="n"/>
      <c r="AC1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4" s="10">
        <f>IF(tblOrdenes[[#This Row],[orden]]="","",_xlfn.XLOOKUP(tblOrdenes[[#This Row],[id_operacion]],tblEjecucion[id_operacion],tblEjecucion[precio],0))</f>
        <v/>
      </c>
      <c r="AG1104" s="10">
        <f>IF(tblOrdenes[[#This Row],[orden]]="","",MAX(0,_xlfn.XLOOKUP(tblOrdenes[[#This Row],[id_operacion]],tblEjecucion[id_operacion],tblEjecucion[costo_plan_total],0)-tblOrdenes[[#This Row],[costo_servicio]]))</f>
        <v/>
      </c>
      <c r="AH1104" s="10">
        <f>IF(tblOrdenes[[#This Row],[orden]]="","",tblOrdenes[[#This Row],[costo_servicio]]+tblOrdenes[[#This Row],[costo_materiales]])</f>
        <v/>
      </c>
      <c r="AI1104" s="6" t="n"/>
      <c r="AJ1104" s="6" t="n"/>
      <c r="AK1104" s="6" t="n"/>
      <c r="AL1104" s="3">
        <f>IF(tblOrdenes[[#This Row],[link_checklist]]="","",HYPERLINK(p_ruta_base_checklists&amp;tblOrdenes[[#This Row],[link_checklist]],"abrir"))</f>
        <v/>
      </c>
      <c r="AM1104" s="6" t="n"/>
      <c r="AN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Row],[tipo_ot]]="","",_xlfn.XLOOKUP(tblOrdenes[[#This Row],[tipo_ot]],tblTiposOT[codigo],tblTiposOT[clasificacion],"sin_clasificar"))</f>
        <v/>
      </c>
      <c r="T1105" s="3">
        <f>IF(tblOrdenes[[#This Row],[centro_costo]]="","",_xlfn.XLOOKUP(tblOrdenes[[#This Row],[centro_costo]],tblCECO[codigo],tblCECO[linea],"(sin catálogo)"))</f>
        <v/>
      </c>
      <c r="U1105" s="3">
        <f>IF(tblOrdenes[[#This Row],[centro_costo]]="","",_xlfn.XLOOKUP(tblOrdenes[[#This Row],[centro_costo]],tblCECO[codigo],tblCECO[area],"(sin catálogo)"))</f>
        <v/>
      </c>
      <c r="V1105" s="3">
        <f>IF(tblOrdenes[[#This Row],[centro_costo]]="","",_xlfn.XLOOKUP(tblOrdenes[[#This Row],[centro_costo]],tblCECO[codigo],tblCECO[coordinador],"(sin catálogo)"))</f>
        <v/>
      </c>
      <c r="W1105" s="3">
        <f>IF(tblOrdenes[[#This Row],[puesto_trabajo]]="","",_xlfn.XLOOKUP(tblOrdenes[[#This Row],[puesto_trabajo]],tblPuestos[codigo],tblPuestos[especialidad],"(sin catálogo)"))</f>
        <v/>
      </c>
      <c r="X1105" s="3">
        <f>IF(tblOrdenes[[#This Row],[cod_actividad]]="","",_xlfn.XLOOKUP(tblOrdenes[[#This Row],[cod_actividad]],tblActividades[codigo],tblActividades[descripcion],"(sin catálogo)"))</f>
        <v/>
      </c>
      <c r="Y1105" s="12">
        <f>IF(tblOrdenes[[#This Row],[fecha_inicio]]="","",TODAY()-tblOrdenes[[#This Row],[fecha_inicio]])</f>
        <v/>
      </c>
      <c r="Z1105" s="3">
        <f>IF(tblOrdenes[[#This Row],[backlog_dias]]="","",IF(tblOrdenes[[#This Row],[backlog_dias]]&lt;0,"FUTURO",IF(tblOrdenes[[#This Row],[backlog_dias]]&gt;p_dias_backlog_max,"BACKLOG","MES CORRIENTE")))</f>
        <v/>
      </c>
      <c r="AA1105" s="3">
        <f>IF(tblOrdenes[[#This Row],[backlog_dias]]="",FALSE,AND(tblOrdenes[[#This Row],[backlog_dias]]&gt;p_dias_backlog_min,tblOrdenes[[#This Row],[backlog_dias]]&lt;=p_dias_backlog_max))</f>
        <v/>
      </c>
      <c r="AB1105" s="6" t="n"/>
      <c r="AC1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5" s="10">
        <f>IF(tblOrdenes[[#This Row],[orden]]="","",_xlfn.XLOOKUP(tblOrdenes[[#This Row],[id_operacion]],tblEjecucion[id_operacion],tblEjecucion[precio],0))</f>
        <v/>
      </c>
      <c r="AG1105" s="10">
        <f>IF(tblOrdenes[[#This Row],[orden]]="","",MAX(0,_xlfn.XLOOKUP(tblOrdenes[[#This Row],[id_operacion]],tblEjecucion[id_operacion],tblEjecucion[costo_plan_total],0)-tblOrdenes[[#This Row],[costo_servicio]]))</f>
        <v/>
      </c>
      <c r="AH1105" s="10">
        <f>IF(tblOrdenes[[#This Row],[orden]]="","",tblOrdenes[[#This Row],[costo_servicio]]+tblOrdenes[[#This Row],[costo_materiales]])</f>
        <v/>
      </c>
      <c r="AI1105" s="6" t="n"/>
      <c r="AJ1105" s="6" t="n"/>
      <c r="AK1105" s="6" t="n"/>
      <c r="AL1105" s="3">
        <f>IF(tblOrdenes[[#This Row],[link_checklist]]="","",HYPERLINK(p_ruta_base_checklists&amp;tblOrdenes[[#This Row],[link_checklist]],"abrir"))</f>
        <v/>
      </c>
      <c r="AM1105" s="6" t="n"/>
      <c r="AN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Row],[tipo_ot]]="","",_xlfn.XLOOKUP(tblOrdenes[[#This Row],[tipo_ot]],tblTiposOT[codigo],tblTiposOT[clasificacion],"sin_clasificar"))</f>
        <v/>
      </c>
      <c r="T1106" s="3">
        <f>IF(tblOrdenes[[#This Row],[centro_costo]]="","",_xlfn.XLOOKUP(tblOrdenes[[#This Row],[centro_costo]],tblCECO[codigo],tblCECO[linea],"(sin catálogo)"))</f>
        <v/>
      </c>
      <c r="U1106" s="3">
        <f>IF(tblOrdenes[[#This Row],[centro_costo]]="","",_xlfn.XLOOKUP(tblOrdenes[[#This Row],[centro_costo]],tblCECO[codigo],tblCECO[area],"(sin catálogo)"))</f>
        <v/>
      </c>
      <c r="V1106" s="3">
        <f>IF(tblOrdenes[[#This Row],[centro_costo]]="","",_xlfn.XLOOKUP(tblOrdenes[[#This Row],[centro_costo]],tblCECO[codigo],tblCECO[coordinador],"(sin catálogo)"))</f>
        <v/>
      </c>
      <c r="W1106" s="3">
        <f>IF(tblOrdenes[[#This Row],[puesto_trabajo]]="","",_xlfn.XLOOKUP(tblOrdenes[[#This Row],[puesto_trabajo]],tblPuestos[codigo],tblPuestos[especialidad],"(sin catálogo)"))</f>
        <v/>
      </c>
      <c r="X1106" s="3">
        <f>IF(tblOrdenes[[#This Row],[cod_actividad]]="","",_xlfn.XLOOKUP(tblOrdenes[[#This Row],[cod_actividad]],tblActividades[codigo],tblActividades[descripcion],"(sin catálogo)"))</f>
        <v/>
      </c>
      <c r="Y1106" s="12">
        <f>IF(tblOrdenes[[#This Row],[fecha_inicio]]="","",TODAY()-tblOrdenes[[#This Row],[fecha_inicio]])</f>
        <v/>
      </c>
      <c r="Z1106" s="3">
        <f>IF(tblOrdenes[[#This Row],[backlog_dias]]="","",IF(tblOrdenes[[#This Row],[backlog_dias]]&lt;0,"FUTURO",IF(tblOrdenes[[#This Row],[backlog_dias]]&gt;p_dias_backlog_max,"BACKLOG","MES CORRIENTE")))</f>
        <v/>
      </c>
      <c r="AA1106" s="3">
        <f>IF(tblOrdenes[[#This Row],[backlog_dias]]="",FALSE,AND(tblOrdenes[[#This Row],[backlog_dias]]&gt;p_dias_backlog_min,tblOrdenes[[#This Row],[backlog_dias]]&lt;=p_dias_backlog_max))</f>
        <v/>
      </c>
      <c r="AB1106" s="6" t="n"/>
      <c r="AC1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6" s="10">
        <f>IF(tblOrdenes[[#This Row],[orden]]="","",_xlfn.XLOOKUP(tblOrdenes[[#This Row],[id_operacion]],tblEjecucion[id_operacion],tblEjecucion[precio],0))</f>
        <v/>
      </c>
      <c r="AG1106" s="10">
        <f>IF(tblOrdenes[[#This Row],[orden]]="","",MAX(0,_xlfn.XLOOKUP(tblOrdenes[[#This Row],[id_operacion]],tblEjecucion[id_operacion],tblEjecucion[costo_plan_total],0)-tblOrdenes[[#This Row],[costo_servicio]]))</f>
        <v/>
      </c>
      <c r="AH1106" s="10">
        <f>IF(tblOrdenes[[#This Row],[orden]]="","",tblOrdenes[[#This Row],[costo_servicio]]+tblOrdenes[[#This Row],[costo_materiales]])</f>
        <v/>
      </c>
      <c r="AI1106" s="6" t="n"/>
      <c r="AJ1106" s="6" t="n"/>
      <c r="AK1106" s="6" t="n"/>
      <c r="AL1106" s="3">
        <f>IF(tblOrdenes[[#This Row],[link_checklist]]="","",HYPERLINK(p_ruta_base_checklists&amp;tblOrdenes[[#This Row],[link_checklist]],"abrir"))</f>
        <v/>
      </c>
      <c r="AM1106" s="6" t="n"/>
      <c r="AN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Row],[tipo_ot]]="","",_xlfn.XLOOKUP(tblOrdenes[[#This Row],[tipo_ot]],tblTiposOT[codigo],tblTiposOT[clasificacion],"sin_clasificar"))</f>
        <v/>
      </c>
      <c r="T1107" s="3">
        <f>IF(tblOrdenes[[#This Row],[centro_costo]]="","",_xlfn.XLOOKUP(tblOrdenes[[#This Row],[centro_costo]],tblCECO[codigo],tblCECO[linea],"(sin catálogo)"))</f>
        <v/>
      </c>
      <c r="U1107" s="3">
        <f>IF(tblOrdenes[[#This Row],[centro_costo]]="","",_xlfn.XLOOKUP(tblOrdenes[[#This Row],[centro_costo]],tblCECO[codigo],tblCECO[area],"(sin catálogo)"))</f>
        <v/>
      </c>
      <c r="V1107" s="3">
        <f>IF(tblOrdenes[[#This Row],[centro_costo]]="","",_xlfn.XLOOKUP(tblOrdenes[[#This Row],[centro_costo]],tblCECO[codigo],tblCECO[coordinador],"(sin catálogo)"))</f>
        <v/>
      </c>
      <c r="W1107" s="3">
        <f>IF(tblOrdenes[[#This Row],[puesto_trabajo]]="","",_xlfn.XLOOKUP(tblOrdenes[[#This Row],[puesto_trabajo]],tblPuestos[codigo],tblPuestos[especialidad],"(sin catálogo)"))</f>
        <v/>
      </c>
      <c r="X1107" s="3">
        <f>IF(tblOrdenes[[#This Row],[cod_actividad]]="","",_xlfn.XLOOKUP(tblOrdenes[[#This Row],[cod_actividad]],tblActividades[codigo],tblActividades[descripcion],"(sin catálogo)"))</f>
        <v/>
      </c>
      <c r="Y1107" s="12">
        <f>IF(tblOrdenes[[#This Row],[fecha_inicio]]="","",TODAY()-tblOrdenes[[#This Row],[fecha_inicio]])</f>
        <v/>
      </c>
      <c r="Z1107" s="3">
        <f>IF(tblOrdenes[[#This Row],[backlog_dias]]="","",IF(tblOrdenes[[#This Row],[backlog_dias]]&lt;0,"FUTURO",IF(tblOrdenes[[#This Row],[backlog_dias]]&gt;p_dias_backlog_max,"BACKLOG","MES CORRIENTE")))</f>
        <v/>
      </c>
      <c r="AA1107" s="3">
        <f>IF(tblOrdenes[[#This Row],[backlog_dias]]="",FALSE,AND(tblOrdenes[[#This Row],[backlog_dias]]&gt;p_dias_backlog_min,tblOrdenes[[#This Row],[backlog_dias]]&lt;=p_dias_backlog_max))</f>
        <v/>
      </c>
      <c r="AB1107" s="6" t="n"/>
      <c r="AC1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7" s="10">
        <f>IF(tblOrdenes[[#This Row],[orden]]="","",_xlfn.XLOOKUP(tblOrdenes[[#This Row],[id_operacion]],tblEjecucion[id_operacion],tblEjecucion[precio],0))</f>
        <v/>
      </c>
      <c r="AG1107" s="10">
        <f>IF(tblOrdenes[[#This Row],[orden]]="","",MAX(0,_xlfn.XLOOKUP(tblOrdenes[[#This Row],[id_operacion]],tblEjecucion[id_operacion],tblEjecucion[costo_plan_total],0)-tblOrdenes[[#This Row],[costo_servicio]]))</f>
        <v/>
      </c>
      <c r="AH1107" s="10">
        <f>IF(tblOrdenes[[#This Row],[orden]]="","",tblOrdenes[[#This Row],[costo_servicio]]+tblOrdenes[[#This Row],[costo_materiales]])</f>
        <v/>
      </c>
      <c r="AI1107" s="6" t="n"/>
      <c r="AJ1107" s="6" t="n"/>
      <c r="AK1107" s="6" t="n"/>
      <c r="AL1107" s="3">
        <f>IF(tblOrdenes[[#This Row],[link_checklist]]="","",HYPERLINK(p_ruta_base_checklists&amp;tblOrdenes[[#This Row],[link_checklist]],"abrir"))</f>
        <v/>
      </c>
      <c r="AM1107" s="6" t="n"/>
      <c r="AN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Row],[tipo_ot]]="","",_xlfn.XLOOKUP(tblOrdenes[[#This Row],[tipo_ot]],tblTiposOT[codigo],tblTiposOT[clasificacion],"sin_clasificar"))</f>
        <v/>
      </c>
      <c r="T1108" s="3">
        <f>IF(tblOrdenes[[#This Row],[centro_costo]]="","",_xlfn.XLOOKUP(tblOrdenes[[#This Row],[centro_costo]],tblCECO[codigo],tblCECO[linea],"(sin catálogo)"))</f>
        <v/>
      </c>
      <c r="U1108" s="3">
        <f>IF(tblOrdenes[[#This Row],[centro_costo]]="","",_xlfn.XLOOKUP(tblOrdenes[[#This Row],[centro_costo]],tblCECO[codigo],tblCECO[area],"(sin catálogo)"))</f>
        <v/>
      </c>
      <c r="V1108" s="3">
        <f>IF(tblOrdenes[[#This Row],[centro_costo]]="","",_xlfn.XLOOKUP(tblOrdenes[[#This Row],[centro_costo]],tblCECO[codigo],tblCECO[coordinador],"(sin catálogo)"))</f>
        <v/>
      </c>
      <c r="W1108" s="3">
        <f>IF(tblOrdenes[[#This Row],[puesto_trabajo]]="","",_xlfn.XLOOKUP(tblOrdenes[[#This Row],[puesto_trabajo]],tblPuestos[codigo],tblPuestos[especialidad],"(sin catálogo)"))</f>
        <v/>
      </c>
      <c r="X1108" s="3">
        <f>IF(tblOrdenes[[#This Row],[cod_actividad]]="","",_xlfn.XLOOKUP(tblOrdenes[[#This Row],[cod_actividad]],tblActividades[codigo],tblActividades[descripcion],"(sin catálogo)"))</f>
        <v/>
      </c>
      <c r="Y1108" s="12">
        <f>IF(tblOrdenes[[#This Row],[fecha_inicio]]="","",TODAY()-tblOrdenes[[#This Row],[fecha_inicio]])</f>
        <v/>
      </c>
      <c r="Z1108" s="3">
        <f>IF(tblOrdenes[[#This Row],[backlog_dias]]="","",IF(tblOrdenes[[#This Row],[backlog_dias]]&lt;0,"FUTURO",IF(tblOrdenes[[#This Row],[backlog_dias]]&gt;p_dias_backlog_max,"BACKLOG","MES CORRIENTE")))</f>
        <v/>
      </c>
      <c r="AA1108" s="3">
        <f>IF(tblOrdenes[[#This Row],[backlog_dias]]="",FALSE,AND(tblOrdenes[[#This Row],[backlog_dias]]&gt;p_dias_backlog_min,tblOrdenes[[#This Row],[backlog_dias]]&lt;=p_dias_backlog_max))</f>
        <v/>
      </c>
      <c r="AB1108" s="6" t="n"/>
      <c r="AC1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8" s="10">
        <f>IF(tblOrdenes[[#This Row],[orden]]="","",_xlfn.XLOOKUP(tblOrdenes[[#This Row],[id_operacion]],tblEjecucion[id_operacion],tblEjecucion[precio],0))</f>
        <v/>
      </c>
      <c r="AG1108" s="10">
        <f>IF(tblOrdenes[[#This Row],[orden]]="","",MAX(0,_xlfn.XLOOKUP(tblOrdenes[[#This Row],[id_operacion]],tblEjecucion[id_operacion],tblEjecucion[costo_plan_total],0)-tblOrdenes[[#This Row],[costo_servicio]]))</f>
        <v/>
      </c>
      <c r="AH1108" s="10">
        <f>IF(tblOrdenes[[#This Row],[orden]]="","",tblOrdenes[[#This Row],[costo_servicio]]+tblOrdenes[[#This Row],[costo_materiales]])</f>
        <v/>
      </c>
      <c r="AI1108" s="6" t="n"/>
      <c r="AJ1108" s="6" t="n"/>
      <c r="AK1108" s="6" t="n"/>
      <c r="AL1108" s="3">
        <f>IF(tblOrdenes[[#This Row],[link_checklist]]="","",HYPERLINK(p_ruta_base_checklists&amp;tblOrdenes[[#This Row],[link_checklist]],"abrir"))</f>
        <v/>
      </c>
      <c r="AM1108" s="6" t="n"/>
      <c r="AN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Row],[tipo_ot]]="","",_xlfn.XLOOKUP(tblOrdenes[[#This Row],[tipo_ot]],tblTiposOT[codigo],tblTiposOT[clasificacion],"sin_clasificar"))</f>
        <v/>
      </c>
      <c r="T1109" s="3">
        <f>IF(tblOrdenes[[#This Row],[centro_costo]]="","",_xlfn.XLOOKUP(tblOrdenes[[#This Row],[centro_costo]],tblCECO[codigo],tblCECO[linea],"(sin catálogo)"))</f>
        <v/>
      </c>
      <c r="U1109" s="3">
        <f>IF(tblOrdenes[[#This Row],[centro_costo]]="","",_xlfn.XLOOKUP(tblOrdenes[[#This Row],[centro_costo]],tblCECO[codigo],tblCECO[area],"(sin catálogo)"))</f>
        <v/>
      </c>
      <c r="V1109" s="3">
        <f>IF(tblOrdenes[[#This Row],[centro_costo]]="","",_xlfn.XLOOKUP(tblOrdenes[[#This Row],[centro_costo]],tblCECO[codigo],tblCECO[coordinador],"(sin catálogo)"))</f>
        <v/>
      </c>
      <c r="W1109" s="3">
        <f>IF(tblOrdenes[[#This Row],[puesto_trabajo]]="","",_xlfn.XLOOKUP(tblOrdenes[[#This Row],[puesto_trabajo]],tblPuestos[codigo],tblPuestos[especialidad],"(sin catálogo)"))</f>
        <v/>
      </c>
      <c r="X1109" s="3">
        <f>IF(tblOrdenes[[#This Row],[cod_actividad]]="","",_xlfn.XLOOKUP(tblOrdenes[[#This Row],[cod_actividad]],tblActividades[codigo],tblActividades[descripcion],"(sin catálogo)"))</f>
        <v/>
      </c>
      <c r="Y1109" s="12">
        <f>IF(tblOrdenes[[#This Row],[fecha_inicio]]="","",TODAY()-tblOrdenes[[#This Row],[fecha_inicio]])</f>
        <v/>
      </c>
      <c r="Z1109" s="3">
        <f>IF(tblOrdenes[[#This Row],[backlog_dias]]="","",IF(tblOrdenes[[#This Row],[backlog_dias]]&lt;0,"FUTURO",IF(tblOrdenes[[#This Row],[backlog_dias]]&gt;p_dias_backlog_max,"BACKLOG","MES CORRIENTE")))</f>
        <v/>
      </c>
      <c r="AA1109" s="3">
        <f>IF(tblOrdenes[[#This Row],[backlog_dias]]="",FALSE,AND(tblOrdenes[[#This Row],[backlog_dias]]&gt;p_dias_backlog_min,tblOrdenes[[#This Row],[backlog_dias]]&lt;=p_dias_backlog_max))</f>
        <v/>
      </c>
      <c r="AB1109" s="6" t="n"/>
      <c r="AC1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9" s="10">
        <f>IF(tblOrdenes[[#This Row],[orden]]="","",_xlfn.XLOOKUP(tblOrdenes[[#This Row],[id_operacion]],tblEjecucion[id_operacion],tblEjecucion[precio],0))</f>
        <v/>
      </c>
      <c r="AG1109" s="10">
        <f>IF(tblOrdenes[[#This Row],[orden]]="","",MAX(0,_xlfn.XLOOKUP(tblOrdenes[[#This Row],[id_operacion]],tblEjecucion[id_operacion],tblEjecucion[costo_plan_total],0)-tblOrdenes[[#This Row],[costo_servicio]]))</f>
        <v/>
      </c>
      <c r="AH1109" s="10">
        <f>IF(tblOrdenes[[#This Row],[orden]]="","",tblOrdenes[[#This Row],[costo_servicio]]+tblOrdenes[[#This Row],[costo_materiales]])</f>
        <v/>
      </c>
      <c r="AI1109" s="6" t="n"/>
      <c r="AJ1109" s="6" t="n"/>
      <c r="AK1109" s="6" t="n"/>
      <c r="AL1109" s="3">
        <f>IF(tblOrdenes[[#This Row],[link_checklist]]="","",HYPERLINK(p_ruta_base_checklists&amp;tblOrdenes[[#This Row],[link_checklist]],"abrir"))</f>
        <v/>
      </c>
      <c r="AM1109" s="6" t="n"/>
      <c r="AN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Row],[tipo_ot]]="","",_xlfn.XLOOKUP(tblOrdenes[[#This Row],[tipo_ot]],tblTiposOT[codigo],tblTiposOT[clasificacion],"sin_clasificar"))</f>
        <v/>
      </c>
      <c r="T1110" s="3">
        <f>IF(tblOrdenes[[#This Row],[centro_costo]]="","",_xlfn.XLOOKUP(tblOrdenes[[#This Row],[centro_costo]],tblCECO[codigo],tblCECO[linea],"(sin catálogo)"))</f>
        <v/>
      </c>
      <c r="U1110" s="3">
        <f>IF(tblOrdenes[[#This Row],[centro_costo]]="","",_xlfn.XLOOKUP(tblOrdenes[[#This Row],[centro_costo]],tblCECO[codigo],tblCECO[area],"(sin catálogo)"))</f>
        <v/>
      </c>
      <c r="V1110" s="3">
        <f>IF(tblOrdenes[[#This Row],[centro_costo]]="","",_xlfn.XLOOKUP(tblOrdenes[[#This Row],[centro_costo]],tblCECO[codigo],tblCECO[coordinador],"(sin catálogo)"))</f>
        <v/>
      </c>
      <c r="W1110" s="3">
        <f>IF(tblOrdenes[[#This Row],[puesto_trabajo]]="","",_xlfn.XLOOKUP(tblOrdenes[[#This Row],[puesto_trabajo]],tblPuestos[codigo],tblPuestos[especialidad],"(sin catálogo)"))</f>
        <v/>
      </c>
      <c r="X1110" s="3">
        <f>IF(tblOrdenes[[#This Row],[cod_actividad]]="","",_xlfn.XLOOKUP(tblOrdenes[[#This Row],[cod_actividad]],tblActividades[codigo],tblActividades[descripcion],"(sin catálogo)"))</f>
        <v/>
      </c>
      <c r="Y1110" s="12">
        <f>IF(tblOrdenes[[#This Row],[fecha_inicio]]="","",TODAY()-tblOrdenes[[#This Row],[fecha_inicio]])</f>
        <v/>
      </c>
      <c r="Z1110" s="3">
        <f>IF(tblOrdenes[[#This Row],[backlog_dias]]="","",IF(tblOrdenes[[#This Row],[backlog_dias]]&lt;0,"FUTURO",IF(tblOrdenes[[#This Row],[backlog_dias]]&gt;p_dias_backlog_max,"BACKLOG","MES CORRIENTE")))</f>
        <v/>
      </c>
      <c r="AA1110" s="3">
        <f>IF(tblOrdenes[[#This Row],[backlog_dias]]="",FALSE,AND(tblOrdenes[[#This Row],[backlog_dias]]&gt;p_dias_backlog_min,tblOrdenes[[#This Row],[backlog_dias]]&lt;=p_dias_backlog_max))</f>
        <v/>
      </c>
      <c r="AB1110" s="6" t="n"/>
      <c r="AC1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0" s="10">
        <f>IF(tblOrdenes[[#This Row],[orden]]="","",_xlfn.XLOOKUP(tblOrdenes[[#This Row],[id_operacion]],tblEjecucion[id_operacion],tblEjecucion[precio],0))</f>
        <v/>
      </c>
      <c r="AG1110" s="10">
        <f>IF(tblOrdenes[[#This Row],[orden]]="","",MAX(0,_xlfn.XLOOKUP(tblOrdenes[[#This Row],[id_operacion]],tblEjecucion[id_operacion],tblEjecucion[costo_plan_total],0)-tblOrdenes[[#This Row],[costo_servicio]]))</f>
        <v/>
      </c>
      <c r="AH1110" s="10">
        <f>IF(tblOrdenes[[#This Row],[orden]]="","",tblOrdenes[[#This Row],[costo_servicio]]+tblOrdenes[[#This Row],[costo_materiales]])</f>
        <v/>
      </c>
      <c r="AI1110" s="6" t="n"/>
      <c r="AJ1110" s="6" t="n"/>
      <c r="AK1110" s="6" t="n"/>
      <c r="AL1110" s="3">
        <f>IF(tblOrdenes[[#This Row],[link_checklist]]="","",HYPERLINK(p_ruta_base_checklists&amp;tblOrdenes[[#This Row],[link_checklist]],"abrir"))</f>
        <v/>
      </c>
      <c r="AM1110" s="6" t="n"/>
      <c r="AN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Row],[tipo_ot]]="","",_xlfn.XLOOKUP(tblOrdenes[[#This Row],[tipo_ot]],tblTiposOT[codigo],tblTiposOT[clasificacion],"sin_clasificar"))</f>
        <v/>
      </c>
      <c r="T1111" s="3">
        <f>IF(tblOrdenes[[#This Row],[centro_costo]]="","",_xlfn.XLOOKUP(tblOrdenes[[#This Row],[centro_costo]],tblCECO[codigo],tblCECO[linea],"(sin catálogo)"))</f>
        <v/>
      </c>
      <c r="U1111" s="3">
        <f>IF(tblOrdenes[[#This Row],[centro_costo]]="","",_xlfn.XLOOKUP(tblOrdenes[[#This Row],[centro_costo]],tblCECO[codigo],tblCECO[area],"(sin catálogo)"))</f>
        <v/>
      </c>
      <c r="V1111" s="3">
        <f>IF(tblOrdenes[[#This Row],[centro_costo]]="","",_xlfn.XLOOKUP(tblOrdenes[[#This Row],[centro_costo]],tblCECO[codigo],tblCECO[coordinador],"(sin catálogo)"))</f>
        <v/>
      </c>
      <c r="W1111" s="3">
        <f>IF(tblOrdenes[[#This Row],[puesto_trabajo]]="","",_xlfn.XLOOKUP(tblOrdenes[[#This Row],[puesto_trabajo]],tblPuestos[codigo],tblPuestos[especialidad],"(sin catálogo)"))</f>
        <v/>
      </c>
      <c r="X1111" s="3">
        <f>IF(tblOrdenes[[#This Row],[cod_actividad]]="","",_xlfn.XLOOKUP(tblOrdenes[[#This Row],[cod_actividad]],tblActividades[codigo],tblActividades[descripcion],"(sin catálogo)"))</f>
        <v/>
      </c>
      <c r="Y1111" s="12">
        <f>IF(tblOrdenes[[#This Row],[fecha_inicio]]="","",TODAY()-tblOrdenes[[#This Row],[fecha_inicio]])</f>
        <v/>
      </c>
      <c r="Z1111" s="3">
        <f>IF(tblOrdenes[[#This Row],[backlog_dias]]="","",IF(tblOrdenes[[#This Row],[backlog_dias]]&lt;0,"FUTURO",IF(tblOrdenes[[#This Row],[backlog_dias]]&gt;p_dias_backlog_max,"BACKLOG","MES CORRIENTE")))</f>
        <v/>
      </c>
      <c r="AA1111" s="3">
        <f>IF(tblOrdenes[[#This Row],[backlog_dias]]="",FALSE,AND(tblOrdenes[[#This Row],[backlog_dias]]&gt;p_dias_backlog_min,tblOrdenes[[#This Row],[backlog_dias]]&lt;=p_dias_backlog_max))</f>
        <v/>
      </c>
      <c r="AB1111" s="6" t="n"/>
      <c r="AC1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1" s="10">
        <f>IF(tblOrdenes[[#This Row],[orden]]="","",_xlfn.XLOOKUP(tblOrdenes[[#This Row],[id_operacion]],tblEjecucion[id_operacion],tblEjecucion[precio],0))</f>
        <v/>
      </c>
      <c r="AG1111" s="10">
        <f>IF(tblOrdenes[[#This Row],[orden]]="","",MAX(0,_xlfn.XLOOKUP(tblOrdenes[[#This Row],[id_operacion]],tblEjecucion[id_operacion],tblEjecucion[costo_plan_total],0)-tblOrdenes[[#This Row],[costo_servicio]]))</f>
        <v/>
      </c>
      <c r="AH1111" s="10">
        <f>IF(tblOrdenes[[#This Row],[orden]]="","",tblOrdenes[[#This Row],[costo_servicio]]+tblOrdenes[[#This Row],[costo_materiales]])</f>
        <v/>
      </c>
      <c r="AI1111" s="6" t="n"/>
      <c r="AJ1111" s="6" t="n"/>
      <c r="AK1111" s="6" t="n"/>
      <c r="AL1111" s="3">
        <f>IF(tblOrdenes[[#This Row],[link_checklist]]="","",HYPERLINK(p_ruta_base_checklists&amp;tblOrdenes[[#This Row],[link_checklist]],"abrir"))</f>
        <v/>
      </c>
      <c r="AM1111" s="6" t="n"/>
      <c r="AN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Row],[tipo_ot]]="","",_xlfn.XLOOKUP(tblOrdenes[[#This Row],[tipo_ot]],tblTiposOT[codigo],tblTiposOT[clasificacion],"sin_clasificar"))</f>
        <v/>
      </c>
      <c r="T1112" s="3">
        <f>IF(tblOrdenes[[#This Row],[centro_costo]]="","",_xlfn.XLOOKUP(tblOrdenes[[#This Row],[centro_costo]],tblCECO[codigo],tblCECO[linea],"(sin catálogo)"))</f>
        <v/>
      </c>
      <c r="U1112" s="3">
        <f>IF(tblOrdenes[[#This Row],[centro_costo]]="","",_xlfn.XLOOKUP(tblOrdenes[[#This Row],[centro_costo]],tblCECO[codigo],tblCECO[area],"(sin catálogo)"))</f>
        <v/>
      </c>
      <c r="V1112" s="3">
        <f>IF(tblOrdenes[[#This Row],[centro_costo]]="","",_xlfn.XLOOKUP(tblOrdenes[[#This Row],[centro_costo]],tblCECO[codigo],tblCECO[coordinador],"(sin catálogo)"))</f>
        <v/>
      </c>
      <c r="W1112" s="3">
        <f>IF(tblOrdenes[[#This Row],[puesto_trabajo]]="","",_xlfn.XLOOKUP(tblOrdenes[[#This Row],[puesto_trabajo]],tblPuestos[codigo],tblPuestos[especialidad],"(sin catálogo)"))</f>
        <v/>
      </c>
      <c r="X1112" s="3">
        <f>IF(tblOrdenes[[#This Row],[cod_actividad]]="","",_xlfn.XLOOKUP(tblOrdenes[[#This Row],[cod_actividad]],tblActividades[codigo],tblActividades[descripcion],"(sin catálogo)"))</f>
        <v/>
      </c>
      <c r="Y1112" s="12">
        <f>IF(tblOrdenes[[#This Row],[fecha_inicio]]="","",TODAY()-tblOrdenes[[#This Row],[fecha_inicio]])</f>
        <v/>
      </c>
      <c r="Z1112" s="3">
        <f>IF(tblOrdenes[[#This Row],[backlog_dias]]="","",IF(tblOrdenes[[#This Row],[backlog_dias]]&lt;0,"FUTURO",IF(tblOrdenes[[#This Row],[backlog_dias]]&gt;p_dias_backlog_max,"BACKLOG","MES CORRIENTE")))</f>
        <v/>
      </c>
      <c r="AA1112" s="3">
        <f>IF(tblOrdenes[[#This Row],[backlog_dias]]="",FALSE,AND(tblOrdenes[[#This Row],[backlog_dias]]&gt;p_dias_backlog_min,tblOrdenes[[#This Row],[backlog_dias]]&lt;=p_dias_backlog_max))</f>
        <v/>
      </c>
      <c r="AB1112" s="6" t="n"/>
      <c r="AC1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2" s="10">
        <f>IF(tblOrdenes[[#This Row],[orden]]="","",_xlfn.XLOOKUP(tblOrdenes[[#This Row],[id_operacion]],tblEjecucion[id_operacion],tblEjecucion[precio],0))</f>
        <v/>
      </c>
      <c r="AG1112" s="10">
        <f>IF(tblOrdenes[[#This Row],[orden]]="","",MAX(0,_xlfn.XLOOKUP(tblOrdenes[[#This Row],[id_operacion]],tblEjecucion[id_operacion],tblEjecucion[costo_plan_total],0)-tblOrdenes[[#This Row],[costo_servicio]]))</f>
        <v/>
      </c>
      <c r="AH1112" s="10">
        <f>IF(tblOrdenes[[#This Row],[orden]]="","",tblOrdenes[[#This Row],[costo_servicio]]+tblOrdenes[[#This Row],[costo_materiales]])</f>
        <v/>
      </c>
      <c r="AI1112" s="6" t="n"/>
      <c r="AJ1112" s="6" t="n"/>
      <c r="AK1112" s="6" t="n"/>
      <c r="AL1112" s="3">
        <f>IF(tblOrdenes[[#This Row],[link_checklist]]="","",HYPERLINK(p_ruta_base_checklists&amp;tblOrdenes[[#This Row],[link_checklist]],"abrir"))</f>
        <v/>
      </c>
      <c r="AM1112" s="6" t="n"/>
      <c r="AN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Row],[tipo_ot]]="","",_xlfn.XLOOKUP(tblOrdenes[[#This Row],[tipo_ot]],tblTiposOT[codigo],tblTiposOT[clasificacion],"sin_clasificar"))</f>
        <v/>
      </c>
      <c r="T1113" s="3">
        <f>IF(tblOrdenes[[#This Row],[centro_costo]]="","",_xlfn.XLOOKUP(tblOrdenes[[#This Row],[centro_costo]],tblCECO[codigo],tblCECO[linea],"(sin catálogo)"))</f>
        <v/>
      </c>
      <c r="U1113" s="3">
        <f>IF(tblOrdenes[[#This Row],[centro_costo]]="","",_xlfn.XLOOKUP(tblOrdenes[[#This Row],[centro_costo]],tblCECO[codigo],tblCECO[area],"(sin catálogo)"))</f>
        <v/>
      </c>
      <c r="V1113" s="3">
        <f>IF(tblOrdenes[[#This Row],[centro_costo]]="","",_xlfn.XLOOKUP(tblOrdenes[[#This Row],[centro_costo]],tblCECO[codigo],tblCECO[coordinador],"(sin catálogo)"))</f>
        <v/>
      </c>
      <c r="W1113" s="3">
        <f>IF(tblOrdenes[[#This Row],[puesto_trabajo]]="","",_xlfn.XLOOKUP(tblOrdenes[[#This Row],[puesto_trabajo]],tblPuestos[codigo],tblPuestos[especialidad],"(sin catálogo)"))</f>
        <v/>
      </c>
      <c r="X1113" s="3">
        <f>IF(tblOrdenes[[#This Row],[cod_actividad]]="","",_xlfn.XLOOKUP(tblOrdenes[[#This Row],[cod_actividad]],tblActividades[codigo],tblActividades[descripcion],"(sin catálogo)"))</f>
        <v/>
      </c>
      <c r="Y1113" s="12">
        <f>IF(tblOrdenes[[#This Row],[fecha_inicio]]="","",TODAY()-tblOrdenes[[#This Row],[fecha_inicio]])</f>
        <v/>
      </c>
      <c r="Z1113" s="3">
        <f>IF(tblOrdenes[[#This Row],[backlog_dias]]="","",IF(tblOrdenes[[#This Row],[backlog_dias]]&lt;0,"FUTURO",IF(tblOrdenes[[#This Row],[backlog_dias]]&gt;p_dias_backlog_max,"BACKLOG","MES CORRIENTE")))</f>
        <v/>
      </c>
      <c r="AA1113" s="3">
        <f>IF(tblOrdenes[[#This Row],[backlog_dias]]="",FALSE,AND(tblOrdenes[[#This Row],[backlog_dias]]&gt;p_dias_backlog_min,tblOrdenes[[#This Row],[backlog_dias]]&lt;=p_dias_backlog_max))</f>
        <v/>
      </c>
      <c r="AB1113" s="6" t="n"/>
      <c r="AC1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3" s="10">
        <f>IF(tblOrdenes[[#This Row],[orden]]="","",_xlfn.XLOOKUP(tblOrdenes[[#This Row],[id_operacion]],tblEjecucion[id_operacion],tblEjecucion[precio],0))</f>
        <v/>
      </c>
      <c r="AG1113" s="10">
        <f>IF(tblOrdenes[[#This Row],[orden]]="","",MAX(0,_xlfn.XLOOKUP(tblOrdenes[[#This Row],[id_operacion]],tblEjecucion[id_operacion],tblEjecucion[costo_plan_total],0)-tblOrdenes[[#This Row],[costo_servicio]]))</f>
        <v/>
      </c>
      <c r="AH1113" s="10">
        <f>IF(tblOrdenes[[#This Row],[orden]]="","",tblOrdenes[[#This Row],[costo_servicio]]+tblOrdenes[[#This Row],[costo_materiales]])</f>
        <v/>
      </c>
      <c r="AI1113" s="6" t="n"/>
      <c r="AJ1113" s="6" t="n"/>
      <c r="AK1113" s="6" t="n"/>
      <c r="AL1113" s="3">
        <f>IF(tblOrdenes[[#This Row],[link_checklist]]="","",HYPERLINK(p_ruta_base_checklists&amp;tblOrdenes[[#This Row],[link_checklist]],"abrir"))</f>
        <v/>
      </c>
      <c r="AM1113" s="6" t="n"/>
      <c r="AN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Row],[tipo_ot]]="","",_xlfn.XLOOKUP(tblOrdenes[[#This Row],[tipo_ot]],tblTiposOT[codigo],tblTiposOT[clasificacion],"sin_clasificar"))</f>
        <v/>
      </c>
      <c r="T1114" s="3">
        <f>IF(tblOrdenes[[#This Row],[centro_costo]]="","",_xlfn.XLOOKUP(tblOrdenes[[#This Row],[centro_costo]],tblCECO[codigo],tblCECO[linea],"(sin catálogo)"))</f>
        <v/>
      </c>
      <c r="U1114" s="3">
        <f>IF(tblOrdenes[[#This Row],[centro_costo]]="","",_xlfn.XLOOKUP(tblOrdenes[[#This Row],[centro_costo]],tblCECO[codigo],tblCECO[area],"(sin catálogo)"))</f>
        <v/>
      </c>
      <c r="V1114" s="3">
        <f>IF(tblOrdenes[[#This Row],[centro_costo]]="","",_xlfn.XLOOKUP(tblOrdenes[[#This Row],[centro_costo]],tblCECO[codigo],tblCECO[coordinador],"(sin catálogo)"))</f>
        <v/>
      </c>
      <c r="W1114" s="3">
        <f>IF(tblOrdenes[[#This Row],[puesto_trabajo]]="","",_xlfn.XLOOKUP(tblOrdenes[[#This Row],[puesto_trabajo]],tblPuestos[codigo],tblPuestos[especialidad],"(sin catálogo)"))</f>
        <v/>
      </c>
      <c r="X1114" s="3">
        <f>IF(tblOrdenes[[#This Row],[cod_actividad]]="","",_xlfn.XLOOKUP(tblOrdenes[[#This Row],[cod_actividad]],tblActividades[codigo],tblActividades[descripcion],"(sin catálogo)"))</f>
        <v/>
      </c>
      <c r="Y1114" s="12">
        <f>IF(tblOrdenes[[#This Row],[fecha_inicio]]="","",TODAY()-tblOrdenes[[#This Row],[fecha_inicio]])</f>
        <v/>
      </c>
      <c r="Z1114" s="3">
        <f>IF(tblOrdenes[[#This Row],[backlog_dias]]="","",IF(tblOrdenes[[#This Row],[backlog_dias]]&lt;0,"FUTURO",IF(tblOrdenes[[#This Row],[backlog_dias]]&gt;p_dias_backlog_max,"BACKLOG","MES CORRIENTE")))</f>
        <v/>
      </c>
      <c r="AA1114" s="3">
        <f>IF(tblOrdenes[[#This Row],[backlog_dias]]="",FALSE,AND(tblOrdenes[[#This Row],[backlog_dias]]&gt;p_dias_backlog_min,tblOrdenes[[#This Row],[backlog_dias]]&lt;=p_dias_backlog_max))</f>
        <v/>
      </c>
      <c r="AB1114" s="6" t="n"/>
      <c r="AC1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4" s="10">
        <f>IF(tblOrdenes[[#This Row],[orden]]="","",_xlfn.XLOOKUP(tblOrdenes[[#This Row],[id_operacion]],tblEjecucion[id_operacion],tblEjecucion[precio],0))</f>
        <v/>
      </c>
      <c r="AG1114" s="10">
        <f>IF(tblOrdenes[[#This Row],[orden]]="","",MAX(0,_xlfn.XLOOKUP(tblOrdenes[[#This Row],[id_operacion]],tblEjecucion[id_operacion],tblEjecucion[costo_plan_total],0)-tblOrdenes[[#This Row],[costo_servicio]]))</f>
        <v/>
      </c>
      <c r="AH1114" s="10">
        <f>IF(tblOrdenes[[#This Row],[orden]]="","",tblOrdenes[[#This Row],[costo_servicio]]+tblOrdenes[[#This Row],[costo_materiales]])</f>
        <v/>
      </c>
      <c r="AI1114" s="6" t="n"/>
      <c r="AJ1114" s="6" t="n"/>
      <c r="AK1114" s="6" t="n"/>
      <c r="AL1114" s="3">
        <f>IF(tblOrdenes[[#This Row],[link_checklist]]="","",HYPERLINK(p_ruta_base_checklists&amp;tblOrdenes[[#This Row],[link_checklist]],"abrir"))</f>
        <v/>
      </c>
      <c r="AM1114" s="6" t="n"/>
      <c r="AN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Row],[tipo_ot]]="","",_xlfn.XLOOKUP(tblOrdenes[[#This Row],[tipo_ot]],tblTiposOT[codigo],tblTiposOT[clasificacion],"sin_clasificar"))</f>
        <v/>
      </c>
      <c r="T1115" s="3">
        <f>IF(tblOrdenes[[#This Row],[centro_costo]]="","",_xlfn.XLOOKUP(tblOrdenes[[#This Row],[centro_costo]],tblCECO[codigo],tblCECO[linea],"(sin catálogo)"))</f>
        <v/>
      </c>
      <c r="U1115" s="3">
        <f>IF(tblOrdenes[[#This Row],[centro_costo]]="","",_xlfn.XLOOKUP(tblOrdenes[[#This Row],[centro_costo]],tblCECO[codigo],tblCECO[area],"(sin catálogo)"))</f>
        <v/>
      </c>
      <c r="V1115" s="3">
        <f>IF(tblOrdenes[[#This Row],[centro_costo]]="","",_xlfn.XLOOKUP(tblOrdenes[[#This Row],[centro_costo]],tblCECO[codigo],tblCECO[coordinador],"(sin catálogo)"))</f>
        <v/>
      </c>
      <c r="W1115" s="3">
        <f>IF(tblOrdenes[[#This Row],[puesto_trabajo]]="","",_xlfn.XLOOKUP(tblOrdenes[[#This Row],[puesto_trabajo]],tblPuestos[codigo],tblPuestos[especialidad],"(sin catálogo)"))</f>
        <v/>
      </c>
      <c r="X1115" s="3">
        <f>IF(tblOrdenes[[#This Row],[cod_actividad]]="","",_xlfn.XLOOKUP(tblOrdenes[[#This Row],[cod_actividad]],tblActividades[codigo],tblActividades[descripcion],"(sin catálogo)"))</f>
        <v/>
      </c>
      <c r="Y1115" s="12">
        <f>IF(tblOrdenes[[#This Row],[fecha_inicio]]="","",TODAY()-tblOrdenes[[#This Row],[fecha_inicio]])</f>
        <v/>
      </c>
      <c r="Z1115" s="3">
        <f>IF(tblOrdenes[[#This Row],[backlog_dias]]="","",IF(tblOrdenes[[#This Row],[backlog_dias]]&lt;0,"FUTURO",IF(tblOrdenes[[#This Row],[backlog_dias]]&gt;p_dias_backlog_max,"BACKLOG","MES CORRIENTE")))</f>
        <v/>
      </c>
      <c r="AA1115" s="3">
        <f>IF(tblOrdenes[[#This Row],[backlog_dias]]="",FALSE,AND(tblOrdenes[[#This Row],[backlog_dias]]&gt;p_dias_backlog_min,tblOrdenes[[#This Row],[backlog_dias]]&lt;=p_dias_backlog_max))</f>
        <v/>
      </c>
      <c r="AB1115" s="6" t="n"/>
      <c r="AC1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5" s="10">
        <f>IF(tblOrdenes[[#This Row],[orden]]="","",_xlfn.XLOOKUP(tblOrdenes[[#This Row],[id_operacion]],tblEjecucion[id_operacion],tblEjecucion[precio],0))</f>
        <v/>
      </c>
      <c r="AG1115" s="10">
        <f>IF(tblOrdenes[[#This Row],[orden]]="","",MAX(0,_xlfn.XLOOKUP(tblOrdenes[[#This Row],[id_operacion]],tblEjecucion[id_operacion],tblEjecucion[costo_plan_total],0)-tblOrdenes[[#This Row],[costo_servicio]]))</f>
        <v/>
      </c>
      <c r="AH1115" s="10">
        <f>IF(tblOrdenes[[#This Row],[orden]]="","",tblOrdenes[[#This Row],[costo_servicio]]+tblOrdenes[[#This Row],[costo_materiales]])</f>
        <v/>
      </c>
      <c r="AI1115" s="6" t="n"/>
      <c r="AJ1115" s="6" t="n"/>
      <c r="AK1115" s="6" t="n"/>
      <c r="AL1115" s="3">
        <f>IF(tblOrdenes[[#This Row],[link_checklist]]="","",HYPERLINK(p_ruta_base_checklists&amp;tblOrdenes[[#This Row],[link_checklist]],"abrir"))</f>
        <v/>
      </c>
      <c r="AM1115" s="6" t="n"/>
      <c r="AN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Row],[tipo_ot]]="","",_xlfn.XLOOKUP(tblOrdenes[[#This Row],[tipo_ot]],tblTiposOT[codigo],tblTiposOT[clasificacion],"sin_clasificar"))</f>
        <v/>
      </c>
      <c r="T1116" s="3">
        <f>IF(tblOrdenes[[#This Row],[centro_costo]]="","",_xlfn.XLOOKUP(tblOrdenes[[#This Row],[centro_costo]],tblCECO[codigo],tblCECO[linea],"(sin catálogo)"))</f>
        <v/>
      </c>
      <c r="U1116" s="3">
        <f>IF(tblOrdenes[[#This Row],[centro_costo]]="","",_xlfn.XLOOKUP(tblOrdenes[[#This Row],[centro_costo]],tblCECO[codigo],tblCECO[area],"(sin catálogo)"))</f>
        <v/>
      </c>
      <c r="V1116" s="3">
        <f>IF(tblOrdenes[[#This Row],[centro_costo]]="","",_xlfn.XLOOKUP(tblOrdenes[[#This Row],[centro_costo]],tblCECO[codigo],tblCECO[coordinador],"(sin catálogo)"))</f>
        <v/>
      </c>
      <c r="W1116" s="3">
        <f>IF(tblOrdenes[[#This Row],[puesto_trabajo]]="","",_xlfn.XLOOKUP(tblOrdenes[[#This Row],[puesto_trabajo]],tblPuestos[codigo],tblPuestos[especialidad],"(sin catálogo)"))</f>
        <v/>
      </c>
      <c r="X1116" s="3">
        <f>IF(tblOrdenes[[#This Row],[cod_actividad]]="","",_xlfn.XLOOKUP(tblOrdenes[[#This Row],[cod_actividad]],tblActividades[codigo],tblActividades[descripcion],"(sin catálogo)"))</f>
        <v/>
      </c>
      <c r="Y1116" s="12">
        <f>IF(tblOrdenes[[#This Row],[fecha_inicio]]="","",TODAY()-tblOrdenes[[#This Row],[fecha_inicio]])</f>
        <v/>
      </c>
      <c r="Z1116" s="3">
        <f>IF(tblOrdenes[[#This Row],[backlog_dias]]="","",IF(tblOrdenes[[#This Row],[backlog_dias]]&lt;0,"FUTURO",IF(tblOrdenes[[#This Row],[backlog_dias]]&gt;p_dias_backlog_max,"BACKLOG","MES CORRIENTE")))</f>
        <v/>
      </c>
      <c r="AA1116" s="3">
        <f>IF(tblOrdenes[[#This Row],[backlog_dias]]="",FALSE,AND(tblOrdenes[[#This Row],[backlog_dias]]&gt;p_dias_backlog_min,tblOrdenes[[#This Row],[backlog_dias]]&lt;=p_dias_backlog_max))</f>
        <v/>
      </c>
      <c r="AB1116" s="6" t="n"/>
      <c r="AC1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6" s="10">
        <f>IF(tblOrdenes[[#This Row],[orden]]="","",_xlfn.XLOOKUP(tblOrdenes[[#This Row],[id_operacion]],tblEjecucion[id_operacion],tblEjecucion[precio],0))</f>
        <v/>
      </c>
      <c r="AG1116" s="10">
        <f>IF(tblOrdenes[[#This Row],[orden]]="","",MAX(0,_xlfn.XLOOKUP(tblOrdenes[[#This Row],[id_operacion]],tblEjecucion[id_operacion],tblEjecucion[costo_plan_total],0)-tblOrdenes[[#This Row],[costo_servicio]]))</f>
        <v/>
      </c>
      <c r="AH1116" s="10">
        <f>IF(tblOrdenes[[#This Row],[orden]]="","",tblOrdenes[[#This Row],[costo_servicio]]+tblOrdenes[[#This Row],[costo_materiales]])</f>
        <v/>
      </c>
      <c r="AI1116" s="6" t="n"/>
      <c r="AJ1116" s="6" t="n"/>
      <c r="AK1116" s="6" t="n"/>
      <c r="AL1116" s="3">
        <f>IF(tblOrdenes[[#This Row],[link_checklist]]="","",HYPERLINK(p_ruta_base_checklists&amp;tblOrdenes[[#This Row],[link_checklist]],"abrir"))</f>
        <v/>
      </c>
      <c r="AM1116" s="6" t="n"/>
      <c r="AN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Row],[tipo_ot]]="","",_xlfn.XLOOKUP(tblOrdenes[[#This Row],[tipo_ot]],tblTiposOT[codigo],tblTiposOT[clasificacion],"sin_clasificar"))</f>
        <v/>
      </c>
      <c r="T1117" s="3">
        <f>IF(tblOrdenes[[#This Row],[centro_costo]]="","",_xlfn.XLOOKUP(tblOrdenes[[#This Row],[centro_costo]],tblCECO[codigo],tblCECO[linea],"(sin catálogo)"))</f>
        <v/>
      </c>
      <c r="U1117" s="3">
        <f>IF(tblOrdenes[[#This Row],[centro_costo]]="","",_xlfn.XLOOKUP(tblOrdenes[[#This Row],[centro_costo]],tblCECO[codigo],tblCECO[area],"(sin catálogo)"))</f>
        <v/>
      </c>
      <c r="V1117" s="3">
        <f>IF(tblOrdenes[[#This Row],[centro_costo]]="","",_xlfn.XLOOKUP(tblOrdenes[[#This Row],[centro_costo]],tblCECO[codigo],tblCECO[coordinador],"(sin catálogo)"))</f>
        <v/>
      </c>
      <c r="W1117" s="3">
        <f>IF(tblOrdenes[[#This Row],[puesto_trabajo]]="","",_xlfn.XLOOKUP(tblOrdenes[[#This Row],[puesto_trabajo]],tblPuestos[codigo],tblPuestos[especialidad],"(sin catálogo)"))</f>
        <v/>
      </c>
      <c r="X1117" s="3">
        <f>IF(tblOrdenes[[#This Row],[cod_actividad]]="","",_xlfn.XLOOKUP(tblOrdenes[[#This Row],[cod_actividad]],tblActividades[codigo],tblActividades[descripcion],"(sin catálogo)"))</f>
        <v/>
      </c>
      <c r="Y1117" s="12">
        <f>IF(tblOrdenes[[#This Row],[fecha_inicio]]="","",TODAY()-tblOrdenes[[#This Row],[fecha_inicio]])</f>
        <v/>
      </c>
      <c r="Z1117" s="3">
        <f>IF(tblOrdenes[[#This Row],[backlog_dias]]="","",IF(tblOrdenes[[#This Row],[backlog_dias]]&lt;0,"FUTURO",IF(tblOrdenes[[#This Row],[backlog_dias]]&gt;p_dias_backlog_max,"BACKLOG","MES CORRIENTE")))</f>
        <v/>
      </c>
      <c r="AA1117" s="3">
        <f>IF(tblOrdenes[[#This Row],[backlog_dias]]="",FALSE,AND(tblOrdenes[[#This Row],[backlog_dias]]&gt;p_dias_backlog_min,tblOrdenes[[#This Row],[backlog_dias]]&lt;=p_dias_backlog_max))</f>
        <v/>
      </c>
      <c r="AB1117" s="6" t="n"/>
      <c r="AC1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7" s="10">
        <f>IF(tblOrdenes[[#This Row],[orden]]="","",_xlfn.XLOOKUP(tblOrdenes[[#This Row],[id_operacion]],tblEjecucion[id_operacion],tblEjecucion[precio],0))</f>
        <v/>
      </c>
      <c r="AG1117" s="10">
        <f>IF(tblOrdenes[[#This Row],[orden]]="","",MAX(0,_xlfn.XLOOKUP(tblOrdenes[[#This Row],[id_operacion]],tblEjecucion[id_operacion],tblEjecucion[costo_plan_total],0)-tblOrdenes[[#This Row],[costo_servicio]]))</f>
        <v/>
      </c>
      <c r="AH1117" s="10">
        <f>IF(tblOrdenes[[#This Row],[orden]]="","",tblOrdenes[[#This Row],[costo_servicio]]+tblOrdenes[[#This Row],[costo_materiales]])</f>
        <v/>
      </c>
      <c r="AI1117" s="6" t="n"/>
      <c r="AJ1117" s="6" t="n"/>
      <c r="AK1117" s="6" t="n"/>
      <c r="AL1117" s="3">
        <f>IF(tblOrdenes[[#This Row],[link_checklist]]="","",HYPERLINK(p_ruta_base_checklists&amp;tblOrdenes[[#This Row],[link_checklist]],"abrir"))</f>
        <v/>
      </c>
      <c r="AM1117" s="6" t="n"/>
      <c r="AN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Row],[tipo_ot]]="","",_xlfn.XLOOKUP(tblOrdenes[[#This Row],[tipo_ot]],tblTiposOT[codigo],tblTiposOT[clasificacion],"sin_clasificar"))</f>
        <v/>
      </c>
      <c r="T1118" s="3">
        <f>IF(tblOrdenes[[#This Row],[centro_costo]]="","",_xlfn.XLOOKUP(tblOrdenes[[#This Row],[centro_costo]],tblCECO[codigo],tblCECO[linea],"(sin catálogo)"))</f>
        <v/>
      </c>
      <c r="U1118" s="3">
        <f>IF(tblOrdenes[[#This Row],[centro_costo]]="","",_xlfn.XLOOKUP(tblOrdenes[[#This Row],[centro_costo]],tblCECO[codigo],tblCECO[area],"(sin catálogo)"))</f>
        <v/>
      </c>
      <c r="V1118" s="3">
        <f>IF(tblOrdenes[[#This Row],[centro_costo]]="","",_xlfn.XLOOKUP(tblOrdenes[[#This Row],[centro_costo]],tblCECO[codigo],tblCECO[coordinador],"(sin catálogo)"))</f>
        <v/>
      </c>
      <c r="W1118" s="3">
        <f>IF(tblOrdenes[[#This Row],[puesto_trabajo]]="","",_xlfn.XLOOKUP(tblOrdenes[[#This Row],[puesto_trabajo]],tblPuestos[codigo],tblPuestos[especialidad],"(sin catálogo)"))</f>
        <v/>
      </c>
      <c r="X1118" s="3">
        <f>IF(tblOrdenes[[#This Row],[cod_actividad]]="","",_xlfn.XLOOKUP(tblOrdenes[[#This Row],[cod_actividad]],tblActividades[codigo],tblActividades[descripcion],"(sin catálogo)"))</f>
        <v/>
      </c>
      <c r="Y1118" s="12">
        <f>IF(tblOrdenes[[#This Row],[fecha_inicio]]="","",TODAY()-tblOrdenes[[#This Row],[fecha_inicio]])</f>
        <v/>
      </c>
      <c r="Z1118" s="3">
        <f>IF(tblOrdenes[[#This Row],[backlog_dias]]="","",IF(tblOrdenes[[#This Row],[backlog_dias]]&lt;0,"FUTURO",IF(tblOrdenes[[#This Row],[backlog_dias]]&gt;p_dias_backlog_max,"BACKLOG","MES CORRIENTE")))</f>
        <v/>
      </c>
      <c r="AA1118" s="3">
        <f>IF(tblOrdenes[[#This Row],[backlog_dias]]="",FALSE,AND(tblOrdenes[[#This Row],[backlog_dias]]&gt;p_dias_backlog_min,tblOrdenes[[#This Row],[backlog_dias]]&lt;=p_dias_backlog_max))</f>
        <v/>
      </c>
      <c r="AB1118" s="6" t="n"/>
      <c r="AC1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8" s="10">
        <f>IF(tblOrdenes[[#This Row],[orden]]="","",_xlfn.XLOOKUP(tblOrdenes[[#This Row],[id_operacion]],tblEjecucion[id_operacion],tblEjecucion[precio],0))</f>
        <v/>
      </c>
      <c r="AG1118" s="10">
        <f>IF(tblOrdenes[[#This Row],[orden]]="","",MAX(0,_xlfn.XLOOKUP(tblOrdenes[[#This Row],[id_operacion]],tblEjecucion[id_operacion],tblEjecucion[costo_plan_total],0)-tblOrdenes[[#This Row],[costo_servicio]]))</f>
        <v/>
      </c>
      <c r="AH1118" s="10">
        <f>IF(tblOrdenes[[#This Row],[orden]]="","",tblOrdenes[[#This Row],[costo_servicio]]+tblOrdenes[[#This Row],[costo_materiales]])</f>
        <v/>
      </c>
      <c r="AI1118" s="6" t="n"/>
      <c r="AJ1118" s="6" t="n"/>
      <c r="AK1118" s="6" t="n"/>
      <c r="AL1118" s="3">
        <f>IF(tblOrdenes[[#This Row],[link_checklist]]="","",HYPERLINK(p_ruta_base_checklists&amp;tblOrdenes[[#This Row],[link_checklist]],"abrir"))</f>
        <v/>
      </c>
      <c r="AM1118" s="6" t="n"/>
      <c r="AN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Row],[tipo_ot]]="","",_xlfn.XLOOKUP(tblOrdenes[[#This Row],[tipo_ot]],tblTiposOT[codigo],tblTiposOT[clasificacion],"sin_clasificar"))</f>
        <v/>
      </c>
      <c r="T1119" s="3">
        <f>IF(tblOrdenes[[#This Row],[centro_costo]]="","",_xlfn.XLOOKUP(tblOrdenes[[#This Row],[centro_costo]],tblCECO[codigo],tblCECO[linea],"(sin catálogo)"))</f>
        <v/>
      </c>
      <c r="U1119" s="3">
        <f>IF(tblOrdenes[[#This Row],[centro_costo]]="","",_xlfn.XLOOKUP(tblOrdenes[[#This Row],[centro_costo]],tblCECO[codigo],tblCECO[area],"(sin catálogo)"))</f>
        <v/>
      </c>
      <c r="V1119" s="3">
        <f>IF(tblOrdenes[[#This Row],[centro_costo]]="","",_xlfn.XLOOKUP(tblOrdenes[[#This Row],[centro_costo]],tblCECO[codigo],tblCECO[coordinador],"(sin catálogo)"))</f>
        <v/>
      </c>
      <c r="W1119" s="3">
        <f>IF(tblOrdenes[[#This Row],[puesto_trabajo]]="","",_xlfn.XLOOKUP(tblOrdenes[[#This Row],[puesto_trabajo]],tblPuestos[codigo],tblPuestos[especialidad],"(sin catálogo)"))</f>
        <v/>
      </c>
      <c r="X1119" s="3">
        <f>IF(tblOrdenes[[#This Row],[cod_actividad]]="","",_xlfn.XLOOKUP(tblOrdenes[[#This Row],[cod_actividad]],tblActividades[codigo],tblActividades[descripcion],"(sin catálogo)"))</f>
        <v/>
      </c>
      <c r="Y1119" s="12">
        <f>IF(tblOrdenes[[#This Row],[fecha_inicio]]="","",TODAY()-tblOrdenes[[#This Row],[fecha_inicio]])</f>
        <v/>
      </c>
      <c r="Z1119" s="3">
        <f>IF(tblOrdenes[[#This Row],[backlog_dias]]="","",IF(tblOrdenes[[#This Row],[backlog_dias]]&lt;0,"FUTURO",IF(tblOrdenes[[#This Row],[backlog_dias]]&gt;p_dias_backlog_max,"BACKLOG","MES CORRIENTE")))</f>
        <v/>
      </c>
      <c r="AA1119" s="3">
        <f>IF(tblOrdenes[[#This Row],[backlog_dias]]="",FALSE,AND(tblOrdenes[[#This Row],[backlog_dias]]&gt;p_dias_backlog_min,tblOrdenes[[#This Row],[backlog_dias]]&lt;=p_dias_backlog_max))</f>
        <v/>
      </c>
      <c r="AB1119" s="6" t="n"/>
      <c r="AC1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9" s="10">
        <f>IF(tblOrdenes[[#This Row],[orden]]="","",_xlfn.XLOOKUP(tblOrdenes[[#This Row],[id_operacion]],tblEjecucion[id_operacion],tblEjecucion[precio],0))</f>
        <v/>
      </c>
      <c r="AG1119" s="10">
        <f>IF(tblOrdenes[[#This Row],[orden]]="","",MAX(0,_xlfn.XLOOKUP(tblOrdenes[[#This Row],[id_operacion]],tblEjecucion[id_operacion],tblEjecucion[costo_plan_total],0)-tblOrdenes[[#This Row],[costo_servicio]]))</f>
        <v/>
      </c>
      <c r="AH1119" s="10">
        <f>IF(tblOrdenes[[#This Row],[orden]]="","",tblOrdenes[[#This Row],[costo_servicio]]+tblOrdenes[[#This Row],[costo_materiales]])</f>
        <v/>
      </c>
      <c r="AI1119" s="6" t="n"/>
      <c r="AJ1119" s="6" t="n"/>
      <c r="AK1119" s="6" t="n"/>
      <c r="AL1119" s="3">
        <f>IF(tblOrdenes[[#This Row],[link_checklist]]="","",HYPERLINK(p_ruta_base_checklists&amp;tblOrdenes[[#This Row],[link_checklist]],"abrir"))</f>
        <v/>
      </c>
      <c r="AM1119" s="6" t="n"/>
      <c r="AN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Row],[tipo_ot]]="","",_xlfn.XLOOKUP(tblOrdenes[[#This Row],[tipo_ot]],tblTiposOT[codigo],tblTiposOT[clasificacion],"sin_clasificar"))</f>
        <v/>
      </c>
      <c r="T1120" s="3">
        <f>IF(tblOrdenes[[#This Row],[centro_costo]]="","",_xlfn.XLOOKUP(tblOrdenes[[#This Row],[centro_costo]],tblCECO[codigo],tblCECO[linea],"(sin catálogo)"))</f>
        <v/>
      </c>
      <c r="U1120" s="3">
        <f>IF(tblOrdenes[[#This Row],[centro_costo]]="","",_xlfn.XLOOKUP(tblOrdenes[[#This Row],[centro_costo]],tblCECO[codigo],tblCECO[area],"(sin catálogo)"))</f>
        <v/>
      </c>
      <c r="V1120" s="3">
        <f>IF(tblOrdenes[[#This Row],[centro_costo]]="","",_xlfn.XLOOKUP(tblOrdenes[[#This Row],[centro_costo]],tblCECO[codigo],tblCECO[coordinador],"(sin catálogo)"))</f>
        <v/>
      </c>
      <c r="W1120" s="3">
        <f>IF(tblOrdenes[[#This Row],[puesto_trabajo]]="","",_xlfn.XLOOKUP(tblOrdenes[[#This Row],[puesto_trabajo]],tblPuestos[codigo],tblPuestos[especialidad],"(sin catálogo)"))</f>
        <v/>
      </c>
      <c r="X1120" s="3">
        <f>IF(tblOrdenes[[#This Row],[cod_actividad]]="","",_xlfn.XLOOKUP(tblOrdenes[[#This Row],[cod_actividad]],tblActividades[codigo],tblActividades[descripcion],"(sin catálogo)"))</f>
        <v/>
      </c>
      <c r="Y1120" s="12">
        <f>IF(tblOrdenes[[#This Row],[fecha_inicio]]="","",TODAY()-tblOrdenes[[#This Row],[fecha_inicio]])</f>
        <v/>
      </c>
      <c r="Z1120" s="3">
        <f>IF(tblOrdenes[[#This Row],[backlog_dias]]="","",IF(tblOrdenes[[#This Row],[backlog_dias]]&lt;0,"FUTURO",IF(tblOrdenes[[#This Row],[backlog_dias]]&gt;p_dias_backlog_max,"BACKLOG","MES CORRIENTE")))</f>
        <v/>
      </c>
      <c r="AA1120" s="3">
        <f>IF(tblOrdenes[[#This Row],[backlog_dias]]="",FALSE,AND(tblOrdenes[[#This Row],[backlog_dias]]&gt;p_dias_backlog_min,tblOrdenes[[#This Row],[backlog_dias]]&lt;=p_dias_backlog_max))</f>
        <v/>
      </c>
      <c r="AB1120" s="6" t="n"/>
      <c r="AC1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0" s="10">
        <f>IF(tblOrdenes[[#This Row],[orden]]="","",_xlfn.XLOOKUP(tblOrdenes[[#This Row],[id_operacion]],tblEjecucion[id_operacion],tblEjecucion[precio],0))</f>
        <v/>
      </c>
      <c r="AG1120" s="10">
        <f>IF(tblOrdenes[[#This Row],[orden]]="","",MAX(0,_xlfn.XLOOKUP(tblOrdenes[[#This Row],[id_operacion]],tblEjecucion[id_operacion],tblEjecucion[costo_plan_total],0)-tblOrdenes[[#This Row],[costo_servicio]]))</f>
        <v/>
      </c>
      <c r="AH1120" s="10">
        <f>IF(tblOrdenes[[#This Row],[orden]]="","",tblOrdenes[[#This Row],[costo_servicio]]+tblOrdenes[[#This Row],[costo_materiales]])</f>
        <v/>
      </c>
      <c r="AI1120" s="6" t="n"/>
      <c r="AJ1120" s="6" t="n"/>
      <c r="AK1120" s="6" t="n"/>
      <c r="AL1120" s="3">
        <f>IF(tblOrdenes[[#This Row],[link_checklist]]="","",HYPERLINK(p_ruta_base_checklists&amp;tblOrdenes[[#This Row],[link_checklist]],"abrir"))</f>
        <v/>
      </c>
      <c r="AM1120" s="6" t="n"/>
      <c r="AN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Row],[tipo_ot]]="","",_xlfn.XLOOKUP(tblOrdenes[[#This Row],[tipo_ot]],tblTiposOT[codigo],tblTiposOT[clasificacion],"sin_clasificar"))</f>
        <v/>
      </c>
      <c r="T1121" s="3">
        <f>IF(tblOrdenes[[#This Row],[centro_costo]]="","",_xlfn.XLOOKUP(tblOrdenes[[#This Row],[centro_costo]],tblCECO[codigo],tblCECO[linea],"(sin catálogo)"))</f>
        <v/>
      </c>
      <c r="U1121" s="3">
        <f>IF(tblOrdenes[[#This Row],[centro_costo]]="","",_xlfn.XLOOKUP(tblOrdenes[[#This Row],[centro_costo]],tblCECO[codigo],tblCECO[area],"(sin catálogo)"))</f>
        <v/>
      </c>
      <c r="V1121" s="3">
        <f>IF(tblOrdenes[[#This Row],[centro_costo]]="","",_xlfn.XLOOKUP(tblOrdenes[[#This Row],[centro_costo]],tblCECO[codigo],tblCECO[coordinador],"(sin catálogo)"))</f>
        <v/>
      </c>
      <c r="W1121" s="3">
        <f>IF(tblOrdenes[[#This Row],[puesto_trabajo]]="","",_xlfn.XLOOKUP(tblOrdenes[[#This Row],[puesto_trabajo]],tblPuestos[codigo],tblPuestos[especialidad],"(sin catálogo)"))</f>
        <v/>
      </c>
      <c r="X1121" s="3">
        <f>IF(tblOrdenes[[#This Row],[cod_actividad]]="","",_xlfn.XLOOKUP(tblOrdenes[[#This Row],[cod_actividad]],tblActividades[codigo],tblActividades[descripcion],"(sin catálogo)"))</f>
        <v/>
      </c>
      <c r="Y1121" s="12">
        <f>IF(tblOrdenes[[#This Row],[fecha_inicio]]="","",TODAY()-tblOrdenes[[#This Row],[fecha_inicio]])</f>
        <v/>
      </c>
      <c r="Z1121" s="3">
        <f>IF(tblOrdenes[[#This Row],[backlog_dias]]="","",IF(tblOrdenes[[#This Row],[backlog_dias]]&lt;0,"FUTURO",IF(tblOrdenes[[#This Row],[backlog_dias]]&gt;p_dias_backlog_max,"BACKLOG","MES CORRIENTE")))</f>
        <v/>
      </c>
      <c r="AA1121" s="3">
        <f>IF(tblOrdenes[[#This Row],[backlog_dias]]="",FALSE,AND(tblOrdenes[[#This Row],[backlog_dias]]&gt;p_dias_backlog_min,tblOrdenes[[#This Row],[backlog_dias]]&lt;=p_dias_backlog_max))</f>
        <v/>
      </c>
      <c r="AB1121" s="6" t="n"/>
      <c r="AC1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1" s="10">
        <f>IF(tblOrdenes[[#This Row],[orden]]="","",_xlfn.XLOOKUP(tblOrdenes[[#This Row],[id_operacion]],tblEjecucion[id_operacion],tblEjecucion[precio],0))</f>
        <v/>
      </c>
      <c r="AG1121" s="10">
        <f>IF(tblOrdenes[[#This Row],[orden]]="","",MAX(0,_xlfn.XLOOKUP(tblOrdenes[[#This Row],[id_operacion]],tblEjecucion[id_operacion],tblEjecucion[costo_plan_total],0)-tblOrdenes[[#This Row],[costo_servicio]]))</f>
        <v/>
      </c>
      <c r="AH1121" s="10">
        <f>IF(tblOrdenes[[#This Row],[orden]]="","",tblOrdenes[[#This Row],[costo_servicio]]+tblOrdenes[[#This Row],[costo_materiales]])</f>
        <v/>
      </c>
      <c r="AI1121" s="6" t="n"/>
      <c r="AJ1121" s="6" t="n"/>
      <c r="AK1121" s="6" t="n"/>
      <c r="AL1121" s="3">
        <f>IF(tblOrdenes[[#This Row],[link_checklist]]="","",HYPERLINK(p_ruta_base_checklists&amp;tblOrdenes[[#This Row],[link_checklist]],"abrir"))</f>
        <v/>
      </c>
      <c r="AM1121" s="6" t="n"/>
      <c r="AN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Row],[tipo_ot]]="","",_xlfn.XLOOKUP(tblOrdenes[[#This Row],[tipo_ot]],tblTiposOT[codigo],tblTiposOT[clasificacion],"sin_clasificar"))</f>
        <v/>
      </c>
      <c r="T1122" s="3">
        <f>IF(tblOrdenes[[#This Row],[centro_costo]]="","",_xlfn.XLOOKUP(tblOrdenes[[#This Row],[centro_costo]],tblCECO[codigo],tblCECO[linea],"(sin catálogo)"))</f>
        <v/>
      </c>
      <c r="U1122" s="3">
        <f>IF(tblOrdenes[[#This Row],[centro_costo]]="","",_xlfn.XLOOKUP(tblOrdenes[[#This Row],[centro_costo]],tblCECO[codigo],tblCECO[area],"(sin catálogo)"))</f>
        <v/>
      </c>
      <c r="V1122" s="3">
        <f>IF(tblOrdenes[[#This Row],[centro_costo]]="","",_xlfn.XLOOKUP(tblOrdenes[[#This Row],[centro_costo]],tblCECO[codigo],tblCECO[coordinador],"(sin catálogo)"))</f>
        <v/>
      </c>
      <c r="W1122" s="3">
        <f>IF(tblOrdenes[[#This Row],[puesto_trabajo]]="","",_xlfn.XLOOKUP(tblOrdenes[[#This Row],[puesto_trabajo]],tblPuestos[codigo],tblPuestos[especialidad],"(sin catálogo)"))</f>
        <v/>
      </c>
      <c r="X1122" s="3">
        <f>IF(tblOrdenes[[#This Row],[cod_actividad]]="","",_xlfn.XLOOKUP(tblOrdenes[[#This Row],[cod_actividad]],tblActividades[codigo],tblActividades[descripcion],"(sin catálogo)"))</f>
        <v/>
      </c>
      <c r="Y1122" s="12">
        <f>IF(tblOrdenes[[#This Row],[fecha_inicio]]="","",TODAY()-tblOrdenes[[#This Row],[fecha_inicio]])</f>
        <v/>
      </c>
      <c r="Z1122" s="3">
        <f>IF(tblOrdenes[[#This Row],[backlog_dias]]="","",IF(tblOrdenes[[#This Row],[backlog_dias]]&lt;0,"FUTURO",IF(tblOrdenes[[#This Row],[backlog_dias]]&gt;p_dias_backlog_max,"BACKLOG","MES CORRIENTE")))</f>
        <v/>
      </c>
      <c r="AA1122" s="3">
        <f>IF(tblOrdenes[[#This Row],[backlog_dias]]="",FALSE,AND(tblOrdenes[[#This Row],[backlog_dias]]&gt;p_dias_backlog_min,tblOrdenes[[#This Row],[backlog_dias]]&lt;=p_dias_backlog_max))</f>
        <v/>
      </c>
      <c r="AB1122" s="6" t="n"/>
      <c r="AC1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2" s="10">
        <f>IF(tblOrdenes[[#This Row],[orden]]="","",_xlfn.XLOOKUP(tblOrdenes[[#This Row],[id_operacion]],tblEjecucion[id_operacion],tblEjecucion[precio],0))</f>
        <v/>
      </c>
      <c r="AG1122" s="10">
        <f>IF(tblOrdenes[[#This Row],[orden]]="","",MAX(0,_xlfn.XLOOKUP(tblOrdenes[[#This Row],[id_operacion]],tblEjecucion[id_operacion],tblEjecucion[costo_plan_total],0)-tblOrdenes[[#This Row],[costo_servicio]]))</f>
        <v/>
      </c>
      <c r="AH1122" s="10">
        <f>IF(tblOrdenes[[#This Row],[orden]]="","",tblOrdenes[[#This Row],[costo_servicio]]+tblOrdenes[[#This Row],[costo_materiales]])</f>
        <v/>
      </c>
      <c r="AI1122" s="6" t="n"/>
      <c r="AJ1122" s="6" t="n"/>
      <c r="AK1122" s="6" t="n"/>
      <c r="AL1122" s="3">
        <f>IF(tblOrdenes[[#This Row],[link_checklist]]="","",HYPERLINK(p_ruta_base_checklists&amp;tblOrdenes[[#This Row],[link_checklist]],"abrir"))</f>
        <v/>
      </c>
      <c r="AM1122" s="6" t="n"/>
      <c r="AN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Row],[tipo_ot]]="","",_xlfn.XLOOKUP(tblOrdenes[[#This Row],[tipo_ot]],tblTiposOT[codigo],tblTiposOT[clasificacion],"sin_clasificar"))</f>
        <v/>
      </c>
      <c r="T1123" s="3">
        <f>IF(tblOrdenes[[#This Row],[centro_costo]]="","",_xlfn.XLOOKUP(tblOrdenes[[#This Row],[centro_costo]],tblCECO[codigo],tblCECO[linea],"(sin catálogo)"))</f>
        <v/>
      </c>
      <c r="U1123" s="3">
        <f>IF(tblOrdenes[[#This Row],[centro_costo]]="","",_xlfn.XLOOKUP(tblOrdenes[[#This Row],[centro_costo]],tblCECO[codigo],tblCECO[area],"(sin catálogo)"))</f>
        <v/>
      </c>
      <c r="V1123" s="3">
        <f>IF(tblOrdenes[[#This Row],[centro_costo]]="","",_xlfn.XLOOKUP(tblOrdenes[[#This Row],[centro_costo]],tblCECO[codigo],tblCECO[coordinador],"(sin catálogo)"))</f>
        <v/>
      </c>
      <c r="W1123" s="3">
        <f>IF(tblOrdenes[[#This Row],[puesto_trabajo]]="","",_xlfn.XLOOKUP(tblOrdenes[[#This Row],[puesto_trabajo]],tblPuestos[codigo],tblPuestos[especialidad],"(sin catálogo)"))</f>
        <v/>
      </c>
      <c r="X1123" s="3">
        <f>IF(tblOrdenes[[#This Row],[cod_actividad]]="","",_xlfn.XLOOKUP(tblOrdenes[[#This Row],[cod_actividad]],tblActividades[codigo],tblActividades[descripcion],"(sin catálogo)"))</f>
        <v/>
      </c>
      <c r="Y1123" s="12">
        <f>IF(tblOrdenes[[#This Row],[fecha_inicio]]="","",TODAY()-tblOrdenes[[#This Row],[fecha_inicio]])</f>
        <v/>
      </c>
      <c r="Z1123" s="3">
        <f>IF(tblOrdenes[[#This Row],[backlog_dias]]="","",IF(tblOrdenes[[#This Row],[backlog_dias]]&lt;0,"FUTURO",IF(tblOrdenes[[#This Row],[backlog_dias]]&gt;p_dias_backlog_max,"BACKLOG","MES CORRIENTE")))</f>
        <v/>
      </c>
      <c r="AA1123" s="3">
        <f>IF(tblOrdenes[[#This Row],[backlog_dias]]="",FALSE,AND(tblOrdenes[[#This Row],[backlog_dias]]&gt;p_dias_backlog_min,tblOrdenes[[#This Row],[backlog_dias]]&lt;=p_dias_backlog_max))</f>
        <v/>
      </c>
      <c r="AB1123" s="6" t="n"/>
      <c r="AC1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3" s="10">
        <f>IF(tblOrdenes[[#This Row],[orden]]="","",_xlfn.XLOOKUP(tblOrdenes[[#This Row],[id_operacion]],tblEjecucion[id_operacion],tblEjecucion[precio],0))</f>
        <v/>
      </c>
      <c r="AG1123" s="10">
        <f>IF(tblOrdenes[[#This Row],[orden]]="","",MAX(0,_xlfn.XLOOKUP(tblOrdenes[[#This Row],[id_operacion]],tblEjecucion[id_operacion],tblEjecucion[costo_plan_total],0)-tblOrdenes[[#This Row],[costo_servicio]]))</f>
        <v/>
      </c>
      <c r="AH1123" s="10">
        <f>IF(tblOrdenes[[#This Row],[orden]]="","",tblOrdenes[[#This Row],[costo_servicio]]+tblOrdenes[[#This Row],[costo_materiales]])</f>
        <v/>
      </c>
      <c r="AI1123" s="6" t="n"/>
      <c r="AJ1123" s="6" t="n"/>
      <c r="AK1123" s="6" t="n"/>
      <c r="AL1123" s="3">
        <f>IF(tblOrdenes[[#This Row],[link_checklist]]="","",HYPERLINK(p_ruta_base_checklists&amp;tblOrdenes[[#This Row],[link_checklist]],"abrir"))</f>
        <v/>
      </c>
      <c r="AM1123" s="6" t="n"/>
      <c r="AN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Row],[tipo_ot]]="","",_xlfn.XLOOKUP(tblOrdenes[[#This Row],[tipo_ot]],tblTiposOT[codigo],tblTiposOT[clasificacion],"sin_clasificar"))</f>
        <v/>
      </c>
      <c r="T1124" s="3">
        <f>IF(tblOrdenes[[#This Row],[centro_costo]]="","",_xlfn.XLOOKUP(tblOrdenes[[#This Row],[centro_costo]],tblCECO[codigo],tblCECO[linea],"(sin catálogo)"))</f>
        <v/>
      </c>
      <c r="U1124" s="3">
        <f>IF(tblOrdenes[[#This Row],[centro_costo]]="","",_xlfn.XLOOKUP(tblOrdenes[[#This Row],[centro_costo]],tblCECO[codigo],tblCECO[area],"(sin catálogo)"))</f>
        <v/>
      </c>
      <c r="V1124" s="3">
        <f>IF(tblOrdenes[[#This Row],[centro_costo]]="","",_xlfn.XLOOKUP(tblOrdenes[[#This Row],[centro_costo]],tblCECO[codigo],tblCECO[coordinador],"(sin catálogo)"))</f>
        <v/>
      </c>
      <c r="W1124" s="3">
        <f>IF(tblOrdenes[[#This Row],[puesto_trabajo]]="","",_xlfn.XLOOKUP(tblOrdenes[[#This Row],[puesto_trabajo]],tblPuestos[codigo],tblPuestos[especialidad],"(sin catálogo)"))</f>
        <v/>
      </c>
      <c r="X1124" s="3">
        <f>IF(tblOrdenes[[#This Row],[cod_actividad]]="","",_xlfn.XLOOKUP(tblOrdenes[[#This Row],[cod_actividad]],tblActividades[codigo],tblActividades[descripcion],"(sin catálogo)"))</f>
        <v/>
      </c>
      <c r="Y1124" s="12">
        <f>IF(tblOrdenes[[#This Row],[fecha_inicio]]="","",TODAY()-tblOrdenes[[#This Row],[fecha_inicio]])</f>
        <v/>
      </c>
      <c r="Z1124" s="3">
        <f>IF(tblOrdenes[[#This Row],[backlog_dias]]="","",IF(tblOrdenes[[#This Row],[backlog_dias]]&lt;0,"FUTURO",IF(tblOrdenes[[#This Row],[backlog_dias]]&gt;p_dias_backlog_max,"BACKLOG","MES CORRIENTE")))</f>
        <v/>
      </c>
      <c r="AA1124" s="3">
        <f>IF(tblOrdenes[[#This Row],[backlog_dias]]="",FALSE,AND(tblOrdenes[[#This Row],[backlog_dias]]&gt;p_dias_backlog_min,tblOrdenes[[#This Row],[backlog_dias]]&lt;=p_dias_backlog_max))</f>
        <v/>
      </c>
      <c r="AB1124" s="6" t="n"/>
      <c r="AC1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4" s="10">
        <f>IF(tblOrdenes[[#This Row],[orden]]="","",_xlfn.XLOOKUP(tblOrdenes[[#This Row],[id_operacion]],tblEjecucion[id_operacion],tblEjecucion[precio],0))</f>
        <v/>
      </c>
      <c r="AG1124" s="10">
        <f>IF(tblOrdenes[[#This Row],[orden]]="","",MAX(0,_xlfn.XLOOKUP(tblOrdenes[[#This Row],[id_operacion]],tblEjecucion[id_operacion],tblEjecucion[costo_plan_total],0)-tblOrdenes[[#This Row],[costo_servicio]]))</f>
        <v/>
      </c>
      <c r="AH1124" s="10">
        <f>IF(tblOrdenes[[#This Row],[orden]]="","",tblOrdenes[[#This Row],[costo_servicio]]+tblOrdenes[[#This Row],[costo_materiales]])</f>
        <v/>
      </c>
      <c r="AI1124" s="6" t="n"/>
      <c r="AJ1124" s="6" t="n"/>
      <c r="AK1124" s="6" t="n"/>
      <c r="AL1124" s="3">
        <f>IF(tblOrdenes[[#This Row],[link_checklist]]="","",HYPERLINK(p_ruta_base_checklists&amp;tblOrdenes[[#This Row],[link_checklist]],"abrir"))</f>
        <v/>
      </c>
      <c r="AM1124" s="6" t="n"/>
      <c r="AN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Row],[tipo_ot]]="","",_xlfn.XLOOKUP(tblOrdenes[[#This Row],[tipo_ot]],tblTiposOT[codigo],tblTiposOT[clasificacion],"sin_clasificar"))</f>
        <v/>
      </c>
      <c r="T1125" s="3">
        <f>IF(tblOrdenes[[#This Row],[centro_costo]]="","",_xlfn.XLOOKUP(tblOrdenes[[#This Row],[centro_costo]],tblCECO[codigo],tblCECO[linea],"(sin catálogo)"))</f>
        <v/>
      </c>
      <c r="U1125" s="3">
        <f>IF(tblOrdenes[[#This Row],[centro_costo]]="","",_xlfn.XLOOKUP(tblOrdenes[[#This Row],[centro_costo]],tblCECO[codigo],tblCECO[area],"(sin catálogo)"))</f>
        <v/>
      </c>
      <c r="V1125" s="3">
        <f>IF(tblOrdenes[[#This Row],[centro_costo]]="","",_xlfn.XLOOKUP(tblOrdenes[[#This Row],[centro_costo]],tblCECO[codigo],tblCECO[coordinador],"(sin catálogo)"))</f>
        <v/>
      </c>
      <c r="W1125" s="3">
        <f>IF(tblOrdenes[[#This Row],[puesto_trabajo]]="","",_xlfn.XLOOKUP(tblOrdenes[[#This Row],[puesto_trabajo]],tblPuestos[codigo],tblPuestos[especialidad],"(sin catálogo)"))</f>
        <v/>
      </c>
      <c r="X1125" s="3">
        <f>IF(tblOrdenes[[#This Row],[cod_actividad]]="","",_xlfn.XLOOKUP(tblOrdenes[[#This Row],[cod_actividad]],tblActividades[codigo],tblActividades[descripcion],"(sin catálogo)"))</f>
        <v/>
      </c>
      <c r="Y1125" s="12">
        <f>IF(tblOrdenes[[#This Row],[fecha_inicio]]="","",TODAY()-tblOrdenes[[#This Row],[fecha_inicio]])</f>
        <v/>
      </c>
      <c r="Z1125" s="3">
        <f>IF(tblOrdenes[[#This Row],[backlog_dias]]="","",IF(tblOrdenes[[#This Row],[backlog_dias]]&lt;0,"FUTURO",IF(tblOrdenes[[#This Row],[backlog_dias]]&gt;p_dias_backlog_max,"BACKLOG","MES CORRIENTE")))</f>
        <v/>
      </c>
      <c r="AA1125" s="3">
        <f>IF(tblOrdenes[[#This Row],[backlog_dias]]="",FALSE,AND(tblOrdenes[[#This Row],[backlog_dias]]&gt;p_dias_backlog_min,tblOrdenes[[#This Row],[backlog_dias]]&lt;=p_dias_backlog_max))</f>
        <v/>
      </c>
      <c r="AB1125" s="6" t="n"/>
      <c r="AC1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5" s="10">
        <f>IF(tblOrdenes[[#This Row],[orden]]="","",_xlfn.XLOOKUP(tblOrdenes[[#This Row],[id_operacion]],tblEjecucion[id_operacion],tblEjecucion[precio],0))</f>
        <v/>
      </c>
      <c r="AG1125" s="10">
        <f>IF(tblOrdenes[[#This Row],[orden]]="","",MAX(0,_xlfn.XLOOKUP(tblOrdenes[[#This Row],[id_operacion]],tblEjecucion[id_operacion],tblEjecucion[costo_plan_total],0)-tblOrdenes[[#This Row],[costo_servicio]]))</f>
        <v/>
      </c>
      <c r="AH1125" s="10">
        <f>IF(tblOrdenes[[#This Row],[orden]]="","",tblOrdenes[[#This Row],[costo_servicio]]+tblOrdenes[[#This Row],[costo_materiales]])</f>
        <v/>
      </c>
      <c r="AI1125" s="6" t="n"/>
      <c r="AJ1125" s="6" t="n"/>
      <c r="AK1125" s="6" t="n"/>
      <c r="AL1125" s="3">
        <f>IF(tblOrdenes[[#This Row],[link_checklist]]="","",HYPERLINK(p_ruta_base_checklists&amp;tblOrdenes[[#This Row],[link_checklist]],"abrir"))</f>
        <v/>
      </c>
      <c r="AM1125" s="6" t="n"/>
      <c r="AN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Row],[tipo_ot]]="","",_xlfn.XLOOKUP(tblOrdenes[[#This Row],[tipo_ot]],tblTiposOT[codigo],tblTiposOT[clasificacion],"sin_clasificar"))</f>
        <v/>
      </c>
      <c r="T1126" s="3">
        <f>IF(tblOrdenes[[#This Row],[centro_costo]]="","",_xlfn.XLOOKUP(tblOrdenes[[#This Row],[centro_costo]],tblCECO[codigo],tblCECO[linea],"(sin catálogo)"))</f>
        <v/>
      </c>
      <c r="U1126" s="3">
        <f>IF(tblOrdenes[[#This Row],[centro_costo]]="","",_xlfn.XLOOKUP(tblOrdenes[[#This Row],[centro_costo]],tblCECO[codigo],tblCECO[area],"(sin catálogo)"))</f>
        <v/>
      </c>
      <c r="V1126" s="3">
        <f>IF(tblOrdenes[[#This Row],[centro_costo]]="","",_xlfn.XLOOKUP(tblOrdenes[[#This Row],[centro_costo]],tblCECO[codigo],tblCECO[coordinador],"(sin catálogo)"))</f>
        <v/>
      </c>
      <c r="W1126" s="3">
        <f>IF(tblOrdenes[[#This Row],[puesto_trabajo]]="","",_xlfn.XLOOKUP(tblOrdenes[[#This Row],[puesto_trabajo]],tblPuestos[codigo],tblPuestos[especialidad],"(sin catálogo)"))</f>
        <v/>
      </c>
      <c r="X1126" s="3">
        <f>IF(tblOrdenes[[#This Row],[cod_actividad]]="","",_xlfn.XLOOKUP(tblOrdenes[[#This Row],[cod_actividad]],tblActividades[codigo],tblActividades[descripcion],"(sin catálogo)"))</f>
        <v/>
      </c>
      <c r="Y1126" s="12">
        <f>IF(tblOrdenes[[#This Row],[fecha_inicio]]="","",TODAY()-tblOrdenes[[#This Row],[fecha_inicio]])</f>
        <v/>
      </c>
      <c r="Z1126" s="3">
        <f>IF(tblOrdenes[[#This Row],[backlog_dias]]="","",IF(tblOrdenes[[#This Row],[backlog_dias]]&lt;0,"FUTURO",IF(tblOrdenes[[#This Row],[backlog_dias]]&gt;p_dias_backlog_max,"BACKLOG","MES CORRIENTE")))</f>
        <v/>
      </c>
      <c r="AA1126" s="3">
        <f>IF(tblOrdenes[[#This Row],[backlog_dias]]="",FALSE,AND(tblOrdenes[[#This Row],[backlog_dias]]&gt;p_dias_backlog_min,tblOrdenes[[#This Row],[backlog_dias]]&lt;=p_dias_backlog_max))</f>
        <v/>
      </c>
      <c r="AB1126" s="6" t="n"/>
      <c r="AC1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6" s="10">
        <f>IF(tblOrdenes[[#This Row],[orden]]="","",_xlfn.XLOOKUP(tblOrdenes[[#This Row],[id_operacion]],tblEjecucion[id_operacion],tblEjecucion[precio],0))</f>
        <v/>
      </c>
      <c r="AG1126" s="10">
        <f>IF(tblOrdenes[[#This Row],[orden]]="","",MAX(0,_xlfn.XLOOKUP(tblOrdenes[[#This Row],[id_operacion]],tblEjecucion[id_operacion],tblEjecucion[costo_plan_total],0)-tblOrdenes[[#This Row],[costo_servicio]]))</f>
        <v/>
      </c>
      <c r="AH1126" s="10">
        <f>IF(tblOrdenes[[#This Row],[orden]]="","",tblOrdenes[[#This Row],[costo_servicio]]+tblOrdenes[[#This Row],[costo_materiales]])</f>
        <v/>
      </c>
      <c r="AI1126" s="6" t="n"/>
      <c r="AJ1126" s="6" t="n"/>
      <c r="AK1126" s="6" t="n"/>
      <c r="AL1126" s="3">
        <f>IF(tblOrdenes[[#This Row],[link_checklist]]="","",HYPERLINK(p_ruta_base_checklists&amp;tblOrdenes[[#This Row],[link_checklist]],"abrir"))</f>
        <v/>
      </c>
      <c r="AM1126" s="6" t="n"/>
      <c r="AN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Row],[tipo_ot]]="","",_xlfn.XLOOKUP(tblOrdenes[[#This Row],[tipo_ot]],tblTiposOT[codigo],tblTiposOT[clasificacion],"sin_clasificar"))</f>
        <v/>
      </c>
      <c r="T1127" s="3">
        <f>IF(tblOrdenes[[#This Row],[centro_costo]]="","",_xlfn.XLOOKUP(tblOrdenes[[#This Row],[centro_costo]],tblCECO[codigo],tblCECO[linea],"(sin catálogo)"))</f>
        <v/>
      </c>
      <c r="U1127" s="3">
        <f>IF(tblOrdenes[[#This Row],[centro_costo]]="","",_xlfn.XLOOKUP(tblOrdenes[[#This Row],[centro_costo]],tblCECO[codigo],tblCECO[area],"(sin catálogo)"))</f>
        <v/>
      </c>
      <c r="V1127" s="3">
        <f>IF(tblOrdenes[[#This Row],[centro_costo]]="","",_xlfn.XLOOKUP(tblOrdenes[[#This Row],[centro_costo]],tblCECO[codigo],tblCECO[coordinador],"(sin catálogo)"))</f>
        <v/>
      </c>
      <c r="W1127" s="3">
        <f>IF(tblOrdenes[[#This Row],[puesto_trabajo]]="","",_xlfn.XLOOKUP(tblOrdenes[[#This Row],[puesto_trabajo]],tblPuestos[codigo],tblPuestos[especialidad],"(sin catálogo)"))</f>
        <v/>
      </c>
      <c r="X1127" s="3">
        <f>IF(tblOrdenes[[#This Row],[cod_actividad]]="","",_xlfn.XLOOKUP(tblOrdenes[[#This Row],[cod_actividad]],tblActividades[codigo],tblActividades[descripcion],"(sin catálogo)"))</f>
        <v/>
      </c>
      <c r="Y1127" s="12">
        <f>IF(tblOrdenes[[#This Row],[fecha_inicio]]="","",TODAY()-tblOrdenes[[#This Row],[fecha_inicio]])</f>
        <v/>
      </c>
      <c r="Z1127" s="3">
        <f>IF(tblOrdenes[[#This Row],[backlog_dias]]="","",IF(tblOrdenes[[#This Row],[backlog_dias]]&lt;0,"FUTURO",IF(tblOrdenes[[#This Row],[backlog_dias]]&gt;p_dias_backlog_max,"BACKLOG","MES CORRIENTE")))</f>
        <v/>
      </c>
      <c r="AA1127" s="3">
        <f>IF(tblOrdenes[[#This Row],[backlog_dias]]="",FALSE,AND(tblOrdenes[[#This Row],[backlog_dias]]&gt;p_dias_backlog_min,tblOrdenes[[#This Row],[backlog_dias]]&lt;=p_dias_backlog_max))</f>
        <v/>
      </c>
      <c r="AB1127" s="6" t="n"/>
      <c r="AC1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7" s="10">
        <f>IF(tblOrdenes[[#This Row],[orden]]="","",_xlfn.XLOOKUP(tblOrdenes[[#This Row],[id_operacion]],tblEjecucion[id_operacion],tblEjecucion[precio],0))</f>
        <v/>
      </c>
      <c r="AG1127" s="10">
        <f>IF(tblOrdenes[[#This Row],[orden]]="","",MAX(0,_xlfn.XLOOKUP(tblOrdenes[[#This Row],[id_operacion]],tblEjecucion[id_operacion],tblEjecucion[costo_plan_total],0)-tblOrdenes[[#This Row],[costo_servicio]]))</f>
        <v/>
      </c>
      <c r="AH1127" s="10">
        <f>IF(tblOrdenes[[#This Row],[orden]]="","",tblOrdenes[[#This Row],[costo_servicio]]+tblOrdenes[[#This Row],[costo_materiales]])</f>
        <v/>
      </c>
      <c r="AI1127" s="6" t="n"/>
      <c r="AJ1127" s="6" t="n"/>
      <c r="AK1127" s="6" t="n"/>
      <c r="AL1127" s="3">
        <f>IF(tblOrdenes[[#This Row],[link_checklist]]="","",HYPERLINK(p_ruta_base_checklists&amp;tblOrdenes[[#This Row],[link_checklist]],"abrir"))</f>
        <v/>
      </c>
      <c r="AM1127" s="6" t="n"/>
      <c r="AN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Row],[tipo_ot]]="","",_xlfn.XLOOKUP(tblOrdenes[[#This Row],[tipo_ot]],tblTiposOT[codigo],tblTiposOT[clasificacion],"sin_clasificar"))</f>
        <v/>
      </c>
      <c r="T1128" s="3">
        <f>IF(tblOrdenes[[#This Row],[centro_costo]]="","",_xlfn.XLOOKUP(tblOrdenes[[#This Row],[centro_costo]],tblCECO[codigo],tblCECO[linea],"(sin catálogo)"))</f>
        <v/>
      </c>
      <c r="U1128" s="3">
        <f>IF(tblOrdenes[[#This Row],[centro_costo]]="","",_xlfn.XLOOKUP(tblOrdenes[[#This Row],[centro_costo]],tblCECO[codigo],tblCECO[area],"(sin catálogo)"))</f>
        <v/>
      </c>
      <c r="V1128" s="3">
        <f>IF(tblOrdenes[[#This Row],[centro_costo]]="","",_xlfn.XLOOKUP(tblOrdenes[[#This Row],[centro_costo]],tblCECO[codigo],tblCECO[coordinador],"(sin catálogo)"))</f>
        <v/>
      </c>
      <c r="W1128" s="3">
        <f>IF(tblOrdenes[[#This Row],[puesto_trabajo]]="","",_xlfn.XLOOKUP(tblOrdenes[[#This Row],[puesto_trabajo]],tblPuestos[codigo],tblPuestos[especialidad],"(sin catálogo)"))</f>
        <v/>
      </c>
      <c r="X1128" s="3">
        <f>IF(tblOrdenes[[#This Row],[cod_actividad]]="","",_xlfn.XLOOKUP(tblOrdenes[[#This Row],[cod_actividad]],tblActividades[codigo],tblActividades[descripcion],"(sin catálogo)"))</f>
        <v/>
      </c>
      <c r="Y1128" s="12">
        <f>IF(tblOrdenes[[#This Row],[fecha_inicio]]="","",TODAY()-tblOrdenes[[#This Row],[fecha_inicio]])</f>
        <v/>
      </c>
      <c r="Z1128" s="3">
        <f>IF(tblOrdenes[[#This Row],[backlog_dias]]="","",IF(tblOrdenes[[#This Row],[backlog_dias]]&lt;0,"FUTURO",IF(tblOrdenes[[#This Row],[backlog_dias]]&gt;p_dias_backlog_max,"BACKLOG","MES CORRIENTE")))</f>
        <v/>
      </c>
      <c r="AA1128" s="3">
        <f>IF(tblOrdenes[[#This Row],[backlog_dias]]="",FALSE,AND(tblOrdenes[[#This Row],[backlog_dias]]&gt;p_dias_backlog_min,tblOrdenes[[#This Row],[backlog_dias]]&lt;=p_dias_backlog_max))</f>
        <v/>
      </c>
      <c r="AB1128" s="6" t="n"/>
      <c r="AC1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8" s="10">
        <f>IF(tblOrdenes[[#This Row],[orden]]="","",_xlfn.XLOOKUP(tblOrdenes[[#This Row],[id_operacion]],tblEjecucion[id_operacion],tblEjecucion[precio],0))</f>
        <v/>
      </c>
      <c r="AG1128" s="10">
        <f>IF(tblOrdenes[[#This Row],[orden]]="","",MAX(0,_xlfn.XLOOKUP(tblOrdenes[[#This Row],[id_operacion]],tblEjecucion[id_operacion],tblEjecucion[costo_plan_total],0)-tblOrdenes[[#This Row],[costo_servicio]]))</f>
        <v/>
      </c>
      <c r="AH1128" s="10">
        <f>IF(tblOrdenes[[#This Row],[orden]]="","",tblOrdenes[[#This Row],[costo_servicio]]+tblOrdenes[[#This Row],[costo_materiales]])</f>
        <v/>
      </c>
      <c r="AI1128" s="6" t="n"/>
      <c r="AJ1128" s="6" t="n"/>
      <c r="AK1128" s="6" t="n"/>
      <c r="AL1128" s="3">
        <f>IF(tblOrdenes[[#This Row],[link_checklist]]="","",HYPERLINK(p_ruta_base_checklists&amp;tblOrdenes[[#This Row],[link_checklist]],"abrir"))</f>
        <v/>
      </c>
      <c r="AM1128" s="6" t="n"/>
      <c r="AN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Row],[tipo_ot]]="","",_xlfn.XLOOKUP(tblOrdenes[[#This Row],[tipo_ot]],tblTiposOT[codigo],tblTiposOT[clasificacion],"sin_clasificar"))</f>
        <v/>
      </c>
      <c r="T1129" s="3">
        <f>IF(tblOrdenes[[#This Row],[centro_costo]]="","",_xlfn.XLOOKUP(tblOrdenes[[#This Row],[centro_costo]],tblCECO[codigo],tblCECO[linea],"(sin catálogo)"))</f>
        <v/>
      </c>
      <c r="U1129" s="3">
        <f>IF(tblOrdenes[[#This Row],[centro_costo]]="","",_xlfn.XLOOKUP(tblOrdenes[[#This Row],[centro_costo]],tblCECO[codigo],tblCECO[area],"(sin catálogo)"))</f>
        <v/>
      </c>
      <c r="V1129" s="3">
        <f>IF(tblOrdenes[[#This Row],[centro_costo]]="","",_xlfn.XLOOKUP(tblOrdenes[[#This Row],[centro_costo]],tblCECO[codigo],tblCECO[coordinador],"(sin catálogo)"))</f>
        <v/>
      </c>
      <c r="W1129" s="3">
        <f>IF(tblOrdenes[[#This Row],[puesto_trabajo]]="","",_xlfn.XLOOKUP(tblOrdenes[[#This Row],[puesto_trabajo]],tblPuestos[codigo],tblPuestos[especialidad],"(sin catálogo)"))</f>
        <v/>
      </c>
      <c r="X1129" s="3">
        <f>IF(tblOrdenes[[#This Row],[cod_actividad]]="","",_xlfn.XLOOKUP(tblOrdenes[[#This Row],[cod_actividad]],tblActividades[codigo],tblActividades[descripcion],"(sin catálogo)"))</f>
        <v/>
      </c>
      <c r="Y1129" s="12">
        <f>IF(tblOrdenes[[#This Row],[fecha_inicio]]="","",TODAY()-tblOrdenes[[#This Row],[fecha_inicio]])</f>
        <v/>
      </c>
      <c r="Z1129" s="3">
        <f>IF(tblOrdenes[[#This Row],[backlog_dias]]="","",IF(tblOrdenes[[#This Row],[backlog_dias]]&lt;0,"FUTURO",IF(tblOrdenes[[#This Row],[backlog_dias]]&gt;p_dias_backlog_max,"BACKLOG","MES CORRIENTE")))</f>
        <v/>
      </c>
      <c r="AA1129" s="3">
        <f>IF(tblOrdenes[[#This Row],[backlog_dias]]="",FALSE,AND(tblOrdenes[[#This Row],[backlog_dias]]&gt;p_dias_backlog_min,tblOrdenes[[#This Row],[backlog_dias]]&lt;=p_dias_backlog_max))</f>
        <v/>
      </c>
      <c r="AB1129" s="6" t="n"/>
      <c r="AC1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9" s="10">
        <f>IF(tblOrdenes[[#This Row],[orden]]="","",_xlfn.XLOOKUP(tblOrdenes[[#This Row],[id_operacion]],tblEjecucion[id_operacion],tblEjecucion[precio],0))</f>
        <v/>
      </c>
      <c r="AG1129" s="10">
        <f>IF(tblOrdenes[[#This Row],[orden]]="","",MAX(0,_xlfn.XLOOKUP(tblOrdenes[[#This Row],[id_operacion]],tblEjecucion[id_operacion],tblEjecucion[costo_plan_total],0)-tblOrdenes[[#This Row],[costo_servicio]]))</f>
        <v/>
      </c>
      <c r="AH1129" s="10">
        <f>IF(tblOrdenes[[#This Row],[orden]]="","",tblOrdenes[[#This Row],[costo_servicio]]+tblOrdenes[[#This Row],[costo_materiales]])</f>
        <v/>
      </c>
      <c r="AI1129" s="6" t="n"/>
      <c r="AJ1129" s="6" t="n"/>
      <c r="AK1129" s="6" t="n"/>
      <c r="AL1129" s="3">
        <f>IF(tblOrdenes[[#This Row],[link_checklist]]="","",HYPERLINK(p_ruta_base_checklists&amp;tblOrdenes[[#This Row],[link_checklist]],"abrir"))</f>
        <v/>
      </c>
      <c r="AM1129" s="6" t="n"/>
      <c r="AN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Row],[tipo_ot]]="","",_xlfn.XLOOKUP(tblOrdenes[[#This Row],[tipo_ot]],tblTiposOT[codigo],tblTiposOT[clasificacion],"sin_clasificar"))</f>
        <v/>
      </c>
      <c r="T1130" s="3">
        <f>IF(tblOrdenes[[#This Row],[centro_costo]]="","",_xlfn.XLOOKUP(tblOrdenes[[#This Row],[centro_costo]],tblCECO[codigo],tblCECO[linea],"(sin catálogo)"))</f>
        <v/>
      </c>
      <c r="U1130" s="3">
        <f>IF(tblOrdenes[[#This Row],[centro_costo]]="","",_xlfn.XLOOKUP(tblOrdenes[[#This Row],[centro_costo]],tblCECO[codigo],tblCECO[area],"(sin catálogo)"))</f>
        <v/>
      </c>
      <c r="V1130" s="3">
        <f>IF(tblOrdenes[[#This Row],[centro_costo]]="","",_xlfn.XLOOKUP(tblOrdenes[[#This Row],[centro_costo]],tblCECO[codigo],tblCECO[coordinador],"(sin catálogo)"))</f>
        <v/>
      </c>
      <c r="W1130" s="3">
        <f>IF(tblOrdenes[[#This Row],[puesto_trabajo]]="","",_xlfn.XLOOKUP(tblOrdenes[[#This Row],[puesto_trabajo]],tblPuestos[codigo],tblPuestos[especialidad],"(sin catálogo)"))</f>
        <v/>
      </c>
      <c r="X1130" s="3">
        <f>IF(tblOrdenes[[#This Row],[cod_actividad]]="","",_xlfn.XLOOKUP(tblOrdenes[[#This Row],[cod_actividad]],tblActividades[codigo],tblActividades[descripcion],"(sin catálogo)"))</f>
        <v/>
      </c>
      <c r="Y1130" s="12">
        <f>IF(tblOrdenes[[#This Row],[fecha_inicio]]="","",TODAY()-tblOrdenes[[#This Row],[fecha_inicio]])</f>
        <v/>
      </c>
      <c r="Z1130" s="3">
        <f>IF(tblOrdenes[[#This Row],[backlog_dias]]="","",IF(tblOrdenes[[#This Row],[backlog_dias]]&lt;0,"FUTURO",IF(tblOrdenes[[#This Row],[backlog_dias]]&gt;p_dias_backlog_max,"BACKLOG","MES CORRIENTE")))</f>
        <v/>
      </c>
      <c r="AA1130" s="3">
        <f>IF(tblOrdenes[[#This Row],[backlog_dias]]="",FALSE,AND(tblOrdenes[[#This Row],[backlog_dias]]&gt;p_dias_backlog_min,tblOrdenes[[#This Row],[backlog_dias]]&lt;=p_dias_backlog_max))</f>
        <v/>
      </c>
      <c r="AB1130" s="6" t="n"/>
      <c r="AC1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0" s="10">
        <f>IF(tblOrdenes[[#This Row],[orden]]="","",_xlfn.XLOOKUP(tblOrdenes[[#This Row],[id_operacion]],tblEjecucion[id_operacion],tblEjecucion[precio],0))</f>
        <v/>
      </c>
      <c r="AG1130" s="10">
        <f>IF(tblOrdenes[[#This Row],[orden]]="","",MAX(0,_xlfn.XLOOKUP(tblOrdenes[[#This Row],[id_operacion]],tblEjecucion[id_operacion],tblEjecucion[costo_plan_total],0)-tblOrdenes[[#This Row],[costo_servicio]]))</f>
        <v/>
      </c>
      <c r="AH1130" s="10">
        <f>IF(tblOrdenes[[#This Row],[orden]]="","",tblOrdenes[[#This Row],[costo_servicio]]+tblOrdenes[[#This Row],[costo_materiales]])</f>
        <v/>
      </c>
      <c r="AI1130" s="6" t="n"/>
      <c r="AJ1130" s="6" t="n"/>
      <c r="AK1130" s="6" t="n"/>
      <c r="AL1130" s="3">
        <f>IF(tblOrdenes[[#This Row],[link_checklist]]="","",HYPERLINK(p_ruta_base_checklists&amp;tblOrdenes[[#This Row],[link_checklist]],"abrir"))</f>
        <v/>
      </c>
      <c r="AM1130" s="6" t="n"/>
      <c r="AN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Row],[tipo_ot]]="","",_xlfn.XLOOKUP(tblOrdenes[[#This Row],[tipo_ot]],tblTiposOT[codigo],tblTiposOT[clasificacion],"sin_clasificar"))</f>
        <v/>
      </c>
      <c r="T1131" s="3">
        <f>IF(tblOrdenes[[#This Row],[centro_costo]]="","",_xlfn.XLOOKUP(tblOrdenes[[#This Row],[centro_costo]],tblCECO[codigo],tblCECO[linea],"(sin catálogo)"))</f>
        <v/>
      </c>
      <c r="U1131" s="3">
        <f>IF(tblOrdenes[[#This Row],[centro_costo]]="","",_xlfn.XLOOKUP(tblOrdenes[[#This Row],[centro_costo]],tblCECO[codigo],tblCECO[area],"(sin catálogo)"))</f>
        <v/>
      </c>
      <c r="V1131" s="3">
        <f>IF(tblOrdenes[[#This Row],[centro_costo]]="","",_xlfn.XLOOKUP(tblOrdenes[[#This Row],[centro_costo]],tblCECO[codigo],tblCECO[coordinador],"(sin catálogo)"))</f>
        <v/>
      </c>
      <c r="W1131" s="3">
        <f>IF(tblOrdenes[[#This Row],[puesto_trabajo]]="","",_xlfn.XLOOKUP(tblOrdenes[[#This Row],[puesto_trabajo]],tblPuestos[codigo],tblPuestos[especialidad],"(sin catálogo)"))</f>
        <v/>
      </c>
      <c r="X1131" s="3">
        <f>IF(tblOrdenes[[#This Row],[cod_actividad]]="","",_xlfn.XLOOKUP(tblOrdenes[[#This Row],[cod_actividad]],tblActividades[codigo],tblActividades[descripcion],"(sin catálogo)"))</f>
        <v/>
      </c>
      <c r="Y1131" s="12">
        <f>IF(tblOrdenes[[#This Row],[fecha_inicio]]="","",TODAY()-tblOrdenes[[#This Row],[fecha_inicio]])</f>
        <v/>
      </c>
      <c r="Z1131" s="3">
        <f>IF(tblOrdenes[[#This Row],[backlog_dias]]="","",IF(tblOrdenes[[#This Row],[backlog_dias]]&lt;0,"FUTURO",IF(tblOrdenes[[#This Row],[backlog_dias]]&gt;p_dias_backlog_max,"BACKLOG","MES CORRIENTE")))</f>
        <v/>
      </c>
      <c r="AA1131" s="3">
        <f>IF(tblOrdenes[[#This Row],[backlog_dias]]="",FALSE,AND(tblOrdenes[[#This Row],[backlog_dias]]&gt;p_dias_backlog_min,tblOrdenes[[#This Row],[backlog_dias]]&lt;=p_dias_backlog_max))</f>
        <v/>
      </c>
      <c r="AB1131" s="6" t="n"/>
      <c r="AC1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1" s="10">
        <f>IF(tblOrdenes[[#This Row],[orden]]="","",_xlfn.XLOOKUP(tblOrdenes[[#This Row],[id_operacion]],tblEjecucion[id_operacion],tblEjecucion[precio],0))</f>
        <v/>
      </c>
      <c r="AG1131" s="10">
        <f>IF(tblOrdenes[[#This Row],[orden]]="","",MAX(0,_xlfn.XLOOKUP(tblOrdenes[[#This Row],[id_operacion]],tblEjecucion[id_operacion],tblEjecucion[costo_plan_total],0)-tblOrdenes[[#This Row],[costo_servicio]]))</f>
        <v/>
      </c>
      <c r="AH1131" s="10">
        <f>IF(tblOrdenes[[#This Row],[orden]]="","",tblOrdenes[[#This Row],[costo_servicio]]+tblOrdenes[[#This Row],[costo_materiales]])</f>
        <v/>
      </c>
      <c r="AI1131" s="6" t="n"/>
      <c r="AJ1131" s="6" t="n"/>
      <c r="AK1131" s="6" t="n"/>
      <c r="AL1131" s="3">
        <f>IF(tblOrdenes[[#This Row],[link_checklist]]="","",HYPERLINK(p_ruta_base_checklists&amp;tblOrdenes[[#This Row],[link_checklist]],"abrir"))</f>
        <v/>
      </c>
      <c r="AM1131" s="6" t="n"/>
      <c r="AN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Row],[tipo_ot]]="","",_xlfn.XLOOKUP(tblOrdenes[[#This Row],[tipo_ot]],tblTiposOT[codigo],tblTiposOT[clasificacion],"sin_clasificar"))</f>
        <v/>
      </c>
      <c r="T1132" s="3">
        <f>IF(tblOrdenes[[#This Row],[centro_costo]]="","",_xlfn.XLOOKUP(tblOrdenes[[#This Row],[centro_costo]],tblCECO[codigo],tblCECO[linea],"(sin catálogo)"))</f>
        <v/>
      </c>
      <c r="U1132" s="3">
        <f>IF(tblOrdenes[[#This Row],[centro_costo]]="","",_xlfn.XLOOKUP(tblOrdenes[[#This Row],[centro_costo]],tblCECO[codigo],tblCECO[area],"(sin catálogo)"))</f>
        <v/>
      </c>
      <c r="V1132" s="3">
        <f>IF(tblOrdenes[[#This Row],[centro_costo]]="","",_xlfn.XLOOKUP(tblOrdenes[[#This Row],[centro_costo]],tblCECO[codigo],tblCECO[coordinador],"(sin catálogo)"))</f>
        <v/>
      </c>
      <c r="W1132" s="3">
        <f>IF(tblOrdenes[[#This Row],[puesto_trabajo]]="","",_xlfn.XLOOKUP(tblOrdenes[[#This Row],[puesto_trabajo]],tblPuestos[codigo],tblPuestos[especialidad],"(sin catálogo)"))</f>
        <v/>
      </c>
      <c r="X1132" s="3">
        <f>IF(tblOrdenes[[#This Row],[cod_actividad]]="","",_xlfn.XLOOKUP(tblOrdenes[[#This Row],[cod_actividad]],tblActividades[codigo],tblActividades[descripcion],"(sin catálogo)"))</f>
        <v/>
      </c>
      <c r="Y1132" s="12">
        <f>IF(tblOrdenes[[#This Row],[fecha_inicio]]="","",TODAY()-tblOrdenes[[#This Row],[fecha_inicio]])</f>
        <v/>
      </c>
      <c r="Z1132" s="3">
        <f>IF(tblOrdenes[[#This Row],[backlog_dias]]="","",IF(tblOrdenes[[#This Row],[backlog_dias]]&lt;0,"FUTURO",IF(tblOrdenes[[#This Row],[backlog_dias]]&gt;p_dias_backlog_max,"BACKLOG","MES CORRIENTE")))</f>
        <v/>
      </c>
      <c r="AA1132" s="3">
        <f>IF(tblOrdenes[[#This Row],[backlog_dias]]="",FALSE,AND(tblOrdenes[[#This Row],[backlog_dias]]&gt;p_dias_backlog_min,tblOrdenes[[#This Row],[backlog_dias]]&lt;=p_dias_backlog_max))</f>
        <v/>
      </c>
      <c r="AB1132" s="6" t="n"/>
      <c r="AC1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2" s="10">
        <f>IF(tblOrdenes[[#This Row],[orden]]="","",_xlfn.XLOOKUP(tblOrdenes[[#This Row],[id_operacion]],tblEjecucion[id_operacion],tblEjecucion[precio],0))</f>
        <v/>
      </c>
      <c r="AG1132" s="10">
        <f>IF(tblOrdenes[[#This Row],[orden]]="","",MAX(0,_xlfn.XLOOKUP(tblOrdenes[[#This Row],[id_operacion]],tblEjecucion[id_operacion],tblEjecucion[costo_plan_total],0)-tblOrdenes[[#This Row],[costo_servicio]]))</f>
        <v/>
      </c>
      <c r="AH1132" s="10">
        <f>IF(tblOrdenes[[#This Row],[orden]]="","",tblOrdenes[[#This Row],[costo_servicio]]+tblOrdenes[[#This Row],[costo_materiales]])</f>
        <v/>
      </c>
      <c r="AI1132" s="6" t="n"/>
      <c r="AJ1132" s="6" t="n"/>
      <c r="AK1132" s="6" t="n"/>
      <c r="AL1132" s="3">
        <f>IF(tblOrdenes[[#This Row],[link_checklist]]="","",HYPERLINK(p_ruta_base_checklists&amp;tblOrdenes[[#This Row],[link_checklist]],"abrir"))</f>
        <v/>
      </c>
      <c r="AM1132" s="6" t="n"/>
      <c r="AN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Row],[tipo_ot]]="","",_xlfn.XLOOKUP(tblOrdenes[[#This Row],[tipo_ot]],tblTiposOT[codigo],tblTiposOT[clasificacion],"sin_clasificar"))</f>
        <v/>
      </c>
      <c r="T1133" s="3">
        <f>IF(tblOrdenes[[#This Row],[centro_costo]]="","",_xlfn.XLOOKUP(tblOrdenes[[#This Row],[centro_costo]],tblCECO[codigo],tblCECO[linea],"(sin catálogo)"))</f>
        <v/>
      </c>
      <c r="U1133" s="3">
        <f>IF(tblOrdenes[[#This Row],[centro_costo]]="","",_xlfn.XLOOKUP(tblOrdenes[[#This Row],[centro_costo]],tblCECO[codigo],tblCECO[area],"(sin catálogo)"))</f>
        <v/>
      </c>
      <c r="V1133" s="3">
        <f>IF(tblOrdenes[[#This Row],[centro_costo]]="","",_xlfn.XLOOKUP(tblOrdenes[[#This Row],[centro_costo]],tblCECO[codigo],tblCECO[coordinador],"(sin catálogo)"))</f>
        <v/>
      </c>
      <c r="W1133" s="3">
        <f>IF(tblOrdenes[[#This Row],[puesto_trabajo]]="","",_xlfn.XLOOKUP(tblOrdenes[[#This Row],[puesto_trabajo]],tblPuestos[codigo],tblPuestos[especialidad],"(sin catálogo)"))</f>
        <v/>
      </c>
      <c r="X1133" s="3">
        <f>IF(tblOrdenes[[#This Row],[cod_actividad]]="","",_xlfn.XLOOKUP(tblOrdenes[[#This Row],[cod_actividad]],tblActividades[codigo],tblActividades[descripcion],"(sin catálogo)"))</f>
        <v/>
      </c>
      <c r="Y1133" s="12">
        <f>IF(tblOrdenes[[#This Row],[fecha_inicio]]="","",TODAY()-tblOrdenes[[#This Row],[fecha_inicio]])</f>
        <v/>
      </c>
      <c r="Z1133" s="3">
        <f>IF(tblOrdenes[[#This Row],[backlog_dias]]="","",IF(tblOrdenes[[#This Row],[backlog_dias]]&lt;0,"FUTURO",IF(tblOrdenes[[#This Row],[backlog_dias]]&gt;p_dias_backlog_max,"BACKLOG","MES CORRIENTE")))</f>
        <v/>
      </c>
      <c r="AA1133" s="3">
        <f>IF(tblOrdenes[[#This Row],[backlog_dias]]="",FALSE,AND(tblOrdenes[[#This Row],[backlog_dias]]&gt;p_dias_backlog_min,tblOrdenes[[#This Row],[backlog_dias]]&lt;=p_dias_backlog_max))</f>
        <v/>
      </c>
      <c r="AB1133" s="6" t="n"/>
      <c r="AC1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3" s="10">
        <f>IF(tblOrdenes[[#This Row],[orden]]="","",_xlfn.XLOOKUP(tblOrdenes[[#This Row],[id_operacion]],tblEjecucion[id_operacion],tblEjecucion[precio],0))</f>
        <v/>
      </c>
      <c r="AG1133" s="10">
        <f>IF(tblOrdenes[[#This Row],[orden]]="","",MAX(0,_xlfn.XLOOKUP(tblOrdenes[[#This Row],[id_operacion]],tblEjecucion[id_operacion],tblEjecucion[costo_plan_total],0)-tblOrdenes[[#This Row],[costo_servicio]]))</f>
        <v/>
      </c>
      <c r="AH1133" s="10">
        <f>IF(tblOrdenes[[#This Row],[orden]]="","",tblOrdenes[[#This Row],[costo_servicio]]+tblOrdenes[[#This Row],[costo_materiales]])</f>
        <v/>
      </c>
      <c r="AI1133" s="6" t="n"/>
      <c r="AJ1133" s="6" t="n"/>
      <c r="AK1133" s="6" t="n"/>
      <c r="AL1133" s="3">
        <f>IF(tblOrdenes[[#This Row],[link_checklist]]="","",HYPERLINK(p_ruta_base_checklists&amp;tblOrdenes[[#This Row],[link_checklist]],"abrir"))</f>
        <v/>
      </c>
      <c r="AM1133" s="6" t="n"/>
      <c r="AN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Row],[tipo_ot]]="","",_xlfn.XLOOKUP(tblOrdenes[[#This Row],[tipo_ot]],tblTiposOT[codigo],tblTiposOT[clasificacion],"sin_clasificar"))</f>
        <v/>
      </c>
      <c r="T1134" s="3">
        <f>IF(tblOrdenes[[#This Row],[centro_costo]]="","",_xlfn.XLOOKUP(tblOrdenes[[#This Row],[centro_costo]],tblCECO[codigo],tblCECO[linea],"(sin catálogo)"))</f>
        <v/>
      </c>
      <c r="U1134" s="3">
        <f>IF(tblOrdenes[[#This Row],[centro_costo]]="","",_xlfn.XLOOKUP(tblOrdenes[[#This Row],[centro_costo]],tblCECO[codigo],tblCECO[area],"(sin catálogo)"))</f>
        <v/>
      </c>
      <c r="V1134" s="3">
        <f>IF(tblOrdenes[[#This Row],[centro_costo]]="","",_xlfn.XLOOKUP(tblOrdenes[[#This Row],[centro_costo]],tblCECO[codigo],tblCECO[coordinador],"(sin catálogo)"))</f>
        <v/>
      </c>
      <c r="W1134" s="3">
        <f>IF(tblOrdenes[[#This Row],[puesto_trabajo]]="","",_xlfn.XLOOKUP(tblOrdenes[[#This Row],[puesto_trabajo]],tblPuestos[codigo],tblPuestos[especialidad],"(sin catálogo)"))</f>
        <v/>
      </c>
      <c r="X1134" s="3">
        <f>IF(tblOrdenes[[#This Row],[cod_actividad]]="","",_xlfn.XLOOKUP(tblOrdenes[[#This Row],[cod_actividad]],tblActividades[codigo],tblActividades[descripcion],"(sin catálogo)"))</f>
        <v/>
      </c>
      <c r="Y1134" s="12">
        <f>IF(tblOrdenes[[#This Row],[fecha_inicio]]="","",TODAY()-tblOrdenes[[#This Row],[fecha_inicio]])</f>
        <v/>
      </c>
      <c r="Z1134" s="3">
        <f>IF(tblOrdenes[[#This Row],[backlog_dias]]="","",IF(tblOrdenes[[#This Row],[backlog_dias]]&lt;0,"FUTURO",IF(tblOrdenes[[#This Row],[backlog_dias]]&gt;p_dias_backlog_max,"BACKLOG","MES CORRIENTE")))</f>
        <v/>
      </c>
      <c r="AA1134" s="3">
        <f>IF(tblOrdenes[[#This Row],[backlog_dias]]="",FALSE,AND(tblOrdenes[[#This Row],[backlog_dias]]&gt;p_dias_backlog_min,tblOrdenes[[#This Row],[backlog_dias]]&lt;=p_dias_backlog_max))</f>
        <v/>
      </c>
      <c r="AB1134" s="6" t="n"/>
      <c r="AC1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4" s="10">
        <f>IF(tblOrdenes[[#This Row],[orden]]="","",_xlfn.XLOOKUP(tblOrdenes[[#This Row],[id_operacion]],tblEjecucion[id_operacion],tblEjecucion[precio],0))</f>
        <v/>
      </c>
      <c r="AG1134" s="10">
        <f>IF(tblOrdenes[[#This Row],[orden]]="","",MAX(0,_xlfn.XLOOKUP(tblOrdenes[[#This Row],[id_operacion]],tblEjecucion[id_operacion],tblEjecucion[costo_plan_total],0)-tblOrdenes[[#This Row],[costo_servicio]]))</f>
        <v/>
      </c>
      <c r="AH1134" s="10">
        <f>IF(tblOrdenes[[#This Row],[orden]]="","",tblOrdenes[[#This Row],[costo_servicio]]+tblOrdenes[[#This Row],[costo_materiales]])</f>
        <v/>
      </c>
      <c r="AI1134" s="6" t="n"/>
      <c r="AJ1134" s="6" t="n"/>
      <c r="AK1134" s="6" t="n"/>
      <c r="AL1134" s="3">
        <f>IF(tblOrdenes[[#This Row],[link_checklist]]="","",HYPERLINK(p_ruta_base_checklists&amp;tblOrdenes[[#This Row],[link_checklist]],"abrir"))</f>
        <v/>
      </c>
      <c r="AM1134" s="6" t="n"/>
      <c r="AN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Row],[tipo_ot]]="","",_xlfn.XLOOKUP(tblOrdenes[[#This Row],[tipo_ot]],tblTiposOT[codigo],tblTiposOT[clasificacion],"sin_clasificar"))</f>
        <v/>
      </c>
      <c r="T1135" s="3">
        <f>IF(tblOrdenes[[#This Row],[centro_costo]]="","",_xlfn.XLOOKUP(tblOrdenes[[#This Row],[centro_costo]],tblCECO[codigo],tblCECO[linea],"(sin catálogo)"))</f>
        <v/>
      </c>
      <c r="U1135" s="3">
        <f>IF(tblOrdenes[[#This Row],[centro_costo]]="","",_xlfn.XLOOKUP(tblOrdenes[[#This Row],[centro_costo]],tblCECO[codigo],tblCECO[area],"(sin catálogo)"))</f>
        <v/>
      </c>
      <c r="V1135" s="3">
        <f>IF(tblOrdenes[[#This Row],[centro_costo]]="","",_xlfn.XLOOKUP(tblOrdenes[[#This Row],[centro_costo]],tblCECO[codigo],tblCECO[coordinador],"(sin catálogo)"))</f>
        <v/>
      </c>
      <c r="W1135" s="3">
        <f>IF(tblOrdenes[[#This Row],[puesto_trabajo]]="","",_xlfn.XLOOKUP(tblOrdenes[[#This Row],[puesto_trabajo]],tblPuestos[codigo],tblPuestos[especialidad],"(sin catálogo)"))</f>
        <v/>
      </c>
      <c r="X1135" s="3">
        <f>IF(tblOrdenes[[#This Row],[cod_actividad]]="","",_xlfn.XLOOKUP(tblOrdenes[[#This Row],[cod_actividad]],tblActividades[codigo],tblActividades[descripcion],"(sin catálogo)"))</f>
        <v/>
      </c>
      <c r="Y1135" s="12">
        <f>IF(tblOrdenes[[#This Row],[fecha_inicio]]="","",TODAY()-tblOrdenes[[#This Row],[fecha_inicio]])</f>
        <v/>
      </c>
      <c r="Z1135" s="3">
        <f>IF(tblOrdenes[[#This Row],[backlog_dias]]="","",IF(tblOrdenes[[#This Row],[backlog_dias]]&lt;0,"FUTURO",IF(tblOrdenes[[#This Row],[backlog_dias]]&gt;p_dias_backlog_max,"BACKLOG","MES CORRIENTE")))</f>
        <v/>
      </c>
      <c r="AA1135" s="3">
        <f>IF(tblOrdenes[[#This Row],[backlog_dias]]="",FALSE,AND(tblOrdenes[[#This Row],[backlog_dias]]&gt;p_dias_backlog_min,tblOrdenes[[#This Row],[backlog_dias]]&lt;=p_dias_backlog_max))</f>
        <v/>
      </c>
      <c r="AB1135" s="6" t="n"/>
      <c r="AC1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5" s="10">
        <f>IF(tblOrdenes[[#This Row],[orden]]="","",_xlfn.XLOOKUP(tblOrdenes[[#This Row],[id_operacion]],tblEjecucion[id_operacion],tblEjecucion[precio],0))</f>
        <v/>
      </c>
      <c r="AG1135" s="10">
        <f>IF(tblOrdenes[[#This Row],[orden]]="","",MAX(0,_xlfn.XLOOKUP(tblOrdenes[[#This Row],[id_operacion]],tblEjecucion[id_operacion],tblEjecucion[costo_plan_total],0)-tblOrdenes[[#This Row],[costo_servicio]]))</f>
        <v/>
      </c>
      <c r="AH1135" s="10">
        <f>IF(tblOrdenes[[#This Row],[orden]]="","",tblOrdenes[[#This Row],[costo_servicio]]+tblOrdenes[[#This Row],[costo_materiales]])</f>
        <v/>
      </c>
      <c r="AI1135" s="6" t="n"/>
      <c r="AJ1135" s="6" t="n"/>
      <c r="AK1135" s="6" t="n"/>
      <c r="AL1135" s="3">
        <f>IF(tblOrdenes[[#This Row],[link_checklist]]="","",HYPERLINK(p_ruta_base_checklists&amp;tblOrdenes[[#This Row],[link_checklist]],"abrir"))</f>
        <v/>
      </c>
      <c r="AM1135" s="6" t="n"/>
      <c r="AN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Row],[tipo_ot]]="","",_xlfn.XLOOKUP(tblOrdenes[[#This Row],[tipo_ot]],tblTiposOT[codigo],tblTiposOT[clasificacion],"sin_clasificar"))</f>
        <v/>
      </c>
      <c r="T1136" s="3">
        <f>IF(tblOrdenes[[#This Row],[centro_costo]]="","",_xlfn.XLOOKUP(tblOrdenes[[#This Row],[centro_costo]],tblCECO[codigo],tblCECO[linea],"(sin catálogo)"))</f>
        <v/>
      </c>
      <c r="U1136" s="3">
        <f>IF(tblOrdenes[[#This Row],[centro_costo]]="","",_xlfn.XLOOKUP(tblOrdenes[[#This Row],[centro_costo]],tblCECO[codigo],tblCECO[area],"(sin catálogo)"))</f>
        <v/>
      </c>
      <c r="V1136" s="3">
        <f>IF(tblOrdenes[[#This Row],[centro_costo]]="","",_xlfn.XLOOKUP(tblOrdenes[[#This Row],[centro_costo]],tblCECO[codigo],tblCECO[coordinador],"(sin catálogo)"))</f>
        <v/>
      </c>
      <c r="W1136" s="3">
        <f>IF(tblOrdenes[[#This Row],[puesto_trabajo]]="","",_xlfn.XLOOKUP(tblOrdenes[[#This Row],[puesto_trabajo]],tblPuestos[codigo],tblPuestos[especialidad],"(sin catálogo)"))</f>
        <v/>
      </c>
      <c r="X1136" s="3">
        <f>IF(tblOrdenes[[#This Row],[cod_actividad]]="","",_xlfn.XLOOKUP(tblOrdenes[[#This Row],[cod_actividad]],tblActividades[codigo],tblActividades[descripcion],"(sin catálogo)"))</f>
        <v/>
      </c>
      <c r="Y1136" s="12">
        <f>IF(tblOrdenes[[#This Row],[fecha_inicio]]="","",TODAY()-tblOrdenes[[#This Row],[fecha_inicio]])</f>
        <v/>
      </c>
      <c r="Z1136" s="3">
        <f>IF(tblOrdenes[[#This Row],[backlog_dias]]="","",IF(tblOrdenes[[#This Row],[backlog_dias]]&lt;0,"FUTURO",IF(tblOrdenes[[#This Row],[backlog_dias]]&gt;p_dias_backlog_max,"BACKLOG","MES CORRIENTE")))</f>
        <v/>
      </c>
      <c r="AA1136" s="3">
        <f>IF(tblOrdenes[[#This Row],[backlog_dias]]="",FALSE,AND(tblOrdenes[[#This Row],[backlog_dias]]&gt;p_dias_backlog_min,tblOrdenes[[#This Row],[backlog_dias]]&lt;=p_dias_backlog_max))</f>
        <v/>
      </c>
      <c r="AB1136" s="6" t="n"/>
      <c r="AC1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6" s="10">
        <f>IF(tblOrdenes[[#This Row],[orden]]="","",_xlfn.XLOOKUP(tblOrdenes[[#This Row],[id_operacion]],tblEjecucion[id_operacion],tblEjecucion[precio],0))</f>
        <v/>
      </c>
      <c r="AG1136" s="10">
        <f>IF(tblOrdenes[[#This Row],[orden]]="","",MAX(0,_xlfn.XLOOKUP(tblOrdenes[[#This Row],[id_operacion]],tblEjecucion[id_operacion],tblEjecucion[costo_plan_total],0)-tblOrdenes[[#This Row],[costo_servicio]]))</f>
        <v/>
      </c>
      <c r="AH1136" s="10">
        <f>IF(tblOrdenes[[#This Row],[orden]]="","",tblOrdenes[[#This Row],[costo_servicio]]+tblOrdenes[[#This Row],[costo_materiales]])</f>
        <v/>
      </c>
      <c r="AI1136" s="6" t="n"/>
      <c r="AJ1136" s="6" t="n"/>
      <c r="AK1136" s="6" t="n"/>
      <c r="AL1136" s="3">
        <f>IF(tblOrdenes[[#This Row],[link_checklist]]="","",HYPERLINK(p_ruta_base_checklists&amp;tblOrdenes[[#This Row],[link_checklist]],"abrir"))</f>
        <v/>
      </c>
      <c r="AM1136" s="6" t="n"/>
      <c r="AN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Row],[tipo_ot]]="","",_xlfn.XLOOKUP(tblOrdenes[[#This Row],[tipo_ot]],tblTiposOT[codigo],tblTiposOT[clasificacion],"sin_clasificar"))</f>
        <v/>
      </c>
      <c r="T1137" s="3">
        <f>IF(tblOrdenes[[#This Row],[centro_costo]]="","",_xlfn.XLOOKUP(tblOrdenes[[#This Row],[centro_costo]],tblCECO[codigo],tblCECO[linea],"(sin catálogo)"))</f>
        <v/>
      </c>
      <c r="U1137" s="3">
        <f>IF(tblOrdenes[[#This Row],[centro_costo]]="","",_xlfn.XLOOKUP(tblOrdenes[[#This Row],[centro_costo]],tblCECO[codigo],tblCECO[area],"(sin catálogo)"))</f>
        <v/>
      </c>
      <c r="V1137" s="3">
        <f>IF(tblOrdenes[[#This Row],[centro_costo]]="","",_xlfn.XLOOKUP(tblOrdenes[[#This Row],[centro_costo]],tblCECO[codigo],tblCECO[coordinador],"(sin catálogo)"))</f>
        <v/>
      </c>
      <c r="W1137" s="3">
        <f>IF(tblOrdenes[[#This Row],[puesto_trabajo]]="","",_xlfn.XLOOKUP(tblOrdenes[[#This Row],[puesto_trabajo]],tblPuestos[codigo],tblPuestos[especialidad],"(sin catálogo)"))</f>
        <v/>
      </c>
      <c r="X1137" s="3">
        <f>IF(tblOrdenes[[#This Row],[cod_actividad]]="","",_xlfn.XLOOKUP(tblOrdenes[[#This Row],[cod_actividad]],tblActividades[codigo],tblActividades[descripcion],"(sin catálogo)"))</f>
        <v/>
      </c>
      <c r="Y1137" s="12">
        <f>IF(tblOrdenes[[#This Row],[fecha_inicio]]="","",TODAY()-tblOrdenes[[#This Row],[fecha_inicio]])</f>
        <v/>
      </c>
      <c r="Z1137" s="3">
        <f>IF(tblOrdenes[[#This Row],[backlog_dias]]="","",IF(tblOrdenes[[#This Row],[backlog_dias]]&lt;0,"FUTURO",IF(tblOrdenes[[#This Row],[backlog_dias]]&gt;p_dias_backlog_max,"BACKLOG","MES CORRIENTE")))</f>
        <v/>
      </c>
      <c r="AA1137" s="3">
        <f>IF(tblOrdenes[[#This Row],[backlog_dias]]="",FALSE,AND(tblOrdenes[[#This Row],[backlog_dias]]&gt;p_dias_backlog_min,tblOrdenes[[#This Row],[backlog_dias]]&lt;=p_dias_backlog_max))</f>
        <v/>
      </c>
      <c r="AB1137" s="6" t="n"/>
      <c r="AC1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7" s="10">
        <f>IF(tblOrdenes[[#This Row],[orden]]="","",_xlfn.XLOOKUP(tblOrdenes[[#This Row],[id_operacion]],tblEjecucion[id_operacion],tblEjecucion[precio],0))</f>
        <v/>
      </c>
      <c r="AG1137" s="10">
        <f>IF(tblOrdenes[[#This Row],[orden]]="","",MAX(0,_xlfn.XLOOKUP(tblOrdenes[[#This Row],[id_operacion]],tblEjecucion[id_operacion],tblEjecucion[costo_plan_total],0)-tblOrdenes[[#This Row],[costo_servicio]]))</f>
        <v/>
      </c>
      <c r="AH1137" s="10">
        <f>IF(tblOrdenes[[#This Row],[orden]]="","",tblOrdenes[[#This Row],[costo_servicio]]+tblOrdenes[[#This Row],[costo_materiales]])</f>
        <v/>
      </c>
      <c r="AI1137" s="6" t="n"/>
      <c r="AJ1137" s="6" t="n"/>
      <c r="AK1137" s="6" t="n"/>
      <c r="AL1137" s="3">
        <f>IF(tblOrdenes[[#This Row],[link_checklist]]="","",HYPERLINK(p_ruta_base_checklists&amp;tblOrdenes[[#This Row],[link_checklist]],"abrir"))</f>
        <v/>
      </c>
      <c r="AM1137" s="6" t="n"/>
      <c r="AN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Row],[tipo_ot]]="","",_xlfn.XLOOKUP(tblOrdenes[[#This Row],[tipo_ot]],tblTiposOT[codigo],tblTiposOT[clasificacion],"sin_clasificar"))</f>
        <v/>
      </c>
      <c r="T1138" s="3">
        <f>IF(tblOrdenes[[#This Row],[centro_costo]]="","",_xlfn.XLOOKUP(tblOrdenes[[#This Row],[centro_costo]],tblCECO[codigo],tblCECO[linea],"(sin catálogo)"))</f>
        <v/>
      </c>
      <c r="U1138" s="3">
        <f>IF(tblOrdenes[[#This Row],[centro_costo]]="","",_xlfn.XLOOKUP(tblOrdenes[[#This Row],[centro_costo]],tblCECO[codigo],tblCECO[area],"(sin catálogo)"))</f>
        <v/>
      </c>
      <c r="V1138" s="3">
        <f>IF(tblOrdenes[[#This Row],[centro_costo]]="","",_xlfn.XLOOKUP(tblOrdenes[[#This Row],[centro_costo]],tblCECO[codigo],tblCECO[coordinador],"(sin catálogo)"))</f>
        <v/>
      </c>
      <c r="W1138" s="3">
        <f>IF(tblOrdenes[[#This Row],[puesto_trabajo]]="","",_xlfn.XLOOKUP(tblOrdenes[[#This Row],[puesto_trabajo]],tblPuestos[codigo],tblPuestos[especialidad],"(sin catálogo)"))</f>
        <v/>
      </c>
      <c r="X1138" s="3">
        <f>IF(tblOrdenes[[#This Row],[cod_actividad]]="","",_xlfn.XLOOKUP(tblOrdenes[[#This Row],[cod_actividad]],tblActividades[codigo],tblActividades[descripcion],"(sin catálogo)"))</f>
        <v/>
      </c>
      <c r="Y1138" s="12">
        <f>IF(tblOrdenes[[#This Row],[fecha_inicio]]="","",TODAY()-tblOrdenes[[#This Row],[fecha_inicio]])</f>
        <v/>
      </c>
      <c r="Z1138" s="3">
        <f>IF(tblOrdenes[[#This Row],[backlog_dias]]="","",IF(tblOrdenes[[#This Row],[backlog_dias]]&lt;0,"FUTURO",IF(tblOrdenes[[#This Row],[backlog_dias]]&gt;p_dias_backlog_max,"BACKLOG","MES CORRIENTE")))</f>
        <v/>
      </c>
      <c r="AA1138" s="3">
        <f>IF(tblOrdenes[[#This Row],[backlog_dias]]="",FALSE,AND(tblOrdenes[[#This Row],[backlog_dias]]&gt;p_dias_backlog_min,tblOrdenes[[#This Row],[backlog_dias]]&lt;=p_dias_backlog_max))</f>
        <v/>
      </c>
      <c r="AB1138" s="6" t="n"/>
      <c r="AC1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8" s="10">
        <f>IF(tblOrdenes[[#This Row],[orden]]="","",_xlfn.XLOOKUP(tblOrdenes[[#This Row],[id_operacion]],tblEjecucion[id_operacion],tblEjecucion[precio],0))</f>
        <v/>
      </c>
      <c r="AG1138" s="10">
        <f>IF(tblOrdenes[[#This Row],[orden]]="","",MAX(0,_xlfn.XLOOKUP(tblOrdenes[[#This Row],[id_operacion]],tblEjecucion[id_operacion],tblEjecucion[costo_plan_total],0)-tblOrdenes[[#This Row],[costo_servicio]]))</f>
        <v/>
      </c>
      <c r="AH1138" s="10">
        <f>IF(tblOrdenes[[#This Row],[orden]]="","",tblOrdenes[[#This Row],[costo_servicio]]+tblOrdenes[[#This Row],[costo_materiales]])</f>
        <v/>
      </c>
      <c r="AI1138" s="6" t="n"/>
      <c r="AJ1138" s="6" t="n"/>
      <c r="AK1138" s="6" t="n"/>
      <c r="AL1138" s="3">
        <f>IF(tblOrdenes[[#This Row],[link_checklist]]="","",HYPERLINK(p_ruta_base_checklists&amp;tblOrdenes[[#This Row],[link_checklist]],"abrir"))</f>
        <v/>
      </c>
      <c r="AM1138" s="6" t="n"/>
      <c r="AN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Row],[tipo_ot]]="","",_xlfn.XLOOKUP(tblOrdenes[[#This Row],[tipo_ot]],tblTiposOT[codigo],tblTiposOT[clasificacion],"sin_clasificar"))</f>
        <v/>
      </c>
      <c r="T1139" s="3">
        <f>IF(tblOrdenes[[#This Row],[centro_costo]]="","",_xlfn.XLOOKUP(tblOrdenes[[#This Row],[centro_costo]],tblCECO[codigo],tblCECO[linea],"(sin catálogo)"))</f>
        <v/>
      </c>
      <c r="U1139" s="3">
        <f>IF(tblOrdenes[[#This Row],[centro_costo]]="","",_xlfn.XLOOKUP(tblOrdenes[[#This Row],[centro_costo]],tblCECO[codigo],tblCECO[area],"(sin catálogo)"))</f>
        <v/>
      </c>
      <c r="V1139" s="3">
        <f>IF(tblOrdenes[[#This Row],[centro_costo]]="","",_xlfn.XLOOKUP(tblOrdenes[[#This Row],[centro_costo]],tblCECO[codigo],tblCECO[coordinador],"(sin catálogo)"))</f>
        <v/>
      </c>
      <c r="W1139" s="3">
        <f>IF(tblOrdenes[[#This Row],[puesto_trabajo]]="","",_xlfn.XLOOKUP(tblOrdenes[[#This Row],[puesto_trabajo]],tblPuestos[codigo],tblPuestos[especialidad],"(sin catálogo)"))</f>
        <v/>
      </c>
      <c r="X1139" s="3">
        <f>IF(tblOrdenes[[#This Row],[cod_actividad]]="","",_xlfn.XLOOKUP(tblOrdenes[[#This Row],[cod_actividad]],tblActividades[codigo],tblActividades[descripcion],"(sin catálogo)"))</f>
        <v/>
      </c>
      <c r="Y1139" s="12">
        <f>IF(tblOrdenes[[#This Row],[fecha_inicio]]="","",TODAY()-tblOrdenes[[#This Row],[fecha_inicio]])</f>
        <v/>
      </c>
      <c r="Z1139" s="3">
        <f>IF(tblOrdenes[[#This Row],[backlog_dias]]="","",IF(tblOrdenes[[#This Row],[backlog_dias]]&lt;0,"FUTURO",IF(tblOrdenes[[#This Row],[backlog_dias]]&gt;p_dias_backlog_max,"BACKLOG","MES CORRIENTE")))</f>
        <v/>
      </c>
      <c r="AA1139" s="3">
        <f>IF(tblOrdenes[[#This Row],[backlog_dias]]="",FALSE,AND(tblOrdenes[[#This Row],[backlog_dias]]&gt;p_dias_backlog_min,tblOrdenes[[#This Row],[backlog_dias]]&lt;=p_dias_backlog_max))</f>
        <v/>
      </c>
      <c r="AB1139" s="6" t="n"/>
      <c r="AC1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9" s="10">
        <f>IF(tblOrdenes[[#This Row],[orden]]="","",_xlfn.XLOOKUP(tblOrdenes[[#This Row],[id_operacion]],tblEjecucion[id_operacion],tblEjecucion[precio],0))</f>
        <v/>
      </c>
      <c r="AG1139" s="10">
        <f>IF(tblOrdenes[[#This Row],[orden]]="","",MAX(0,_xlfn.XLOOKUP(tblOrdenes[[#This Row],[id_operacion]],tblEjecucion[id_operacion],tblEjecucion[costo_plan_total],0)-tblOrdenes[[#This Row],[costo_servicio]]))</f>
        <v/>
      </c>
      <c r="AH1139" s="10">
        <f>IF(tblOrdenes[[#This Row],[orden]]="","",tblOrdenes[[#This Row],[costo_servicio]]+tblOrdenes[[#This Row],[costo_materiales]])</f>
        <v/>
      </c>
      <c r="AI1139" s="6" t="n"/>
      <c r="AJ1139" s="6" t="n"/>
      <c r="AK1139" s="6" t="n"/>
      <c r="AL1139" s="3">
        <f>IF(tblOrdenes[[#This Row],[link_checklist]]="","",HYPERLINK(p_ruta_base_checklists&amp;tblOrdenes[[#This Row],[link_checklist]],"abrir"))</f>
        <v/>
      </c>
      <c r="AM1139" s="6" t="n"/>
      <c r="AN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Row],[tipo_ot]]="","",_xlfn.XLOOKUP(tblOrdenes[[#This Row],[tipo_ot]],tblTiposOT[codigo],tblTiposOT[clasificacion],"sin_clasificar"))</f>
        <v/>
      </c>
      <c r="T1140" s="3">
        <f>IF(tblOrdenes[[#This Row],[centro_costo]]="","",_xlfn.XLOOKUP(tblOrdenes[[#This Row],[centro_costo]],tblCECO[codigo],tblCECO[linea],"(sin catálogo)"))</f>
        <v/>
      </c>
      <c r="U1140" s="3">
        <f>IF(tblOrdenes[[#This Row],[centro_costo]]="","",_xlfn.XLOOKUP(tblOrdenes[[#This Row],[centro_costo]],tblCECO[codigo],tblCECO[area],"(sin catálogo)"))</f>
        <v/>
      </c>
      <c r="V1140" s="3">
        <f>IF(tblOrdenes[[#This Row],[centro_costo]]="","",_xlfn.XLOOKUP(tblOrdenes[[#This Row],[centro_costo]],tblCECO[codigo],tblCECO[coordinador],"(sin catálogo)"))</f>
        <v/>
      </c>
      <c r="W1140" s="3">
        <f>IF(tblOrdenes[[#This Row],[puesto_trabajo]]="","",_xlfn.XLOOKUP(tblOrdenes[[#This Row],[puesto_trabajo]],tblPuestos[codigo],tblPuestos[especialidad],"(sin catálogo)"))</f>
        <v/>
      </c>
      <c r="X1140" s="3">
        <f>IF(tblOrdenes[[#This Row],[cod_actividad]]="","",_xlfn.XLOOKUP(tblOrdenes[[#This Row],[cod_actividad]],tblActividades[codigo],tblActividades[descripcion],"(sin catálogo)"))</f>
        <v/>
      </c>
      <c r="Y1140" s="12">
        <f>IF(tblOrdenes[[#This Row],[fecha_inicio]]="","",TODAY()-tblOrdenes[[#This Row],[fecha_inicio]])</f>
        <v/>
      </c>
      <c r="Z1140" s="3">
        <f>IF(tblOrdenes[[#This Row],[backlog_dias]]="","",IF(tblOrdenes[[#This Row],[backlog_dias]]&lt;0,"FUTURO",IF(tblOrdenes[[#This Row],[backlog_dias]]&gt;p_dias_backlog_max,"BACKLOG","MES CORRIENTE")))</f>
        <v/>
      </c>
      <c r="AA1140" s="3">
        <f>IF(tblOrdenes[[#This Row],[backlog_dias]]="",FALSE,AND(tblOrdenes[[#This Row],[backlog_dias]]&gt;p_dias_backlog_min,tblOrdenes[[#This Row],[backlog_dias]]&lt;=p_dias_backlog_max))</f>
        <v/>
      </c>
      <c r="AB1140" s="6" t="n"/>
      <c r="AC1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0" s="10">
        <f>IF(tblOrdenes[[#This Row],[orden]]="","",_xlfn.XLOOKUP(tblOrdenes[[#This Row],[id_operacion]],tblEjecucion[id_operacion],tblEjecucion[precio],0))</f>
        <v/>
      </c>
      <c r="AG1140" s="10">
        <f>IF(tblOrdenes[[#This Row],[orden]]="","",MAX(0,_xlfn.XLOOKUP(tblOrdenes[[#This Row],[id_operacion]],tblEjecucion[id_operacion],tblEjecucion[costo_plan_total],0)-tblOrdenes[[#This Row],[costo_servicio]]))</f>
        <v/>
      </c>
      <c r="AH1140" s="10">
        <f>IF(tblOrdenes[[#This Row],[orden]]="","",tblOrdenes[[#This Row],[costo_servicio]]+tblOrdenes[[#This Row],[costo_materiales]])</f>
        <v/>
      </c>
      <c r="AI1140" s="6" t="n"/>
      <c r="AJ1140" s="6" t="n"/>
      <c r="AK1140" s="6" t="n"/>
      <c r="AL1140" s="3">
        <f>IF(tblOrdenes[[#This Row],[link_checklist]]="","",HYPERLINK(p_ruta_base_checklists&amp;tblOrdenes[[#This Row],[link_checklist]],"abrir"))</f>
        <v/>
      </c>
      <c r="AM1140" s="6" t="n"/>
      <c r="AN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Row],[tipo_ot]]="","",_xlfn.XLOOKUP(tblOrdenes[[#This Row],[tipo_ot]],tblTiposOT[codigo],tblTiposOT[clasificacion],"sin_clasificar"))</f>
        <v/>
      </c>
      <c r="T1141" s="3">
        <f>IF(tblOrdenes[[#This Row],[centro_costo]]="","",_xlfn.XLOOKUP(tblOrdenes[[#This Row],[centro_costo]],tblCECO[codigo],tblCECO[linea],"(sin catálogo)"))</f>
        <v/>
      </c>
      <c r="U1141" s="3">
        <f>IF(tblOrdenes[[#This Row],[centro_costo]]="","",_xlfn.XLOOKUP(tblOrdenes[[#This Row],[centro_costo]],tblCECO[codigo],tblCECO[area],"(sin catálogo)"))</f>
        <v/>
      </c>
      <c r="V1141" s="3">
        <f>IF(tblOrdenes[[#This Row],[centro_costo]]="","",_xlfn.XLOOKUP(tblOrdenes[[#This Row],[centro_costo]],tblCECO[codigo],tblCECO[coordinador],"(sin catálogo)"))</f>
        <v/>
      </c>
      <c r="W1141" s="3">
        <f>IF(tblOrdenes[[#This Row],[puesto_trabajo]]="","",_xlfn.XLOOKUP(tblOrdenes[[#This Row],[puesto_trabajo]],tblPuestos[codigo],tblPuestos[especialidad],"(sin catálogo)"))</f>
        <v/>
      </c>
      <c r="X1141" s="3">
        <f>IF(tblOrdenes[[#This Row],[cod_actividad]]="","",_xlfn.XLOOKUP(tblOrdenes[[#This Row],[cod_actividad]],tblActividades[codigo],tblActividades[descripcion],"(sin catálogo)"))</f>
        <v/>
      </c>
      <c r="Y1141" s="12">
        <f>IF(tblOrdenes[[#This Row],[fecha_inicio]]="","",TODAY()-tblOrdenes[[#This Row],[fecha_inicio]])</f>
        <v/>
      </c>
      <c r="Z1141" s="3">
        <f>IF(tblOrdenes[[#This Row],[backlog_dias]]="","",IF(tblOrdenes[[#This Row],[backlog_dias]]&lt;0,"FUTURO",IF(tblOrdenes[[#This Row],[backlog_dias]]&gt;p_dias_backlog_max,"BACKLOG","MES CORRIENTE")))</f>
        <v/>
      </c>
      <c r="AA1141" s="3">
        <f>IF(tblOrdenes[[#This Row],[backlog_dias]]="",FALSE,AND(tblOrdenes[[#This Row],[backlog_dias]]&gt;p_dias_backlog_min,tblOrdenes[[#This Row],[backlog_dias]]&lt;=p_dias_backlog_max))</f>
        <v/>
      </c>
      <c r="AB1141" s="6" t="n"/>
      <c r="AC1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1" s="10">
        <f>IF(tblOrdenes[[#This Row],[orden]]="","",_xlfn.XLOOKUP(tblOrdenes[[#This Row],[id_operacion]],tblEjecucion[id_operacion],tblEjecucion[precio],0))</f>
        <v/>
      </c>
      <c r="AG1141" s="10">
        <f>IF(tblOrdenes[[#This Row],[orden]]="","",MAX(0,_xlfn.XLOOKUP(tblOrdenes[[#This Row],[id_operacion]],tblEjecucion[id_operacion],tblEjecucion[costo_plan_total],0)-tblOrdenes[[#This Row],[costo_servicio]]))</f>
        <v/>
      </c>
      <c r="AH1141" s="10">
        <f>IF(tblOrdenes[[#This Row],[orden]]="","",tblOrdenes[[#This Row],[costo_servicio]]+tblOrdenes[[#This Row],[costo_materiales]])</f>
        <v/>
      </c>
      <c r="AI1141" s="6" t="n"/>
      <c r="AJ1141" s="6" t="n"/>
      <c r="AK1141" s="6" t="n"/>
      <c r="AL1141" s="3">
        <f>IF(tblOrdenes[[#This Row],[link_checklist]]="","",HYPERLINK(p_ruta_base_checklists&amp;tblOrdenes[[#This Row],[link_checklist]],"abrir"))</f>
        <v/>
      </c>
      <c r="AM1141" s="6" t="n"/>
      <c r="AN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Row],[tipo_ot]]="","",_xlfn.XLOOKUP(tblOrdenes[[#This Row],[tipo_ot]],tblTiposOT[codigo],tblTiposOT[clasificacion],"sin_clasificar"))</f>
        <v/>
      </c>
      <c r="T1142" s="3">
        <f>IF(tblOrdenes[[#This Row],[centro_costo]]="","",_xlfn.XLOOKUP(tblOrdenes[[#This Row],[centro_costo]],tblCECO[codigo],tblCECO[linea],"(sin catálogo)"))</f>
        <v/>
      </c>
      <c r="U1142" s="3">
        <f>IF(tblOrdenes[[#This Row],[centro_costo]]="","",_xlfn.XLOOKUP(tblOrdenes[[#This Row],[centro_costo]],tblCECO[codigo],tblCECO[area],"(sin catálogo)"))</f>
        <v/>
      </c>
      <c r="V1142" s="3">
        <f>IF(tblOrdenes[[#This Row],[centro_costo]]="","",_xlfn.XLOOKUP(tblOrdenes[[#This Row],[centro_costo]],tblCECO[codigo],tblCECO[coordinador],"(sin catálogo)"))</f>
        <v/>
      </c>
      <c r="W1142" s="3">
        <f>IF(tblOrdenes[[#This Row],[puesto_trabajo]]="","",_xlfn.XLOOKUP(tblOrdenes[[#This Row],[puesto_trabajo]],tblPuestos[codigo],tblPuestos[especialidad],"(sin catálogo)"))</f>
        <v/>
      </c>
      <c r="X1142" s="3">
        <f>IF(tblOrdenes[[#This Row],[cod_actividad]]="","",_xlfn.XLOOKUP(tblOrdenes[[#This Row],[cod_actividad]],tblActividades[codigo],tblActividades[descripcion],"(sin catálogo)"))</f>
        <v/>
      </c>
      <c r="Y1142" s="12">
        <f>IF(tblOrdenes[[#This Row],[fecha_inicio]]="","",TODAY()-tblOrdenes[[#This Row],[fecha_inicio]])</f>
        <v/>
      </c>
      <c r="Z1142" s="3">
        <f>IF(tblOrdenes[[#This Row],[backlog_dias]]="","",IF(tblOrdenes[[#This Row],[backlog_dias]]&lt;0,"FUTURO",IF(tblOrdenes[[#This Row],[backlog_dias]]&gt;p_dias_backlog_max,"BACKLOG","MES CORRIENTE")))</f>
        <v/>
      </c>
      <c r="AA1142" s="3">
        <f>IF(tblOrdenes[[#This Row],[backlog_dias]]="",FALSE,AND(tblOrdenes[[#This Row],[backlog_dias]]&gt;p_dias_backlog_min,tblOrdenes[[#This Row],[backlog_dias]]&lt;=p_dias_backlog_max))</f>
        <v/>
      </c>
      <c r="AB1142" s="6" t="n"/>
      <c r="AC1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2" s="10">
        <f>IF(tblOrdenes[[#This Row],[orden]]="","",_xlfn.XLOOKUP(tblOrdenes[[#This Row],[id_operacion]],tblEjecucion[id_operacion],tblEjecucion[precio],0))</f>
        <v/>
      </c>
      <c r="AG1142" s="10">
        <f>IF(tblOrdenes[[#This Row],[orden]]="","",MAX(0,_xlfn.XLOOKUP(tblOrdenes[[#This Row],[id_operacion]],tblEjecucion[id_operacion],tblEjecucion[costo_plan_total],0)-tblOrdenes[[#This Row],[costo_servicio]]))</f>
        <v/>
      </c>
      <c r="AH1142" s="10">
        <f>IF(tblOrdenes[[#This Row],[orden]]="","",tblOrdenes[[#This Row],[costo_servicio]]+tblOrdenes[[#This Row],[costo_materiales]])</f>
        <v/>
      </c>
      <c r="AI1142" s="6" t="n"/>
      <c r="AJ1142" s="6" t="n"/>
      <c r="AK1142" s="6" t="n"/>
      <c r="AL1142" s="3">
        <f>IF(tblOrdenes[[#This Row],[link_checklist]]="","",HYPERLINK(p_ruta_base_checklists&amp;tblOrdenes[[#This Row],[link_checklist]],"abrir"))</f>
        <v/>
      </c>
      <c r="AM1142" s="6" t="n"/>
      <c r="AN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Row],[tipo_ot]]="","",_xlfn.XLOOKUP(tblOrdenes[[#This Row],[tipo_ot]],tblTiposOT[codigo],tblTiposOT[clasificacion],"sin_clasificar"))</f>
        <v/>
      </c>
      <c r="T1143" s="3">
        <f>IF(tblOrdenes[[#This Row],[centro_costo]]="","",_xlfn.XLOOKUP(tblOrdenes[[#This Row],[centro_costo]],tblCECO[codigo],tblCECO[linea],"(sin catálogo)"))</f>
        <v/>
      </c>
      <c r="U1143" s="3">
        <f>IF(tblOrdenes[[#This Row],[centro_costo]]="","",_xlfn.XLOOKUP(tblOrdenes[[#This Row],[centro_costo]],tblCECO[codigo],tblCECO[area],"(sin catálogo)"))</f>
        <v/>
      </c>
      <c r="V1143" s="3">
        <f>IF(tblOrdenes[[#This Row],[centro_costo]]="","",_xlfn.XLOOKUP(tblOrdenes[[#This Row],[centro_costo]],tblCECO[codigo],tblCECO[coordinador],"(sin catálogo)"))</f>
        <v/>
      </c>
      <c r="W1143" s="3">
        <f>IF(tblOrdenes[[#This Row],[puesto_trabajo]]="","",_xlfn.XLOOKUP(tblOrdenes[[#This Row],[puesto_trabajo]],tblPuestos[codigo],tblPuestos[especialidad],"(sin catálogo)"))</f>
        <v/>
      </c>
      <c r="X1143" s="3">
        <f>IF(tblOrdenes[[#This Row],[cod_actividad]]="","",_xlfn.XLOOKUP(tblOrdenes[[#This Row],[cod_actividad]],tblActividades[codigo],tblActividades[descripcion],"(sin catálogo)"))</f>
        <v/>
      </c>
      <c r="Y1143" s="12">
        <f>IF(tblOrdenes[[#This Row],[fecha_inicio]]="","",TODAY()-tblOrdenes[[#This Row],[fecha_inicio]])</f>
        <v/>
      </c>
      <c r="Z1143" s="3">
        <f>IF(tblOrdenes[[#This Row],[backlog_dias]]="","",IF(tblOrdenes[[#This Row],[backlog_dias]]&lt;0,"FUTURO",IF(tblOrdenes[[#This Row],[backlog_dias]]&gt;p_dias_backlog_max,"BACKLOG","MES CORRIENTE")))</f>
        <v/>
      </c>
      <c r="AA1143" s="3">
        <f>IF(tblOrdenes[[#This Row],[backlog_dias]]="",FALSE,AND(tblOrdenes[[#This Row],[backlog_dias]]&gt;p_dias_backlog_min,tblOrdenes[[#This Row],[backlog_dias]]&lt;=p_dias_backlog_max))</f>
        <v/>
      </c>
      <c r="AB1143" s="6" t="n"/>
      <c r="AC1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3" s="10">
        <f>IF(tblOrdenes[[#This Row],[orden]]="","",_xlfn.XLOOKUP(tblOrdenes[[#This Row],[id_operacion]],tblEjecucion[id_operacion],tblEjecucion[precio],0))</f>
        <v/>
      </c>
      <c r="AG1143" s="10">
        <f>IF(tblOrdenes[[#This Row],[orden]]="","",MAX(0,_xlfn.XLOOKUP(tblOrdenes[[#This Row],[id_operacion]],tblEjecucion[id_operacion],tblEjecucion[costo_plan_total],0)-tblOrdenes[[#This Row],[costo_servicio]]))</f>
        <v/>
      </c>
      <c r="AH1143" s="10">
        <f>IF(tblOrdenes[[#This Row],[orden]]="","",tblOrdenes[[#This Row],[costo_servicio]]+tblOrdenes[[#This Row],[costo_materiales]])</f>
        <v/>
      </c>
      <c r="AI1143" s="6" t="n"/>
      <c r="AJ1143" s="6" t="n"/>
      <c r="AK1143" s="6" t="n"/>
      <c r="AL1143" s="3">
        <f>IF(tblOrdenes[[#This Row],[link_checklist]]="","",HYPERLINK(p_ruta_base_checklists&amp;tblOrdenes[[#This Row],[link_checklist]],"abrir"))</f>
        <v/>
      </c>
      <c r="AM1143" s="6" t="n"/>
      <c r="AN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Row],[tipo_ot]]="","",_xlfn.XLOOKUP(tblOrdenes[[#This Row],[tipo_ot]],tblTiposOT[codigo],tblTiposOT[clasificacion],"sin_clasificar"))</f>
        <v/>
      </c>
      <c r="T1144" s="3">
        <f>IF(tblOrdenes[[#This Row],[centro_costo]]="","",_xlfn.XLOOKUP(tblOrdenes[[#This Row],[centro_costo]],tblCECO[codigo],tblCECO[linea],"(sin catálogo)"))</f>
        <v/>
      </c>
      <c r="U1144" s="3">
        <f>IF(tblOrdenes[[#This Row],[centro_costo]]="","",_xlfn.XLOOKUP(tblOrdenes[[#This Row],[centro_costo]],tblCECO[codigo],tblCECO[area],"(sin catálogo)"))</f>
        <v/>
      </c>
      <c r="V1144" s="3">
        <f>IF(tblOrdenes[[#This Row],[centro_costo]]="","",_xlfn.XLOOKUP(tblOrdenes[[#This Row],[centro_costo]],tblCECO[codigo],tblCECO[coordinador],"(sin catálogo)"))</f>
        <v/>
      </c>
      <c r="W1144" s="3">
        <f>IF(tblOrdenes[[#This Row],[puesto_trabajo]]="","",_xlfn.XLOOKUP(tblOrdenes[[#This Row],[puesto_trabajo]],tblPuestos[codigo],tblPuestos[especialidad],"(sin catálogo)"))</f>
        <v/>
      </c>
      <c r="X1144" s="3">
        <f>IF(tblOrdenes[[#This Row],[cod_actividad]]="","",_xlfn.XLOOKUP(tblOrdenes[[#This Row],[cod_actividad]],tblActividades[codigo],tblActividades[descripcion],"(sin catálogo)"))</f>
        <v/>
      </c>
      <c r="Y1144" s="12">
        <f>IF(tblOrdenes[[#This Row],[fecha_inicio]]="","",TODAY()-tblOrdenes[[#This Row],[fecha_inicio]])</f>
        <v/>
      </c>
      <c r="Z1144" s="3">
        <f>IF(tblOrdenes[[#This Row],[backlog_dias]]="","",IF(tblOrdenes[[#This Row],[backlog_dias]]&lt;0,"FUTURO",IF(tblOrdenes[[#This Row],[backlog_dias]]&gt;p_dias_backlog_max,"BACKLOG","MES CORRIENTE")))</f>
        <v/>
      </c>
      <c r="AA1144" s="3">
        <f>IF(tblOrdenes[[#This Row],[backlog_dias]]="",FALSE,AND(tblOrdenes[[#This Row],[backlog_dias]]&gt;p_dias_backlog_min,tblOrdenes[[#This Row],[backlog_dias]]&lt;=p_dias_backlog_max))</f>
        <v/>
      </c>
      <c r="AB1144" s="6" t="n"/>
      <c r="AC1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4" s="10">
        <f>IF(tblOrdenes[[#This Row],[orden]]="","",_xlfn.XLOOKUP(tblOrdenes[[#This Row],[id_operacion]],tblEjecucion[id_operacion],tblEjecucion[precio],0))</f>
        <v/>
      </c>
      <c r="AG1144" s="10">
        <f>IF(tblOrdenes[[#This Row],[orden]]="","",MAX(0,_xlfn.XLOOKUP(tblOrdenes[[#This Row],[id_operacion]],tblEjecucion[id_operacion],tblEjecucion[costo_plan_total],0)-tblOrdenes[[#This Row],[costo_servicio]]))</f>
        <v/>
      </c>
      <c r="AH1144" s="10">
        <f>IF(tblOrdenes[[#This Row],[orden]]="","",tblOrdenes[[#This Row],[costo_servicio]]+tblOrdenes[[#This Row],[costo_materiales]])</f>
        <v/>
      </c>
      <c r="AI1144" s="6" t="n"/>
      <c r="AJ1144" s="6" t="n"/>
      <c r="AK1144" s="6" t="n"/>
      <c r="AL1144" s="3">
        <f>IF(tblOrdenes[[#This Row],[link_checklist]]="","",HYPERLINK(p_ruta_base_checklists&amp;tblOrdenes[[#This Row],[link_checklist]],"abrir"))</f>
        <v/>
      </c>
      <c r="AM1144" s="6" t="n"/>
      <c r="AN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Row],[tipo_ot]]="","",_xlfn.XLOOKUP(tblOrdenes[[#This Row],[tipo_ot]],tblTiposOT[codigo],tblTiposOT[clasificacion],"sin_clasificar"))</f>
        <v/>
      </c>
      <c r="T1145" s="3">
        <f>IF(tblOrdenes[[#This Row],[centro_costo]]="","",_xlfn.XLOOKUP(tblOrdenes[[#This Row],[centro_costo]],tblCECO[codigo],tblCECO[linea],"(sin catálogo)"))</f>
        <v/>
      </c>
      <c r="U1145" s="3">
        <f>IF(tblOrdenes[[#This Row],[centro_costo]]="","",_xlfn.XLOOKUP(tblOrdenes[[#This Row],[centro_costo]],tblCECO[codigo],tblCECO[area],"(sin catálogo)"))</f>
        <v/>
      </c>
      <c r="V1145" s="3">
        <f>IF(tblOrdenes[[#This Row],[centro_costo]]="","",_xlfn.XLOOKUP(tblOrdenes[[#This Row],[centro_costo]],tblCECO[codigo],tblCECO[coordinador],"(sin catálogo)"))</f>
        <v/>
      </c>
      <c r="W1145" s="3">
        <f>IF(tblOrdenes[[#This Row],[puesto_trabajo]]="","",_xlfn.XLOOKUP(tblOrdenes[[#This Row],[puesto_trabajo]],tblPuestos[codigo],tblPuestos[especialidad],"(sin catálogo)"))</f>
        <v/>
      </c>
      <c r="X1145" s="3">
        <f>IF(tblOrdenes[[#This Row],[cod_actividad]]="","",_xlfn.XLOOKUP(tblOrdenes[[#This Row],[cod_actividad]],tblActividades[codigo],tblActividades[descripcion],"(sin catálogo)"))</f>
        <v/>
      </c>
      <c r="Y1145" s="12">
        <f>IF(tblOrdenes[[#This Row],[fecha_inicio]]="","",TODAY()-tblOrdenes[[#This Row],[fecha_inicio]])</f>
        <v/>
      </c>
      <c r="Z1145" s="3">
        <f>IF(tblOrdenes[[#This Row],[backlog_dias]]="","",IF(tblOrdenes[[#This Row],[backlog_dias]]&lt;0,"FUTURO",IF(tblOrdenes[[#This Row],[backlog_dias]]&gt;p_dias_backlog_max,"BACKLOG","MES CORRIENTE")))</f>
        <v/>
      </c>
      <c r="AA1145" s="3">
        <f>IF(tblOrdenes[[#This Row],[backlog_dias]]="",FALSE,AND(tblOrdenes[[#This Row],[backlog_dias]]&gt;p_dias_backlog_min,tblOrdenes[[#This Row],[backlog_dias]]&lt;=p_dias_backlog_max))</f>
        <v/>
      </c>
      <c r="AB1145" s="6" t="n"/>
      <c r="AC1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5" s="10">
        <f>IF(tblOrdenes[[#This Row],[orden]]="","",_xlfn.XLOOKUP(tblOrdenes[[#This Row],[id_operacion]],tblEjecucion[id_operacion],tblEjecucion[precio],0))</f>
        <v/>
      </c>
      <c r="AG1145" s="10">
        <f>IF(tblOrdenes[[#This Row],[orden]]="","",MAX(0,_xlfn.XLOOKUP(tblOrdenes[[#This Row],[id_operacion]],tblEjecucion[id_operacion],tblEjecucion[costo_plan_total],0)-tblOrdenes[[#This Row],[costo_servicio]]))</f>
        <v/>
      </c>
      <c r="AH1145" s="10">
        <f>IF(tblOrdenes[[#This Row],[orden]]="","",tblOrdenes[[#This Row],[costo_servicio]]+tblOrdenes[[#This Row],[costo_materiales]])</f>
        <v/>
      </c>
      <c r="AI1145" s="6" t="n"/>
      <c r="AJ1145" s="6" t="n"/>
      <c r="AK1145" s="6" t="n"/>
      <c r="AL1145" s="3">
        <f>IF(tblOrdenes[[#This Row],[link_checklist]]="","",HYPERLINK(p_ruta_base_checklists&amp;tblOrdenes[[#This Row],[link_checklist]],"abrir"))</f>
        <v/>
      </c>
      <c r="AM1145" s="6" t="n"/>
      <c r="AN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Row],[tipo_ot]]="","",_xlfn.XLOOKUP(tblOrdenes[[#This Row],[tipo_ot]],tblTiposOT[codigo],tblTiposOT[clasificacion],"sin_clasificar"))</f>
        <v/>
      </c>
      <c r="T1146" s="3">
        <f>IF(tblOrdenes[[#This Row],[centro_costo]]="","",_xlfn.XLOOKUP(tblOrdenes[[#This Row],[centro_costo]],tblCECO[codigo],tblCECO[linea],"(sin catálogo)"))</f>
        <v/>
      </c>
      <c r="U1146" s="3">
        <f>IF(tblOrdenes[[#This Row],[centro_costo]]="","",_xlfn.XLOOKUP(tblOrdenes[[#This Row],[centro_costo]],tblCECO[codigo],tblCECO[area],"(sin catálogo)"))</f>
        <v/>
      </c>
      <c r="V1146" s="3">
        <f>IF(tblOrdenes[[#This Row],[centro_costo]]="","",_xlfn.XLOOKUP(tblOrdenes[[#This Row],[centro_costo]],tblCECO[codigo],tblCECO[coordinador],"(sin catálogo)"))</f>
        <v/>
      </c>
      <c r="W1146" s="3">
        <f>IF(tblOrdenes[[#This Row],[puesto_trabajo]]="","",_xlfn.XLOOKUP(tblOrdenes[[#This Row],[puesto_trabajo]],tblPuestos[codigo],tblPuestos[especialidad],"(sin catálogo)"))</f>
        <v/>
      </c>
      <c r="X1146" s="3">
        <f>IF(tblOrdenes[[#This Row],[cod_actividad]]="","",_xlfn.XLOOKUP(tblOrdenes[[#This Row],[cod_actividad]],tblActividades[codigo],tblActividades[descripcion],"(sin catálogo)"))</f>
        <v/>
      </c>
      <c r="Y1146" s="12">
        <f>IF(tblOrdenes[[#This Row],[fecha_inicio]]="","",TODAY()-tblOrdenes[[#This Row],[fecha_inicio]])</f>
        <v/>
      </c>
      <c r="Z1146" s="3">
        <f>IF(tblOrdenes[[#This Row],[backlog_dias]]="","",IF(tblOrdenes[[#This Row],[backlog_dias]]&lt;0,"FUTURO",IF(tblOrdenes[[#This Row],[backlog_dias]]&gt;p_dias_backlog_max,"BACKLOG","MES CORRIENTE")))</f>
        <v/>
      </c>
      <c r="AA1146" s="3">
        <f>IF(tblOrdenes[[#This Row],[backlog_dias]]="",FALSE,AND(tblOrdenes[[#This Row],[backlog_dias]]&gt;p_dias_backlog_min,tblOrdenes[[#This Row],[backlog_dias]]&lt;=p_dias_backlog_max))</f>
        <v/>
      </c>
      <c r="AB1146" s="6" t="n"/>
      <c r="AC1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6" s="10">
        <f>IF(tblOrdenes[[#This Row],[orden]]="","",_xlfn.XLOOKUP(tblOrdenes[[#This Row],[id_operacion]],tblEjecucion[id_operacion],tblEjecucion[precio],0))</f>
        <v/>
      </c>
      <c r="AG1146" s="10">
        <f>IF(tblOrdenes[[#This Row],[orden]]="","",MAX(0,_xlfn.XLOOKUP(tblOrdenes[[#This Row],[id_operacion]],tblEjecucion[id_operacion],tblEjecucion[costo_plan_total],0)-tblOrdenes[[#This Row],[costo_servicio]]))</f>
        <v/>
      </c>
      <c r="AH1146" s="10">
        <f>IF(tblOrdenes[[#This Row],[orden]]="","",tblOrdenes[[#This Row],[costo_servicio]]+tblOrdenes[[#This Row],[costo_materiales]])</f>
        <v/>
      </c>
      <c r="AI1146" s="6" t="n"/>
      <c r="AJ1146" s="6" t="n"/>
      <c r="AK1146" s="6" t="n"/>
      <c r="AL1146" s="3">
        <f>IF(tblOrdenes[[#This Row],[link_checklist]]="","",HYPERLINK(p_ruta_base_checklists&amp;tblOrdenes[[#This Row],[link_checklist]],"abrir"))</f>
        <v/>
      </c>
      <c r="AM1146" s="6" t="n"/>
      <c r="AN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Row],[tipo_ot]]="","",_xlfn.XLOOKUP(tblOrdenes[[#This Row],[tipo_ot]],tblTiposOT[codigo],tblTiposOT[clasificacion],"sin_clasificar"))</f>
        <v/>
      </c>
      <c r="T1147" s="3">
        <f>IF(tblOrdenes[[#This Row],[centro_costo]]="","",_xlfn.XLOOKUP(tblOrdenes[[#This Row],[centro_costo]],tblCECO[codigo],tblCECO[linea],"(sin catálogo)"))</f>
        <v/>
      </c>
      <c r="U1147" s="3">
        <f>IF(tblOrdenes[[#This Row],[centro_costo]]="","",_xlfn.XLOOKUP(tblOrdenes[[#This Row],[centro_costo]],tblCECO[codigo],tblCECO[area],"(sin catálogo)"))</f>
        <v/>
      </c>
      <c r="V1147" s="3">
        <f>IF(tblOrdenes[[#This Row],[centro_costo]]="","",_xlfn.XLOOKUP(tblOrdenes[[#This Row],[centro_costo]],tblCECO[codigo],tblCECO[coordinador],"(sin catálogo)"))</f>
        <v/>
      </c>
      <c r="W1147" s="3">
        <f>IF(tblOrdenes[[#This Row],[puesto_trabajo]]="","",_xlfn.XLOOKUP(tblOrdenes[[#This Row],[puesto_trabajo]],tblPuestos[codigo],tblPuestos[especialidad],"(sin catálogo)"))</f>
        <v/>
      </c>
      <c r="X1147" s="3">
        <f>IF(tblOrdenes[[#This Row],[cod_actividad]]="","",_xlfn.XLOOKUP(tblOrdenes[[#This Row],[cod_actividad]],tblActividades[codigo],tblActividades[descripcion],"(sin catálogo)"))</f>
        <v/>
      </c>
      <c r="Y1147" s="12">
        <f>IF(tblOrdenes[[#This Row],[fecha_inicio]]="","",TODAY()-tblOrdenes[[#This Row],[fecha_inicio]])</f>
        <v/>
      </c>
      <c r="Z1147" s="3">
        <f>IF(tblOrdenes[[#This Row],[backlog_dias]]="","",IF(tblOrdenes[[#This Row],[backlog_dias]]&lt;0,"FUTURO",IF(tblOrdenes[[#This Row],[backlog_dias]]&gt;p_dias_backlog_max,"BACKLOG","MES CORRIENTE")))</f>
        <v/>
      </c>
      <c r="AA1147" s="3">
        <f>IF(tblOrdenes[[#This Row],[backlog_dias]]="",FALSE,AND(tblOrdenes[[#This Row],[backlog_dias]]&gt;p_dias_backlog_min,tblOrdenes[[#This Row],[backlog_dias]]&lt;=p_dias_backlog_max))</f>
        <v/>
      </c>
      <c r="AB1147" s="6" t="n"/>
      <c r="AC1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7" s="10">
        <f>IF(tblOrdenes[[#This Row],[orden]]="","",_xlfn.XLOOKUP(tblOrdenes[[#This Row],[id_operacion]],tblEjecucion[id_operacion],tblEjecucion[precio],0))</f>
        <v/>
      </c>
      <c r="AG1147" s="10">
        <f>IF(tblOrdenes[[#This Row],[orden]]="","",MAX(0,_xlfn.XLOOKUP(tblOrdenes[[#This Row],[id_operacion]],tblEjecucion[id_operacion],tblEjecucion[costo_plan_total],0)-tblOrdenes[[#This Row],[costo_servicio]]))</f>
        <v/>
      </c>
      <c r="AH1147" s="10">
        <f>IF(tblOrdenes[[#This Row],[orden]]="","",tblOrdenes[[#This Row],[costo_servicio]]+tblOrdenes[[#This Row],[costo_materiales]])</f>
        <v/>
      </c>
      <c r="AI1147" s="6" t="n"/>
      <c r="AJ1147" s="6" t="n"/>
      <c r="AK1147" s="6" t="n"/>
      <c r="AL1147" s="3">
        <f>IF(tblOrdenes[[#This Row],[link_checklist]]="","",HYPERLINK(p_ruta_base_checklists&amp;tblOrdenes[[#This Row],[link_checklist]],"abrir"))</f>
        <v/>
      </c>
      <c r="AM1147" s="6" t="n"/>
      <c r="AN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Row],[tipo_ot]]="","",_xlfn.XLOOKUP(tblOrdenes[[#This Row],[tipo_ot]],tblTiposOT[codigo],tblTiposOT[clasificacion],"sin_clasificar"))</f>
        <v/>
      </c>
      <c r="T1148" s="3">
        <f>IF(tblOrdenes[[#This Row],[centro_costo]]="","",_xlfn.XLOOKUP(tblOrdenes[[#This Row],[centro_costo]],tblCECO[codigo],tblCECO[linea],"(sin catálogo)"))</f>
        <v/>
      </c>
      <c r="U1148" s="3">
        <f>IF(tblOrdenes[[#This Row],[centro_costo]]="","",_xlfn.XLOOKUP(tblOrdenes[[#This Row],[centro_costo]],tblCECO[codigo],tblCECO[area],"(sin catálogo)"))</f>
        <v/>
      </c>
      <c r="V1148" s="3">
        <f>IF(tblOrdenes[[#This Row],[centro_costo]]="","",_xlfn.XLOOKUP(tblOrdenes[[#This Row],[centro_costo]],tblCECO[codigo],tblCECO[coordinador],"(sin catálogo)"))</f>
        <v/>
      </c>
      <c r="W1148" s="3">
        <f>IF(tblOrdenes[[#This Row],[puesto_trabajo]]="","",_xlfn.XLOOKUP(tblOrdenes[[#This Row],[puesto_trabajo]],tblPuestos[codigo],tblPuestos[especialidad],"(sin catálogo)"))</f>
        <v/>
      </c>
      <c r="X1148" s="3">
        <f>IF(tblOrdenes[[#This Row],[cod_actividad]]="","",_xlfn.XLOOKUP(tblOrdenes[[#This Row],[cod_actividad]],tblActividades[codigo],tblActividades[descripcion],"(sin catálogo)"))</f>
        <v/>
      </c>
      <c r="Y1148" s="12">
        <f>IF(tblOrdenes[[#This Row],[fecha_inicio]]="","",TODAY()-tblOrdenes[[#This Row],[fecha_inicio]])</f>
        <v/>
      </c>
      <c r="Z1148" s="3">
        <f>IF(tblOrdenes[[#This Row],[backlog_dias]]="","",IF(tblOrdenes[[#This Row],[backlog_dias]]&lt;0,"FUTURO",IF(tblOrdenes[[#This Row],[backlog_dias]]&gt;p_dias_backlog_max,"BACKLOG","MES CORRIENTE")))</f>
        <v/>
      </c>
      <c r="AA1148" s="3">
        <f>IF(tblOrdenes[[#This Row],[backlog_dias]]="",FALSE,AND(tblOrdenes[[#This Row],[backlog_dias]]&gt;p_dias_backlog_min,tblOrdenes[[#This Row],[backlog_dias]]&lt;=p_dias_backlog_max))</f>
        <v/>
      </c>
      <c r="AB1148" s="6" t="n"/>
      <c r="AC1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8" s="10">
        <f>IF(tblOrdenes[[#This Row],[orden]]="","",_xlfn.XLOOKUP(tblOrdenes[[#This Row],[id_operacion]],tblEjecucion[id_operacion],tblEjecucion[precio],0))</f>
        <v/>
      </c>
      <c r="AG1148" s="10">
        <f>IF(tblOrdenes[[#This Row],[orden]]="","",MAX(0,_xlfn.XLOOKUP(tblOrdenes[[#This Row],[id_operacion]],tblEjecucion[id_operacion],tblEjecucion[costo_plan_total],0)-tblOrdenes[[#This Row],[costo_servicio]]))</f>
        <v/>
      </c>
      <c r="AH1148" s="10">
        <f>IF(tblOrdenes[[#This Row],[orden]]="","",tblOrdenes[[#This Row],[costo_servicio]]+tblOrdenes[[#This Row],[costo_materiales]])</f>
        <v/>
      </c>
      <c r="AI1148" s="6" t="n"/>
      <c r="AJ1148" s="6" t="n"/>
      <c r="AK1148" s="6" t="n"/>
      <c r="AL1148" s="3">
        <f>IF(tblOrdenes[[#This Row],[link_checklist]]="","",HYPERLINK(p_ruta_base_checklists&amp;tblOrdenes[[#This Row],[link_checklist]],"abrir"))</f>
        <v/>
      </c>
      <c r="AM1148" s="6" t="n"/>
      <c r="AN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Row],[tipo_ot]]="","",_xlfn.XLOOKUP(tblOrdenes[[#This Row],[tipo_ot]],tblTiposOT[codigo],tblTiposOT[clasificacion],"sin_clasificar"))</f>
        <v/>
      </c>
      <c r="T1149" s="3">
        <f>IF(tblOrdenes[[#This Row],[centro_costo]]="","",_xlfn.XLOOKUP(tblOrdenes[[#This Row],[centro_costo]],tblCECO[codigo],tblCECO[linea],"(sin catálogo)"))</f>
        <v/>
      </c>
      <c r="U1149" s="3">
        <f>IF(tblOrdenes[[#This Row],[centro_costo]]="","",_xlfn.XLOOKUP(tblOrdenes[[#This Row],[centro_costo]],tblCECO[codigo],tblCECO[area],"(sin catálogo)"))</f>
        <v/>
      </c>
      <c r="V1149" s="3">
        <f>IF(tblOrdenes[[#This Row],[centro_costo]]="","",_xlfn.XLOOKUP(tblOrdenes[[#This Row],[centro_costo]],tblCECO[codigo],tblCECO[coordinador],"(sin catálogo)"))</f>
        <v/>
      </c>
      <c r="W1149" s="3">
        <f>IF(tblOrdenes[[#This Row],[puesto_trabajo]]="","",_xlfn.XLOOKUP(tblOrdenes[[#This Row],[puesto_trabajo]],tblPuestos[codigo],tblPuestos[especialidad],"(sin catálogo)"))</f>
        <v/>
      </c>
      <c r="X1149" s="3">
        <f>IF(tblOrdenes[[#This Row],[cod_actividad]]="","",_xlfn.XLOOKUP(tblOrdenes[[#This Row],[cod_actividad]],tblActividades[codigo],tblActividades[descripcion],"(sin catálogo)"))</f>
        <v/>
      </c>
      <c r="Y1149" s="12">
        <f>IF(tblOrdenes[[#This Row],[fecha_inicio]]="","",TODAY()-tblOrdenes[[#This Row],[fecha_inicio]])</f>
        <v/>
      </c>
      <c r="Z1149" s="3">
        <f>IF(tblOrdenes[[#This Row],[backlog_dias]]="","",IF(tblOrdenes[[#This Row],[backlog_dias]]&lt;0,"FUTURO",IF(tblOrdenes[[#This Row],[backlog_dias]]&gt;p_dias_backlog_max,"BACKLOG","MES CORRIENTE")))</f>
        <v/>
      </c>
      <c r="AA1149" s="3">
        <f>IF(tblOrdenes[[#This Row],[backlog_dias]]="",FALSE,AND(tblOrdenes[[#This Row],[backlog_dias]]&gt;p_dias_backlog_min,tblOrdenes[[#This Row],[backlog_dias]]&lt;=p_dias_backlog_max))</f>
        <v/>
      </c>
      <c r="AB1149" s="6" t="n"/>
      <c r="AC1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9" s="10">
        <f>IF(tblOrdenes[[#This Row],[orden]]="","",_xlfn.XLOOKUP(tblOrdenes[[#This Row],[id_operacion]],tblEjecucion[id_operacion],tblEjecucion[precio],0))</f>
        <v/>
      </c>
      <c r="AG1149" s="10">
        <f>IF(tblOrdenes[[#This Row],[orden]]="","",MAX(0,_xlfn.XLOOKUP(tblOrdenes[[#This Row],[id_operacion]],tblEjecucion[id_operacion],tblEjecucion[costo_plan_total],0)-tblOrdenes[[#This Row],[costo_servicio]]))</f>
        <v/>
      </c>
      <c r="AH1149" s="10">
        <f>IF(tblOrdenes[[#This Row],[orden]]="","",tblOrdenes[[#This Row],[costo_servicio]]+tblOrdenes[[#This Row],[costo_materiales]])</f>
        <v/>
      </c>
      <c r="AI1149" s="6" t="n"/>
      <c r="AJ1149" s="6" t="n"/>
      <c r="AK1149" s="6" t="n"/>
      <c r="AL1149" s="3">
        <f>IF(tblOrdenes[[#This Row],[link_checklist]]="","",HYPERLINK(p_ruta_base_checklists&amp;tblOrdenes[[#This Row],[link_checklist]],"abrir"))</f>
        <v/>
      </c>
      <c r="AM1149" s="6" t="n"/>
      <c r="AN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Row],[tipo_ot]]="","",_xlfn.XLOOKUP(tblOrdenes[[#This Row],[tipo_ot]],tblTiposOT[codigo],tblTiposOT[clasificacion],"sin_clasificar"))</f>
        <v/>
      </c>
      <c r="T1150" s="3">
        <f>IF(tblOrdenes[[#This Row],[centro_costo]]="","",_xlfn.XLOOKUP(tblOrdenes[[#This Row],[centro_costo]],tblCECO[codigo],tblCECO[linea],"(sin catálogo)"))</f>
        <v/>
      </c>
      <c r="U1150" s="3">
        <f>IF(tblOrdenes[[#This Row],[centro_costo]]="","",_xlfn.XLOOKUP(tblOrdenes[[#This Row],[centro_costo]],tblCECO[codigo],tblCECO[area],"(sin catálogo)"))</f>
        <v/>
      </c>
      <c r="V1150" s="3">
        <f>IF(tblOrdenes[[#This Row],[centro_costo]]="","",_xlfn.XLOOKUP(tblOrdenes[[#This Row],[centro_costo]],tblCECO[codigo],tblCECO[coordinador],"(sin catálogo)"))</f>
        <v/>
      </c>
      <c r="W1150" s="3">
        <f>IF(tblOrdenes[[#This Row],[puesto_trabajo]]="","",_xlfn.XLOOKUP(tblOrdenes[[#This Row],[puesto_trabajo]],tblPuestos[codigo],tblPuestos[especialidad],"(sin catálogo)"))</f>
        <v/>
      </c>
      <c r="X1150" s="3">
        <f>IF(tblOrdenes[[#This Row],[cod_actividad]]="","",_xlfn.XLOOKUP(tblOrdenes[[#This Row],[cod_actividad]],tblActividades[codigo],tblActividades[descripcion],"(sin catálogo)"))</f>
        <v/>
      </c>
      <c r="Y1150" s="12">
        <f>IF(tblOrdenes[[#This Row],[fecha_inicio]]="","",TODAY()-tblOrdenes[[#This Row],[fecha_inicio]])</f>
        <v/>
      </c>
      <c r="Z1150" s="3">
        <f>IF(tblOrdenes[[#This Row],[backlog_dias]]="","",IF(tblOrdenes[[#This Row],[backlog_dias]]&lt;0,"FUTURO",IF(tblOrdenes[[#This Row],[backlog_dias]]&gt;p_dias_backlog_max,"BACKLOG","MES CORRIENTE")))</f>
        <v/>
      </c>
      <c r="AA1150" s="3">
        <f>IF(tblOrdenes[[#This Row],[backlog_dias]]="",FALSE,AND(tblOrdenes[[#This Row],[backlog_dias]]&gt;p_dias_backlog_min,tblOrdenes[[#This Row],[backlog_dias]]&lt;=p_dias_backlog_max))</f>
        <v/>
      </c>
      <c r="AB1150" s="6" t="n"/>
      <c r="AC1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0" s="10">
        <f>IF(tblOrdenes[[#This Row],[orden]]="","",_xlfn.XLOOKUP(tblOrdenes[[#This Row],[id_operacion]],tblEjecucion[id_operacion],tblEjecucion[precio],0))</f>
        <v/>
      </c>
      <c r="AG1150" s="10">
        <f>IF(tblOrdenes[[#This Row],[orden]]="","",MAX(0,_xlfn.XLOOKUP(tblOrdenes[[#This Row],[id_operacion]],tblEjecucion[id_operacion],tblEjecucion[costo_plan_total],0)-tblOrdenes[[#This Row],[costo_servicio]]))</f>
        <v/>
      </c>
      <c r="AH1150" s="10">
        <f>IF(tblOrdenes[[#This Row],[orden]]="","",tblOrdenes[[#This Row],[costo_servicio]]+tblOrdenes[[#This Row],[costo_materiales]])</f>
        <v/>
      </c>
      <c r="AI1150" s="6" t="n"/>
      <c r="AJ1150" s="6" t="n"/>
      <c r="AK1150" s="6" t="n"/>
      <c r="AL1150" s="3">
        <f>IF(tblOrdenes[[#This Row],[link_checklist]]="","",HYPERLINK(p_ruta_base_checklists&amp;tblOrdenes[[#This Row],[link_checklist]],"abrir"))</f>
        <v/>
      </c>
      <c r="AM1150" s="6" t="n"/>
      <c r="AN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Row],[tipo_ot]]="","",_xlfn.XLOOKUP(tblOrdenes[[#This Row],[tipo_ot]],tblTiposOT[codigo],tblTiposOT[clasificacion],"sin_clasificar"))</f>
        <v/>
      </c>
      <c r="T1151" s="3">
        <f>IF(tblOrdenes[[#This Row],[centro_costo]]="","",_xlfn.XLOOKUP(tblOrdenes[[#This Row],[centro_costo]],tblCECO[codigo],tblCECO[linea],"(sin catálogo)"))</f>
        <v/>
      </c>
      <c r="U1151" s="3">
        <f>IF(tblOrdenes[[#This Row],[centro_costo]]="","",_xlfn.XLOOKUP(tblOrdenes[[#This Row],[centro_costo]],tblCECO[codigo],tblCECO[area],"(sin catálogo)"))</f>
        <v/>
      </c>
      <c r="V1151" s="3">
        <f>IF(tblOrdenes[[#This Row],[centro_costo]]="","",_xlfn.XLOOKUP(tblOrdenes[[#This Row],[centro_costo]],tblCECO[codigo],tblCECO[coordinador],"(sin catálogo)"))</f>
        <v/>
      </c>
      <c r="W1151" s="3">
        <f>IF(tblOrdenes[[#This Row],[puesto_trabajo]]="","",_xlfn.XLOOKUP(tblOrdenes[[#This Row],[puesto_trabajo]],tblPuestos[codigo],tblPuestos[especialidad],"(sin catálogo)"))</f>
        <v/>
      </c>
      <c r="X1151" s="3">
        <f>IF(tblOrdenes[[#This Row],[cod_actividad]]="","",_xlfn.XLOOKUP(tblOrdenes[[#This Row],[cod_actividad]],tblActividades[codigo],tblActividades[descripcion],"(sin catálogo)"))</f>
        <v/>
      </c>
      <c r="Y1151" s="12">
        <f>IF(tblOrdenes[[#This Row],[fecha_inicio]]="","",TODAY()-tblOrdenes[[#This Row],[fecha_inicio]])</f>
        <v/>
      </c>
      <c r="Z1151" s="3">
        <f>IF(tblOrdenes[[#This Row],[backlog_dias]]="","",IF(tblOrdenes[[#This Row],[backlog_dias]]&lt;0,"FUTURO",IF(tblOrdenes[[#This Row],[backlog_dias]]&gt;p_dias_backlog_max,"BACKLOG","MES CORRIENTE")))</f>
        <v/>
      </c>
      <c r="AA1151" s="3">
        <f>IF(tblOrdenes[[#This Row],[backlog_dias]]="",FALSE,AND(tblOrdenes[[#This Row],[backlog_dias]]&gt;p_dias_backlog_min,tblOrdenes[[#This Row],[backlog_dias]]&lt;=p_dias_backlog_max))</f>
        <v/>
      </c>
      <c r="AB1151" s="6" t="n"/>
      <c r="AC1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1" s="10">
        <f>IF(tblOrdenes[[#This Row],[orden]]="","",_xlfn.XLOOKUP(tblOrdenes[[#This Row],[id_operacion]],tblEjecucion[id_operacion],tblEjecucion[precio],0))</f>
        <v/>
      </c>
      <c r="AG1151" s="10">
        <f>IF(tblOrdenes[[#This Row],[orden]]="","",MAX(0,_xlfn.XLOOKUP(tblOrdenes[[#This Row],[id_operacion]],tblEjecucion[id_operacion],tblEjecucion[costo_plan_total],0)-tblOrdenes[[#This Row],[costo_servicio]]))</f>
        <v/>
      </c>
      <c r="AH1151" s="10">
        <f>IF(tblOrdenes[[#This Row],[orden]]="","",tblOrdenes[[#This Row],[costo_servicio]]+tblOrdenes[[#This Row],[costo_materiales]])</f>
        <v/>
      </c>
      <c r="AI1151" s="6" t="n"/>
      <c r="AJ1151" s="6" t="n"/>
      <c r="AK1151" s="6" t="n"/>
      <c r="AL1151" s="3">
        <f>IF(tblOrdenes[[#This Row],[link_checklist]]="","",HYPERLINK(p_ruta_base_checklists&amp;tblOrdenes[[#This Row],[link_checklist]],"abrir"))</f>
        <v/>
      </c>
      <c r="AM1151" s="6" t="n"/>
      <c r="AN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Row],[tipo_ot]]="","",_xlfn.XLOOKUP(tblOrdenes[[#This Row],[tipo_ot]],tblTiposOT[codigo],tblTiposOT[clasificacion],"sin_clasificar"))</f>
        <v/>
      </c>
      <c r="T1152" s="3">
        <f>IF(tblOrdenes[[#This Row],[centro_costo]]="","",_xlfn.XLOOKUP(tblOrdenes[[#This Row],[centro_costo]],tblCECO[codigo],tblCECO[linea],"(sin catálogo)"))</f>
        <v/>
      </c>
      <c r="U1152" s="3">
        <f>IF(tblOrdenes[[#This Row],[centro_costo]]="","",_xlfn.XLOOKUP(tblOrdenes[[#This Row],[centro_costo]],tblCECO[codigo],tblCECO[area],"(sin catálogo)"))</f>
        <v/>
      </c>
      <c r="V1152" s="3">
        <f>IF(tblOrdenes[[#This Row],[centro_costo]]="","",_xlfn.XLOOKUP(tblOrdenes[[#This Row],[centro_costo]],tblCECO[codigo],tblCECO[coordinador],"(sin catálogo)"))</f>
        <v/>
      </c>
      <c r="W1152" s="3">
        <f>IF(tblOrdenes[[#This Row],[puesto_trabajo]]="","",_xlfn.XLOOKUP(tblOrdenes[[#This Row],[puesto_trabajo]],tblPuestos[codigo],tblPuestos[especialidad],"(sin catálogo)"))</f>
        <v/>
      </c>
      <c r="X1152" s="3">
        <f>IF(tblOrdenes[[#This Row],[cod_actividad]]="","",_xlfn.XLOOKUP(tblOrdenes[[#This Row],[cod_actividad]],tblActividades[codigo],tblActividades[descripcion],"(sin catálogo)"))</f>
        <v/>
      </c>
      <c r="Y1152" s="12">
        <f>IF(tblOrdenes[[#This Row],[fecha_inicio]]="","",TODAY()-tblOrdenes[[#This Row],[fecha_inicio]])</f>
        <v/>
      </c>
      <c r="Z1152" s="3">
        <f>IF(tblOrdenes[[#This Row],[backlog_dias]]="","",IF(tblOrdenes[[#This Row],[backlog_dias]]&lt;0,"FUTURO",IF(tblOrdenes[[#This Row],[backlog_dias]]&gt;p_dias_backlog_max,"BACKLOG","MES CORRIENTE")))</f>
        <v/>
      </c>
      <c r="AA1152" s="3">
        <f>IF(tblOrdenes[[#This Row],[backlog_dias]]="",FALSE,AND(tblOrdenes[[#This Row],[backlog_dias]]&gt;p_dias_backlog_min,tblOrdenes[[#This Row],[backlog_dias]]&lt;=p_dias_backlog_max))</f>
        <v/>
      </c>
      <c r="AB1152" s="6" t="n"/>
      <c r="AC1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2" s="10">
        <f>IF(tblOrdenes[[#This Row],[orden]]="","",_xlfn.XLOOKUP(tblOrdenes[[#This Row],[id_operacion]],tblEjecucion[id_operacion],tblEjecucion[precio],0))</f>
        <v/>
      </c>
      <c r="AG1152" s="10">
        <f>IF(tblOrdenes[[#This Row],[orden]]="","",MAX(0,_xlfn.XLOOKUP(tblOrdenes[[#This Row],[id_operacion]],tblEjecucion[id_operacion],tblEjecucion[costo_plan_total],0)-tblOrdenes[[#This Row],[costo_servicio]]))</f>
        <v/>
      </c>
      <c r="AH1152" s="10">
        <f>IF(tblOrdenes[[#This Row],[orden]]="","",tblOrdenes[[#This Row],[costo_servicio]]+tblOrdenes[[#This Row],[costo_materiales]])</f>
        <v/>
      </c>
      <c r="AI1152" s="6" t="n"/>
      <c r="AJ1152" s="6" t="n"/>
      <c r="AK1152" s="6" t="n"/>
      <c r="AL1152" s="3">
        <f>IF(tblOrdenes[[#This Row],[link_checklist]]="","",HYPERLINK(p_ruta_base_checklists&amp;tblOrdenes[[#This Row],[link_checklist]],"abrir"))</f>
        <v/>
      </c>
      <c r="AM1152" s="6" t="n"/>
      <c r="AN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Row],[tipo_ot]]="","",_xlfn.XLOOKUP(tblOrdenes[[#This Row],[tipo_ot]],tblTiposOT[codigo],tblTiposOT[clasificacion],"sin_clasificar"))</f>
        <v/>
      </c>
      <c r="T1153" s="3">
        <f>IF(tblOrdenes[[#This Row],[centro_costo]]="","",_xlfn.XLOOKUP(tblOrdenes[[#This Row],[centro_costo]],tblCECO[codigo],tblCECO[linea],"(sin catálogo)"))</f>
        <v/>
      </c>
      <c r="U1153" s="3">
        <f>IF(tblOrdenes[[#This Row],[centro_costo]]="","",_xlfn.XLOOKUP(tblOrdenes[[#This Row],[centro_costo]],tblCECO[codigo],tblCECO[area],"(sin catálogo)"))</f>
        <v/>
      </c>
      <c r="V1153" s="3">
        <f>IF(tblOrdenes[[#This Row],[centro_costo]]="","",_xlfn.XLOOKUP(tblOrdenes[[#This Row],[centro_costo]],tblCECO[codigo],tblCECO[coordinador],"(sin catálogo)"))</f>
        <v/>
      </c>
      <c r="W1153" s="3">
        <f>IF(tblOrdenes[[#This Row],[puesto_trabajo]]="","",_xlfn.XLOOKUP(tblOrdenes[[#This Row],[puesto_trabajo]],tblPuestos[codigo],tblPuestos[especialidad],"(sin catálogo)"))</f>
        <v/>
      </c>
      <c r="X1153" s="3">
        <f>IF(tblOrdenes[[#This Row],[cod_actividad]]="","",_xlfn.XLOOKUP(tblOrdenes[[#This Row],[cod_actividad]],tblActividades[codigo],tblActividades[descripcion],"(sin catálogo)"))</f>
        <v/>
      </c>
      <c r="Y1153" s="12">
        <f>IF(tblOrdenes[[#This Row],[fecha_inicio]]="","",TODAY()-tblOrdenes[[#This Row],[fecha_inicio]])</f>
        <v/>
      </c>
      <c r="Z1153" s="3">
        <f>IF(tblOrdenes[[#This Row],[backlog_dias]]="","",IF(tblOrdenes[[#This Row],[backlog_dias]]&lt;0,"FUTURO",IF(tblOrdenes[[#This Row],[backlog_dias]]&gt;p_dias_backlog_max,"BACKLOG","MES CORRIENTE")))</f>
        <v/>
      </c>
      <c r="AA1153" s="3">
        <f>IF(tblOrdenes[[#This Row],[backlog_dias]]="",FALSE,AND(tblOrdenes[[#This Row],[backlog_dias]]&gt;p_dias_backlog_min,tblOrdenes[[#This Row],[backlog_dias]]&lt;=p_dias_backlog_max))</f>
        <v/>
      </c>
      <c r="AB1153" s="6" t="n"/>
      <c r="AC1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3" s="10">
        <f>IF(tblOrdenes[[#This Row],[orden]]="","",_xlfn.XLOOKUP(tblOrdenes[[#This Row],[id_operacion]],tblEjecucion[id_operacion],tblEjecucion[precio],0))</f>
        <v/>
      </c>
      <c r="AG1153" s="10">
        <f>IF(tblOrdenes[[#This Row],[orden]]="","",MAX(0,_xlfn.XLOOKUP(tblOrdenes[[#This Row],[id_operacion]],tblEjecucion[id_operacion],tblEjecucion[costo_plan_total],0)-tblOrdenes[[#This Row],[costo_servicio]]))</f>
        <v/>
      </c>
      <c r="AH1153" s="10">
        <f>IF(tblOrdenes[[#This Row],[orden]]="","",tblOrdenes[[#This Row],[costo_servicio]]+tblOrdenes[[#This Row],[costo_materiales]])</f>
        <v/>
      </c>
      <c r="AI1153" s="6" t="n"/>
      <c r="AJ1153" s="6" t="n"/>
      <c r="AK1153" s="6" t="n"/>
      <c r="AL1153" s="3">
        <f>IF(tblOrdenes[[#This Row],[link_checklist]]="","",HYPERLINK(p_ruta_base_checklists&amp;tblOrdenes[[#This Row],[link_checklist]],"abrir"))</f>
        <v/>
      </c>
      <c r="AM1153" s="6" t="n"/>
      <c r="AN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Row],[tipo_ot]]="","",_xlfn.XLOOKUP(tblOrdenes[[#This Row],[tipo_ot]],tblTiposOT[codigo],tblTiposOT[clasificacion],"sin_clasificar"))</f>
        <v/>
      </c>
      <c r="T1154" s="3">
        <f>IF(tblOrdenes[[#This Row],[centro_costo]]="","",_xlfn.XLOOKUP(tblOrdenes[[#This Row],[centro_costo]],tblCECO[codigo],tblCECO[linea],"(sin catálogo)"))</f>
        <v/>
      </c>
      <c r="U1154" s="3">
        <f>IF(tblOrdenes[[#This Row],[centro_costo]]="","",_xlfn.XLOOKUP(tblOrdenes[[#This Row],[centro_costo]],tblCECO[codigo],tblCECO[area],"(sin catálogo)"))</f>
        <v/>
      </c>
      <c r="V1154" s="3">
        <f>IF(tblOrdenes[[#This Row],[centro_costo]]="","",_xlfn.XLOOKUP(tblOrdenes[[#This Row],[centro_costo]],tblCECO[codigo],tblCECO[coordinador],"(sin catálogo)"))</f>
        <v/>
      </c>
      <c r="W1154" s="3">
        <f>IF(tblOrdenes[[#This Row],[puesto_trabajo]]="","",_xlfn.XLOOKUP(tblOrdenes[[#This Row],[puesto_trabajo]],tblPuestos[codigo],tblPuestos[especialidad],"(sin catálogo)"))</f>
        <v/>
      </c>
      <c r="X1154" s="3">
        <f>IF(tblOrdenes[[#This Row],[cod_actividad]]="","",_xlfn.XLOOKUP(tblOrdenes[[#This Row],[cod_actividad]],tblActividades[codigo],tblActividades[descripcion],"(sin catálogo)"))</f>
        <v/>
      </c>
      <c r="Y1154" s="12">
        <f>IF(tblOrdenes[[#This Row],[fecha_inicio]]="","",TODAY()-tblOrdenes[[#This Row],[fecha_inicio]])</f>
        <v/>
      </c>
      <c r="Z1154" s="3">
        <f>IF(tblOrdenes[[#This Row],[backlog_dias]]="","",IF(tblOrdenes[[#This Row],[backlog_dias]]&lt;0,"FUTURO",IF(tblOrdenes[[#This Row],[backlog_dias]]&gt;p_dias_backlog_max,"BACKLOG","MES CORRIENTE")))</f>
        <v/>
      </c>
      <c r="AA1154" s="3">
        <f>IF(tblOrdenes[[#This Row],[backlog_dias]]="",FALSE,AND(tblOrdenes[[#This Row],[backlog_dias]]&gt;p_dias_backlog_min,tblOrdenes[[#This Row],[backlog_dias]]&lt;=p_dias_backlog_max))</f>
        <v/>
      </c>
      <c r="AB1154" s="6" t="n"/>
      <c r="AC1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4" s="10">
        <f>IF(tblOrdenes[[#This Row],[orden]]="","",_xlfn.XLOOKUP(tblOrdenes[[#This Row],[id_operacion]],tblEjecucion[id_operacion],tblEjecucion[precio],0))</f>
        <v/>
      </c>
      <c r="AG1154" s="10">
        <f>IF(tblOrdenes[[#This Row],[orden]]="","",MAX(0,_xlfn.XLOOKUP(tblOrdenes[[#This Row],[id_operacion]],tblEjecucion[id_operacion],tblEjecucion[costo_plan_total],0)-tblOrdenes[[#This Row],[costo_servicio]]))</f>
        <v/>
      </c>
      <c r="AH1154" s="10">
        <f>IF(tblOrdenes[[#This Row],[orden]]="","",tblOrdenes[[#This Row],[costo_servicio]]+tblOrdenes[[#This Row],[costo_materiales]])</f>
        <v/>
      </c>
      <c r="AI1154" s="6" t="n"/>
      <c r="AJ1154" s="6" t="n"/>
      <c r="AK1154" s="6" t="n"/>
      <c r="AL1154" s="3">
        <f>IF(tblOrdenes[[#This Row],[link_checklist]]="","",HYPERLINK(p_ruta_base_checklists&amp;tblOrdenes[[#This Row],[link_checklist]],"abrir"))</f>
        <v/>
      </c>
      <c r="AM1154" s="6" t="n"/>
      <c r="AN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Row],[tipo_ot]]="","",_xlfn.XLOOKUP(tblOrdenes[[#This Row],[tipo_ot]],tblTiposOT[codigo],tblTiposOT[clasificacion],"sin_clasificar"))</f>
        <v/>
      </c>
      <c r="T1155" s="3">
        <f>IF(tblOrdenes[[#This Row],[centro_costo]]="","",_xlfn.XLOOKUP(tblOrdenes[[#This Row],[centro_costo]],tblCECO[codigo],tblCECO[linea],"(sin catálogo)"))</f>
        <v/>
      </c>
      <c r="U1155" s="3">
        <f>IF(tblOrdenes[[#This Row],[centro_costo]]="","",_xlfn.XLOOKUP(tblOrdenes[[#This Row],[centro_costo]],tblCECO[codigo],tblCECO[area],"(sin catálogo)"))</f>
        <v/>
      </c>
      <c r="V1155" s="3">
        <f>IF(tblOrdenes[[#This Row],[centro_costo]]="","",_xlfn.XLOOKUP(tblOrdenes[[#This Row],[centro_costo]],tblCECO[codigo],tblCECO[coordinador],"(sin catálogo)"))</f>
        <v/>
      </c>
      <c r="W1155" s="3">
        <f>IF(tblOrdenes[[#This Row],[puesto_trabajo]]="","",_xlfn.XLOOKUP(tblOrdenes[[#This Row],[puesto_trabajo]],tblPuestos[codigo],tblPuestos[especialidad],"(sin catálogo)"))</f>
        <v/>
      </c>
      <c r="X1155" s="3">
        <f>IF(tblOrdenes[[#This Row],[cod_actividad]]="","",_xlfn.XLOOKUP(tblOrdenes[[#This Row],[cod_actividad]],tblActividades[codigo],tblActividades[descripcion],"(sin catálogo)"))</f>
        <v/>
      </c>
      <c r="Y1155" s="12">
        <f>IF(tblOrdenes[[#This Row],[fecha_inicio]]="","",TODAY()-tblOrdenes[[#This Row],[fecha_inicio]])</f>
        <v/>
      </c>
      <c r="Z1155" s="3">
        <f>IF(tblOrdenes[[#This Row],[backlog_dias]]="","",IF(tblOrdenes[[#This Row],[backlog_dias]]&lt;0,"FUTURO",IF(tblOrdenes[[#This Row],[backlog_dias]]&gt;p_dias_backlog_max,"BACKLOG","MES CORRIENTE")))</f>
        <v/>
      </c>
      <c r="AA1155" s="3">
        <f>IF(tblOrdenes[[#This Row],[backlog_dias]]="",FALSE,AND(tblOrdenes[[#This Row],[backlog_dias]]&gt;p_dias_backlog_min,tblOrdenes[[#This Row],[backlog_dias]]&lt;=p_dias_backlog_max))</f>
        <v/>
      </c>
      <c r="AB1155" s="6" t="n"/>
      <c r="AC1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5" s="10">
        <f>IF(tblOrdenes[[#This Row],[orden]]="","",_xlfn.XLOOKUP(tblOrdenes[[#This Row],[id_operacion]],tblEjecucion[id_operacion],tblEjecucion[precio],0))</f>
        <v/>
      </c>
      <c r="AG1155" s="10">
        <f>IF(tblOrdenes[[#This Row],[orden]]="","",MAX(0,_xlfn.XLOOKUP(tblOrdenes[[#This Row],[id_operacion]],tblEjecucion[id_operacion],tblEjecucion[costo_plan_total],0)-tblOrdenes[[#This Row],[costo_servicio]]))</f>
        <v/>
      </c>
      <c r="AH1155" s="10">
        <f>IF(tblOrdenes[[#This Row],[orden]]="","",tblOrdenes[[#This Row],[costo_servicio]]+tblOrdenes[[#This Row],[costo_materiales]])</f>
        <v/>
      </c>
      <c r="AI1155" s="6" t="n"/>
      <c r="AJ1155" s="6" t="n"/>
      <c r="AK1155" s="6" t="n"/>
      <c r="AL1155" s="3">
        <f>IF(tblOrdenes[[#This Row],[link_checklist]]="","",HYPERLINK(p_ruta_base_checklists&amp;tblOrdenes[[#This Row],[link_checklist]],"abrir"))</f>
        <v/>
      </c>
      <c r="AM1155" s="6" t="n"/>
      <c r="AN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Row],[tipo_ot]]="","",_xlfn.XLOOKUP(tblOrdenes[[#This Row],[tipo_ot]],tblTiposOT[codigo],tblTiposOT[clasificacion],"sin_clasificar"))</f>
        <v/>
      </c>
      <c r="T1156" s="3">
        <f>IF(tblOrdenes[[#This Row],[centro_costo]]="","",_xlfn.XLOOKUP(tblOrdenes[[#This Row],[centro_costo]],tblCECO[codigo],tblCECO[linea],"(sin catálogo)"))</f>
        <v/>
      </c>
      <c r="U1156" s="3">
        <f>IF(tblOrdenes[[#This Row],[centro_costo]]="","",_xlfn.XLOOKUP(tblOrdenes[[#This Row],[centro_costo]],tblCECO[codigo],tblCECO[area],"(sin catálogo)"))</f>
        <v/>
      </c>
      <c r="V1156" s="3">
        <f>IF(tblOrdenes[[#This Row],[centro_costo]]="","",_xlfn.XLOOKUP(tblOrdenes[[#This Row],[centro_costo]],tblCECO[codigo],tblCECO[coordinador],"(sin catálogo)"))</f>
        <v/>
      </c>
      <c r="W1156" s="3">
        <f>IF(tblOrdenes[[#This Row],[puesto_trabajo]]="","",_xlfn.XLOOKUP(tblOrdenes[[#This Row],[puesto_trabajo]],tblPuestos[codigo],tblPuestos[especialidad],"(sin catálogo)"))</f>
        <v/>
      </c>
      <c r="X1156" s="3">
        <f>IF(tblOrdenes[[#This Row],[cod_actividad]]="","",_xlfn.XLOOKUP(tblOrdenes[[#This Row],[cod_actividad]],tblActividades[codigo],tblActividades[descripcion],"(sin catálogo)"))</f>
        <v/>
      </c>
      <c r="Y1156" s="12">
        <f>IF(tblOrdenes[[#This Row],[fecha_inicio]]="","",TODAY()-tblOrdenes[[#This Row],[fecha_inicio]])</f>
        <v/>
      </c>
      <c r="Z1156" s="3">
        <f>IF(tblOrdenes[[#This Row],[backlog_dias]]="","",IF(tblOrdenes[[#This Row],[backlog_dias]]&lt;0,"FUTURO",IF(tblOrdenes[[#This Row],[backlog_dias]]&gt;p_dias_backlog_max,"BACKLOG","MES CORRIENTE")))</f>
        <v/>
      </c>
      <c r="AA1156" s="3">
        <f>IF(tblOrdenes[[#This Row],[backlog_dias]]="",FALSE,AND(tblOrdenes[[#This Row],[backlog_dias]]&gt;p_dias_backlog_min,tblOrdenes[[#This Row],[backlog_dias]]&lt;=p_dias_backlog_max))</f>
        <v/>
      </c>
      <c r="AB1156" s="6" t="n"/>
      <c r="AC1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6" s="10">
        <f>IF(tblOrdenes[[#This Row],[orden]]="","",_xlfn.XLOOKUP(tblOrdenes[[#This Row],[id_operacion]],tblEjecucion[id_operacion],tblEjecucion[precio],0))</f>
        <v/>
      </c>
      <c r="AG1156" s="10">
        <f>IF(tblOrdenes[[#This Row],[orden]]="","",MAX(0,_xlfn.XLOOKUP(tblOrdenes[[#This Row],[id_operacion]],tblEjecucion[id_operacion],tblEjecucion[costo_plan_total],0)-tblOrdenes[[#This Row],[costo_servicio]]))</f>
        <v/>
      </c>
      <c r="AH1156" s="10">
        <f>IF(tblOrdenes[[#This Row],[orden]]="","",tblOrdenes[[#This Row],[costo_servicio]]+tblOrdenes[[#This Row],[costo_materiales]])</f>
        <v/>
      </c>
      <c r="AI1156" s="6" t="n"/>
      <c r="AJ1156" s="6" t="n"/>
      <c r="AK1156" s="6" t="n"/>
      <c r="AL1156" s="3">
        <f>IF(tblOrdenes[[#This Row],[link_checklist]]="","",HYPERLINK(p_ruta_base_checklists&amp;tblOrdenes[[#This Row],[link_checklist]],"abrir"))</f>
        <v/>
      </c>
      <c r="AM1156" s="6" t="n"/>
      <c r="AN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Row],[tipo_ot]]="","",_xlfn.XLOOKUP(tblOrdenes[[#This Row],[tipo_ot]],tblTiposOT[codigo],tblTiposOT[clasificacion],"sin_clasificar"))</f>
        <v/>
      </c>
      <c r="T1157" s="3">
        <f>IF(tblOrdenes[[#This Row],[centro_costo]]="","",_xlfn.XLOOKUP(tblOrdenes[[#This Row],[centro_costo]],tblCECO[codigo],tblCECO[linea],"(sin catálogo)"))</f>
        <v/>
      </c>
      <c r="U1157" s="3">
        <f>IF(tblOrdenes[[#This Row],[centro_costo]]="","",_xlfn.XLOOKUP(tblOrdenes[[#This Row],[centro_costo]],tblCECO[codigo],tblCECO[area],"(sin catálogo)"))</f>
        <v/>
      </c>
      <c r="V1157" s="3">
        <f>IF(tblOrdenes[[#This Row],[centro_costo]]="","",_xlfn.XLOOKUP(tblOrdenes[[#This Row],[centro_costo]],tblCECO[codigo],tblCECO[coordinador],"(sin catálogo)"))</f>
        <v/>
      </c>
      <c r="W1157" s="3">
        <f>IF(tblOrdenes[[#This Row],[puesto_trabajo]]="","",_xlfn.XLOOKUP(tblOrdenes[[#This Row],[puesto_trabajo]],tblPuestos[codigo],tblPuestos[especialidad],"(sin catálogo)"))</f>
        <v/>
      </c>
      <c r="X1157" s="3">
        <f>IF(tblOrdenes[[#This Row],[cod_actividad]]="","",_xlfn.XLOOKUP(tblOrdenes[[#This Row],[cod_actividad]],tblActividades[codigo],tblActividades[descripcion],"(sin catálogo)"))</f>
        <v/>
      </c>
      <c r="Y1157" s="12">
        <f>IF(tblOrdenes[[#This Row],[fecha_inicio]]="","",TODAY()-tblOrdenes[[#This Row],[fecha_inicio]])</f>
        <v/>
      </c>
      <c r="Z1157" s="3">
        <f>IF(tblOrdenes[[#This Row],[backlog_dias]]="","",IF(tblOrdenes[[#This Row],[backlog_dias]]&lt;0,"FUTURO",IF(tblOrdenes[[#This Row],[backlog_dias]]&gt;p_dias_backlog_max,"BACKLOG","MES CORRIENTE")))</f>
        <v/>
      </c>
      <c r="AA1157" s="3">
        <f>IF(tblOrdenes[[#This Row],[backlog_dias]]="",FALSE,AND(tblOrdenes[[#This Row],[backlog_dias]]&gt;p_dias_backlog_min,tblOrdenes[[#This Row],[backlog_dias]]&lt;=p_dias_backlog_max))</f>
        <v/>
      </c>
      <c r="AB1157" s="6" t="n"/>
      <c r="AC1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7" s="10">
        <f>IF(tblOrdenes[[#This Row],[orden]]="","",_xlfn.XLOOKUP(tblOrdenes[[#This Row],[id_operacion]],tblEjecucion[id_operacion],tblEjecucion[precio],0))</f>
        <v/>
      </c>
      <c r="AG1157" s="10">
        <f>IF(tblOrdenes[[#This Row],[orden]]="","",MAX(0,_xlfn.XLOOKUP(tblOrdenes[[#This Row],[id_operacion]],tblEjecucion[id_operacion],tblEjecucion[costo_plan_total],0)-tblOrdenes[[#This Row],[costo_servicio]]))</f>
        <v/>
      </c>
      <c r="AH1157" s="10">
        <f>IF(tblOrdenes[[#This Row],[orden]]="","",tblOrdenes[[#This Row],[costo_servicio]]+tblOrdenes[[#This Row],[costo_materiales]])</f>
        <v/>
      </c>
      <c r="AI1157" s="6" t="n"/>
      <c r="AJ1157" s="6" t="n"/>
      <c r="AK1157" s="6" t="n"/>
      <c r="AL1157" s="3">
        <f>IF(tblOrdenes[[#This Row],[link_checklist]]="","",HYPERLINK(p_ruta_base_checklists&amp;tblOrdenes[[#This Row],[link_checklist]],"abrir"))</f>
        <v/>
      </c>
      <c r="AM1157" s="6" t="n"/>
      <c r="AN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Row],[tipo_ot]]="","",_xlfn.XLOOKUP(tblOrdenes[[#This Row],[tipo_ot]],tblTiposOT[codigo],tblTiposOT[clasificacion],"sin_clasificar"))</f>
        <v/>
      </c>
      <c r="T1158" s="3">
        <f>IF(tblOrdenes[[#This Row],[centro_costo]]="","",_xlfn.XLOOKUP(tblOrdenes[[#This Row],[centro_costo]],tblCECO[codigo],tblCECO[linea],"(sin catálogo)"))</f>
        <v/>
      </c>
      <c r="U1158" s="3">
        <f>IF(tblOrdenes[[#This Row],[centro_costo]]="","",_xlfn.XLOOKUP(tblOrdenes[[#This Row],[centro_costo]],tblCECO[codigo],tblCECO[area],"(sin catálogo)"))</f>
        <v/>
      </c>
      <c r="V1158" s="3">
        <f>IF(tblOrdenes[[#This Row],[centro_costo]]="","",_xlfn.XLOOKUP(tblOrdenes[[#This Row],[centro_costo]],tblCECO[codigo],tblCECO[coordinador],"(sin catálogo)"))</f>
        <v/>
      </c>
      <c r="W1158" s="3">
        <f>IF(tblOrdenes[[#This Row],[puesto_trabajo]]="","",_xlfn.XLOOKUP(tblOrdenes[[#This Row],[puesto_trabajo]],tblPuestos[codigo],tblPuestos[especialidad],"(sin catálogo)"))</f>
        <v/>
      </c>
      <c r="X1158" s="3">
        <f>IF(tblOrdenes[[#This Row],[cod_actividad]]="","",_xlfn.XLOOKUP(tblOrdenes[[#This Row],[cod_actividad]],tblActividades[codigo],tblActividades[descripcion],"(sin catálogo)"))</f>
        <v/>
      </c>
      <c r="Y1158" s="12">
        <f>IF(tblOrdenes[[#This Row],[fecha_inicio]]="","",TODAY()-tblOrdenes[[#This Row],[fecha_inicio]])</f>
        <v/>
      </c>
      <c r="Z1158" s="3">
        <f>IF(tblOrdenes[[#This Row],[backlog_dias]]="","",IF(tblOrdenes[[#This Row],[backlog_dias]]&lt;0,"FUTURO",IF(tblOrdenes[[#This Row],[backlog_dias]]&gt;p_dias_backlog_max,"BACKLOG","MES CORRIENTE")))</f>
        <v/>
      </c>
      <c r="AA1158" s="3">
        <f>IF(tblOrdenes[[#This Row],[backlog_dias]]="",FALSE,AND(tblOrdenes[[#This Row],[backlog_dias]]&gt;p_dias_backlog_min,tblOrdenes[[#This Row],[backlog_dias]]&lt;=p_dias_backlog_max))</f>
        <v/>
      </c>
      <c r="AB1158" s="6" t="n"/>
      <c r="AC1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8" s="10">
        <f>IF(tblOrdenes[[#This Row],[orden]]="","",_xlfn.XLOOKUP(tblOrdenes[[#This Row],[id_operacion]],tblEjecucion[id_operacion],tblEjecucion[precio],0))</f>
        <v/>
      </c>
      <c r="AG1158" s="10">
        <f>IF(tblOrdenes[[#This Row],[orden]]="","",MAX(0,_xlfn.XLOOKUP(tblOrdenes[[#This Row],[id_operacion]],tblEjecucion[id_operacion],tblEjecucion[costo_plan_total],0)-tblOrdenes[[#This Row],[costo_servicio]]))</f>
        <v/>
      </c>
      <c r="AH1158" s="10">
        <f>IF(tblOrdenes[[#This Row],[orden]]="","",tblOrdenes[[#This Row],[costo_servicio]]+tblOrdenes[[#This Row],[costo_materiales]])</f>
        <v/>
      </c>
      <c r="AI1158" s="6" t="n"/>
      <c r="AJ1158" s="6" t="n"/>
      <c r="AK1158" s="6" t="n"/>
      <c r="AL1158" s="3">
        <f>IF(tblOrdenes[[#This Row],[link_checklist]]="","",HYPERLINK(p_ruta_base_checklists&amp;tblOrdenes[[#This Row],[link_checklist]],"abrir"))</f>
        <v/>
      </c>
      <c r="AM1158" s="6" t="n"/>
      <c r="AN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Row],[tipo_ot]]="","",_xlfn.XLOOKUP(tblOrdenes[[#This Row],[tipo_ot]],tblTiposOT[codigo],tblTiposOT[clasificacion],"sin_clasificar"))</f>
        <v/>
      </c>
      <c r="T1159" s="3">
        <f>IF(tblOrdenes[[#This Row],[centro_costo]]="","",_xlfn.XLOOKUP(tblOrdenes[[#This Row],[centro_costo]],tblCECO[codigo],tblCECO[linea],"(sin catálogo)"))</f>
        <v/>
      </c>
      <c r="U1159" s="3">
        <f>IF(tblOrdenes[[#This Row],[centro_costo]]="","",_xlfn.XLOOKUP(tblOrdenes[[#This Row],[centro_costo]],tblCECO[codigo],tblCECO[area],"(sin catálogo)"))</f>
        <v/>
      </c>
      <c r="V1159" s="3">
        <f>IF(tblOrdenes[[#This Row],[centro_costo]]="","",_xlfn.XLOOKUP(tblOrdenes[[#This Row],[centro_costo]],tblCECO[codigo],tblCECO[coordinador],"(sin catálogo)"))</f>
        <v/>
      </c>
      <c r="W1159" s="3">
        <f>IF(tblOrdenes[[#This Row],[puesto_trabajo]]="","",_xlfn.XLOOKUP(tblOrdenes[[#This Row],[puesto_trabajo]],tblPuestos[codigo],tblPuestos[especialidad],"(sin catálogo)"))</f>
        <v/>
      </c>
      <c r="X1159" s="3">
        <f>IF(tblOrdenes[[#This Row],[cod_actividad]]="","",_xlfn.XLOOKUP(tblOrdenes[[#This Row],[cod_actividad]],tblActividades[codigo],tblActividades[descripcion],"(sin catálogo)"))</f>
        <v/>
      </c>
      <c r="Y1159" s="12">
        <f>IF(tblOrdenes[[#This Row],[fecha_inicio]]="","",TODAY()-tblOrdenes[[#This Row],[fecha_inicio]])</f>
        <v/>
      </c>
      <c r="Z1159" s="3">
        <f>IF(tblOrdenes[[#This Row],[backlog_dias]]="","",IF(tblOrdenes[[#This Row],[backlog_dias]]&lt;0,"FUTURO",IF(tblOrdenes[[#This Row],[backlog_dias]]&gt;p_dias_backlog_max,"BACKLOG","MES CORRIENTE")))</f>
        <v/>
      </c>
      <c r="AA1159" s="3">
        <f>IF(tblOrdenes[[#This Row],[backlog_dias]]="",FALSE,AND(tblOrdenes[[#This Row],[backlog_dias]]&gt;p_dias_backlog_min,tblOrdenes[[#This Row],[backlog_dias]]&lt;=p_dias_backlog_max))</f>
        <v/>
      </c>
      <c r="AB1159" s="6" t="n"/>
      <c r="AC1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9" s="10">
        <f>IF(tblOrdenes[[#This Row],[orden]]="","",_xlfn.XLOOKUP(tblOrdenes[[#This Row],[id_operacion]],tblEjecucion[id_operacion],tblEjecucion[precio],0))</f>
        <v/>
      </c>
      <c r="AG1159" s="10">
        <f>IF(tblOrdenes[[#This Row],[orden]]="","",MAX(0,_xlfn.XLOOKUP(tblOrdenes[[#This Row],[id_operacion]],tblEjecucion[id_operacion],tblEjecucion[costo_plan_total],0)-tblOrdenes[[#This Row],[costo_servicio]]))</f>
        <v/>
      </c>
      <c r="AH1159" s="10">
        <f>IF(tblOrdenes[[#This Row],[orden]]="","",tblOrdenes[[#This Row],[costo_servicio]]+tblOrdenes[[#This Row],[costo_materiales]])</f>
        <v/>
      </c>
      <c r="AI1159" s="6" t="n"/>
      <c r="AJ1159" s="6" t="n"/>
      <c r="AK1159" s="6" t="n"/>
      <c r="AL1159" s="3">
        <f>IF(tblOrdenes[[#This Row],[link_checklist]]="","",HYPERLINK(p_ruta_base_checklists&amp;tblOrdenes[[#This Row],[link_checklist]],"abrir"))</f>
        <v/>
      </c>
      <c r="AM1159" s="6" t="n"/>
      <c r="AN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Row],[tipo_ot]]="","",_xlfn.XLOOKUP(tblOrdenes[[#This Row],[tipo_ot]],tblTiposOT[codigo],tblTiposOT[clasificacion],"sin_clasificar"))</f>
        <v/>
      </c>
      <c r="T1160" s="3">
        <f>IF(tblOrdenes[[#This Row],[centro_costo]]="","",_xlfn.XLOOKUP(tblOrdenes[[#This Row],[centro_costo]],tblCECO[codigo],tblCECO[linea],"(sin catálogo)"))</f>
        <v/>
      </c>
      <c r="U1160" s="3">
        <f>IF(tblOrdenes[[#This Row],[centro_costo]]="","",_xlfn.XLOOKUP(tblOrdenes[[#This Row],[centro_costo]],tblCECO[codigo],tblCECO[area],"(sin catálogo)"))</f>
        <v/>
      </c>
      <c r="V1160" s="3">
        <f>IF(tblOrdenes[[#This Row],[centro_costo]]="","",_xlfn.XLOOKUP(tblOrdenes[[#This Row],[centro_costo]],tblCECO[codigo],tblCECO[coordinador],"(sin catálogo)"))</f>
        <v/>
      </c>
      <c r="W1160" s="3">
        <f>IF(tblOrdenes[[#This Row],[puesto_trabajo]]="","",_xlfn.XLOOKUP(tblOrdenes[[#This Row],[puesto_trabajo]],tblPuestos[codigo],tblPuestos[especialidad],"(sin catálogo)"))</f>
        <v/>
      </c>
      <c r="X1160" s="3">
        <f>IF(tblOrdenes[[#This Row],[cod_actividad]]="","",_xlfn.XLOOKUP(tblOrdenes[[#This Row],[cod_actividad]],tblActividades[codigo],tblActividades[descripcion],"(sin catálogo)"))</f>
        <v/>
      </c>
      <c r="Y1160" s="12">
        <f>IF(tblOrdenes[[#This Row],[fecha_inicio]]="","",TODAY()-tblOrdenes[[#This Row],[fecha_inicio]])</f>
        <v/>
      </c>
      <c r="Z1160" s="3">
        <f>IF(tblOrdenes[[#This Row],[backlog_dias]]="","",IF(tblOrdenes[[#This Row],[backlog_dias]]&lt;0,"FUTURO",IF(tblOrdenes[[#This Row],[backlog_dias]]&gt;p_dias_backlog_max,"BACKLOG","MES CORRIENTE")))</f>
        <v/>
      </c>
      <c r="AA1160" s="3">
        <f>IF(tblOrdenes[[#This Row],[backlog_dias]]="",FALSE,AND(tblOrdenes[[#This Row],[backlog_dias]]&gt;p_dias_backlog_min,tblOrdenes[[#This Row],[backlog_dias]]&lt;=p_dias_backlog_max))</f>
        <v/>
      </c>
      <c r="AB1160" s="6" t="n"/>
      <c r="AC1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0" s="10">
        <f>IF(tblOrdenes[[#This Row],[orden]]="","",_xlfn.XLOOKUP(tblOrdenes[[#This Row],[id_operacion]],tblEjecucion[id_operacion],tblEjecucion[precio],0))</f>
        <v/>
      </c>
      <c r="AG1160" s="10">
        <f>IF(tblOrdenes[[#This Row],[orden]]="","",MAX(0,_xlfn.XLOOKUP(tblOrdenes[[#This Row],[id_operacion]],tblEjecucion[id_operacion],tblEjecucion[costo_plan_total],0)-tblOrdenes[[#This Row],[costo_servicio]]))</f>
        <v/>
      </c>
      <c r="AH1160" s="10">
        <f>IF(tblOrdenes[[#This Row],[orden]]="","",tblOrdenes[[#This Row],[costo_servicio]]+tblOrdenes[[#This Row],[costo_materiales]])</f>
        <v/>
      </c>
      <c r="AI1160" s="6" t="n"/>
      <c r="AJ1160" s="6" t="n"/>
      <c r="AK1160" s="6" t="n"/>
      <c r="AL1160" s="3">
        <f>IF(tblOrdenes[[#This Row],[link_checklist]]="","",HYPERLINK(p_ruta_base_checklists&amp;tblOrdenes[[#This Row],[link_checklist]],"abrir"))</f>
        <v/>
      </c>
      <c r="AM1160" s="6" t="n"/>
      <c r="AN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Row],[tipo_ot]]="","",_xlfn.XLOOKUP(tblOrdenes[[#This Row],[tipo_ot]],tblTiposOT[codigo],tblTiposOT[clasificacion],"sin_clasificar"))</f>
        <v/>
      </c>
      <c r="T1161" s="3">
        <f>IF(tblOrdenes[[#This Row],[centro_costo]]="","",_xlfn.XLOOKUP(tblOrdenes[[#This Row],[centro_costo]],tblCECO[codigo],tblCECO[linea],"(sin catálogo)"))</f>
        <v/>
      </c>
      <c r="U1161" s="3">
        <f>IF(tblOrdenes[[#This Row],[centro_costo]]="","",_xlfn.XLOOKUP(tblOrdenes[[#This Row],[centro_costo]],tblCECO[codigo],tblCECO[area],"(sin catálogo)"))</f>
        <v/>
      </c>
      <c r="V1161" s="3">
        <f>IF(tblOrdenes[[#This Row],[centro_costo]]="","",_xlfn.XLOOKUP(tblOrdenes[[#This Row],[centro_costo]],tblCECO[codigo],tblCECO[coordinador],"(sin catálogo)"))</f>
        <v/>
      </c>
      <c r="W1161" s="3">
        <f>IF(tblOrdenes[[#This Row],[puesto_trabajo]]="","",_xlfn.XLOOKUP(tblOrdenes[[#This Row],[puesto_trabajo]],tblPuestos[codigo],tblPuestos[especialidad],"(sin catálogo)"))</f>
        <v/>
      </c>
      <c r="X1161" s="3">
        <f>IF(tblOrdenes[[#This Row],[cod_actividad]]="","",_xlfn.XLOOKUP(tblOrdenes[[#This Row],[cod_actividad]],tblActividades[codigo],tblActividades[descripcion],"(sin catálogo)"))</f>
        <v/>
      </c>
      <c r="Y1161" s="12">
        <f>IF(tblOrdenes[[#This Row],[fecha_inicio]]="","",TODAY()-tblOrdenes[[#This Row],[fecha_inicio]])</f>
        <v/>
      </c>
      <c r="Z1161" s="3">
        <f>IF(tblOrdenes[[#This Row],[backlog_dias]]="","",IF(tblOrdenes[[#This Row],[backlog_dias]]&lt;0,"FUTURO",IF(tblOrdenes[[#This Row],[backlog_dias]]&gt;p_dias_backlog_max,"BACKLOG","MES CORRIENTE")))</f>
        <v/>
      </c>
      <c r="AA1161" s="3">
        <f>IF(tblOrdenes[[#This Row],[backlog_dias]]="",FALSE,AND(tblOrdenes[[#This Row],[backlog_dias]]&gt;p_dias_backlog_min,tblOrdenes[[#This Row],[backlog_dias]]&lt;=p_dias_backlog_max))</f>
        <v/>
      </c>
      <c r="AB1161" s="6" t="n"/>
      <c r="AC1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1" s="10">
        <f>IF(tblOrdenes[[#This Row],[orden]]="","",_xlfn.XLOOKUP(tblOrdenes[[#This Row],[id_operacion]],tblEjecucion[id_operacion],tblEjecucion[precio],0))</f>
        <v/>
      </c>
      <c r="AG1161" s="10">
        <f>IF(tblOrdenes[[#This Row],[orden]]="","",MAX(0,_xlfn.XLOOKUP(tblOrdenes[[#This Row],[id_operacion]],tblEjecucion[id_operacion],tblEjecucion[costo_plan_total],0)-tblOrdenes[[#This Row],[costo_servicio]]))</f>
        <v/>
      </c>
      <c r="AH1161" s="10">
        <f>IF(tblOrdenes[[#This Row],[orden]]="","",tblOrdenes[[#This Row],[costo_servicio]]+tblOrdenes[[#This Row],[costo_materiales]])</f>
        <v/>
      </c>
      <c r="AI1161" s="6" t="n"/>
      <c r="AJ1161" s="6" t="n"/>
      <c r="AK1161" s="6" t="n"/>
      <c r="AL1161" s="3">
        <f>IF(tblOrdenes[[#This Row],[link_checklist]]="","",HYPERLINK(p_ruta_base_checklists&amp;tblOrdenes[[#This Row],[link_checklist]],"abrir"))</f>
        <v/>
      </c>
      <c r="AM1161" s="6" t="n"/>
      <c r="AN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Row],[tipo_ot]]="","",_xlfn.XLOOKUP(tblOrdenes[[#This Row],[tipo_ot]],tblTiposOT[codigo],tblTiposOT[clasificacion],"sin_clasificar"))</f>
        <v/>
      </c>
      <c r="T1162" s="3">
        <f>IF(tblOrdenes[[#This Row],[centro_costo]]="","",_xlfn.XLOOKUP(tblOrdenes[[#This Row],[centro_costo]],tblCECO[codigo],tblCECO[linea],"(sin catálogo)"))</f>
        <v/>
      </c>
      <c r="U1162" s="3">
        <f>IF(tblOrdenes[[#This Row],[centro_costo]]="","",_xlfn.XLOOKUP(tblOrdenes[[#This Row],[centro_costo]],tblCECO[codigo],tblCECO[area],"(sin catálogo)"))</f>
        <v/>
      </c>
      <c r="V1162" s="3">
        <f>IF(tblOrdenes[[#This Row],[centro_costo]]="","",_xlfn.XLOOKUP(tblOrdenes[[#This Row],[centro_costo]],tblCECO[codigo],tblCECO[coordinador],"(sin catálogo)"))</f>
        <v/>
      </c>
      <c r="W1162" s="3">
        <f>IF(tblOrdenes[[#This Row],[puesto_trabajo]]="","",_xlfn.XLOOKUP(tblOrdenes[[#This Row],[puesto_trabajo]],tblPuestos[codigo],tblPuestos[especialidad],"(sin catálogo)"))</f>
        <v/>
      </c>
      <c r="X1162" s="3">
        <f>IF(tblOrdenes[[#This Row],[cod_actividad]]="","",_xlfn.XLOOKUP(tblOrdenes[[#This Row],[cod_actividad]],tblActividades[codigo],tblActividades[descripcion],"(sin catálogo)"))</f>
        <v/>
      </c>
      <c r="Y1162" s="12">
        <f>IF(tblOrdenes[[#This Row],[fecha_inicio]]="","",TODAY()-tblOrdenes[[#This Row],[fecha_inicio]])</f>
        <v/>
      </c>
      <c r="Z1162" s="3">
        <f>IF(tblOrdenes[[#This Row],[backlog_dias]]="","",IF(tblOrdenes[[#This Row],[backlog_dias]]&lt;0,"FUTURO",IF(tblOrdenes[[#This Row],[backlog_dias]]&gt;p_dias_backlog_max,"BACKLOG","MES CORRIENTE")))</f>
        <v/>
      </c>
      <c r="AA1162" s="3">
        <f>IF(tblOrdenes[[#This Row],[backlog_dias]]="",FALSE,AND(tblOrdenes[[#This Row],[backlog_dias]]&gt;p_dias_backlog_min,tblOrdenes[[#This Row],[backlog_dias]]&lt;=p_dias_backlog_max))</f>
        <v/>
      </c>
      <c r="AB1162" s="6" t="n"/>
      <c r="AC1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2" s="10">
        <f>IF(tblOrdenes[[#This Row],[orden]]="","",_xlfn.XLOOKUP(tblOrdenes[[#This Row],[id_operacion]],tblEjecucion[id_operacion],tblEjecucion[precio],0))</f>
        <v/>
      </c>
      <c r="AG1162" s="10">
        <f>IF(tblOrdenes[[#This Row],[orden]]="","",MAX(0,_xlfn.XLOOKUP(tblOrdenes[[#This Row],[id_operacion]],tblEjecucion[id_operacion],tblEjecucion[costo_plan_total],0)-tblOrdenes[[#This Row],[costo_servicio]]))</f>
        <v/>
      </c>
      <c r="AH1162" s="10">
        <f>IF(tblOrdenes[[#This Row],[orden]]="","",tblOrdenes[[#This Row],[costo_servicio]]+tblOrdenes[[#This Row],[costo_materiales]])</f>
        <v/>
      </c>
      <c r="AI1162" s="6" t="n"/>
      <c r="AJ1162" s="6" t="n"/>
      <c r="AK1162" s="6" t="n"/>
      <c r="AL1162" s="3">
        <f>IF(tblOrdenes[[#This Row],[link_checklist]]="","",HYPERLINK(p_ruta_base_checklists&amp;tblOrdenes[[#This Row],[link_checklist]],"abrir"))</f>
        <v/>
      </c>
      <c r="AM1162" s="6" t="n"/>
      <c r="AN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Row],[tipo_ot]]="","",_xlfn.XLOOKUP(tblOrdenes[[#This Row],[tipo_ot]],tblTiposOT[codigo],tblTiposOT[clasificacion],"sin_clasificar"))</f>
        <v/>
      </c>
      <c r="T1163" s="3">
        <f>IF(tblOrdenes[[#This Row],[centro_costo]]="","",_xlfn.XLOOKUP(tblOrdenes[[#This Row],[centro_costo]],tblCECO[codigo],tblCECO[linea],"(sin catálogo)"))</f>
        <v/>
      </c>
      <c r="U1163" s="3">
        <f>IF(tblOrdenes[[#This Row],[centro_costo]]="","",_xlfn.XLOOKUP(tblOrdenes[[#This Row],[centro_costo]],tblCECO[codigo],tblCECO[area],"(sin catálogo)"))</f>
        <v/>
      </c>
      <c r="V1163" s="3">
        <f>IF(tblOrdenes[[#This Row],[centro_costo]]="","",_xlfn.XLOOKUP(tblOrdenes[[#This Row],[centro_costo]],tblCECO[codigo],tblCECO[coordinador],"(sin catálogo)"))</f>
        <v/>
      </c>
      <c r="W1163" s="3">
        <f>IF(tblOrdenes[[#This Row],[puesto_trabajo]]="","",_xlfn.XLOOKUP(tblOrdenes[[#This Row],[puesto_trabajo]],tblPuestos[codigo],tblPuestos[especialidad],"(sin catálogo)"))</f>
        <v/>
      </c>
      <c r="X1163" s="3">
        <f>IF(tblOrdenes[[#This Row],[cod_actividad]]="","",_xlfn.XLOOKUP(tblOrdenes[[#This Row],[cod_actividad]],tblActividades[codigo],tblActividades[descripcion],"(sin catálogo)"))</f>
        <v/>
      </c>
      <c r="Y1163" s="12">
        <f>IF(tblOrdenes[[#This Row],[fecha_inicio]]="","",TODAY()-tblOrdenes[[#This Row],[fecha_inicio]])</f>
        <v/>
      </c>
      <c r="Z1163" s="3">
        <f>IF(tblOrdenes[[#This Row],[backlog_dias]]="","",IF(tblOrdenes[[#This Row],[backlog_dias]]&lt;0,"FUTURO",IF(tblOrdenes[[#This Row],[backlog_dias]]&gt;p_dias_backlog_max,"BACKLOG","MES CORRIENTE")))</f>
        <v/>
      </c>
      <c r="AA1163" s="3">
        <f>IF(tblOrdenes[[#This Row],[backlog_dias]]="",FALSE,AND(tblOrdenes[[#This Row],[backlog_dias]]&gt;p_dias_backlog_min,tblOrdenes[[#This Row],[backlog_dias]]&lt;=p_dias_backlog_max))</f>
        <v/>
      </c>
      <c r="AB1163" s="6" t="n"/>
      <c r="AC1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3" s="10">
        <f>IF(tblOrdenes[[#This Row],[orden]]="","",_xlfn.XLOOKUP(tblOrdenes[[#This Row],[id_operacion]],tblEjecucion[id_operacion],tblEjecucion[precio],0))</f>
        <v/>
      </c>
      <c r="AG1163" s="10">
        <f>IF(tblOrdenes[[#This Row],[orden]]="","",MAX(0,_xlfn.XLOOKUP(tblOrdenes[[#This Row],[id_operacion]],tblEjecucion[id_operacion],tblEjecucion[costo_plan_total],0)-tblOrdenes[[#This Row],[costo_servicio]]))</f>
        <v/>
      </c>
      <c r="AH1163" s="10">
        <f>IF(tblOrdenes[[#This Row],[orden]]="","",tblOrdenes[[#This Row],[costo_servicio]]+tblOrdenes[[#This Row],[costo_materiales]])</f>
        <v/>
      </c>
      <c r="AI1163" s="6" t="n"/>
      <c r="AJ1163" s="6" t="n"/>
      <c r="AK1163" s="6" t="n"/>
      <c r="AL1163" s="3">
        <f>IF(tblOrdenes[[#This Row],[link_checklist]]="","",HYPERLINK(p_ruta_base_checklists&amp;tblOrdenes[[#This Row],[link_checklist]],"abrir"))</f>
        <v/>
      </c>
      <c r="AM1163" s="6" t="n"/>
      <c r="AN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Row],[tipo_ot]]="","",_xlfn.XLOOKUP(tblOrdenes[[#This Row],[tipo_ot]],tblTiposOT[codigo],tblTiposOT[clasificacion],"sin_clasificar"))</f>
        <v/>
      </c>
      <c r="T1164" s="3">
        <f>IF(tblOrdenes[[#This Row],[centro_costo]]="","",_xlfn.XLOOKUP(tblOrdenes[[#This Row],[centro_costo]],tblCECO[codigo],tblCECO[linea],"(sin catálogo)"))</f>
        <v/>
      </c>
      <c r="U1164" s="3">
        <f>IF(tblOrdenes[[#This Row],[centro_costo]]="","",_xlfn.XLOOKUP(tblOrdenes[[#This Row],[centro_costo]],tblCECO[codigo],tblCECO[area],"(sin catálogo)"))</f>
        <v/>
      </c>
      <c r="V1164" s="3">
        <f>IF(tblOrdenes[[#This Row],[centro_costo]]="","",_xlfn.XLOOKUP(tblOrdenes[[#This Row],[centro_costo]],tblCECO[codigo],tblCECO[coordinador],"(sin catálogo)"))</f>
        <v/>
      </c>
      <c r="W1164" s="3">
        <f>IF(tblOrdenes[[#This Row],[puesto_trabajo]]="","",_xlfn.XLOOKUP(tblOrdenes[[#This Row],[puesto_trabajo]],tblPuestos[codigo],tblPuestos[especialidad],"(sin catálogo)"))</f>
        <v/>
      </c>
      <c r="X1164" s="3">
        <f>IF(tblOrdenes[[#This Row],[cod_actividad]]="","",_xlfn.XLOOKUP(tblOrdenes[[#This Row],[cod_actividad]],tblActividades[codigo],tblActividades[descripcion],"(sin catálogo)"))</f>
        <v/>
      </c>
      <c r="Y1164" s="12">
        <f>IF(tblOrdenes[[#This Row],[fecha_inicio]]="","",TODAY()-tblOrdenes[[#This Row],[fecha_inicio]])</f>
        <v/>
      </c>
      <c r="Z1164" s="3">
        <f>IF(tblOrdenes[[#This Row],[backlog_dias]]="","",IF(tblOrdenes[[#This Row],[backlog_dias]]&lt;0,"FUTURO",IF(tblOrdenes[[#This Row],[backlog_dias]]&gt;p_dias_backlog_max,"BACKLOG","MES CORRIENTE")))</f>
        <v/>
      </c>
      <c r="AA1164" s="3">
        <f>IF(tblOrdenes[[#This Row],[backlog_dias]]="",FALSE,AND(tblOrdenes[[#This Row],[backlog_dias]]&gt;p_dias_backlog_min,tblOrdenes[[#This Row],[backlog_dias]]&lt;=p_dias_backlog_max))</f>
        <v/>
      </c>
      <c r="AB1164" s="6" t="n"/>
      <c r="AC1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4" s="10">
        <f>IF(tblOrdenes[[#This Row],[orden]]="","",_xlfn.XLOOKUP(tblOrdenes[[#This Row],[id_operacion]],tblEjecucion[id_operacion],tblEjecucion[precio],0))</f>
        <v/>
      </c>
      <c r="AG1164" s="10">
        <f>IF(tblOrdenes[[#This Row],[orden]]="","",MAX(0,_xlfn.XLOOKUP(tblOrdenes[[#This Row],[id_operacion]],tblEjecucion[id_operacion],tblEjecucion[costo_plan_total],0)-tblOrdenes[[#This Row],[costo_servicio]]))</f>
        <v/>
      </c>
      <c r="AH1164" s="10">
        <f>IF(tblOrdenes[[#This Row],[orden]]="","",tblOrdenes[[#This Row],[costo_servicio]]+tblOrdenes[[#This Row],[costo_materiales]])</f>
        <v/>
      </c>
      <c r="AI1164" s="6" t="n"/>
      <c r="AJ1164" s="6" t="n"/>
      <c r="AK1164" s="6" t="n"/>
      <c r="AL1164" s="3">
        <f>IF(tblOrdenes[[#This Row],[link_checklist]]="","",HYPERLINK(p_ruta_base_checklists&amp;tblOrdenes[[#This Row],[link_checklist]],"abrir"))</f>
        <v/>
      </c>
      <c r="AM1164" s="6" t="n"/>
      <c r="AN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Row],[tipo_ot]]="","",_xlfn.XLOOKUP(tblOrdenes[[#This Row],[tipo_ot]],tblTiposOT[codigo],tblTiposOT[clasificacion],"sin_clasificar"))</f>
        <v/>
      </c>
      <c r="T1165" s="3">
        <f>IF(tblOrdenes[[#This Row],[centro_costo]]="","",_xlfn.XLOOKUP(tblOrdenes[[#This Row],[centro_costo]],tblCECO[codigo],tblCECO[linea],"(sin catálogo)"))</f>
        <v/>
      </c>
      <c r="U1165" s="3">
        <f>IF(tblOrdenes[[#This Row],[centro_costo]]="","",_xlfn.XLOOKUP(tblOrdenes[[#This Row],[centro_costo]],tblCECO[codigo],tblCECO[area],"(sin catálogo)"))</f>
        <v/>
      </c>
      <c r="V1165" s="3">
        <f>IF(tblOrdenes[[#This Row],[centro_costo]]="","",_xlfn.XLOOKUP(tblOrdenes[[#This Row],[centro_costo]],tblCECO[codigo],tblCECO[coordinador],"(sin catálogo)"))</f>
        <v/>
      </c>
      <c r="W1165" s="3">
        <f>IF(tblOrdenes[[#This Row],[puesto_trabajo]]="","",_xlfn.XLOOKUP(tblOrdenes[[#This Row],[puesto_trabajo]],tblPuestos[codigo],tblPuestos[especialidad],"(sin catálogo)"))</f>
        <v/>
      </c>
      <c r="X1165" s="3">
        <f>IF(tblOrdenes[[#This Row],[cod_actividad]]="","",_xlfn.XLOOKUP(tblOrdenes[[#This Row],[cod_actividad]],tblActividades[codigo],tblActividades[descripcion],"(sin catálogo)"))</f>
        <v/>
      </c>
      <c r="Y1165" s="12">
        <f>IF(tblOrdenes[[#This Row],[fecha_inicio]]="","",TODAY()-tblOrdenes[[#This Row],[fecha_inicio]])</f>
        <v/>
      </c>
      <c r="Z1165" s="3">
        <f>IF(tblOrdenes[[#This Row],[backlog_dias]]="","",IF(tblOrdenes[[#This Row],[backlog_dias]]&lt;0,"FUTURO",IF(tblOrdenes[[#This Row],[backlog_dias]]&gt;p_dias_backlog_max,"BACKLOG","MES CORRIENTE")))</f>
        <v/>
      </c>
      <c r="AA1165" s="3">
        <f>IF(tblOrdenes[[#This Row],[backlog_dias]]="",FALSE,AND(tblOrdenes[[#This Row],[backlog_dias]]&gt;p_dias_backlog_min,tblOrdenes[[#This Row],[backlog_dias]]&lt;=p_dias_backlog_max))</f>
        <v/>
      </c>
      <c r="AB1165" s="6" t="n"/>
      <c r="AC1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5" s="10">
        <f>IF(tblOrdenes[[#This Row],[orden]]="","",_xlfn.XLOOKUP(tblOrdenes[[#This Row],[id_operacion]],tblEjecucion[id_operacion],tblEjecucion[precio],0))</f>
        <v/>
      </c>
      <c r="AG1165" s="10">
        <f>IF(tblOrdenes[[#This Row],[orden]]="","",MAX(0,_xlfn.XLOOKUP(tblOrdenes[[#This Row],[id_operacion]],tblEjecucion[id_operacion],tblEjecucion[costo_plan_total],0)-tblOrdenes[[#This Row],[costo_servicio]]))</f>
        <v/>
      </c>
      <c r="AH1165" s="10">
        <f>IF(tblOrdenes[[#This Row],[orden]]="","",tblOrdenes[[#This Row],[costo_servicio]]+tblOrdenes[[#This Row],[costo_materiales]])</f>
        <v/>
      </c>
      <c r="AI1165" s="6" t="n"/>
      <c r="AJ1165" s="6" t="n"/>
      <c r="AK1165" s="6" t="n"/>
      <c r="AL1165" s="3">
        <f>IF(tblOrdenes[[#This Row],[link_checklist]]="","",HYPERLINK(p_ruta_base_checklists&amp;tblOrdenes[[#This Row],[link_checklist]],"abrir"))</f>
        <v/>
      </c>
      <c r="AM1165" s="6" t="n"/>
      <c r="AN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Row],[tipo_ot]]="","",_xlfn.XLOOKUP(tblOrdenes[[#This Row],[tipo_ot]],tblTiposOT[codigo],tblTiposOT[clasificacion],"sin_clasificar"))</f>
        <v/>
      </c>
      <c r="T1166" s="3">
        <f>IF(tblOrdenes[[#This Row],[centro_costo]]="","",_xlfn.XLOOKUP(tblOrdenes[[#This Row],[centro_costo]],tblCECO[codigo],tblCECO[linea],"(sin catálogo)"))</f>
        <v/>
      </c>
      <c r="U1166" s="3">
        <f>IF(tblOrdenes[[#This Row],[centro_costo]]="","",_xlfn.XLOOKUP(tblOrdenes[[#This Row],[centro_costo]],tblCECO[codigo],tblCECO[area],"(sin catálogo)"))</f>
        <v/>
      </c>
      <c r="V1166" s="3">
        <f>IF(tblOrdenes[[#This Row],[centro_costo]]="","",_xlfn.XLOOKUP(tblOrdenes[[#This Row],[centro_costo]],tblCECO[codigo],tblCECO[coordinador],"(sin catálogo)"))</f>
        <v/>
      </c>
      <c r="W1166" s="3">
        <f>IF(tblOrdenes[[#This Row],[puesto_trabajo]]="","",_xlfn.XLOOKUP(tblOrdenes[[#This Row],[puesto_trabajo]],tblPuestos[codigo],tblPuestos[especialidad],"(sin catálogo)"))</f>
        <v/>
      </c>
      <c r="X1166" s="3">
        <f>IF(tblOrdenes[[#This Row],[cod_actividad]]="","",_xlfn.XLOOKUP(tblOrdenes[[#This Row],[cod_actividad]],tblActividades[codigo],tblActividades[descripcion],"(sin catálogo)"))</f>
        <v/>
      </c>
      <c r="Y1166" s="12">
        <f>IF(tblOrdenes[[#This Row],[fecha_inicio]]="","",TODAY()-tblOrdenes[[#This Row],[fecha_inicio]])</f>
        <v/>
      </c>
      <c r="Z1166" s="3">
        <f>IF(tblOrdenes[[#This Row],[backlog_dias]]="","",IF(tblOrdenes[[#This Row],[backlog_dias]]&lt;0,"FUTURO",IF(tblOrdenes[[#This Row],[backlog_dias]]&gt;p_dias_backlog_max,"BACKLOG","MES CORRIENTE")))</f>
        <v/>
      </c>
      <c r="AA1166" s="3">
        <f>IF(tblOrdenes[[#This Row],[backlog_dias]]="",FALSE,AND(tblOrdenes[[#This Row],[backlog_dias]]&gt;p_dias_backlog_min,tblOrdenes[[#This Row],[backlog_dias]]&lt;=p_dias_backlog_max))</f>
        <v/>
      </c>
      <c r="AB1166" s="6" t="n"/>
      <c r="AC1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6" s="10">
        <f>IF(tblOrdenes[[#This Row],[orden]]="","",_xlfn.XLOOKUP(tblOrdenes[[#This Row],[id_operacion]],tblEjecucion[id_operacion],tblEjecucion[precio],0))</f>
        <v/>
      </c>
      <c r="AG1166" s="10">
        <f>IF(tblOrdenes[[#This Row],[orden]]="","",MAX(0,_xlfn.XLOOKUP(tblOrdenes[[#This Row],[id_operacion]],tblEjecucion[id_operacion],tblEjecucion[costo_plan_total],0)-tblOrdenes[[#This Row],[costo_servicio]]))</f>
        <v/>
      </c>
      <c r="AH1166" s="10">
        <f>IF(tblOrdenes[[#This Row],[orden]]="","",tblOrdenes[[#This Row],[costo_servicio]]+tblOrdenes[[#This Row],[costo_materiales]])</f>
        <v/>
      </c>
      <c r="AI1166" s="6" t="n"/>
      <c r="AJ1166" s="6" t="n"/>
      <c r="AK1166" s="6" t="n"/>
      <c r="AL1166" s="3">
        <f>IF(tblOrdenes[[#This Row],[link_checklist]]="","",HYPERLINK(p_ruta_base_checklists&amp;tblOrdenes[[#This Row],[link_checklist]],"abrir"))</f>
        <v/>
      </c>
      <c r="AM1166" s="6" t="n"/>
      <c r="AN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Row],[tipo_ot]]="","",_xlfn.XLOOKUP(tblOrdenes[[#This Row],[tipo_ot]],tblTiposOT[codigo],tblTiposOT[clasificacion],"sin_clasificar"))</f>
        <v/>
      </c>
      <c r="T1167" s="3">
        <f>IF(tblOrdenes[[#This Row],[centro_costo]]="","",_xlfn.XLOOKUP(tblOrdenes[[#This Row],[centro_costo]],tblCECO[codigo],tblCECO[linea],"(sin catálogo)"))</f>
        <v/>
      </c>
      <c r="U1167" s="3">
        <f>IF(tblOrdenes[[#This Row],[centro_costo]]="","",_xlfn.XLOOKUP(tblOrdenes[[#This Row],[centro_costo]],tblCECO[codigo],tblCECO[area],"(sin catálogo)"))</f>
        <v/>
      </c>
      <c r="V1167" s="3">
        <f>IF(tblOrdenes[[#This Row],[centro_costo]]="","",_xlfn.XLOOKUP(tblOrdenes[[#This Row],[centro_costo]],tblCECO[codigo],tblCECO[coordinador],"(sin catálogo)"))</f>
        <v/>
      </c>
      <c r="W1167" s="3">
        <f>IF(tblOrdenes[[#This Row],[puesto_trabajo]]="","",_xlfn.XLOOKUP(tblOrdenes[[#This Row],[puesto_trabajo]],tblPuestos[codigo],tblPuestos[especialidad],"(sin catálogo)"))</f>
        <v/>
      </c>
      <c r="X1167" s="3">
        <f>IF(tblOrdenes[[#This Row],[cod_actividad]]="","",_xlfn.XLOOKUP(tblOrdenes[[#This Row],[cod_actividad]],tblActividades[codigo],tblActividades[descripcion],"(sin catálogo)"))</f>
        <v/>
      </c>
      <c r="Y1167" s="12">
        <f>IF(tblOrdenes[[#This Row],[fecha_inicio]]="","",TODAY()-tblOrdenes[[#This Row],[fecha_inicio]])</f>
        <v/>
      </c>
      <c r="Z1167" s="3">
        <f>IF(tblOrdenes[[#This Row],[backlog_dias]]="","",IF(tblOrdenes[[#This Row],[backlog_dias]]&lt;0,"FUTURO",IF(tblOrdenes[[#This Row],[backlog_dias]]&gt;p_dias_backlog_max,"BACKLOG","MES CORRIENTE")))</f>
        <v/>
      </c>
      <c r="AA1167" s="3">
        <f>IF(tblOrdenes[[#This Row],[backlog_dias]]="",FALSE,AND(tblOrdenes[[#This Row],[backlog_dias]]&gt;p_dias_backlog_min,tblOrdenes[[#This Row],[backlog_dias]]&lt;=p_dias_backlog_max))</f>
        <v/>
      </c>
      <c r="AB1167" s="6" t="n"/>
      <c r="AC1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7" s="10">
        <f>IF(tblOrdenes[[#This Row],[orden]]="","",_xlfn.XLOOKUP(tblOrdenes[[#This Row],[id_operacion]],tblEjecucion[id_operacion],tblEjecucion[precio],0))</f>
        <v/>
      </c>
      <c r="AG1167" s="10">
        <f>IF(tblOrdenes[[#This Row],[orden]]="","",MAX(0,_xlfn.XLOOKUP(tblOrdenes[[#This Row],[id_operacion]],tblEjecucion[id_operacion],tblEjecucion[costo_plan_total],0)-tblOrdenes[[#This Row],[costo_servicio]]))</f>
        <v/>
      </c>
      <c r="AH1167" s="10">
        <f>IF(tblOrdenes[[#This Row],[orden]]="","",tblOrdenes[[#This Row],[costo_servicio]]+tblOrdenes[[#This Row],[costo_materiales]])</f>
        <v/>
      </c>
      <c r="AI1167" s="6" t="n"/>
      <c r="AJ1167" s="6" t="n"/>
      <c r="AK1167" s="6" t="n"/>
      <c r="AL1167" s="3">
        <f>IF(tblOrdenes[[#This Row],[link_checklist]]="","",HYPERLINK(p_ruta_base_checklists&amp;tblOrdenes[[#This Row],[link_checklist]],"abrir"))</f>
        <v/>
      </c>
      <c r="AM1167" s="6" t="n"/>
      <c r="AN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Row],[tipo_ot]]="","",_xlfn.XLOOKUP(tblOrdenes[[#This Row],[tipo_ot]],tblTiposOT[codigo],tblTiposOT[clasificacion],"sin_clasificar"))</f>
        <v/>
      </c>
      <c r="T1168" s="3">
        <f>IF(tblOrdenes[[#This Row],[centro_costo]]="","",_xlfn.XLOOKUP(tblOrdenes[[#This Row],[centro_costo]],tblCECO[codigo],tblCECO[linea],"(sin catálogo)"))</f>
        <v/>
      </c>
      <c r="U1168" s="3">
        <f>IF(tblOrdenes[[#This Row],[centro_costo]]="","",_xlfn.XLOOKUP(tblOrdenes[[#This Row],[centro_costo]],tblCECO[codigo],tblCECO[area],"(sin catálogo)"))</f>
        <v/>
      </c>
      <c r="V1168" s="3">
        <f>IF(tblOrdenes[[#This Row],[centro_costo]]="","",_xlfn.XLOOKUP(tblOrdenes[[#This Row],[centro_costo]],tblCECO[codigo],tblCECO[coordinador],"(sin catálogo)"))</f>
        <v/>
      </c>
      <c r="W1168" s="3">
        <f>IF(tblOrdenes[[#This Row],[puesto_trabajo]]="","",_xlfn.XLOOKUP(tblOrdenes[[#This Row],[puesto_trabajo]],tblPuestos[codigo],tblPuestos[especialidad],"(sin catálogo)"))</f>
        <v/>
      </c>
      <c r="X1168" s="3">
        <f>IF(tblOrdenes[[#This Row],[cod_actividad]]="","",_xlfn.XLOOKUP(tblOrdenes[[#This Row],[cod_actividad]],tblActividades[codigo],tblActividades[descripcion],"(sin catálogo)"))</f>
        <v/>
      </c>
      <c r="Y1168" s="12">
        <f>IF(tblOrdenes[[#This Row],[fecha_inicio]]="","",TODAY()-tblOrdenes[[#This Row],[fecha_inicio]])</f>
        <v/>
      </c>
      <c r="Z1168" s="3">
        <f>IF(tblOrdenes[[#This Row],[backlog_dias]]="","",IF(tblOrdenes[[#This Row],[backlog_dias]]&lt;0,"FUTURO",IF(tblOrdenes[[#This Row],[backlog_dias]]&gt;p_dias_backlog_max,"BACKLOG","MES CORRIENTE")))</f>
        <v/>
      </c>
      <c r="AA1168" s="3">
        <f>IF(tblOrdenes[[#This Row],[backlog_dias]]="",FALSE,AND(tblOrdenes[[#This Row],[backlog_dias]]&gt;p_dias_backlog_min,tblOrdenes[[#This Row],[backlog_dias]]&lt;=p_dias_backlog_max))</f>
        <v/>
      </c>
      <c r="AB1168" s="6" t="n"/>
      <c r="AC1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8" s="10">
        <f>IF(tblOrdenes[[#This Row],[orden]]="","",_xlfn.XLOOKUP(tblOrdenes[[#This Row],[id_operacion]],tblEjecucion[id_operacion],tblEjecucion[precio],0))</f>
        <v/>
      </c>
      <c r="AG1168" s="10">
        <f>IF(tblOrdenes[[#This Row],[orden]]="","",MAX(0,_xlfn.XLOOKUP(tblOrdenes[[#This Row],[id_operacion]],tblEjecucion[id_operacion],tblEjecucion[costo_plan_total],0)-tblOrdenes[[#This Row],[costo_servicio]]))</f>
        <v/>
      </c>
      <c r="AH1168" s="10">
        <f>IF(tblOrdenes[[#This Row],[orden]]="","",tblOrdenes[[#This Row],[costo_servicio]]+tblOrdenes[[#This Row],[costo_materiales]])</f>
        <v/>
      </c>
      <c r="AI1168" s="6" t="n"/>
      <c r="AJ1168" s="6" t="n"/>
      <c r="AK1168" s="6" t="n"/>
      <c r="AL1168" s="3">
        <f>IF(tblOrdenes[[#This Row],[link_checklist]]="","",HYPERLINK(p_ruta_base_checklists&amp;tblOrdenes[[#This Row],[link_checklist]],"abrir"))</f>
        <v/>
      </c>
      <c r="AM1168" s="6" t="n"/>
      <c r="AN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Row],[tipo_ot]]="","",_xlfn.XLOOKUP(tblOrdenes[[#This Row],[tipo_ot]],tblTiposOT[codigo],tblTiposOT[clasificacion],"sin_clasificar"))</f>
        <v/>
      </c>
      <c r="T1169" s="3">
        <f>IF(tblOrdenes[[#This Row],[centro_costo]]="","",_xlfn.XLOOKUP(tblOrdenes[[#This Row],[centro_costo]],tblCECO[codigo],tblCECO[linea],"(sin catálogo)"))</f>
        <v/>
      </c>
      <c r="U1169" s="3">
        <f>IF(tblOrdenes[[#This Row],[centro_costo]]="","",_xlfn.XLOOKUP(tblOrdenes[[#This Row],[centro_costo]],tblCECO[codigo],tblCECO[area],"(sin catálogo)"))</f>
        <v/>
      </c>
      <c r="V1169" s="3">
        <f>IF(tblOrdenes[[#This Row],[centro_costo]]="","",_xlfn.XLOOKUP(tblOrdenes[[#This Row],[centro_costo]],tblCECO[codigo],tblCECO[coordinador],"(sin catálogo)"))</f>
        <v/>
      </c>
      <c r="W1169" s="3">
        <f>IF(tblOrdenes[[#This Row],[puesto_trabajo]]="","",_xlfn.XLOOKUP(tblOrdenes[[#This Row],[puesto_trabajo]],tblPuestos[codigo],tblPuestos[especialidad],"(sin catálogo)"))</f>
        <v/>
      </c>
      <c r="X1169" s="3">
        <f>IF(tblOrdenes[[#This Row],[cod_actividad]]="","",_xlfn.XLOOKUP(tblOrdenes[[#This Row],[cod_actividad]],tblActividades[codigo],tblActividades[descripcion],"(sin catálogo)"))</f>
        <v/>
      </c>
      <c r="Y1169" s="12">
        <f>IF(tblOrdenes[[#This Row],[fecha_inicio]]="","",TODAY()-tblOrdenes[[#This Row],[fecha_inicio]])</f>
        <v/>
      </c>
      <c r="Z1169" s="3">
        <f>IF(tblOrdenes[[#This Row],[backlog_dias]]="","",IF(tblOrdenes[[#This Row],[backlog_dias]]&lt;0,"FUTURO",IF(tblOrdenes[[#This Row],[backlog_dias]]&gt;p_dias_backlog_max,"BACKLOG","MES CORRIENTE")))</f>
        <v/>
      </c>
      <c r="AA1169" s="3">
        <f>IF(tblOrdenes[[#This Row],[backlog_dias]]="",FALSE,AND(tblOrdenes[[#This Row],[backlog_dias]]&gt;p_dias_backlog_min,tblOrdenes[[#This Row],[backlog_dias]]&lt;=p_dias_backlog_max))</f>
        <v/>
      </c>
      <c r="AB1169" s="6" t="n"/>
      <c r="AC1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9" s="10">
        <f>IF(tblOrdenes[[#This Row],[orden]]="","",_xlfn.XLOOKUP(tblOrdenes[[#This Row],[id_operacion]],tblEjecucion[id_operacion],tblEjecucion[precio],0))</f>
        <v/>
      </c>
      <c r="AG1169" s="10">
        <f>IF(tblOrdenes[[#This Row],[orden]]="","",MAX(0,_xlfn.XLOOKUP(tblOrdenes[[#This Row],[id_operacion]],tblEjecucion[id_operacion],tblEjecucion[costo_plan_total],0)-tblOrdenes[[#This Row],[costo_servicio]]))</f>
        <v/>
      </c>
      <c r="AH1169" s="10">
        <f>IF(tblOrdenes[[#This Row],[orden]]="","",tblOrdenes[[#This Row],[costo_servicio]]+tblOrdenes[[#This Row],[costo_materiales]])</f>
        <v/>
      </c>
      <c r="AI1169" s="6" t="n"/>
      <c r="AJ1169" s="6" t="n"/>
      <c r="AK1169" s="6" t="n"/>
      <c r="AL1169" s="3">
        <f>IF(tblOrdenes[[#This Row],[link_checklist]]="","",HYPERLINK(p_ruta_base_checklists&amp;tblOrdenes[[#This Row],[link_checklist]],"abrir"))</f>
        <v/>
      </c>
      <c r="AM1169" s="6" t="n"/>
      <c r="AN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Row],[tipo_ot]]="","",_xlfn.XLOOKUP(tblOrdenes[[#This Row],[tipo_ot]],tblTiposOT[codigo],tblTiposOT[clasificacion],"sin_clasificar"))</f>
        <v/>
      </c>
      <c r="T1170" s="3">
        <f>IF(tblOrdenes[[#This Row],[centro_costo]]="","",_xlfn.XLOOKUP(tblOrdenes[[#This Row],[centro_costo]],tblCECO[codigo],tblCECO[linea],"(sin catálogo)"))</f>
        <v/>
      </c>
      <c r="U1170" s="3">
        <f>IF(tblOrdenes[[#This Row],[centro_costo]]="","",_xlfn.XLOOKUP(tblOrdenes[[#This Row],[centro_costo]],tblCECO[codigo],tblCECO[area],"(sin catálogo)"))</f>
        <v/>
      </c>
      <c r="V1170" s="3">
        <f>IF(tblOrdenes[[#This Row],[centro_costo]]="","",_xlfn.XLOOKUP(tblOrdenes[[#This Row],[centro_costo]],tblCECO[codigo],tblCECO[coordinador],"(sin catálogo)"))</f>
        <v/>
      </c>
      <c r="W1170" s="3">
        <f>IF(tblOrdenes[[#This Row],[puesto_trabajo]]="","",_xlfn.XLOOKUP(tblOrdenes[[#This Row],[puesto_trabajo]],tblPuestos[codigo],tblPuestos[especialidad],"(sin catálogo)"))</f>
        <v/>
      </c>
      <c r="X1170" s="3">
        <f>IF(tblOrdenes[[#This Row],[cod_actividad]]="","",_xlfn.XLOOKUP(tblOrdenes[[#This Row],[cod_actividad]],tblActividades[codigo],tblActividades[descripcion],"(sin catálogo)"))</f>
        <v/>
      </c>
      <c r="Y1170" s="12">
        <f>IF(tblOrdenes[[#This Row],[fecha_inicio]]="","",TODAY()-tblOrdenes[[#This Row],[fecha_inicio]])</f>
        <v/>
      </c>
      <c r="Z1170" s="3">
        <f>IF(tblOrdenes[[#This Row],[backlog_dias]]="","",IF(tblOrdenes[[#This Row],[backlog_dias]]&lt;0,"FUTURO",IF(tblOrdenes[[#This Row],[backlog_dias]]&gt;p_dias_backlog_max,"BACKLOG","MES CORRIENTE")))</f>
        <v/>
      </c>
      <c r="AA1170" s="3">
        <f>IF(tblOrdenes[[#This Row],[backlog_dias]]="",FALSE,AND(tblOrdenes[[#This Row],[backlog_dias]]&gt;p_dias_backlog_min,tblOrdenes[[#This Row],[backlog_dias]]&lt;=p_dias_backlog_max))</f>
        <v/>
      </c>
      <c r="AB1170" s="6" t="n"/>
      <c r="AC1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0" s="10">
        <f>IF(tblOrdenes[[#This Row],[orden]]="","",_xlfn.XLOOKUP(tblOrdenes[[#This Row],[id_operacion]],tblEjecucion[id_operacion],tblEjecucion[precio],0))</f>
        <v/>
      </c>
      <c r="AG1170" s="10">
        <f>IF(tblOrdenes[[#This Row],[orden]]="","",MAX(0,_xlfn.XLOOKUP(tblOrdenes[[#This Row],[id_operacion]],tblEjecucion[id_operacion],tblEjecucion[costo_plan_total],0)-tblOrdenes[[#This Row],[costo_servicio]]))</f>
        <v/>
      </c>
      <c r="AH1170" s="10">
        <f>IF(tblOrdenes[[#This Row],[orden]]="","",tblOrdenes[[#This Row],[costo_servicio]]+tblOrdenes[[#This Row],[costo_materiales]])</f>
        <v/>
      </c>
      <c r="AI1170" s="6" t="n"/>
      <c r="AJ1170" s="6" t="n"/>
      <c r="AK1170" s="6" t="n"/>
      <c r="AL1170" s="3">
        <f>IF(tblOrdenes[[#This Row],[link_checklist]]="","",HYPERLINK(p_ruta_base_checklists&amp;tblOrdenes[[#This Row],[link_checklist]],"abrir"))</f>
        <v/>
      </c>
      <c r="AM1170" s="6" t="n"/>
      <c r="AN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Row],[tipo_ot]]="","",_xlfn.XLOOKUP(tblOrdenes[[#This Row],[tipo_ot]],tblTiposOT[codigo],tblTiposOT[clasificacion],"sin_clasificar"))</f>
        <v/>
      </c>
      <c r="T1171" s="3">
        <f>IF(tblOrdenes[[#This Row],[centro_costo]]="","",_xlfn.XLOOKUP(tblOrdenes[[#This Row],[centro_costo]],tblCECO[codigo],tblCECO[linea],"(sin catálogo)"))</f>
        <v/>
      </c>
      <c r="U1171" s="3">
        <f>IF(tblOrdenes[[#This Row],[centro_costo]]="","",_xlfn.XLOOKUP(tblOrdenes[[#This Row],[centro_costo]],tblCECO[codigo],tblCECO[area],"(sin catálogo)"))</f>
        <v/>
      </c>
      <c r="V1171" s="3">
        <f>IF(tblOrdenes[[#This Row],[centro_costo]]="","",_xlfn.XLOOKUP(tblOrdenes[[#This Row],[centro_costo]],tblCECO[codigo],tblCECO[coordinador],"(sin catálogo)"))</f>
        <v/>
      </c>
      <c r="W1171" s="3">
        <f>IF(tblOrdenes[[#This Row],[puesto_trabajo]]="","",_xlfn.XLOOKUP(tblOrdenes[[#This Row],[puesto_trabajo]],tblPuestos[codigo],tblPuestos[especialidad],"(sin catálogo)"))</f>
        <v/>
      </c>
      <c r="X1171" s="3">
        <f>IF(tblOrdenes[[#This Row],[cod_actividad]]="","",_xlfn.XLOOKUP(tblOrdenes[[#This Row],[cod_actividad]],tblActividades[codigo],tblActividades[descripcion],"(sin catálogo)"))</f>
        <v/>
      </c>
      <c r="Y1171" s="12">
        <f>IF(tblOrdenes[[#This Row],[fecha_inicio]]="","",TODAY()-tblOrdenes[[#This Row],[fecha_inicio]])</f>
        <v/>
      </c>
      <c r="Z1171" s="3">
        <f>IF(tblOrdenes[[#This Row],[backlog_dias]]="","",IF(tblOrdenes[[#This Row],[backlog_dias]]&lt;0,"FUTURO",IF(tblOrdenes[[#This Row],[backlog_dias]]&gt;p_dias_backlog_max,"BACKLOG","MES CORRIENTE")))</f>
        <v/>
      </c>
      <c r="AA1171" s="3">
        <f>IF(tblOrdenes[[#This Row],[backlog_dias]]="",FALSE,AND(tblOrdenes[[#This Row],[backlog_dias]]&gt;p_dias_backlog_min,tblOrdenes[[#This Row],[backlog_dias]]&lt;=p_dias_backlog_max))</f>
        <v/>
      </c>
      <c r="AB1171" s="6" t="n"/>
      <c r="AC1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1" s="10">
        <f>IF(tblOrdenes[[#This Row],[orden]]="","",_xlfn.XLOOKUP(tblOrdenes[[#This Row],[id_operacion]],tblEjecucion[id_operacion],tblEjecucion[precio],0))</f>
        <v/>
      </c>
      <c r="AG1171" s="10">
        <f>IF(tblOrdenes[[#This Row],[orden]]="","",MAX(0,_xlfn.XLOOKUP(tblOrdenes[[#This Row],[id_operacion]],tblEjecucion[id_operacion],tblEjecucion[costo_plan_total],0)-tblOrdenes[[#This Row],[costo_servicio]]))</f>
        <v/>
      </c>
      <c r="AH1171" s="10">
        <f>IF(tblOrdenes[[#This Row],[orden]]="","",tblOrdenes[[#This Row],[costo_servicio]]+tblOrdenes[[#This Row],[costo_materiales]])</f>
        <v/>
      </c>
      <c r="AI1171" s="6" t="n"/>
      <c r="AJ1171" s="6" t="n"/>
      <c r="AK1171" s="6" t="n"/>
      <c r="AL1171" s="3">
        <f>IF(tblOrdenes[[#This Row],[link_checklist]]="","",HYPERLINK(p_ruta_base_checklists&amp;tblOrdenes[[#This Row],[link_checklist]],"abrir"))</f>
        <v/>
      </c>
      <c r="AM1171" s="6" t="n"/>
      <c r="AN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Row],[tipo_ot]]="","",_xlfn.XLOOKUP(tblOrdenes[[#This Row],[tipo_ot]],tblTiposOT[codigo],tblTiposOT[clasificacion],"sin_clasificar"))</f>
        <v/>
      </c>
      <c r="T1172" s="3">
        <f>IF(tblOrdenes[[#This Row],[centro_costo]]="","",_xlfn.XLOOKUP(tblOrdenes[[#This Row],[centro_costo]],tblCECO[codigo],tblCECO[linea],"(sin catálogo)"))</f>
        <v/>
      </c>
      <c r="U1172" s="3">
        <f>IF(tblOrdenes[[#This Row],[centro_costo]]="","",_xlfn.XLOOKUP(tblOrdenes[[#This Row],[centro_costo]],tblCECO[codigo],tblCECO[area],"(sin catálogo)"))</f>
        <v/>
      </c>
      <c r="V1172" s="3">
        <f>IF(tblOrdenes[[#This Row],[centro_costo]]="","",_xlfn.XLOOKUP(tblOrdenes[[#This Row],[centro_costo]],tblCECO[codigo],tblCECO[coordinador],"(sin catálogo)"))</f>
        <v/>
      </c>
      <c r="W1172" s="3">
        <f>IF(tblOrdenes[[#This Row],[puesto_trabajo]]="","",_xlfn.XLOOKUP(tblOrdenes[[#This Row],[puesto_trabajo]],tblPuestos[codigo],tblPuestos[especialidad],"(sin catálogo)"))</f>
        <v/>
      </c>
      <c r="X1172" s="3">
        <f>IF(tblOrdenes[[#This Row],[cod_actividad]]="","",_xlfn.XLOOKUP(tblOrdenes[[#This Row],[cod_actividad]],tblActividades[codigo],tblActividades[descripcion],"(sin catálogo)"))</f>
        <v/>
      </c>
      <c r="Y1172" s="12">
        <f>IF(tblOrdenes[[#This Row],[fecha_inicio]]="","",TODAY()-tblOrdenes[[#This Row],[fecha_inicio]])</f>
        <v/>
      </c>
      <c r="Z1172" s="3">
        <f>IF(tblOrdenes[[#This Row],[backlog_dias]]="","",IF(tblOrdenes[[#This Row],[backlog_dias]]&lt;0,"FUTURO",IF(tblOrdenes[[#This Row],[backlog_dias]]&gt;p_dias_backlog_max,"BACKLOG","MES CORRIENTE")))</f>
        <v/>
      </c>
      <c r="AA1172" s="3">
        <f>IF(tblOrdenes[[#This Row],[backlog_dias]]="",FALSE,AND(tblOrdenes[[#This Row],[backlog_dias]]&gt;p_dias_backlog_min,tblOrdenes[[#This Row],[backlog_dias]]&lt;=p_dias_backlog_max))</f>
        <v/>
      </c>
      <c r="AB1172" s="6" t="n"/>
      <c r="AC1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2" s="10">
        <f>IF(tblOrdenes[[#This Row],[orden]]="","",_xlfn.XLOOKUP(tblOrdenes[[#This Row],[id_operacion]],tblEjecucion[id_operacion],tblEjecucion[precio],0))</f>
        <v/>
      </c>
      <c r="AG1172" s="10">
        <f>IF(tblOrdenes[[#This Row],[orden]]="","",MAX(0,_xlfn.XLOOKUP(tblOrdenes[[#This Row],[id_operacion]],tblEjecucion[id_operacion],tblEjecucion[costo_plan_total],0)-tblOrdenes[[#This Row],[costo_servicio]]))</f>
        <v/>
      </c>
      <c r="AH1172" s="10">
        <f>IF(tblOrdenes[[#This Row],[orden]]="","",tblOrdenes[[#This Row],[costo_servicio]]+tblOrdenes[[#This Row],[costo_materiales]])</f>
        <v/>
      </c>
      <c r="AI1172" s="6" t="n"/>
      <c r="AJ1172" s="6" t="n"/>
      <c r="AK1172" s="6" t="n"/>
      <c r="AL1172" s="3">
        <f>IF(tblOrdenes[[#This Row],[link_checklist]]="","",HYPERLINK(p_ruta_base_checklists&amp;tblOrdenes[[#This Row],[link_checklist]],"abrir"))</f>
        <v/>
      </c>
      <c r="AM1172" s="6" t="n"/>
      <c r="AN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Row],[tipo_ot]]="","",_xlfn.XLOOKUP(tblOrdenes[[#This Row],[tipo_ot]],tblTiposOT[codigo],tblTiposOT[clasificacion],"sin_clasificar"))</f>
        <v/>
      </c>
      <c r="T1173" s="3">
        <f>IF(tblOrdenes[[#This Row],[centro_costo]]="","",_xlfn.XLOOKUP(tblOrdenes[[#This Row],[centro_costo]],tblCECO[codigo],tblCECO[linea],"(sin catálogo)"))</f>
        <v/>
      </c>
      <c r="U1173" s="3">
        <f>IF(tblOrdenes[[#This Row],[centro_costo]]="","",_xlfn.XLOOKUP(tblOrdenes[[#This Row],[centro_costo]],tblCECO[codigo],tblCECO[area],"(sin catálogo)"))</f>
        <v/>
      </c>
      <c r="V1173" s="3">
        <f>IF(tblOrdenes[[#This Row],[centro_costo]]="","",_xlfn.XLOOKUP(tblOrdenes[[#This Row],[centro_costo]],tblCECO[codigo],tblCECO[coordinador],"(sin catálogo)"))</f>
        <v/>
      </c>
      <c r="W1173" s="3">
        <f>IF(tblOrdenes[[#This Row],[puesto_trabajo]]="","",_xlfn.XLOOKUP(tblOrdenes[[#This Row],[puesto_trabajo]],tblPuestos[codigo],tblPuestos[especialidad],"(sin catálogo)"))</f>
        <v/>
      </c>
      <c r="X1173" s="3">
        <f>IF(tblOrdenes[[#This Row],[cod_actividad]]="","",_xlfn.XLOOKUP(tblOrdenes[[#This Row],[cod_actividad]],tblActividades[codigo],tblActividades[descripcion],"(sin catálogo)"))</f>
        <v/>
      </c>
      <c r="Y1173" s="12">
        <f>IF(tblOrdenes[[#This Row],[fecha_inicio]]="","",TODAY()-tblOrdenes[[#This Row],[fecha_inicio]])</f>
        <v/>
      </c>
      <c r="Z1173" s="3">
        <f>IF(tblOrdenes[[#This Row],[backlog_dias]]="","",IF(tblOrdenes[[#This Row],[backlog_dias]]&lt;0,"FUTURO",IF(tblOrdenes[[#This Row],[backlog_dias]]&gt;p_dias_backlog_max,"BACKLOG","MES CORRIENTE")))</f>
        <v/>
      </c>
      <c r="AA1173" s="3">
        <f>IF(tblOrdenes[[#This Row],[backlog_dias]]="",FALSE,AND(tblOrdenes[[#This Row],[backlog_dias]]&gt;p_dias_backlog_min,tblOrdenes[[#This Row],[backlog_dias]]&lt;=p_dias_backlog_max))</f>
        <v/>
      </c>
      <c r="AB1173" s="6" t="n"/>
      <c r="AC1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3" s="10">
        <f>IF(tblOrdenes[[#This Row],[orden]]="","",_xlfn.XLOOKUP(tblOrdenes[[#This Row],[id_operacion]],tblEjecucion[id_operacion],tblEjecucion[precio],0))</f>
        <v/>
      </c>
      <c r="AG1173" s="10">
        <f>IF(tblOrdenes[[#This Row],[orden]]="","",MAX(0,_xlfn.XLOOKUP(tblOrdenes[[#This Row],[id_operacion]],tblEjecucion[id_operacion],tblEjecucion[costo_plan_total],0)-tblOrdenes[[#This Row],[costo_servicio]]))</f>
        <v/>
      </c>
      <c r="AH1173" s="10">
        <f>IF(tblOrdenes[[#This Row],[orden]]="","",tblOrdenes[[#This Row],[costo_servicio]]+tblOrdenes[[#This Row],[costo_materiales]])</f>
        <v/>
      </c>
      <c r="AI1173" s="6" t="n"/>
      <c r="AJ1173" s="6" t="n"/>
      <c r="AK1173" s="6" t="n"/>
      <c r="AL1173" s="3">
        <f>IF(tblOrdenes[[#This Row],[link_checklist]]="","",HYPERLINK(p_ruta_base_checklists&amp;tblOrdenes[[#This Row],[link_checklist]],"abrir"))</f>
        <v/>
      </c>
      <c r="AM1173" s="6" t="n"/>
      <c r="AN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Row],[tipo_ot]]="","",_xlfn.XLOOKUP(tblOrdenes[[#This Row],[tipo_ot]],tblTiposOT[codigo],tblTiposOT[clasificacion],"sin_clasificar"))</f>
        <v/>
      </c>
      <c r="T1174" s="3">
        <f>IF(tblOrdenes[[#This Row],[centro_costo]]="","",_xlfn.XLOOKUP(tblOrdenes[[#This Row],[centro_costo]],tblCECO[codigo],tblCECO[linea],"(sin catálogo)"))</f>
        <v/>
      </c>
      <c r="U1174" s="3">
        <f>IF(tblOrdenes[[#This Row],[centro_costo]]="","",_xlfn.XLOOKUP(tblOrdenes[[#This Row],[centro_costo]],tblCECO[codigo],tblCECO[area],"(sin catálogo)"))</f>
        <v/>
      </c>
      <c r="V1174" s="3">
        <f>IF(tblOrdenes[[#This Row],[centro_costo]]="","",_xlfn.XLOOKUP(tblOrdenes[[#This Row],[centro_costo]],tblCECO[codigo],tblCECO[coordinador],"(sin catálogo)"))</f>
        <v/>
      </c>
      <c r="W1174" s="3">
        <f>IF(tblOrdenes[[#This Row],[puesto_trabajo]]="","",_xlfn.XLOOKUP(tblOrdenes[[#This Row],[puesto_trabajo]],tblPuestos[codigo],tblPuestos[especialidad],"(sin catálogo)"))</f>
        <v/>
      </c>
      <c r="X1174" s="3">
        <f>IF(tblOrdenes[[#This Row],[cod_actividad]]="","",_xlfn.XLOOKUP(tblOrdenes[[#This Row],[cod_actividad]],tblActividades[codigo],tblActividades[descripcion],"(sin catálogo)"))</f>
        <v/>
      </c>
      <c r="Y1174" s="12">
        <f>IF(tblOrdenes[[#This Row],[fecha_inicio]]="","",TODAY()-tblOrdenes[[#This Row],[fecha_inicio]])</f>
        <v/>
      </c>
      <c r="Z1174" s="3">
        <f>IF(tblOrdenes[[#This Row],[backlog_dias]]="","",IF(tblOrdenes[[#This Row],[backlog_dias]]&lt;0,"FUTURO",IF(tblOrdenes[[#This Row],[backlog_dias]]&gt;p_dias_backlog_max,"BACKLOG","MES CORRIENTE")))</f>
        <v/>
      </c>
      <c r="AA1174" s="3">
        <f>IF(tblOrdenes[[#This Row],[backlog_dias]]="",FALSE,AND(tblOrdenes[[#This Row],[backlog_dias]]&gt;p_dias_backlog_min,tblOrdenes[[#This Row],[backlog_dias]]&lt;=p_dias_backlog_max))</f>
        <v/>
      </c>
      <c r="AB1174" s="6" t="n"/>
      <c r="AC1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4" s="10">
        <f>IF(tblOrdenes[[#This Row],[orden]]="","",_xlfn.XLOOKUP(tblOrdenes[[#This Row],[id_operacion]],tblEjecucion[id_operacion],tblEjecucion[precio],0))</f>
        <v/>
      </c>
      <c r="AG1174" s="10">
        <f>IF(tblOrdenes[[#This Row],[orden]]="","",MAX(0,_xlfn.XLOOKUP(tblOrdenes[[#This Row],[id_operacion]],tblEjecucion[id_operacion],tblEjecucion[costo_plan_total],0)-tblOrdenes[[#This Row],[costo_servicio]]))</f>
        <v/>
      </c>
      <c r="AH1174" s="10">
        <f>IF(tblOrdenes[[#This Row],[orden]]="","",tblOrdenes[[#This Row],[costo_servicio]]+tblOrdenes[[#This Row],[costo_materiales]])</f>
        <v/>
      </c>
      <c r="AI1174" s="6" t="n"/>
      <c r="AJ1174" s="6" t="n"/>
      <c r="AK1174" s="6" t="n"/>
      <c r="AL1174" s="3">
        <f>IF(tblOrdenes[[#This Row],[link_checklist]]="","",HYPERLINK(p_ruta_base_checklists&amp;tblOrdenes[[#This Row],[link_checklist]],"abrir"))</f>
        <v/>
      </c>
      <c r="AM1174" s="6" t="n"/>
      <c r="AN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Row],[tipo_ot]]="","",_xlfn.XLOOKUP(tblOrdenes[[#This Row],[tipo_ot]],tblTiposOT[codigo],tblTiposOT[clasificacion],"sin_clasificar"))</f>
        <v/>
      </c>
      <c r="T1175" s="3">
        <f>IF(tblOrdenes[[#This Row],[centro_costo]]="","",_xlfn.XLOOKUP(tblOrdenes[[#This Row],[centro_costo]],tblCECO[codigo],tblCECO[linea],"(sin catálogo)"))</f>
        <v/>
      </c>
      <c r="U1175" s="3">
        <f>IF(tblOrdenes[[#This Row],[centro_costo]]="","",_xlfn.XLOOKUP(tblOrdenes[[#This Row],[centro_costo]],tblCECO[codigo],tblCECO[area],"(sin catálogo)"))</f>
        <v/>
      </c>
      <c r="V1175" s="3">
        <f>IF(tblOrdenes[[#This Row],[centro_costo]]="","",_xlfn.XLOOKUP(tblOrdenes[[#This Row],[centro_costo]],tblCECO[codigo],tblCECO[coordinador],"(sin catálogo)"))</f>
        <v/>
      </c>
      <c r="W1175" s="3">
        <f>IF(tblOrdenes[[#This Row],[puesto_trabajo]]="","",_xlfn.XLOOKUP(tblOrdenes[[#This Row],[puesto_trabajo]],tblPuestos[codigo],tblPuestos[especialidad],"(sin catálogo)"))</f>
        <v/>
      </c>
      <c r="X1175" s="3">
        <f>IF(tblOrdenes[[#This Row],[cod_actividad]]="","",_xlfn.XLOOKUP(tblOrdenes[[#This Row],[cod_actividad]],tblActividades[codigo],tblActividades[descripcion],"(sin catálogo)"))</f>
        <v/>
      </c>
      <c r="Y1175" s="12">
        <f>IF(tblOrdenes[[#This Row],[fecha_inicio]]="","",TODAY()-tblOrdenes[[#This Row],[fecha_inicio]])</f>
        <v/>
      </c>
      <c r="Z1175" s="3">
        <f>IF(tblOrdenes[[#This Row],[backlog_dias]]="","",IF(tblOrdenes[[#This Row],[backlog_dias]]&lt;0,"FUTURO",IF(tblOrdenes[[#This Row],[backlog_dias]]&gt;p_dias_backlog_max,"BACKLOG","MES CORRIENTE")))</f>
        <v/>
      </c>
      <c r="AA1175" s="3">
        <f>IF(tblOrdenes[[#This Row],[backlog_dias]]="",FALSE,AND(tblOrdenes[[#This Row],[backlog_dias]]&gt;p_dias_backlog_min,tblOrdenes[[#This Row],[backlog_dias]]&lt;=p_dias_backlog_max))</f>
        <v/>
      </c>
      <c r="AB1175" s="6" t="n"/>
      <c r="AC1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5" s="10">
        <f>IF(tblOrdenes[[#This Row],[orden]]="","",_xlfn.XLOOKUP(tblOrdenes[[#This Row],[id_operacion]],tblEjecucion[id_operacion],tblEjecucion[precio],0))</f>
        <v/>
      </c>
      <c r="AG1175" s="10">
        <f>IF(tblOrdenes[[#This Row],[orden]]="","",MAX(0,_xlfn.XLOOKUP(tblOrdenes[[#This Row],[id_operacion]],tblEjecucion[id_operacion],tblEjecucion[costo_plan_total],0)-tblOrdenes[[#This Row],[costo_servicio]]))</f>
        <v/>
      </c>
      <c r="AH1175" s="10">
        <f>IF(tblOrdenes[[#This Row],[orden]]="","",tblOrdenes[[#This Row],[costo_servicio]]+tblOrdenes[[#This Row],[costo_materiales]])</f>
        <v/>
      </c>
      <c r="AI1175" s="6" t="n"/>
      <c r="AJ1175" s="6" t="n"/>
      <c r="AK1175" s="6" t="n"/>
      <c r="AL1175" s="3">
        <f>IF(tblOrdenes[[#This Row],[link_checklist]]="","",HYPERLINK(p_ruta_base_checklists&amp;tblOrdenes[[#This Row],[link_checklist]],"abrir"))</f>
        <v/>
      </c>
      <c r="AM1175" s="6" t="n"/>
      <c r="AN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Row],[tipo_ot]]="","",_xlfn.XLOOKUP(tblOrdenes[[#This Row],[tipo_ot]],tblTiposOT[codigo],tblTiposOT[clasificacion],"sin_clasificar"))</f>
        <v/>
      </c>
      <c r="T1176" s="3">
        <f>IF(tblOrdenes[[#This Row],[centro_costo]]="","",_xlfn.XLOOKUP(tblOrdenes[[#This Row],[centro_costo]],tblCECO[codigo],tblCECO[linea],"(sin catálogo)"))</f>
        <v/>
      </c>
      <c r="U1176" s="3">
        <f>IF(tblOrdenes[[#This Row],[centro_costo]]="","",_xlfn.XLOOKUP(tblOrdenes[[#This Row],[centro_costo]],tblCECO[codigo],tblCECO[area],"(sin catálogo)"))</f>
        <v/>
      </c>
      <c r="V1176" s="3">
        <f>IF(tblOrdenes[[#This Row],[centro_costo]]="","",_xlfn.XLOOKUP(tblOrdenes[[#This Row],[centro_costo]],tblCECO[codigo],tblCECO[coordinador],"(sin catálogo)"))</f>
        <v/>
      </c>
      <c r="W1176" s="3">
        <f>IF(tblOrdenes[[#This Row],[puesto_trabajo]]="","",_xlfn.XLOOKUP(tblOrdenes[[#This Row],[puesto_trabajo]],tblPuestos[codigo],tblPuestos[especialidad],"(sin catálogo)"))</f>
        <v/>
      </c>
      <c r="X1176" s="3">
        <f>IF(tblOrdenes[[#This Row],[cod_actividad]]="","",_xlfn.XLOOKUP(tblOrdenes[[#This Row],[cod_actividad]],tblActividades[codigo],tblActividades[descripcion],"(sin catálogo)"))</f>
        <v/>
      </c>
      <c r="Y1176" s="12">
        <f>IF(tblOrdenes[[#This Row],[fecha_inicio]]="","",TODAY()-tblOrdenes[[#This Row],[fecha_inicio]])</f>
        <v/>
      </c>
      <c r="Z1176" s="3">
        <f>IF(tblOrdenes[[#This Row],[backlog_dias]]="","",IF(tblOrdenes[[#This Row],[backlog_dias]]&lt;0,"FUTURO",IF(tblOrdenes[[#This Row],[backlog_dias]]&gt;p_dias_backlog_max,"BACKLOG","MES CORRIENTE")))</f>
        <v/>
      </c>
      <c r="AA1176" s="3">
        <f>IF(tblOrdenes[[#This Row],[backlog_dias]]="",FALSE,AND(tblOrdenes[[#This Row],[backlog_dias]]&gt;p_dias_backlog_min,tblOrdenes[[#This Row],[backlog_dias]]&lt;=p_dias_backlog_max))</f>
        <v/>
      </c>
      <c r="AB1176" s="6" t="n"/>
      <c r="AC1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6" s="10">
        <f>IF(tblOrdenes[[#This Row],[orden]]="","",_xlfn.XLOOKUP(tblOrdenes[[#This Row],[id_operacion]],tblEjecucion[id_operacion],tblEjecucion[precio],0))</f>
        <v/>
      </c>
      <c r="AG1176" s="10">
        <f>IF(tblOrdenes[[#This Row],[orden]]="","",MAX(0,_xlfn.XLOOKUP(tblOrdenes[[#This Row],[id_operacion]],tblEjecucion[id_operacion],tblEjecucion[costo_plan_total],0)-tblOrdenes[[#This Row],[costo_servicio]]))</f>
        <v/>
      </c>
      <c r="AH1176" s="10">
        <f>IF(tblOrdenes[[#This Row],[orden]]="","",tblOrdenes[[#This Row],[costo_servicio]]+tblOrdenes[[#This Row],[costo_materiales]])</f>
        <v/>
      </c>
      <c r="AI1176" s="6" t="n"/>
      <c r="AJ1176" s="6" t="n"/>
      <c r="AK1176" s="6" t="n"/>
      <c r="AL1176" s="3">
        <f>IF(tblOrdenes[[#This Row],[link_checklist]]="","",HYPERLINK(p_ruta_base_checklists&amp;tblOrdenes[[#This Row],[link_checklist]],"abrir"))</f>
        <v/>
      </c>
      <c r="AM1176" s="6" t="n"/>
      <c r="AN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Row],[tipo_ot]]="","",_xlfn.XLOOKUP(tblOrdenes[[#This Row],[tipo_ot]],tblTiposOT[codigo],tblTiposOT[clasificacion],"sin_clasificar"))</f>
        <v/>
      </c>
      <c r="T1177" s="3">
        <f>IF(tblOrdenes[[#This Row],[centro_costo]]="","",_xlfn.XLOOKUP(tblOrdenes[[#This Row],[centro_costo]],tblCECO[codigo],tblCECO[linea],"(sin catálogo)"))</f>
        <v/>
      </c>
      <c r="U1177" s="3">
        <f>IF(tblOrdenes[[#This Row],[centro_costo]]="","",_xlfn.XLOOKUP(tblOrdenes[[#This Row],[centro_costo]],tblCECO[codigo],tblCECO[area],"(sin catálogo)"))</f>
        <v/>
      </c>
      <c r="V1177" s="3">
        <f>IF(tblOrdenes[[#This Row],[centro_costo]]="","",_xlfn.XLOOKUP(tblOrdenes[[#This Row],[centro_costo]],tblCECO[codigo],tblCECO[coordinador],"(sin catálogo)"))</f>
        <v/>
      </c>
      <c r="W1177" s="3">
        <f>IF(tblOrdenes[[#This Row],[puesto_trabajo]]="","",_xlfn.XLOOKUP(tblOrdenes[[#This Row],[puesto_trabajo]],tblPuestos[codigo],tblPuestos[especialidad],"(sin catálogo)"))</f>
        <v/>
      </c>
      <c r="X1177" s="3">
        <f>IF(tblOrdenes[[#This Row],[cod_actividad]]="","",_xlfn.XLOOKUP(tblOrdenes[[#This Row],[cod_actividad]],tblActividades[codigo],tblActividades[descripcion],"(sin catálogo)"))</f>
        <v/>
      </c>
      <c r="Y1177" s="12">
        <f>IF(tblOrdenes[[#This Row],[fecha_inicio]]="","",TODAY()-tblOrdenes[[#This Row],[fecha_inicio]])</f>
        <v/>
      </c>
      <c r="Z1177" s="3">
        <f>IF(tblOrdenes[[#This Row],[backlog_dias]]="","",IF(tblOrdenes[[#This Row],[backlog_dias]]&lt;0,"FUTURO",IF(tblOrdenes[[#This Row],[backlog_dias]]&gt;p_dias_backlog_max,"BACKLOG","MES CORRIENTE")))</f>
        <v/>
      </c>
      <c r="AA1177" s="3">
        <f>IF(tblOrdenes[[#This Row],[backlog_dias]]="",FALSE,AND(tblOrdenes[[#This Row],[backlog_dias]]&gt;p_dias_backlog_min,tblOrdenes[[#This Row],[backlog_dias]]&lt;=p_dias_backlog_max))</f>
        <v/>
      </c>
      <c r="AB1177" s="6" t="n"/>
      <c r="AC1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7" s="10">
        <f>IF(tblOrdenes[[#This Row],[orden]]="","",_xlfn.XLOOKUP(tblOrdenes[[#This Row],[id_operacion]],tblEjecucion[id_operacion],tblEjecucion[precio],0))</f>
        <v/>
      </c>
      <c r="AG1177" s="10">
        <f>IF(tblOrdenes[[#This Row],[orden]]="","",MAX(0,_xlfn.XLOOKUP(tblOrdenes[[#This Row],[id_operacion]],tblEjecucion[id_operacion],tblEjecucion[costo_plan_total],0)-tblOrdenes[[#This Row],[costo_servicio]]))</f>
        <v/>
      </c>
      <c r="AH1177" s="10">
        <f>IF(tblOrdenes[[#This Row],[orden]]="","",tblOrdenes[[#This Row],[costo_servicio]]+tblOrdenes[[#This Row],[costo_materiales]])</f>
        <v/>
      </c>
      <c r="AI1177" s="6" t="n"/>
      <c r="AJ1177" s="6" t="n"/>
      <c r="AK1177" s="6" t="n"/>
      <c r="AL1177" s="3">
        <f>IF(tblOrdenes[[#This Row],[link_checklist]]="","",HYPERLINK(p_ruta_base_checklists&amp;tblOrdenes[[#This Row],[link_checklist]],"abrir"))</f>
        <v/>
      </c>
      <c r="AM1177" s="6" t="n"/>
      <c r="AN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Row],[tipo_ot]]="","",_xlfn.XLOOKUP(tblOrdenes[[#This Row],[tipo_ot]],tblTiposOT[codigo],tblTiposOT[clasificacion],"sin_clasificar"))</f>
        <v/>
      </c>
      <c r="T1178" s="3">
        <f>IF(tblOrdenes[[#This Row],[centro_costo]]="","",_xlfn.XLOOKUP(tblOrdenes[[#This Row],[centro_costo]],tblCECO[codigo],tblCECO[linea],"(sin catálogo)"))</f>
        <v/>
      </c>
      <c r="U1178" s="3">
        <f>IF(tblOrdenes[[#This Row],[centro_costo]]="","",_xlfn.XLOOKUP(tblOrdenes[[#This Row],[centro_costo]],tblCECO[codigo],tblCECO[area],"(sin catálogo)"))</f>
        <v/>
      </c>
      <c r="V1178" s="3">
        <f>IF(tblOrdenes[[#This Row],[centro_costo]]="","",_xlfn.XLOOKUP(tblOrdenes[[#This Row],[centro_costo]],tblCECO[codigo],tblCECO[coordinador],"(sin catálogo)"))</f>
        <v/>
      </c>
      <c r="W1178" s="3">
        <f>IF(tblOrdenes[[#This Row],[puesto_trabajo]]="","",_xlfn.XLOOKUP(tblOrdenes[[#This Row],[puesto_trabajo]],tblPuestos[codigo],tblPuestos[especialidad],"(sin catálogo)"))</f>
        <v/>
      </c>
      <c r="X1178" s="3">
        <f>IF(tblOrdenes[[#This Row],[cod_actividad]]="","",_xlfn.XLOOKUP(tblOrdenes[[#This Row],[cod_actividad]],tblActividades[codigo],tblActividades[descripcion],"(sin catálogo)"))</f>
        <v/>
      </c>
      <c r="Y1178" s="12">
        <f>IF(tblOrdenes[[#This Row],[fecha_inicio]]="","",TODAY()-tblOrdenes[[#This Row],[fecha_inicio]])</f>
        <v/>
      </c>
      <c r="Z1178" s="3">
        <f>IF(tblOrdenes[[#This Row],[backlog_dias]]="","",IF(tblOrdenes[[#This Row],[backlog_dias]]&lt;0,"FUTURO",IF(tblOrdenes[[#This Row],[backlog_dias]]&gt;p_dias_backlog_max,"BACKLOG","MES CORRIENTE")))</f>
        <v/>
      </c>
      <c r="AA1178" s="3">
        <f>IF(tblOrdenes[[#This Row],[backlog_dias]]="",FALSE,AND(tblOrdenes[[#This Row],[backlog_dias]]&gt;p_dias_backlog_min,tblOrdenes[[#This Row],[backlog_dias]]&lt;=p_dias_backlog_max))</f>
        <v/>
      </c>
      <c r="AB1178" s="6" t="n"/>
      <c r="AC1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8" s="10">
        <f>IF(tblOrdenes[[#This Row],[orden]]="","",_xlfn.XLOOKUP(tblOrdenes[[#This Row],[id_operacion]],tblEjecucion[id_operacion],tblEjecucion[precio],0))</f>
        <v/>
      </c>
      <c r="AG1178" s="10">
        <f>IF(tblOrdenes[[#This Row],[orden]]="","",MAX(0,_xlfn.XLOOKUP(tblOrdenes[[#This Row],[id_operacion]],tblEjecucion[id_operacion],tblEjecucion[costo_plan_total],0)-tblOrdenes[[#This Row],[costo_servicio]]))</f>
        <v/>
      </c>
      <c r="AH1178" s="10">
        <f>IF(tblOrdenes[[#This Row],[orden]]="","",tblOrdenes[[#This Row],[costo_servicio]]+tblOrdenes[[#This Row],[costo_materiales]])</f>
        <v/>
      </c>
      <c r="AI1178" s="6" t="n"/>
      <c r="AJ1178" s="6" t="n"/>
      <c r="AK1178" s="6" t="n"/>
      <c r="AL1178" s="3">
        <f>IF(tblOrdenes[[#This Row],[link_checklist]]="","",HYPERLINK(p_ruta_base_checklists&amp;tblOrdenes[[#This Row],[link_checklist]],"abrir"))</f>
        <v/>
      </c>
      <c r="AM1178" s="6" t="n"/>
      <c r="AN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Row],[tipo_ot]]="","",_xlfn.XLOOKUP(tblOrdenes[[#This Row],[tipo_ot]],tblTiposOT[codigo],tblTiposOT[clasificacion],"sin_clasificar"))</f>
        <v/>
      </c>
      <c r="T1179" s="3">
        <f>IF(tblOrdenes[[#This Row],[centro_costo]]="","",_xlfn.XLOOKUP(tblOrdenes[[#This Row],[centro_costo]],tblCECO[codigo],tblCECO[linea],"(sin catálogo)"))</f>
        <v/>
      </c>
      <c r="U1179" s="3">
        <f>IF(tblOrdenes[[#This Row],[centro_costo]]="","",_xlfn.XLOOKUP(tblOrdenes[[#This Row],[centro_costo]],tblCECO[codigo],tblCECO[area],"(sin catálogo)"))</f>
        <v/>
      </c>
      <c r="V1179" s="3">
        <f>IF(tblOrdenes[[#This Row],[centro_costo]]="","",_xlfn.XLOOKUP(tblOrdenes[[#This Row],[centro_costo]],tblCECO[codigo],tblCECO[coordinador],"(sin catálogo)"))</f>
        <v/>
      </c>
      <c r="W1179" s="3">
        <f>IF(tblOrdenes[[#This Row],[puesto_trabajo]]="","",_xlfn.XLOOKUP(tblOrdenes[[#This Row],[puesto_trabajo]],tblPuestos[codigo],tblPuestos[especialidad],"(sin catálogo)"))</f>
        <v/>
      </c>
      <c r="X1179" s="3">
        <f>IF(tblOrdenes[[#This Row],[cod_actividad]]="","",_xlfn.XLOOKUP(tblOrdenes[[#This Row],[cod_actividad]],tblActividades[codigo],tblActividades[descripcion],"(sin catálogo)"))</f>
        <v/>
      </c>
      <c r="Y1179" s="12">
        <f>IF(tblOrdenes[[#This Row],[fecha_inicio]]="","",TODAY()-tblOrdenes[[#This Row],[fecha_inicio]])</f>
        <v/>
      </c>
      <c r="Z1179" s="3">
        <f>IF(tblOrdenes[[#This Row],[backlog_dias]]="","",IF(tblOrdenes[[#This Row],[backlog_dias]]&lt;0,"FUTURO",IF(tblOrdenes[[#This Row],[backlog_dias]]&gt;p_dias_backlog_max,"BACKLOG","MES CORRIENTE")))</f>
        <v/>
      </c>
      <c r="AA1179" s="3">
        <f>IF(tblOrdenes[[#This Row],[backlog_dias]]="",FALSE,AND(tblOrdenes[[#This Row],[backlog_dias]]&gt;p_dias_backlog_min,tblOrdenes[[#This Row],[backlog_dias]]&lt;=p_dias_backlog_max))</f>
        <v/>
      </c>
      <c r="AB1179" s="6" t="n"/>
      <c r="AC1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9" s="10">
        <f>IF(tblOrdenes[[#This Row],[orden]]="","",_xlfn.XLOOKUP(tblOrdenes[[#This Row],[id_operacion]],tblEjecucion[id_operacion],tblEjecucion[precio],0))</f>
        <v/>
      </c>
      <c r="AG1179" s="10">
        <f>IF(tblOrdenes[[#This Row],[orden]]="","",MAX(0,_xlfn.XLOOKUP(tblOrdenes[[#This Row],[id_operacion]],tblEjecucion[id_operacion],tblEjecucion[costo_plan_total],0)-tblOrdenes[[#This Row],[costo_servicio]]))</f>
        <v/>
      </c>
      <c r="AH1179" s="10">
        <f>IF(tblOrdenes[[#This Row],[orden]]="","",tblOrdenes[[#This Row],[costo_servicio]]+tblOrdenes[[#This Row],[costo_materiales]])</f>
        <v/>
      </c>
      <c r="AI1179" s="6" t="n"/>
      <c r="AJ1179" s="6" t="n"/>
      <c r="AK1179" s="6" t="n"/>
      <c r="AL1179" s="3">
        <f>IF(tblOrdenes[[#This Row],[link_checklist]]="","",HYPERLINK(p_ruta_base_checklists&amp;tblOrdenes[[#This Row],[link_checklist]],"abrir"))</f>
        <v/>
      </c>
      <c r="AM1179" s="6" t="n"/>
      <c r="AN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Row],[tipo_ot]]="","",_xlfn.XLOOKUP(tblOrdenes[[#This Row],[tipo_ot]],tblTiposOT[codigo],tblTiposOT[clasificacion],"sin_clasificar"))</f>
        <v/>
      </c>
      <c r="T1180" s="3">
        <f>IF(tblOrdenes[[#This Row],[centro_costo]]="","",_xlfn.XLOOKUP(tblOrdenes[[#This Row],[centro_costo]],tblCECO[codigo],tblCECO[linea],"(sin catálogo)"))</f>
        <v/>
      </c>
      <c r="U1180" s="3">
        <f>IF(tblOrdenes[[#This Row],[centro_costo]]="","",_xlfn.XLOOKUP(tblOrdenes[[#This Row],[centro_costo]],tblCECO[codigo],tblCECO[area],"(sin catálogo)"))</f>
        <v/>
      </c>
      <c r="V1180" s="3">
        <f>IF(tblOrdenes[[#This Row],[centro_costo]]="","",_xlfn.XLOOKUP(tblOrdenes[[#This Row],[centro_costo]],tblCECO[codigo],tblCECO[coordinador],"(sin catálogo)"))</f>
        <v/>
      </c>
      <c r="W1180" s="3">
        <f>IF(tblOrdenes[[#This Row],[puesto_trabajo]]="","",_xlfn.XLOOKUP(tblOrdenes[[#This Row],[puesto_trabajo]],tblPuestos[codigo],tblPuestos[especialidad],"(sin catálogo)"))</f>
        <v/>
      </c>
      <c r="X1180" s="3">
        <f>IF(tblOrdenes[[#This Row],[cod_actividad]]="","",_xlfn.XLOOKUP(tblOrdenes[[#This Row],[cod_actividad]],tblActividades[codigo],tblActividades[descripcion],"(sin catálogo)"))</f>
        <v/>
      </c>
      <c r="Y1180" s="12">
        <f>IF(tblOrdenes[[#This Row],[fecha_inicio]]="","",TODAY()-tblOrdenes[[#This Row],[fecha_inicio]])</f>
        <v/>
      </c>
      <c r="Z1180" s="3">
        <f>IF(tblOrdenes[[#This Row],[backlog_dias]]="","",IF(tblOrdenes[[#This Row],[backlog_dias]]&lt;0,"FUTURO",IF(tblOrdenes[[#This Row],[backlog_dias]]&gt;p_dias_backlog_max,"BACKLOG","MES CORRIENTE")))</f>
        <v/>
      </c>
      <c r="AA1180" s="3">
        <f>IF(tblOrdenes[[#This Row],[backlog_dias]]="",FALSE,AND(tblOrdenes[[#This Row],[backlog_dias]]&gt;p_dias_backlog_min,tblOrdenes[[#This Row],[backlog_dias]]&lt;=p_dias_backlog_max))</f>
        <v/>
      </c>
      <c r="AB1180" s="6" t="n"/>
      <c r="AC1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0" s="10">
        <f>IF(tblOrdenes[[#This Row],[orden]]="","",_xlfn.XLOOKUP(tblOrdenes[[#This Row],[id_operacion]],tblEjecucion[id_operacion],tblEjecucion[precio],0))</f>
        <v/>
      </c>
      <c r="AG1180" s="10">
        <f>IF(tblOrdenes[[#This Row],[orden]]="","",MAX(0,_xlfn.XLOOKUP(tblOrdenes[[#This Row],[id_operacion]],tblEjecucion[id_operacion],tblEjecucion[costo_plan_total],0)-tblOrdenes[[#This Row],[costo_servicio]]))</f>
        <v/>
      </c>
      <c r="AH1180" s="10">
        <f>IF(tblOrdenes[[#This Row],[orden]]="","",tblOrdenes[[#This Row],[costo_servicio]]+tblOrdenes[[#This Row],[costo_materiales]])</f>
        <v/>
      </c>
      <c r="AI1180" s="6" t="n"/>
      <c r="AJ1180" s="6" t="n"/>
      <c r="AK1180" s="6" t="n"/>
      <c r="AL1180" s="3">
        <f>IF(tblOrdenes[[#This Row],[link_checklist]]="","",HYPERLINK(p_ruta_base_checklists&amp;tblOrdenes[[#This Row],[link_checklist]],"abrir"))</f>
        <v/>
      </c>
      <c r="AM1180" s="6" t="n"/>
      <c r="AN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Row],[tipo_ot]]="","",_xlfn.XLOOKUP(tblOrdenes[[#This Row],[tipo_ot]],tblTiposOT[codigo],tblTiposOT[clasificacion],"sin_clasificar"))</f>
        <v/>
      </c>
      <c r="T1181" s="3">
        <f>IF(tblOrdenes[[#This Row],[centro_costo]]="","",_xlfn.XLOOKUP(tblOrdenes[[#This Row],[centro_costo]],tblCECO[codigo],tblCECO[linea],"(sin catálogo)"))</f>
        <v/>
      </c>
      <c r="U1181" s="3">
        <f>IF(tblOrdenes[[#This Row],[centro_costo]]="","",_xlfn.XLOOKUP(tblOrdenes[[#This Row],[centro_costo]],tblCECO[codigo],tblCECO[area],"(sin catálogo)"))</f>
        <v/>
      </c>
      <c r="V1181" s="3">
        <f>IF(tblOrdenes[[#This Row],[centro_costo]]="","",_xlfn.XLOOKUP(tblOrdenes[[#This Row],[centro_costo]],tblCECO[codigo],tblCECO[coordinador],"(sin catálogo)"))</f>
        <v/>
      </c>
      <c r="W1181" s="3">
        <f>IF(tblOrdenes[[#This Row],[puesto_trabajo]]="","",_xlfn.XLOOKUP(tblOrdenes[[#This Row],[puesto_trabajo]],tblPuestos[codigo],tblPuestos[especialidad],"(sin catálogo)"))</f>
        <v/>
      </c>
      <c r="X1181" s="3">
        <f>IF(tblOrdenes[[#This Row],[cod_actividad]]="","",_xlfn.XLOOKUP(tblOrdenes[[#This Row],[cod_actividad]],tblActividades[codigo],tblActividades[descripcion],"(sin catálogo)"))</f>
        <v/>
      </c>
      <c r="Y1181" s="12">
        <f>IF(tblOrdenes[[#This Row],[fecha_inicio]]="","",TODAY()-tblOrdenes[[#This Row],[fecha_inicio]])</f>
        <v/>
      </c>
      <c r="Z1181" s="3">
        <f>IF(tblOrdenes[[#This Row],[backlog_dias]]="","",IF(tblOrdenes[[#This Row],[backlog_dias]]&lt;0,"FUTURO",IF(tblOrdenes[[#This Row],[backlog_dias]]&gt;p_dias_backlog_max,"BACKLOG","MES CORRIENTE")))</f>
        <v/>
      </c>
      <c r="AA1181" s="3">
        <f>IF(tblOrdenes[[#This Row],[backlog_dias]]="",FALSE,AND(tblOrdenes[[#This Row],[backlog_dias]]&gt;p_dias_backlog_min,tblOrdenes[[#This Row],[backlog_dias]]&lt;=p_dias_backlog_max))</f>
        <v/>
      </c>
      <c r="AB1181" s="6" t="n"/>
      <c r="AC1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1" s="10">
        <f>IF(tblOrdenes[[#This Row],[orden]]="","",_xlfn.XLOOKUP(tblOrdenes[[#This Row],[id_operacion]],tblEjecucion[id_operacion],tblEjecucion[precio],0))</f>
        <v/>
      </c>
      <c r="AG1181" s="10">
        <f>IF(tblOrdenes[[#This Row],[orden]]="","",MAX(0,_xlfn.XLOOKUP(tblOrdenes[[#This Row],[id_operacion]],tblEjecucion[id_operacion],tblEjecucion[costo_plan_total],0)-tblOrdenes[[#This Row],[costo_servicio]]))</f>
        <v/>
      </c>
      <c r="AH1181" s="10">
        <f>IF(tblOrdenes[[#This Row],[orden]]="","",tblOrdenes[[#This Row],[costo_servicio]]+tblOrdenes[[#This Row],[costo_materiales]])</f>
        <v/>
      </c>
      <c r="AI1181" s="6" t="n"/>
      <c r="AJ1181" s="6" t="n"/>
      <c r="AK1181" s="6" t="n"/>
      <c r="AL1181" s="3">
        <f>IF(tblOrdenes[[#This Row],[link_checklist]]="","",HYPERLINK(p_ruta_base_checklists&amp;tblOrdenes[[#This Row],[link_checklist]],"abrir"))</f>
        <v/>
      </c>
      <c r="AM1181" s="6" t="n"/>
      <c r="AN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Row],[tipo_ot]]="","",_xlfn.XLOOKUP(tblOrdenes[[#This Row],[tipo_ot]],tblTiposOT[codigo],tblTiposOT[clasificacion],"sin_clasificar"))</f>
        <v/>
      </c>
      <c r="T1182" s="3">
        <f>IF(tblOrdenes[[#This Row],[centro_costo]]="","",_xlfn.XLOOKUP(tblOrdenes[[#This Row],[centro_costo]],tblCECO[codigo],tblCECO[linea],"(sin catálogo)"))</f>
        <v/>
      </c>
      <c r="U1182" s="3">
        <f>IF(tblOrdenes[[#This Row],[centro_costo]]="","",_xlfn.XLOOKUP(tblOrdenes[[#This Row],[centro_costo]],tblCECO[codigo],tblCECO[area],"(sin catálogo)"))</f>
        <v/>
      </c>
      <c r="V1182" s="3">
        <f>IF(tblOrdenes[[#This Row],[centro_costo]]="","",_xlfn.XLOOKUP(tblOrdenes[[#This Row],[centro_costo]],tblCECO[codigo],tblCECO[coordinador],"(sin catálogo)"))</f>
        <v/>
      </c>
      <c r="W1182" s="3">
        <f>IF(tblOrdenes[[#This Row],[puesto_trabajo]]="","",_xlfn.XLOOKUP(tblOrdenes[[#This Row],[puesto_trabajo]],tblPuestos[codigo],tblPuestos[especialidad],"(sin catálogo)"))</f>
        <v/>
      </c>
      <c r="X1182" s="3">
        <f>IF(tblOrdenes[[#This Row],[cod_actividad]]="","",_xlfn.XLOOKUP(tblOrdenes[[#This Row],[cod_actividad]],tblActividades[codigo],tblActividades[descripcion],"(sin catálogo)"))</f>
        <v/>
      </c>
      <c r="Y1182" s="12">
        <f>IF(tblOrdenes[[#This Row],[fecha_inicio]]="","",TODAY()-tblOrdenes[[#This Row],[fecha_inicio]])</f>
        <v/>
      </c>
      <c r="Z1182" s="3">
        <f>IF(tblOrdenes[[#This Row],[backlog_dias]]="","",IF(tblOrdenes[[#This Row],[backlog_dias]]&lt;0,"FUTURO",IF(tblOrdenes[[#This Row],[backlog_dias]]&gt;p_dias_backlog_max,"BACKLOG","MES CORRIENTE")))</f>
        <v/>
      </c>
      <c r="AA1182" s="3">
        <f>IF(tblOrdenes[[#This Row],[backlog_dias]]="",FALSE,AND(tblOrdenes[[#This Row],[backlog_dias]]&gt;p_dias_backlog_min,tblOrdenes[[#This Row],[backlog_dias]]&lt;=p_dias_backlog_max))</f>
        <v/>
      </c>
      <c r="AB1182" s="6" t="n"/>
      <c r="AC1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2" s="10">
        <f>IF(tblOrdenes[[#This Row],[orden]]="","",_xlfn.XLOOKUP(tblOrdenes[[#This Row],[id_operacion]],tblEjecucion[id_operacion],tblEjecucion[precio],0))</f>
        <v/>
      </c>
      <c r="AG1182" s="10">
        <f>IF(tblOrdenes[[#This Row],[orden]]="","",MAX(0,_xlfn.XLOOKUP(tblOrdenes[[#This Row],[id_operacion]],tblEjecucion[id_operacion],tblEjecucion[costo_plan_total],0)-tblOrdenes[[#This Row],[costo_servicio]]))</f>
        <v/>
      </c>
      <c r="AH1182" s="10">
        <f>IF(tblOrdenes[[#This Row],[orden]]="","",tblOrdenes[[#This Row],[costo_servicio]]+tblOrdenes[[#This Row],[costo_materiales]])</f>
        <v/>
      </c>
      <c r="AI1182" s="6" t="n"/>
      <c r="AJ1182" s="6" t="n"/>
      <c r="AK1182" s="6" t="n"/>
      <c r="AL1182" s="3">
        <f>IF(tblOrdenes[[#This Row],[link_checklist]]="","",HYPERLINK(p_ruta_base_checklists&amp;tblOrdenes[[#This Row],[link_checklist]],"abrir"))</f>
        <v/>
      </c>
      <c r="AM1182" s="6" t="n"/>
      <c r="AN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Row],[tipo_ot]]="","",_xlfn.XLOOKUP(tblOrdenes[[#This Row],[tipo_ot]],tblTiposOT[codigo],tblTiposOT[clasificacion],"sin_clasificar"))</f>
        <v/>
      </c>
      <c r="T1183" s="3">
        <f>IF(tblOrdenes[[#This Row],[centro_costo]]="","",_xlfn.XLOOKUP(tblOrdenes[[#This Row],[centro_costo]],tblCECO[codigo],tblCECO[linea],"(sin catálogo)"))</f>
        <v/>
      </c>
      <c r="U1183" s="3">
        <f>IF(tblOrdenes[[#This Row],[centro_costo]]="","",_xlfn.XLOOKUP(tblOrdenes[[#This Row],[centro_costo]],tblCECO[codigo],tblCECO[area],"(sin catálogo)"))</f>
        <v/>
      </c>
      <c r="V1183" s="3">
        <f>IF(tblOrdenes[[#This Row],[centro_costo]]="","",_xlfn.XLOOKUP(tblOrdenes[[#This Row],[centro_costo]],tblCECO[codigo],tblCECO[coordinador],"(sin catálogo)"))</f>
        <v/>
      </c>
      <c r="W1183" s="3">
        <f>IF(tblOrdenes[[#This Row],[puesto_trabajo]]="","",_xlfn.XLOOKUP(tblOrdenes[[#This Row],[puesto_trabajo]],tblPuestos[codigo],tblPuestos[especialidad],"(sin catálogo)"))</f>
        <v/>
      </c>
      <c r="X1183" s="3">
        <f>IF(tblOrdenes[[#This Row],[cod_actividad]]="","",_xlfn.XLOOKUP(tblOrdenes[[#This Row],[cod_actividad]],tblActividades[codigo],tblActividades[descripcion],"(sin catálogo)"))</f>
        <v/>
      </c>
      <c r="Y1183" s="12">
        <f>IF(tblOrdenes[[#This Row],[fecha_inicio]]="","",TODAY()-tblOrdenes[[#This Row],[fecha_inicio]])</f>
        <v/>
      </c>
      <c r="Z1183" s="3">
        <f>IF(tblOrdenes[[#This Row],[backlog_dias]]="","",IF(tblOrdenes[[#This Row],[backlog_dias]]&lt;0,"FUTURO",IF(tblOrdenes[[#This Row],[backlog_dias]]&gt;p_dias_backlog_max,"BACKLOG","MES CORRIENTE")))</f>
        <v/>
      </c>
      <c r="AA1183" s="3">
        <f>IF(tblOrdenes[[#This Row],[backlog_dias]]="",FALSE,AND(tblOrdenes[[#This Row],[backlog_dias]]&gt;p_dias_backlog_min,tblOrdenes[[#This Row],[backlog_dias]]&lt;=p_dias_backlog_max))</f>
        <v/>
      </c>
      <c r="AB1183" s="6" t="n"/>
      <c r="AC1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3" s="10">
        <f>IF(tblOrdenes[[#This Row],[orden]]="","",_xlfn.XLOOKUP(tblOrdenes[[#This Row],[id_operacion]],tblEjecucion[id_operacion],tblEjecucion[precio],0))</f>
        <v/>
      </c>
      <c r="AG1183" s="10">
        <f>IF(tblOrdenes[[#This Row],[orden]]="","",MAX(0,_xlfn.XLOOKUP(tblOrdenes[[#This Row],[id_operacion]],tblEjecucion[id_operacion],tblEjecucion[costo_plan_total],0)-tblOrdenes[[#This Row],[costo_servicio]]))</f>
        <v/>
      </c>
      <c r="AH1183" s="10">
        <f>IF(tblOrdenes[[#This Row],[orden]]="","",tblOrdenes[[#This Row],[costo_servicio]]+tblOrdenes[[#This Row],[costo_materiales]])</f>
        <v/>
      </c>
      <c r="AI1183" s="6" t="n"/>
      <c r="AJ1183" s="6" t="n"/>
      <c r="AK1183" s="6" t="n"/>
      <c r="AL1183" s="3">
        <f>IF(tblOrdenes[[#This Row],[link_checklist]]="","",HYPERLINK(p_ruta_base_checklists&amp;tblOrdenes[[#This Row],[link_checklist]],"abrir"))</f>
        <v/>
      </c>
      <c r="AM1183" s="6" t="n"/>
      <c r="AN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Row],[tipo_ot]]="","",_xlfn.XLOOKUP(tblOrdenes[[#This Row],[tipo_ot]],tblTiposOT[codigo],tblTiposOT[clasificacion],"sin_clasificar"))</f>
        <v/>
      </c>
      <c r="T1184" s="3">
        <f>IF(tblOrdenes[[#This Row],[centro_costo]]="","",_xlfn.XLOOKUP(tblOrdenes[[#This Row],[centro_costo]],tblCECO[codigo],tblCECO[linea],"(sin catálogo)"))</f>
        <v/>
      </c>
      <c r="U1184" s="3">
        <f>IF(tblOrdenes[[#This Row],[centro_costo]]="","",_xlfn.XLOOKUP(tblOrdenes[[#This Row],[centro_costo]],tblCECO[codigo],tblCECO[area],"(sin catálogo)"))</f>
        <v/>
      </c>
      <c r="V1184" s="3">
        <f>IF(tblOrdenes[[#This Row],[centro_costo]]="","",_xlfn.XLOOKUP(tblOrdenes[[#This Row],[centro_costo]],tblCECO[codigo],tblCECO[coordinador],"(sin catálogo)"))</f>
        <v/>
      </c>
      <c r="W1184" s="3">
        <f>IF(tblOrdenes[[#This Row],[puesto_trabajo]]="","",_xlfn.XLOOKUP(tblOrdenes[[#This Row],[puesto_trabajo]],tblPuestos[codigo],tblPuestos[especialidad],"(sin catálogo)"))</f>
        <v/>
      </c>
      <c r="X1184" s="3">
        <f>IF(tblOrdenes[[#This Row],[cod_actividad]]="","",_xlfn.XLOOKUP(tblOrdenes[[#This Row],[cod_actividad]],tblActividades[codigo],tblActividades[descripcion],"(sin catálogo)"))</f>
        <v/>
      </c>
      <c r="Y1184" s="12">
        <f>IF(tblOrdenes[[#This Row],[fecha_inicio]]="","",TODAY()-tblOrdenes[[#This Row],[fecha_inicio]])</f>
        <v/>
      </c>
      <c r="Z1184" s="3">
        <f>IF(tblOrdenes[[#This Row],[backlog_dias]]="","",IF(tblOrdenes[[#This Row],[backlog_dias]]&lt;0,"FUTURO",IF(tblOrdenes[[#This Row],[backlog_dias]]&gt;p_dias_backlog_max,"BACKLOG","MES CORRIENTE")))</f>
        <v/>
      </c>
      <c r="AA1184" s="3">
        <f>IF(tblOrdenes[[#This Row],[backlog_dias]]="",FALSE,AND(tblOrdenes[[#This Row],[backlog_dias]]&gt;p_dias_backlog_min,tblOrdenes[[#This Row],[backlog_dias]]&lt;=p_dias_backlog_max))</f>
        <v/>
      </c>
      <c r="AB1184" s="6" t="n"/>
      <c r="AC1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4" s="10">
        <f>IF(tblOrdenes[[#This Row],[orden]]="","",_xlfn.XLOOKUP(tblOrdenes[[#This Row],[id_operacion]],tblEjecucion[id_operacion],tblEjecucion[precio],0))</f>
        <v/>
      </c>
      <c r="AG1184" s="10">
        <f>IF(tblOrdenes[[#This Row],[orden]]="","",MAX(0,_xlfn.XLOOKUP(tblOrdenes[[#This Row],[id_operacion]],tblEjecucion[id_operacion],tblEjecucion[costo_plan_total],0)-tblOrdenes[[#This Row],[costo_servicio]]))</f>
        <v/>
      </c>
      <c r="AH1184" s="10">
        <f>IF(tblOrdenes[[#This Row],[orden]]="","",tblOrdenes[[#This Row],[costo_servicio]]+tblOrdenes[[#This Row],[costo_materiales]])</f>
        <v/>
      </c>
      <c r="AI1184" s="6" t="n"/>
      <c r="AJ1184" s="6" t="n"/>
      <c r="AK1184" s="6" t="n"/>
      <c r="AL1184" s="3">
        <f>IF(tblOrdenes[[#This Row],[link_checklist]]="","",HYPERLINK(p_ruta_base_checklists&amp;tblOrdenes[[#This Row],[link_checklist]],"abrir"))</f>
        <v/>
      </c>
      <c r="AM1184" s="6" t="n"/>
      <c r="AN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Row],[tipo_ot]]="","",_xlfn.XLOOKUP(tblOrdenes[[#This Row],[tipo_ot]],tblTiposOT[codigo],tblTiposOT[clasificacion],"sin_clasificar"))</f>
        <v/>
      </c>
      <c r="T1185" s="3">
        <f>IF(tblOrdenes[[#This Row],[centro_costo]]="","",_xlfn.XLOOKUP(tblOrdenes[[#This Row],[centro_costo]],tblCECO[codigo],tblCECO[linea],"(sin catálogo)"))</f>
        <v/>
      </c>
      <c r="U1185" s="3">
        <f>IF(tblOrdenes[[#This Row],[centro_costo]]="","",_xlfn.XLOOKUP(tblOrdenes[[#This Row],[centro_costo]],tblCECO[codigo],tblCECO[area],"(sin catálogo)"))</f>
        <v/>
      </c>
      <c r="V1185" s="3">
        <f>IF(tblOrdenes[[#This Row],[centro_costo]]="","",_xlfn.XLOOKUP(tblOrdenes[[#This Row],[centro_costo]],tblCECO[codigo],tblCECO[coordinador],"(sin catálogo)"))</f>
        <v/>
      </c>
      <c r="W1185" s="3">
        <f>IF(tblOrdenes[[#This Row],[puesto_trabajo]]="","",_xlfn.XLOOKUP(tblOrdenes[[#This Row],[puesto_trabajo]],tblPuestos[codigo],tblPuestos[especialidad],"(sin catálogo)"))</f>
        <v/>
      </c>
      <c r="X1185" s="3">
        <f>IF(tblOrdenes[[#This Row],[cod_actividad]]="","",_xlfn.XLOOKUP(tblOrdenes[[#This Row],[cod_actividad]],tblActividades[codigo],tblActividades[descripcion],"(sin catálogo)"))</f>
        <v/>
      </c>
      <c r="Y1185" s="12">
        <f>IF(tblOrdenes[[#This Row],[fecha_inicio]]="","",TODAY()-tblOrdenes[[#This Row],[fecha_inicio]])</f>
        <v/>
      </c>
      <c r="Z1185" s="3">
        <f>IF(tblOrdenes[[#This Row],[backlog_dias]]="","",IF(tblOrdenes[[#This Row],[backlog_dias]]&lt;0,"FUTURO",IF(tblOrdenes[[#This Row],[backlog_dias]]&gt;p_dias_backlog_max,"BACKLOG","MES CORRIENTE")))</f>
        <v/>
      </c>
      <c r="AA1185" s="3">
        <f>IF(tblOrdenes[[#This Row],[backlog_dias]]="",FALSE,AND(tblOrdenes[[#This Row],[backlog_dias]]&gt;p_dias_backlog_min,tblOrdenes[[#This Row],[backlog_dias]]&lt;=p_dias_backlog_max))</f>
        <v/>
      </c>
      <c r="AB1185" s="6" t="n"/>
      <c r="AC1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5" s="10">
        <f>IF(tblOrdenes[[#This Row],[orden]]="","",_xlfn.XLOOKUP(tblOrdenes[[#This Row],[id_operacion]],tblEjecucion[id_operacion],tblEjecucion[precio],0))</f>
        <v/>
      </c>
      <c r="AG1185" s="10">
        <f>IF(tblOrdenes[[#This Row],[orden]]="","",MAX(0,_xlfn.XLOOKUP(tblOrdenes[[#This Row],[id_operacion]],tblEjecucion[id_operacion],tblEjecucion[costo_plan_total],0)-tblOrdenes[[#This Row],[costo_servicio]]))</f>
        <v/>
      </c>
      <c r="AH1185" s="10">
        <f>IF(tblOrdenes[[#This Row],[orden]]="","",tblOrdenes[[#This Row],[costo_servicio]]+tblOrdenes[[#This Row],[costo_materiales]])</f>
        <v/>
      </c>
      <c r="AI1185" s="6" t="n"/>
      <c r="AJ1185" s="6" t="n"/>
      <c r="AK1185" s="6" t="n"/>
      <c r="AL1185" s="3">
        <f>IF(tblOrdenes[[#This Row],[link_checklist]]="","",HYPERLINK(p_ruta_base_checklists&amp;tblOrdenes[[#This Row],[link_checklist]],"abrir"))</f>
        <v/>
      </c>
      <c r="AM1185" s="6" t="n"/>
      <c r="AN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Row],[tipo_ot]]="","",_xlfn.XLOOKUP(tblOrdenes[[#This Row],[tipo_ot]],tblTiposOT[codigo],tblTiposOT[clasificacion],"sin_clasificar"))</f>
        <v/>
      </c>
      <c r="T1186" s="3">
        <f>IF(tblOrdenes[[#This Row],[centro_costo]]="","",_xlfn.XLOOKUP(tblOrdenes[[#This Row],[centro_costo]],tblCECO[codigo],tblCECO[linea],"(sin catálogo)"))</f>
        <v/>
      </c>
      <c r="U1186" s="3">
        <f>IF(tblOrdenes[[#This Row],[centro_costo]]="","",_xlfn.XLOOKUP(tblOrdenes[[#This Row],[centro_costo]],tblCECO[codigo],tblCECO[area],"(sin catálogo)"))</f>
        <v/>
      </c>
      <c r="V1186" s="3">
        <f>IF(tblOrdenes[[#This Row],[centro_costo]]="","",_xlfn.XLOOKUP(tblOrdenes[[#This Row],[centro_costo]],tblCECO[codigo],tblCECO[coordinador],"(sin catálogo)"))</f>
        <v/>
      </c>
      <c r="W1186" s="3">
        <f>IF(tblOrdenes[[#This Row],[puesto_trabajo]]="","",_xlfn.XLOOKUP(tblOrdenes[[#This Row],[puesto_trabajo]],tblPuestos[codigo],tblPuestos[especialidad],"(sin catálogo)"))</f>
        <v/>
      </c>
      <c r="X1186" s="3">
        <f>IF(tblOrdenes[[#This Row],[cod_actividad]]="","",_xlfn.XLOOKUP(tblOrdenes[[#This Row],[cod_actividad]],tblActividades[codigo],tblActividades[descripcion],"(sin catálogo)"))</f>
        <v/>
      </c>
      <c r="Y1186" s="12">
        <f>IF(tblOrdenes[[#This Row],[fecha_inicio]]="","",TODAY()-tblOrdenes[[#This Row],[fecha_inicio]])</f>
        <v/>
      </c>
      <c r="Z1186" s="3">
        <f>IF(tblOrdenes[[#This Row],[backlog_dias]]="","",IF(tblOrdenes[[#This Row],[backlog_dias]]&lt;0,"FUTURO",IF(tblOrdenes[[#This Row],[backlog_dias]]&gt;p_dias_backlog_max,"BACKLOG","MES CORRIENTE")))</f>
        <v/>
      </c>
      <c r="AA1186" s="3">
        <f>IF(tblOrdenes[[#This Row],[backlog_dias]]="",FALSE,AND(tblOrdenes[[#This Row],[backlog_dias]]&gt;p_dias_backlog_min,tblOrdenes[[#This Row],[backlog_dias]]&lt;=p_dias_backlog_max))</f>
        <v/>
      </c>
      <c r="AB1186" s="6" t="n"/>
      <c r="AC1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6" s="10">
        <f>IF(tblOrdenes[[#This Row],[orden]]="","",_xlfn.XLOOKUP(tblOrdenes[[#This Row],[id_operacion]],tblEjecucion[id_operacion],tblEjecucion[precio],0))</f>
        <v/>
      </c>
      <c r="AG1186" s="10">
        <f>IF(tblOrdenes[[#This Row],[orden]]="","",MAX(0,_xlfn.XLOOKUP(tblOrdenes[[#This Row],[id_operacion]],tblEjecucion[id_operacion],tblEjecucion[costo_plan_total],0)-tblOrdenes[[#This Row],[costo_servicio]]))</f>
        <v/>
      </c>
      <c r="AH1186" s="10">
        <f>IF(tblOrdenes[[#This Row],[orden]]="","",tblOrdenes[[#This Row],[costo_servicio]]+tblOrdenes[[#This Row],[costo_materiales]])</f>
        <v/>
      </c>
      <c r="AI1186" s="6" t="n"/>
      <c r="AJ1186" s="6" t="n"/>
      <c r="AK1186" s="6" t="n"/>
      <c r="AL1186" s="3">
        <f>IF(tblOrdenes[[#This Row],[link_checklist]]="","",HYPERLINK(p_ruta_base_checklists&amp;tblOrdenes[[#This Row],[link_checklist]],"abrir"))</f>
        <v/>
      </c>
      <c r="AM1186" s="6" t="n"/>
      <c r="AN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Row],[tipo_ot]]="","",_xlfn.XLOOKUP(tblOrdenes[[#This Row],[tipo_ot]],tblTiposOT[codigo],tblTiposOT[clasificacion],"sin_clasificar"))</f>
        <v/>
      </c>
      <c r="T1187" s="3">
        <f>IF(tblOrdenes[[#This Row],[centro_costo]]="","",_xlfn.XLOOKUP(tblOrdenes[[#This Row],[centro_costo]],tblCECO[codigo],tblCECO[linea],"(sin catálogo)"))</f>
        <v/>
      </c>
      <c r="U1187" s="3">
        <f>IF(tblOrdenes[[#This Row],[centro_costo]]="","",_xlfn.XLOOKUP(tblOrdenes[[#This Row],[centro_costo]],tblCECO[codigo],tblCECO[area],"(sin catálogo)"))</f>
        <v/>
      </c>
      <c r="V1187" s="3">
        <f>IF(tblOrdenes[[#This Row],[centro_costo]]="","",_xlfn.XLOOKUP(tblOrdenes[[#This Row],[centro_costo]],tblCECO[codigo],tblCECO[coordinador],"(sin catálogo)"))</f>
        <v/>
      </c>
      <c r="W1187" s="3">
        <f>IF(tblOrdenes[[#This Row],[puesto_trabajo]]="","",_xlfn.XLOOKUP(tblOrdenes[[#This Row],[puesto_trabajo]],tblPuestos[codigo],tblPuestos[especialidad],"(sin catálogo)"))</f>
        <v/>
      </c>
      <c r="X1187" s="3">
        <f>IF(tblOrdenes[[#This Row],[cod_actividad]]="","",_xlfn.XLOOKUP(tblOrdenes[[#This Row],[cod_actividad]],tblActividades[codigo],tblActividades[descripcion],"(sin catálogo)"))</f>
        <v/>
      </c>
      <c r="Y1187" s="12">
        <f>IF(tblOrdenes[[#This Row],[fecha_inicio]]="","",TODAY()-tblOrdenes[[#This Row],[fecha_inicio]])</f>
        <v/>
      </c>
      <c r="Z1187" s="3">
        <f>IF(tblOrdenes[[#This Row],[backlog_dias]]="","",IF(tblOrdenes[[#This Row],[backlog_dias]]&lt;0,"FUTURO",IF(tblOrdenes[[#This Row],[backlog_dias]]&gt;p_dias_backlog_max,"BACKLOG","MES CORRIENTE")))</f>
        <v/>
      </c>
      <c r="AA1187" s="3">
        <f>IF(tblOrdenes[[#This Row],[backlog_dias]]="",FALSE,AND(tblOrdenes[[#This Row],[backlog_dias]]&gt;p_dias_backlog_min,tblOrdenes[[#This Row],[backlog_dias]]&lt;=p_dias_backlog_max))</f>
        <v/>
      </c>
      <c r="AB1187" s="6" t="n"/>
      <c r="AC1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7" s="10">
        <f>IF(tblOrdenes[[#This Row],[orden]]="","",_xlfn.XLOOKUP(tblOrdenes[[#This Row],[id_operacion]],tblEjecucion[id_operacion],tblEjecucion[precio],0))</f>
        <v/>
      </c>
      <c r="AG1187" s="10">
        <f>IF(tblOrdenes[[#This Row],[orden]]="","",MAX(0,_xlfn.XLOOKUP(tblOrdenes[[#This Row],[id_operacion]],tblEjecucion[id_operacion],tblEjecucion[costo_plan_total],0)-tblOrdenes[[#This Row],[costo_servicio]]))</f>
        <v/>
      </c>
      <c r="AH1187" s="10">
        <f>IF(tblOrdenes[[#This Row],[orden]]="","",tblOrdenes[[#This Row],[costo_servicio]]+tblOrdenes[[#This Row],[costo_materiales]])</f>
        <v/>
      </c>
      <c r="AI1187" s="6" t="n"/>
      <c r="AJ1187" s="6" t="n"/>
      <c r="AK1187" s="6" t="n"/>
      <c r="AL1187" s="3">
        <f>IF(tblOrdenes[[#This Row],[link_checklist]]="","",HYPERLINK(p_ruta_base_checklists&amp;tblOrdenes[[#This Row],[link_checklist]],"abrir"))</f>
        <v/>
      </c>
      <c r="AM1187" s="6" t="n"/>
      <c r="AN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Row],[tipo_ot]]="","",_xlfn.XLOOKUP(tblOrdenes[[#This Row],[tipo_ot]],tblTiposOT[codigo],tblTiposOT[clasificacion],"sin_clasificar"))</f>
        <v/>
      </c>
      <c r="T1188" s="3">
        <f>IF(tblOrdenes[[#This Row],[centro_costo]]="","",_xlfn.XLOOKUP(tblOrdenes[[#This Row],[centro_costo]],tblCECO[codigo],tblCECO[linea],"(sin catálogo)"))</f>
        <v/>
      </c>
      <c r="U1188" s="3">
        <f>IF(tblOrdenes[[#This Row],[centro_costo]]="","",_xlfn.XLOOKUP(tblOrdenes[[#This Row],[centro_costo]],tblCECO[codigo],tblCECO[area],"(sin catálogo)"))</f>
        <v/>
      </c>
      <c r="V1188" s="3">
        <f>IF(tblOrdenes[[#This Row],[centro_costo]]="","",_xlfn.XLOOKUP(tblOrdenes[[#This Row],[centro_costo]],tblCECO[codigo],tblCECO[coordinador],"(sin catálogo)"))</f>
        <v/>
      </c>
      <c r="W1188" s="3">
        <f>IF(tblOrdenes[[#This Row],[puesto_trabajo]]="","",_xlfn.XLOOKUP(tblOrdenes[[#This Row],[puesto_trabajo]],tblPuestos[codigo],tblPuestos[especialidad],"(sin catálogo)"))</f>
        <v/>
      </c>
      <c r="X1188" s="3">
        <f>IF(tblOrdenes[[#This Row],[cod_actividad]]="","",_xlfn.XLOOKUP(tblOrdenes[[#This Row],[cod_actividad]],tblActividades[codigo],tblActividades[descripcion],"(sin catálogo)"))</f>
        <v/>
      </c>
      <c r="Y1188" s="12">
        <f>IF(tblOrdenes[[#This Row],[fecha_inicio]]="","",TODAY()-tblOrdenes[[#This Row],[fecha_inicio]])</f>
        <v/>
      </c>
      <c r="Z1188" s="3">
        <f>IF(tblOrdenes[[#This Row],[backlog_dias]]="","",IF(tblOrdenes[[#This Row],[backlog_dias]]&lt;0,"FUTURO",IF(tblOrdenes[[#This Row],[backlog_dias]]&gt;p_dias_backlog_max,"BACKLOG","MES CORRIENTE")))</f>
        <v/>
      </c>
      <c r="AA1188" s="3">
        <f>IF(tblOrdenes[[#This Row],[backlog_dias]]="",FALSE,AND(tblOrdenes[[#This Row],[backlog_dias]]&gt;p_dias_backlog_min,tblOrdenes[[#This Row],[backlog_dias]]&lt;=p_dias_backlog_max))</f>
        <v/>
      </c>
      <c r="AB1188" s="6" t="n"/>
      <c r="AC1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8" s="10">
        <f>IF(tblOrdenes[[#This Row],[orden]]="","",_xlfn.XLOOKUP(tblOrdenes[[#This Row],[id_operacion]],tblEjecucion[id_operacion],tblEjecucion[precio],0))</f>
        <v/>
      </c>
      <c r="AG1188" s="10">
        <f>IF(tblOrdenes[[#This Row],[orden]]="","",MAX(0,_xlfn.XLOOKUP(tblOrdenes[[#This Row],[id_operacion]],tblEjecucion[id_operacion],tblEjecucion[costo_plan_total],0)-tblOrdenes[[#This Row],[costo_servicio]]))</f>
        <v/>
      </c>
      <c r="AH1188" s="10">
        <f>IF(tblOrdenes[[#This Row],[orden]]="","",tblOrdenes[[#This Row],[costo_servicio]]+tblOrdenes[[#This Row],[costo_materiales]])</f>
        <v/>
      </c>
      <c r="AI1188" s="6" t="n"/>
      <c r="AJ1188" s="6" t="n"/>
      <c r="AK1188" s="6" t="n"/>
      <c r="AL1188" s="3">
        <f>IF(tblOrdenes[[#This Row],[link_checklist]]="","",HYPERLINK(p_ruta_base_checklists&amp;tblOrdenes[[#This Row],[link_checklist]],"abrir"))</f>
        <v/>
      </c>
      <c r="AM1188" s="6" t="n"/>
      <c r="AN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Row],[tipo_ot]]="","",_xlfn.XLOOKUP(tblOrdenes[[#This Row],[tipo_ot]],tblTiposOT[codigo],tblTiposOT[clasificacion],"sin_clasificar"))</f>
        <v/>
      </c>
      <c r="T1189" s="3">
        <f>IF(tblOrdenes[[#This Row],[centro_costo]]="","",_xlfn.XLOOKUP(tblOrdenes[[#This Row],[centro_costo]],tblCECO[codigo],tblCECO[linea],"(sin catálogo)"))</f>
        <v/>
      </c>
      <c r="U1189" s="3">
        <f>IF(tblOrdenes[[#This Row],[centro_costo]]="","",_xlfn.XLOOKUP(tblOrdenes[[#This Row],[centro_costo]],tblCECO[codigo],tblCECO[area],"(sin catálogo)"))</f>
        <v/>
      </c>
      <c r="V1189" s="3">
        <f>IF(tblOrdenes[[#This Row],[centro_costo]]="","",_xlfn.XLOOKUP(tblOrdenes[[#This Row],[centro_costo]],tblCECO[codigo],tblCECO[coordinador],"(sin catálogo)"))</f>
        <v/>
      </c>
      <c r="W1189" s="3">
        <f>IF(tblOrdenes[[#This Row],[puesto_trabajo]]="","",_xlfn.XLOOKUP(tblOrdenes[[#This Row],[puesto_trabajo]],tblPuestos[codigo],tblPuestos[especialidad],"(sin catálogo)"))</f>
        <v/>
      </c>
      <c r="X1189" s="3">
        <f>IF(tblOrdenes[[#This Row],[cod_actividad]]="","",_xlfn.XLOOKUP(tblOrdenes[[#This Row],[cod_actividad]],tblActividades[codigo],tblActividades[descripcion],"(sin catálogo)"))</f>
        <v/>
      </c>
      <c r="Y1189" s="12">
        <f>IF(tblOrdenes[[#This Row],[fecha_inicio]]="","",TODAY()-tblOrdenes[[#This Row],[fecha_inicio]])</f>
        <v/>
      </c>
      <c r="Z1189" s="3">
        <f>IF(tblOrdenes[[#This Row],[backlog_dias]]="","",IF(tblOrdenes[[#This Row],[backlog_dias]]&lt;0,"FUTURO",IF(tblOrdenes[[#This Row],[backlog_dias]]&gt;p_dias_backlog_max,"BACKLOG","MES CORRIENTE")))</f>
        <v/>
      </c>
      <c r="AA1189" s="3">
        <f>IF(tblOrdenes[[#This Row],[backlog_dias]]="",FALSE,AND(tblOrdenes[[#This Row],[backlog_dias]]&gt;p_dias_backlog_min,tblOrdenes[[#This Row],[backlog_dias]]&lt;=p_dias_backlog_max))</f>
        <v/>
      </c>
      <c r="AB1189" s="6" t="n"/>
      <c r="AC1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9" s="10">
        <f>IF(tblOrdenes[[#This Row],[orden]]="","",_xlfn.XLOOKUP(tblOrdenes[[#This Row],[id_operacion]],tblEjecucion[id_operacion],tblEjecucion[precio],0))</f>
        <v/>
      </c>
      <c r="AG1189" s="10">
        <f>IF(tblOrdenes[[#This Row],[orden]]="","",MAX(0,_xlfn.XLOOKUP(tblOrdenes[[#This Row],[id_operacion]],tblEjecucion[id_operacion],tblEjecucion[costo_plan_total],0)-tblOrdenes[[#This Row],[costo_servicio]]))</f>
        <v/>
      </c>
      <c r="AH1189" s="10">
        <f>IF(tblOrdenes[[#This Row],[orden]]="","",tblOrdenes[[#This Row],[costo_servicio]]+tblOrdenes[[#This Row],[costo_materiales]])</f>
        <v/>
      </c>
      <c r="AI1189" s="6" t="n"/>
      <c r="AJ1189" s="6" t="n"/>
      <c r="AK1189" s="6" t="n"/>
      <c r="AL1189" s="3">
        <f>IF(tblOrdenes[[#This Row],[link_checklist]]="","",HYPERLINK(p_ruta_base_checklists&amp;tblOrdenes[[#This Row],[link_checklist]],"abrir"))</f>
        <v/>
      </c>
      <c r="AM1189" s="6" t="n"/>
      <c r="AN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Row],[tipo_ot]]="","",_xlfn.XLOOKUP(tblOrdenes[[#This Row],[tipo_ot]],tblTiposOT[codigo],tblTiposOT[clasificacion],"sin_clasificar"))</f>
        <v/>
      </c>
      <c r="T1190" s="3">
        <f>IF(tblOrdenes[[#This Row],[centro_costo]]="","",_xlfn.XLOOKUP(tblOrdenes[[#This Row],[centro_costo]],tblCECO[codigo],tblCECO[linea],"(sin catálogo)"))</f>
        <v/>
      </c>
      <c r="U1190" s="3">
        <f>IF(tblOrdenes[[#This Row],[centro_costo]]="","",_xlfn.XLOOKUP(tblOrdenes[[#This Row],[centro_costo]],tblCECO[codigo],tblCECO[area],"(sin catálogo)"))</f>
        <v/>
      </c>
      <c r="V1190" s="3">
        <f>IF(tblOrdenes[[#This Row],[centro_costo]]="","",_xlfn.XLOOKUP(tblOrdenes[[#This Row],[centro_costo]],tblCECO[codigo],tblCECO[coordinador],"(sin catálogo)"))</f>
        <v/>
      </c>
      <c r="W1190" s="3">
        <f>IF(tblOrdenes[[#This Row],[puesto_trabajo]]="","",_xlfn.XLOOKUP(tblOrdenes[[#This Row],[puesto_trabajo]],tblPuestos[codigo],tblPuestos[especialidad],"(sin catálogo)"))</f>
        <v/>
      </c>
      <c r="X1190" s="3">
        <f>IF(tblOrdenes[[#This Row],[cod_actividad]]="","",_xlfn.XLOOKUP(tblOrdenes[[#This Row],[cod_actividad]],tblActividades[codigo],tblActividades[descripcion],"(sin catálogo)"))</f>
        <v/>
      </c>
      <c r="Y1190" s="12">
        <f>IF(tblOrdenes[[#This Row],[fecha_inicio]]="","",TODAY()-tblOrdenes[[#This Row],[fecha_inicio]])</f>
        <v/>
      </c>
      <c r="Z1190" s="3">
        <f>IF(tblOrdenes[[#This Row],[backlog_dias]]="","",IF(tblOrdenes[[#This Row],[backlog_dias]]&lt;0,"FUTURO",IF(tblOrdenes[[#This Row],[backlog_dias]]&gt;p_dias_backlog_max,"BACKLOG","MES CORRIENTE")))</f>
        <v/>
      </c>
      <c r="AA1190" s="3">
        <f>IF(tblOrdenes[[#This Row],[backlog_dias]]="",FALSE,AND(tblOrdenes[[#This Row],[backlog_dias]]&gt;p_dias_backlog_min,tblOrdenes[[#This Row],[backlog_dias]]&lt;=p_dias_backlog_max))</f>
        <v/>
      </c>
      <c r="AB1190" s="6" t="n"/>
      <c r="AC1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0" s="10">
        <f>IF(tblOrdenes[[#This Row],[orden]]="","",_xlfn.XLOOKUP(tblOrdenes[[#This Row],[id_operacion]],tblEjecucion[id_operacion],tblEjecucion[precio],0))</f>
        <v/>
      </c>
      <c r="AG1190" s="10">
        <f>IF(tblOrdenes[[#This Row],[orden]]="","",MAX(0,_xlfn.XLOOKUP(tblOrdenes[[#This Row],[id_operacion]],tblEjecucion[id_operacion],tblEjecucion[costo_plan_total],0)-tblOrdenes[[#This Row],[costo_servicio]]))</f>
        <v/>
      </c>
      <c r="AH1190" s="10">
        <f>IF(tblOrdenes[[#This Row],[orden]]="","",tblOrdenes[[#This Row],[costo_servicio]]+tblOrdenes[[#This Row],[costo_materiales]])</f>
        <v/>
      </c>
      <c r="AI1190" s="6" t="n"/>
      <c r="AJ1190" s="6" t="n"/>
      <c r="AK1190" s="6" t="n"/>
      <c r="AL1190" s="3">
        <f>IF(tblOrdenes[[#This Row],[link_checklist]]="","",HYPERLINK(p_ruta_base_checklists&amp;tblOrdenes[[#This Row],[link_checklist]],"abrir"))</f>
        <v/>
      </c>
      <c r="AM1190" s="6" t="n"/>
      <c r="AN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Row],[tipo_ot]]="","",_xlfn.XLOOKUP(tblOrdenes[[#This Row],[tipo_ot]],tblTiposOT[codigo],tblTiposOT[clasificacion],"sin_clasificar"))</f>
        <v/>
      </c>
      <c r="T1191" s="3">
        <f>IF(tblOrdenes[[#This Row],[centro_costo]]="","",_xlfn.XLOOKUP(tblOrdenes[[#This Row],[centro_costo]],tblCECO[codigo],tblCECO[linea],"(sin catálogo)"))</f>
        <v/>
      </c>
      <c r="U1191" s="3">
        <f>IF(tblOrdenes[[#This Row],[centro_costo]]="","",_xlfn.XLOOKUP(tblOrdenes[[#This Row],[centro_costo]],tblCECO[codigo],tblCECO[area],"(sin catálogo)"))</f>
        <v/>
      </c>
      <c r="V1191" s="3">
        <f>IF(tblOrdenes[[#This Row],[centro_costo]]="","",_xlfn.XLOOKUP(tblOrdenes[[#This Row],[centro_costo]],tblCECO[codigo],tblCECO[coordinador],"(sin catálogo)"))</f>
        <v/>
      </c>
      <c r="W1191" s="3">
        <f>IF(tblOrdenes[[#This Row],[puesto_trabajo]]="","",_xlfn.XLOOKUP(tblOrdenes[[#This Row],[puesto_trabajo]],tblPuestos[codigo],tblPuestos[especialidad],"(sin catálogo)"))</f>
        <v/>
      </c>
      <c r="X1191" s="3">
        <f>IF(tblOrdenes[[#This Row],[cod_actividad]]="","",_xlfn.XLOOKUP(tblOrdenes[[#This Row],[cod_actividad]],tblActividades[codigo],tblActividades[descripcion],"(sin catálogo)"))</f>
        <v/>
      </c>
      <c r="Y1191" s="12">
        <f>IF(tblOrdenes[[#This Row],[fecha_inicio]]="","",TODAY()-tblOrdenes[[#This Row],[fecha_inicio]])</f>
        <v/>
      </c>
      <c r="Z1191" s="3">
        <f>IF(tblOrdenes[[#This Row],[backlog_dias]]="","",IF(tblOrdenes[[#This Row],[backlog_dias]]&lt;0,"FUTURO",IF(tblOrdenes[[#This Row],[backlog_dias]]&gt;p_dias_backlog_max,"BACKLOG","MES CORRIENTE")))</f>
        <v/>
      </c>
      <c r="AA1191" s="3">
        <f>IF(tblOrdenes[[#This Row],[backlog_dias]]="",FALSE,AND(tblOrdenes[[#This Row],[backlog_dias]]&gt;p_dias_backlog_min,tblOrdenes[[#This Row],[backlog_dias]]&lt;=p_dias_backlog_max))</f>
        <v/>
      </c>
      <c r="AB1191" s="6" t="n"/>
      <c r="AC1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1" s="10">
        <f>IF(tblOrdenes[[#This Row],[orden]]="","",_xlfn.XLOOKUP(tblOrdenes[[#This Row],[id_operacion]],tblEjecucion[id_operacion],tblEjecucion[precio],0))</f>
        <v/>
      </c>
      <c r="AG1191" s="10">
        <f>IF(tblOrdenes[[#This Row],[orden]]="","",MAX(0,_xlfn.XLOOKUP(tblOrdenes[[#This Row],[id_operacion]],tblEjecucion[id_operacion],tblEjecucion[costo_plan_total],0)-tblOrdenes[[#This Row],[costo_servicio]]))</f>
        <v/>
      </c>
      <c r="AH1191" s="10">
        <f>IF(tblOrdenes[[#This Row],[orden]]="","",tblOrdenes[[#This Row],[costo_servicio]]+tblOrdenes[[#This Row],[costo_materiales]])</f>
        <v/>
      </c>
      <c r="AI1191" s="6" t="n"/>
      <c r="AJ1191" s="6" t="n"/>
      <c r="AK1191" s="6" t="n"/>
      <c r="AL1191" s="3">
        <f>IF(tblOrdenes[[#This Row],[link_checklist]]="","",HYPERLINK(p_ruta_base_checklists&amp;tblOrdenes[[#This Row],[link_checklist]],"abrir"))</f>
        <v/>
      </c>
      <c r="AM1191" s="6" t="n"/>
      <c r="AN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Row],[tipo_ot]]="","",_xlfn.XLOOKUP(tblOrdenes[[#This Row],[tipo_ot]],tblTiposOT[codigo],tblTiposOT[clasificacion],"sin_clasificar"))</f>
        <v/>
      </c>
      <c r="T1192" s="3">
        <f>IF(tblOrdenes[[#This Row],[centro_costo]]="","",_xlfn.XLOOKUP(tblOrdenes[[#This Row],[centro_costo]],tblCECO[codigo],tblCECO[linea],"(sin catálogo)"))</f>
        <v/>
      </c>
      <c r="U1192" s="3">
        <f>IF(tblOrdenes[[#This Row],[centro_costo]]="","",_xlfn.XLOOKUP(tblOrdenes[[#This Row],[centro_costo]],tblCECO[codigo],tblCECO[area],"(sin catálogo)"))</f>
        <v/>
      </c>
      <c r="V1192" s="3">
        <f>IF(tblOrdenes[[#This Row],[centro_costo]]="","",_xlfn.XLOOKUP(tblOrdenes[[#This Row],[centro_costo]],tblCECO[codigo],tblCECO[coordinador],"(sin catálogo)"))</f>
        <v/>
      </c>
      <c r="W1192" s="3">
        <f>IF(tblOrdenes[[#This Row],[puesto_trabajo]]="","",_xlfn.XLOOKUP(tblOrdenes[[#This Row],[puesto_trabajo]],tblPuestos[codigo],tblPuestos[especialidad],"(sin catálogo)"))</f>
        <v/>
      </c>
      <c r="X1192" s="3">
        <f>IF(tblOrdenes[[#This Row],[cod_actividad]]="","",_xlfn.XLOOKUP(tblOrdenes[[#This Row],[cod_actividad]],tblActividades[codigo],tblActividades[descripcion],"(sin catálogo)"))</f>
        <v/>
      </c>
      <c r="Y1192" s="12">
        <f>IF(tblOrdenes[[#This Row],[fecha_inicio]]="","",TODAY()-tblOrdenes[[#This Row],[fecha_inicio]])</f>
        <v/>
      </c>
      <c r="Z1192" s="3">
        <f>IF(tblOrdenes[[#This Row],[backlog_dias]]="","",IF(tblOrdenes[[#This Row],[backlog_dias]]&lt;0,"FUTURO",IF(tblOrdenes[[#This Row],[backlog_dias]]&gt;p_dias_backlog_max,"BACKLOG","MES CORRIENTE")))</f>
        <v/>
      </c>
      <c r="AA1192" s="3">
        <f>IF(tblOrdenes[[#This Row],[backlog_dias]]="",FALSE,AND(tblOrdenes[[#This Row],[backlog_dias]]&gt;p_dias_backlog_min,tblOrdenes[[#This Row],[backlog_dias]]&lt;=p_dias_backlog_max))</f>
        <v/>
      </c>
      <c r="AB1192" s="6" t="n"/>
      <c r="AC1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2" s="10">
        <f>IF(tblOrdenes[[#This Row],[orden]]="","",_xlfn.XLOOKUP(tblOrdenes[[#This Row],[id_operacion]],tblEjecucion[id_operacion],tblEjecucion[precio],0))</f>
        <v/>
      </c>
      <c r="AG1192" s="10">
        <f>IF(tblOrdenes[[#This Row],[orden]]="","",MAX(0,_xlfn.XLOOKUP(tblOrdenes[[#This Row],[id_operacion]],tblEjecucion[id_operacion],tblEjecucion[costo_plan_total],0)-tblOrdenes[[#This Row],[costo_servicio]]))</f>
        <v/>
      </c>
      <c r="AH1192" s="10">
        <f>IF(tblOrdenes[[#This Row],[orden]]="","",tblOrdenes[[#This Row],[costo_servicio]]+tblOrdenes[[#This Row],[costo_materiales]])</f>
        <v/>
      </c>
      <c r="AI1192" s="6" t="n"/>
      <c r="AJ1192" s="6" t="n"/>
      <c r="AK1192" s="6" t="n"/>
      <c r="AL1192" s="3">
        <f>IF(tblOrdenes[[#This Row],[link_checklist]]="","",HYPERLINK(p_ruta_base_checklists&amp;tblOrdenes[[#This Row],[link_checklist]],"abrir"))</f>
        <v/>
      </c>
      <c r="AM1192" s="6" t="n"/>
      <c r="AN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Row],[tipo_ot]]="","",_xlfn.XLOOKUP(tblOrdenes[[#This Row],[tipo_ot]],tblTiposOT[codigo],tblTiposOT[clasificacion],"sin_clasificar"))</f>
        <v/>
      </c>
      <c r="T1193" s="3">
        <f>IF(tblOrdenes[[#This Row],[centro_costo]]="","",_xlfn.XLOOKUP(tblOrdenes[[#This Row],[centro_costo]],tblCECO[codigo],tblCECO[linea],"(sin catálogo)"))</f>
        <v/>
      </c>
      <c r="U1193" s="3">
        <f>IF(tblOrdenes[[#This Row],[centro_costo]]="","",_xlfn.XLOOKUP(tblOrdenes[[#This Row],[centro_costo]],tblCECO[codigo],tblCECO[area],"(sin catálogo)"))</f>
        <v/>
      </c>
      <c r="V1193" s="3">
        <f>IF(tblOrdenes[[#This Row],[centro_costo]]="","",_xlfn.XLOOKUP(tblOrdenes[[#This Row],[centro_costo]],tblCECO[codigo],tblCECO[coordinador],"(sin catálogo)"))</f>
        <v/>
      </c>
      <c r="W1193" s="3">
        <f>IF(tblOrdenes[[#This Row],[puesto_trabajo]]="","",_xlfn.XLOOKUP(tblOrdenes[[#This Row],[puesto_trabajo]],tblPuestos[codigo],tblPuestos[especialidad],"(sin catálogo)"))</f>
        <v/>
      </c>
      <c r="X1193" s="3">
        <f>IF(tblOrdenes[[#This Row],[cod_actividad]]="","",_xlfn.XLOOKUP(tblOrdenes[[#This Row],[cod_actividad]],tblActividades[codigo],tblActividades[descripcion],"(sin catálogo)"))</f>
        <v/>
      </c>
      <c r="Y1193" s="12">
        <f>IF(tblOrdenes[[#This Row],[fecha_inicio]]="","",TODAY()-tblOrdenes[[#This Row],[fecha_inicio]])</f>
        <v/>
      </c>
      <c r="Z1193" s="3">
        <f>IF(tblOrdenes[[#This Row],[backlog_dias]]="","",IF(tblOrdenes[[#This Row],[backlog_dias]]&lt;0,"FUTURO",IF(tblOrdenes[[#This Row],[backlog_dias]]&gt;p_dias_backlog_max,"BACKLOG","MES CORRIENTE")))</f>
        <v/>
      </c>
      <c r="AA1193" s="3">
        <f>IF(tblOrdenes[[#This Row],[backlog_dias]]="",FALSE,AND(tblOrdenes[[#This Row],[backlog_dias]]&gt;p_dias_backlog_min,tblOrdenes[[#This Row],[backlog_dias]]&lt;=p_dias_backlog_max))</f>
        <v/>
      </c>
      <c r="AB1193" s="6" t="n"/>
      <c r="AC1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3" s="10">
        <f>IF(tblOrdenes[[#This Row],[orden]]="","",_xlfn.XLOOKUP(tblOrdenes[[#This Row],[id_operacion]],tblEjecucion[id_operacion],tblEjecucion[precio],0))</f>
        <v/>
      </c>
      <c r="AG1193" s="10">
        <f>IF(tblOrdenes[[#This Row],[orden]]="","",MAX(0,_xlfn.XLOOKUP(tblOrdenes[[#This Row],[id_operacion]],tblEjecucion[id_operacion],tblEjecucion[costo_plan_total],0)-tblOrdenes[[#This Row],[costo_servicio]]))</f>
        <v/>
      </c>
      <c r="AH1193" s="10">
        <f>IF(tblOrdenes[[#This Row],[orden]]="","",tblOrdenes[[#This Row],[costo_servicio]]+tblOrdenes[[#This Row],[costo_materiales]])</f>
        <v/>
      </c>
      <c r="AI1193" s="6" t="n"/>
      <c r="AJ1193" s="6" t="n"/>
      <c r="AK1193" s="6" t="n"/>
      <c r="AL1193" s="3">
        <f>IF(tblOrdenes[[#This Row],[link_checklist]]="","",HYPERLINK(p_ruta_base_checklists&amp;tblOrdenes[[#This Row],[link_checklist]],"abrir"))</f>
        <v/>
      </c>
      <c r="AM1193" s="6" t="n"/>
      <c r="AN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Row],[tipo_ot]]="","",_xlfn.XLOOKUP(tblOrdenes[[#This Row],[tipo_ot]],tblTiposOT[codigo],tblTiposOT[clasificacion],"sin_clasificar"))</f>
        <v/>
      </c>
      <c r="T1194" s="3">
        <f>IF(tblOrdenes[[#This Row],[centro_costo]]="","",_xlfn.XLOOKUP(tblOrdenes[[#This Row],[centro_costo]],tblCECO[codigo],tblCECO[linea],"(sin catálogo)"))</f>
        <v/>
      </c>
      <c r="U1194" s="3">
        <f>IF(tblOrdenes[[#This Row],[centro_costo]]="","",_xlfn.XLOOKUP(tblOrdenes[[#This Row],[centro_costo]],tblCECO[codigo],tblCECO[area],"(sin catálogo)"))</f>
        <v/>
      </c>
      <c r="V1194" s="3">
        <f>IF(tblOrdenes[[#This Row],[centro_costo]]="","",_xlfn.XLOOKUP(tblOrdenes[[#This Row],[centro_costo]],tblCECO[codigo],tblCECO[coordinador],"(sin catálogo)"))</f>
        <v/>
      </c>
      <c r="W1194" s="3">
        <f>IF(tblOrdenes[[#This Row],[puesto_trabajo]]="","",_xlfn.XLOOKUP(tblOrdenes[[#This Row],[puesto_trabajo]],tblPuestos[codigo],tblPuestos[especialidad],"(sin catálogo)"))</f>
        <v/>
      </c>
      <c r="X1194" s="3">
        <f>IF(tblOrdenes[[#This Row],[cod_actividad]]="","",_xlfn.XLOOKUP(tblOrdenes[[#This Row],[cod_actividad]],tblActividades[codigo],tblActividades[descripcion],"(sin catálogo)"))</f>
        <v/>
      </c>
      <c r="Y1194" s="12">
        <f>IF(tblOrdenes[[#This Row],[fecha_inicio]]="","",TODAY()-tblOrdenes[[#This Row],[fecha_inicio]])</f>
        <v/>
      </c>
      <c r="Z1194" s="3">
        <f>IF(tblOrdenes[[#This Row],[backlog_dias]]="","",IF(tblOrdenes[[#This Row],[backlog_dias]]&lt;0,"FUTURO",IF(tblOrdenes[[#This Row],[backlog_dias]]&gt;p_dias_backlog_max,"BACKLOG","MES CORRIENTE")))</f>
        <v/>
      </c>
      <c r="AA1194" s="3">
        <f>IF(tblOrdenes[[#This Row],[backlog_dias]]="",FALSE,AND(tblOrdenes[[#This Row],[backlog_dias]]&gt;p_dias_backlog_min,tblOrdenes[[#This Row],[backlog_dias]]&lt;=p_dias_backlog_max))</f>
        <v/>
      </c>
      <c r="AB1194" s="6" t="n"/>
      <c r="AC1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4" s="10">
        <f>IF(tblOrdenes[[#This Row],[orden]]="","",_xlfn.XLOOKUP(tblOrdenes[[#This Row],[id_operacion]],tblEjecucion[id_operacion],tblEjecucion[precio],0))</f>
        <v/>
      </c>
      <c r="AG1194" s="10">
        <f>IF(tblOrdenes[[#This Row],[orden]]="","",MAX(0,_xlfn.XLOOKUP(tblOrdenes[[#This Row],[id_operacion]],tblEjecucion[id_operacion],tblEjecucion[costo_plan_total],0)-tblOrdenes[[#This Row],[costo_servicio]]))</f>
        <v/>
      </c>
      <c r="AH1194" s="10">
        <f>IF(tblOrdenes[[#This Row],[orden]]="","",tblOrdenes[[#This Row],[costo_servicio]]+tblOrdenes[[#This Row],[costo_materiales]])</f>
        <v/>
      </c>
      <c r="AI1194" s="6" t="n"/>
      <c r="AJ1194" s="6" t="n"/>
      <c r="AK1194" s="6" t="n"/>
      <c r="AL1194" s="3">
        <f>IF(tblOrdenes[[#This Row],[link_checklist]]="","",HYPERLINK(p_ruta_base_checklists&amp;tblOrdenes[[#This Row],[link_checklist]],"abrir"))</f>
        <v/>
      </c>
      <c r="AM1194" s="6" t="n"/>
      <c r="AN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Row],[tipo_ot]]="","",_xlfn.XLOOKUP(tblOrdenes[[#This Row],[tipo_ot]],tblTiposOT[codigo],tblTiposOT[clasificacion],"sin_clasificar"))</f>
        <v/>
      </c>
      <c r="T1195" s="3">
        <f>IF(tblOrdenes[[#This Row],[centro_costo]]="","",_xlfn.XLOOKUP(tblOrdenes[[#This Row],[centro_costo]],tblCECO[codigo],tblCECO[linea],"(sin catálogo)"))</f>
        <v/>
      </c>
      <c r="U1195" s="3">
        <f>IF(tblOrdenes[[#This Row],[centro_costo]]="","",_xlfn.XLOOKUP(tblOrdenes[[#This Row],[centro_costo]],tblCECO[codigo],tblCECO[area],"(sin catálogo)"))</f>
        <v/>
      </c>
      <c r="V1195" s="3">
        <f>IF(tblOrdenes[[#This Row],[centro_costo]]="","",_xlfn.XLOOKUP(tblOrdenes[[#This Row],[centro_costo]],tblCECO[codigo],tblCECO[coordinador],"(sin catálogo)"))</f>
        <v/>
      </c>
      <c r="W1195" s="3">
        <f>IF(tblOrdenes[[#This Row],[puesto_trabajo]]="","",_xlfn.XLOOKUP(tblOrdenes[[#This Row],[puesto_trabajo]],tblPuestos[codigo],tblPuestos[especialidad],"(sin catálogo)"))</f>
        <v/>
      </c>
      <c r="X1195" s="3">
        <f>IF(tblOrdenes[[#This Row],[cod_actividad]]="","",_xlfn.XLOOKUP(tblOrdenes[[#This Row],[cod_actividad]],tblActividades[codigo],tblActividades[descripcion],"(sin catálogo)"))</f>
        <v/>
      </c>
      <c r="Y1195" s="12">
        <f>IF(tblOrdenes[[#This Row],[fecha_inicio]]="","",TODAY()-tblOrdenes[[#This Row],[fecha_inicio]])</f>
        <v/>
      </c>
      <c r="Z1195" s="3">
        <f>IF(tblOrdenes[[#This Row],[backlog_dias]]="","",IF(tblOrdenes[[#This Row],[backlog_dias]]&lt;0,"FUTURO",IF(tblOrdenes[[#This Row],[backlog_dias]]&gt;p_dias_backlog_max,"BACKLOG","MES CORRIENTE")))</f>
        <v/>
      </c>
      <c r="AA1195" s="3">
        <f>IF(tblOrdenes[[#This Row],[backlog_dias]]="",FALSE,AND(tblOrdenes[[#This Row],[backlog_dias]]&gt;p_dias_backlog_min,tblOrdenes[[#This Row],[backlog_dias]]&lt;=p_dias_backlog_max))</f>
        <v/>
      </c>
      <c r="AB1195" s="6" t="n"/>
      <c r="AC1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5" s="10">
        <f>IF(tblOrdenes[[#This Row],[orden]]="","",_xlfn.XLOOKUP(tblOrdenes[[#This Row],[id_operacion]],tblEjecucion[id_operacion],tblEjecucion[precio],0))</f>
        <v/>
      </c>
      <c r="AG1195" s="10">
        <f>IF(tblOrdenes[[#This Row],[orden]]="","",MAX(0,_xlfn.XLOOKUP(tblOrdenes[[#This Row],[id_operacion]],tblEjecucion[id_operacion],tblEjecucion[costo_plan_total],0)-tblOrdenes[[#This Row],[costo_servicio]]))</f>
        <v/>
      </c>
      <c r="AH1195" s="10">
        <f>IF(tblOrdenes[[#This Row],[orden]]="","",tblOrdenes[[#This Row],[costo_servicio]]+tblOrdenes[[#This Row],[costo_materiales]])</f>
        <v/>
      </c>
      <c r="AI1195" s="6" t="n"/>
      <c r="AJ1195" s="6" t="n"/>
      <c r="AK1195" s="6" t="n"/>
      <c r="AL1195" s="3">
        <f>IF(tblOrdenes[[#This Row],[link_checklist]]="","",HYPERLINK(p_ruta_base_checklists&amp;tblOrdenes[[#This Row],[link_checklist]],"abrir"))</f>
        <v/>
      </c>
      <c r="AM1195" s="6" t="n"/>
      <c r="AN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Row],[tipo_ot]]="","",_xlfn.XLOOKUP(tblOrdenes[[#This Row],[tipo_ot]],tblTiposOT[codigo],tblTiposOT[clasificacion],"sin_clasificar"))</f>
        <v/>
      </c>
      <c r="T1196" s="3">
        <f>IF(tblOrdenes[[#This Row],[centro_costo]]="","",_xlfn.XLOOKUP(tblOrdenes[[#This Row],[centro_costo]],tblCECO[codigo],tblCECO[linea],"(sin catálogo)"))</f>
        <v/>
      </c>
      <c r="U1196" s="3">
        <f>IF(tblOrdenes[[#This Row],[centro_costo]]="","",_xlfn.XLOOKUP(tblOrdenes[[#This Row],[centro_costo]],tblCECO[codigo],tblCECO[area],"(sin catálogo)"))</f>
        <v/>
      </c>
      <c r="V1196" s="3">
        <f>IF(tblOrdenes[[#This Row],[centro_costo]]="","",_xlfn.XLOOKUP(tblOrdenes[[#This Row],[centro_costo]],tblCECO[codigo],tblCECO[coordinador],"(sin catálogo)"))</f>
        <v/>
      </c>
      <c r="W1196" s="3">
        <f>IF(tblOrdenes[[#This Row],[puesto_trabajo]]="","",_xlfn.XLOOKUP(tblOrdenes[[#This Row],[puesto_trabajo]],tblPuestos[codigo],tblPuestos[especialidad],"(sin catálogo)"))</f>
        <v/>
      </c>
      <c r="X1196" s="3">
        <f>IF(tblOrdenes[[#This Row],[cod_actividad]]="","",_xlfn.XLOOKUP(tblOrdenes[[#This Row],[cod_actividad]],tblActividades[codigo],tblActividades[descripcion],"(sin catálogo)"))</f>
        <v/>
      </c>
      <c r="Y1196" s="12">
        <f>IF(tblOrdenes[[#This Row],[fecha_inicio]]="","",TODAY()-tblOrdenes[[#This Row],[fecha_inicio]])</f>
        <v/>
      </c>
      <c r="Z1196" s="3">
        <f>IF(tblOrdenes[[#This Row],[backlog_dias]]="","",IF(tblOrdenes[[#This Row],[backlog_dias]]&lt;0,"FUTURO",IF(tblOrdenes[[#This Row],[backlog_dias]]&gt;p_dias_backlog_max,"BACKLOG","MES CORRIENTE")))</f>
        <v/>
      </c>
      <c r="AA1196" s="3">
        <f>IF(tblOrdenes[[#This Row],[backlog_dias]]="",FALSE,AND(tblOrdenes[[#This Row],[backlog_dias]]&gt;p_dias_backlog_min,tblOrdenes[[#This Row],[backlog_dias]]&lt;=p_dias_backlog_max))</f>
        <v/>
      </c>
      <c r="AB1196" s="6" t="n"/>
      <c r="AC1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6" s="10">
        <f>IF(tblOrdenes[[#This Row],[orden]]="","",_xlfn.XLOOKUP(tblOrdenes[[#This Row],[id_operacion]],tblEjecucion[id_operacion],tblEjecucion[precio],0))</f>
        <v/>
      </c>
      <c r="AG1196" s="10">
        <f>IF(tblOrdenes[[#This Row],[orden]]="","",MAX(0,_xlfn.XLOOKUP(tblOrdenes[[#This Row],[id_operacion]],tblEjecucion[id_operacion],tblEjecucion[costo_plan_total],0)-tblOrdenes[[#This Row],[costo_servicio]]))</f>
        <v/>
      </c>
      <c r="AH1196" s="10">
        <f>IF(tblOrdenes[[#This Row],[orden]]="","",tblOrdenes[[#This Row],[costo_servicio]]+tblOrdenes[[#This Row],[costo_materiales]])</f>
        <v/>
      </c>
      <c r="AI1196" s="6" t="n"/>
      <c r="AJ1196" s="6" t="n"/>
      <c r="AK1196" s="6" t="n"/>
      <c r="AL1196" s="3">
        <f>IF(tblOrdenes[[#This Row],[link_checklist]]="","",HYPERLINK(p_ruta_base_checklists&amp;tblOrdenes[[#This Row],[link_checklist]],"abrir"))</f>
        <v/>
      </c>
      <c r="AM1196" s="6" t="n"/>
      <c r="AN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Row],[tipo_ot]]="","",_xlfn.XLOOKUP(tblOrdenes[[#This Row],[tipo_ot]],tblTiposOT[codigo],tblTiposOT[clasificacion],"sin_clasificar"))</f>
        <v/>
      </c>
      <c r="T1197" s="3">
        <f>IF(tblOrdenes[[#This Row],[centro_costo]]="","",_xlfn.XLOOKUP(tblOrdenes[[#This Row],[centro_costo]],tblCECO[codigo],tblCECO[linea],"(sin catálogo)"))</f>
        <v/>
      </c>
      <c r="U1197" s="3">
        <f>IF(tblOrdenes[[#This Row],[centro_costo]]="","",_xlfn.XLOOKUP(tblOrdenes[[#This Row],[centro_costo]],tblCECO[codigo],tblCECO[area],"(sin catálogo)"))</f>
        <v/>
      </c>
      <c r="V1197" s="3">
        <f>IF(tblOrdenes[[#This Row],[centro_costo]]="","",_xlfn.XLOOKUP(tblOrdenes[[#This Row],[centro_costo]],tblCECO[codigo],tblCECO[coordinador],"(sin catálogo)"))</f>
        <v/>
      </c>
      <c r="W1197" s="3">
        <f>IF(tblOrdenes[[#This Row],[puesto_trabajo]]="","",_xlfn.XLOOKUP(tblOrdenes[[#This Row],[puesto_trabajo]],tblPuestos[codigo],tblPuestos[especialidad],"(sin catálogo)"))</f>
        <v/>
      </c>
      <c r="X1197" s="3">
        <f>IF(tblOrdenes[[#This Row],[cod_actividad]]="","",_xlfn.XLOOKUP(tblOrdenes[[#This Row],[cod_actividad]],tblActividades[codigo],tblActividades[descripcion],"(sin catálogo)"))</f>
        <v/>
      </c>
      <c r="Y1197" s="12">
        <f>IF(tblOrdenes[[#This Row],[fecha_inicio]]="","",TODAY()-tblOrdenes[[#This Row],[fecha_inicio]])</f>
        <v/>
      </c>
      <c r="Z1197" s="3">
        <f>IF(tblOrdenes[[#This Row],[backlog_dias]]="","",IF(tblOrdenes[[#This Row],[backlog_dias]]&lt;0,"FUTURO",IF(tblOrdenes[[#This Row],[backlog_dias]]&gt;p_dias_backlog_max,"BACKLOG","MES CORRIENTE")))</f>
        <v/>
      </c>
      <c r="AA1197" s="3">
        <f>IF(tblOrdenes[[#This Row],[backlog_dias]]="",FALSE,AND(tblOrdenes[[#This Row],[backlog_dias]]&gt;p_dias_backlog_min,tblOrdenes[[#This Row],[backlog_dias]]&lt;=p_dias_backlog_max))</f>
        <v/>
      </c>
      <c r="AB1197" s="6" t="n"/>
      <c r="AC1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7" s="10">
        <f>IF(tblOrdenes[[#This Row],[orden]]="","",_xlfn.XLOOKUP(tblOrdenes[[#This Row],[id_operacion]],tblEjecucion[id_operacion],tblEjecucion[precio],0))</f>
        <v/>
      </c>
      <c r="AG1197" s="10">
        <f>IF(tblOrdenes[[#This Row],[orden]]="","",MAX(0,_xlfn.XLOOKUP(tblOrdenes[[#This Row],[id_operacion]],tblEjecucion[id_operacion],tblEjecucion[costo_plan_total],0)-tblOrdenes[[#This Row],[costo_servicio]]))</f>
        <v/>
      </c>
      <c r="AH1197" s="10">
        <f>IF(tblOrdenes[[#This Row],[orden]]="","",tblOrdenes[[#This Row],[costo_servicio]]+tblOrdenes[[#This Row],[costo_materiales]])</f>
        <v/>
      </c>
      <c r="AI1197" s="6" t="n"/>
      <c r="AJ1197" s="6" t="n"/>
      <c r="AK1197" s="6" t="n"/>
      <c r="AL1197" s="3">
        <f>IF(tblOrdenes[[#This Row],[link_checklist]]="","",HYPERLINK(p_ruta_base_checklists&amp;tblOrdenes[[#This Row],[link_checklist]],"abrir"))</f>
        <v/>
      </c>
      <c r="AM1197" s="6" t="n"/>
      <c r="AN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Row],[tipo_ot]]="","",_xlfn.XLOOKUP(tblOrdenes[[#This Row],[tipo_ot]],tblTiposOT[codigo],tblTiposOT[clasificacion],"sin_clasificar"))</f>
        <v/>
      </c>
      <c r="T1198" s="3">
        <f>IF(tblOrdenes[[#This Row],[centro_costo]]="","",_xlfn.XLOOKUP(tblOrdenes[[#This Row],[centro_costo]],tblCECO[codigo],tblCECO[linea],"(sin catálogo)"))</f>
        <v/>
      </c>
      <c r="U1198" s="3">
        <f>IF(tblOrdenes[[#This Row],[centro_costo]]="","",_xlfn.XLOOKUP(tblOrdenes[[#This Row],[centro_costo]],tblCECO[codigo],tblCECO[area],"(sin catálogo)"))</f>
        <v/>
      </c>
      <c r="V1198" s="3">
        <f>IF(tblOrdenes[[#This Row],[centro_costo]]="","",_xlfn.XLOOKUP(tblOrdenes[[#This Row],[centro_costo]],tblCECO[codigo],tblCECO[coordinador],"(sin catálogo)"))</f>
        <v/>
      </c>
      <c r="W1198" s="3">
        <f>IF(tblOrdenes[[#This Row],[puesto_trabajo]]="","",_xlfn.XLOOKUP(tblOrdenes[[#This Row],[puesto_trabajo]],tblPuestos[codigo],tblPuestos[especialidad],"(sin catálogo)"))</f>
        <v/>
      </c>
      <c r="X1198" s="3">
        <f>IF(tblOrdenes[[#This Row],[cod_actividad]]="","",_xlfn.XLOOKUP(tblOrdenes[[#This Row],[cod_actividad]],tblActividades[codigo],tblActividades[descripcion],"(sin catálogo)"))</f>
        <v/>
      </c>
      <c r="Y1198" s="12">
        <f>IF(tblOrdenes[[#This Row],[fecha_inicio]]="","",TODAY()-tblOrdenes[[#This Row],[fecha_inicio]])</f>
        <v/>
      </c>
      <c r="Z1198" s="3">
        <f>IF(tblOrdenes[[#This Row],[backlog_dias]]="","",IF(tblOrdenes[[#This Row],[backlog_dias]]&lt;0,"FUTURO",IF(tblOrdenes[[#This Row],[backlog_dias]]&gt;p_dias_backlog_max,"BACKLOG","MES CORRIENTE")))</f>
        <v/>
      </c>
      <c r="AA1198" s="3">
        <f>IF(tblOrdenes[[#This Row],[backlog_dias]]="",FALSE,AND(tblOrdenes[[#This Row],[backlog_dias]]&gt;p_dias_backlog_min,tblOrdenes[[#This Row],[backlog_dias]]&lt;=p_dias_backlog_max))</f>
        <v/>
      </c>
      <c r="AB1198" s="6" t="n"/>
      <c r="AC1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8" s="10">
        <f>IF(tblOrdenes[[#This Row],[orden]]="","",_xlfn.XLOOKUP(tblOrdenes[[#This Row],[id_operacion]],tblEjecucion[id_operacion],tblEjecucion[precio],0))</f>
        <v/>
      </c>
      <c r="AG1198" s="10">
        <f>IF(tblOrdenes[[#This Row],[orden]]="","",MAX(0,_xlfn.XLOOKUP(tblOrdenes[[#This Row],[id_operacion]],tblEjecucion[id_operacion],tblEjecucion[costo_plan_total],0)-tblOrdenes[[#This Row],[costo_servicio]]))</f>
        <v/>
      </c>
      <c r="AH1198" s="10">
        <f>IF(tblOrdenes[[#This Row],[orden]]="","",tblOrdenes[[#This Row],[costo_servicio]]+tblOrdenes[[#This Row],[costo_materiales]])</f>
        <v/>
      </c>
      <c r="AI1198" s="6" t="n"/>
      <c r="AJ1198" s="6" t="n"/>
      <c r="AK1198" s="6" t="n"/>
      <c r="AL1198" s="3">
        <f>IF(tblOrdenes[[#This Row],[link_checklist]]="","",HYPERLINK(p_ruta_base_checklists&amp;tblOrdenes[[#This Row],[link_checklist]],"abrir"))</f>
        <v/>
      </c>
      <c r="AM1198" s="6" t="n"/>
      <c r="AN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Row],[tipo_ot]]="","",_xlfn.XLOOKUP(tblOrdenes[[#This Row],[tipo_ot]],tblTiposOT[codigo],tblTiposOT[clasificacion],"sin_clasificar"))</f>
        <v/>
      </c>
      <c r="T1199" s="3">
        <f>IF(tblOrdenes[[#This Row],[centro_costo]]="","",_xlfn.XLOOKUP(tblOrdenes[[#This Row],[centro_costo]],tblCECO[codigo],tblCECO[linea],"(sin catálogo)"))</f>
        <v/>
      </c>
      <c r="U1199" s="3">
        <f>IF(tblOrdenes[[#This Row],[centro_costo]]="","",_xlfn.XLOOKUP(tblOrdenes[[#This Row],[centro_costo]],tblCECO[codigo],tblCECO[area],"(sin catálogo)"))</f>
        <v/>
      </c>
      <c r="V1199" s="3">
        <f>IF(tblOrdenes[[#This Row],[centro_costo]]="","",_xlfn.XLOOKUP(tblOrdenes[[#This Row],[centro_costo]],tblCECO[codigo],tblCECO[coordinador],"(sin catálogo)"))</f>
        <v/>
      </c>
      <c r="W1199" s="3">
        <f>IF(tblOrdenes[[#This Row],[puesto_trabajo]]="","",_xlfn.XLOOKUP(tblOrdenes[[#This Row],[puesto_trabajo]],tblPuestos[codigo],tblPuestos[especialidad],"(sin catálogo)"))</f>
        <v/>
      </c>
      <c r="X1199" s="3">
        <f>IF(tblOrdenes[[#This Row],[cod_actividad]]="","",_xlfn.XLOOKUP(tblOrdenes[[#This Row],[cod_actividad]],tblActividades[codigo],tblActividades[descripcion],"(sin catálogo)"))</f>
        <v/>
      </c>
      <c r="Y1199" s="12">
        <f>IF(tblOrdenes[[#This Row],[fecha_inicio]]="","",TODAY()-tblOrdenes[[#This Row],[fecha_inicio]])</f>
        <v/>
      </c>
      <c r="Z1199" s="3">
        <f>IF(tblOrdenes[[#This Row],[backlog_dias]]="","",IF(tblOrdenes[[#This Row],[backlog_dias]]&lt;0,"FUTURO",IF(tblOrdenes[[#This Row],[backlog_dias]]&gt;p_dias_backlog_max,"BACKLOG","MES CORRIENTE")))</f>
        <v/>
      </c>
      <c r="AA1199" s="3">
        <f>IF(tblOrdenes[[#This Row],[backlog_dias]]="",FALSE,AND(tblOrdenes[[#This Row],[backlog_dias]]&gt;p_dias_backlog_min,tblOrdenes[[#This Row],[backlog_dias]]&lt;=p_dias_backlog_max))</f>
        <v/>
      </c>
      <c r="AB1199" s="6" t="n"/>
      <c r="AC1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9" s="10">
        <f>IF(tblOrdenes[[#This Row],[orden]]="","",_xlfn.XLOOKUP(tblOrdenes[[#This Row],[id_operacion]],tblEjecucion[id_operacion],tblEjecucion[precio],0))</f>
        <v/>
      </c>
      <c r="AG1199" s="10">
        <f>IF(tblOrdenes[[#This Row],[orden]]="","",MAX(0,_xlfn.XLOOKUP(tblOrdenes[[#This Row],[id_operacion]],tblEjecucion[id_operacion],tblEjecucion[costo_plan_total],0)-tblOrdenes[[#This Row],[costo_servicio]]))</f>
        <v/>
      </c>
      <c r="AH1199" s="10">
        <f>IF(tblOrdenes[[#This Row],[orden]]="","",tblOrdenes[[#This Row],[costo_servicio]]+tblOrdenes[[#This Row],[costo_materiales]])</f>
        <v/>
      </c>
      <c r="AI1199" s="6" t="n"/>
      <c r="AJ1199" s="6" t="n"/>
      <c r="AK1199" s="6" t="n"/>
      <c r="AL1199" s="3">
        <f>IF(tblOrdenes[[#This Row],[link_checklist]]="","",HYPERLINK(p_ruta_base_checklists&amp;tblOrdenes[[#This Row],[link_checklist]],"abrir"))</f>
        <v/>
      </c>
      <c r="AM1199" s="6" t="n"/>
      <c r="AN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Row],[tipo_ot]]="","",_xlfn.XLOOKUP(tblOrdenes[[#This Row],[tipo_ot]],tblTiposOT[codigo],tblTiposOT[clasificacion],"sin_clasificar"))</f>
        <v/>
      </c>
      <c r="T1200" s="3">
        <f>IF(tblOrdenes[[#This Row],[centro_costo]]="","",_xlfn.XLOOKUP(tblOrdenes[[#This Row],[centro_costo]],tblCECO[codigo],tblCECO[linea],"(sin catálogo)"))</f>
        <v/>
      </c>
      <c r="U1200" s="3">
        <f>IF(tblOrdenes[[#This Row],[centro_costo]]="","",_xlfn.XLOOKUP(tblOrdenes[[#This Row],[centro_costo]],tblCECO[codigo],tblCECO[area],"(sin catálogo)"))</f>
        <v/>
      </c>
      <c r="V1200" s="3">
        <f>IF(tblOrdenes[[#This Row],[centro_costo]]="","",_xlfn.XLOOKUP(tblOrdenes[[#This Row],[centro_costo]],tblCECO[codigo],tblCECO[coordinador],"(sin catálogo)"))</f>
        <v/>
      </c>
      <c r="W1200" s="3">
        <f>IF(tblOrdenes[[#This Row],[puesto_trabajo]]="","",_xlfn.XLOOKUP(tblOrdenes[[#This Row],[puesto_trabajo]],tblPuestos[codigo],tblPuestos[especialidad],"(sin catálogo)"))</f>
        <v/>
      </c>
      <c r="X1200" s="3">
        <f>IF(tblOrdenes[[#This Row],[cod_actividad]]="","",_xlfn.XLOOKUP(tblOrdenes[[#This Row],[cod_actividad]],tblActividades[codigo],tblActividades[descripcion],"(sin catálogo)"))</f>
        <v/>
      </c>
      <c r="Y1200" s="12">
        <f>IF(tblOrdenes[[#This Row],[fecha_inicio]]="","",TODAY()-tblOrdenes[[#This Row],[fecha_inicio]])</f>
        <v/>
      </c>
      <c r="Z1200" s="3">
        <f>IF(tblOrdenes[[#This Row],[backlog_dias]]="","",IF(tblOrdenes[[#This Row],[backlog_dias]]&lt;0,"FUTURO",IF(tblOrdenes[[#This Row],[backlog_dias]]&gt;p_dias_backlog_max,"BACKLOG","MES CORRIENTE")))</f>
        <v/>
      </c>
      <c r="AA1200" s="3">
        <f>IF(tblOrdenes[[#This Row],[backlog_dias]]="",FALSE,AND(tblOrdenes[[#This Row],[backlog_dias]]&gt;p_dias_backlog_min,tblOrdenes[[#This Row],[backlog_dias]]&lt;=p_dias_backlog_max))</f>
        <v/>
      </c>
      <c r="AB1200" s="6" t="n"/>
      <c r="AC1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0" s="10">
        <f>IF(tblOrdenes[[#This Row],[orden]]="","",_xlfn.XLOOKUP(tblOrdenes[[#This Row],[id_operacion]],tblEjecucion[id_operacion],tblEjecucion[precio],0))</f>
        <v/>
      </c>
      <c r="AG1200" s="10">
        <f>IF(tblOrdenes[[#This Row],[orden]]="","",MAX(0,_xlfn.XLOOKUP(tblOrdenes[[#This Row],[id_operacion]],tblEjecucion[id_operacion],tblEjecucion[costo_plan_total],0)-tblOrdenes[[#This Row],[costo_servicio]]))</f>
        <v/>
      </c>
      <c r="AH1200" s="10">
        <f>IF(tblOrdenes[[#This Row],[orden]]="","",tblOrdenes[[#This Row],[costo_servicio]]+tblOrdenes[[#This Row],[costo_materiales]])</f>
        <v/>
      </c>
      <c r="AI1200" s="6" t="n"/>
      <c r="AJ1200" s="6" t="n"/>
      <c r="AK1200" s="6" t="n"/>
      <c r="AL1200" s="3">
        <f>IF(tblOrdenes[[#This Row],[link_checklist]]="","",HYPERLINK(p_ruta_base_checklists&amp;tblOrdenes[[#This Row],[link_checklist]],"abrir"))</f>
        <v/>
      </c>
      <c r="AM1200" s="6" t="n"/>
      <c r="AN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Row],[tipo_ot]]="","",_xlfn.XLOOKUP(tblOrdenes[[#This Row],[tipo_ot]],tblTiposOT[codigo],tblTiposOT[clasificacion],"sin_clasificar"))</f>
        <v/>
      </c>
      <c r="T1201" s="3">
        <f>IF(tblOrdenes[[#This Row],[centro_costo]]="","",_xlfn.XLOOKUP(tblOrdenes[[#This Row],[centro_costo]],tblCECO[codigo],tblCECO[linea],"(sin catálogo)"))</f>
        <v/>
      </c>
      <c r="U1201" s="3">
        <f>IF(tblOrdenes[[#This Row],[centro_costo]]="","",_xlfn.XLOOKUP(tblOrdenes[[#This Row],[centro_costo]],tblCECO[codigo],tblCECO[area],"(sin catálogo)"))</f>
        <v/>
      </c>
      <c r="V1201" s="3">
        <f>IF(tblOrdenes[[#This Row],[centro_costo]]="","",_xlfn.XLOOKUP(tblOrdenes[[#This Row],[centro_costo]],tblCECO[codigo],tblCECO[coordinador],"(sin catálogo)"))</f>
        <v/>
      </c>
      <c r="W1201" s="3">
        <f>IF(tblOrdenes[[#This Row],[puesto_trabajo]]="","",_xlfn.XLOOKUP(tblOrdenes[[#This Row],[puesto_trabajo]],tblPuestos[codigo],tblPuestos[especialidad],"(sin catálogo)"))</f>
        <v/>
      </c>
      <c r="X1201" s="3">
        <f>IF(tblOrdenes[[#This Row],[cod_actividad]]="","",_xlfn.XLOOKUP(tblOrdenes[[#This Row],[cod_actividad]],tblActividades[codigo],tblActividades[descripcion],"(sin catálogo)"))</f>
        <v/>
      </c>
      <c r="Y1201" s="12">
        <f>IF(tblOrdenes[[#This Row],[fecha_inicio]]="","",TODAY()-tblOrdenes[[#This Row],[fecha_inicio]])</f>
        <v/>
      </c>
      <c r="Z1201" s="3">
        <f>IF(tblOrdenes[[#This Row],[backlog_dias]]="","",IF(tblOrdenes[[#This Row],[backlog_dias]]&lt;0,"FUTURO",IF(tblOrdenes[[#This Row],[backlog_dias]]&gt;p_dias_backlog_max,"BACKLOG","MES CORRIENTE")))</f>
        <v/>
      </c>
      <c r="AA1201" s="3">
        <f>IF(tblOrdenes[[#This Row],[backlog_dias]]="",FALSE,AND(tblOrdenes[[#This Row],[backlog_dias]]&gt;p_dias_backlog_min,tblOrdenes[[#This Row],[backlog_dias]]&lt;=p_dias_backlog_max))</f>
        <v/>
      </c>
      <c r="AB1201" s="6" t="n"/>
      <c r="AC1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1" s="10">
        <f>IF(tblOrdenes[[#This Row],[orden]]="","",_xlfn.XLOOKUP(tblOrdenes[[#This Row],[id_operacion]],tblEjecucion[id_operacion],tblEjecucion[precio],0))</f>
        <v/>
      </c>
      <c r="AG1201" s="10">
        <f>IF(tblOrdenes[[#This Row],[orden]]="","",MAX(0,_xlfn.XLOOKUP(tblOrdenes[[#This Row],[id_operacion]],tblEjecucion[id_operacion],tblEjecucion[costo_plan_total],0)-tblOrdenes[[#This Row],[costo_servicio]]))</f>
        <v/>
      </c>
      <c r="AH1201" s="10">
        <f>IF(tblOrdenes[[#This Row],[orden]]="","",tblOrdenes[[#This Row],[costo_servicio]]+tblOrdenes[[#This Row],[costo_materiales]])</f>
        <v/>
      </c>
      <c r="AI1201" s="6" t="n"/>
      <c r="AJ1201" s="6" t="n"/>
      <c r="AK1201" s="6" t="n"/>
      <c r="AL1201" s="3">
        <f>IF(tblOrdenes[[#This Row],[link_checklist]]="","",HYPERLINK(p_ruta_base_checklists&amp;tblOrdenes[[#This Row],[link_checklist]],"abrir"))</f>
        <v/>
      </c>
      <c r="AM1201" s="6" t="n"/>
      <c r="AN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Row],[tipo_ot]]="","",_xlfn.XLOOKUP(tblOrdenes[[#This Row],[tipo_ot]],tblTiposOT[codigo],tblTiposOT[clasificacion],"sin_clasificar"))</f>
        <v/>
      </c>
      <c r="T1202" s="3">
        <f>IF(tblOrdenes[[#This Row],[centro_costo]]="","",_xlfn.XLOOKUP(tblOrdenes[[#This Row],[centro_costo]],tblCECO[codigo],tblCECO[linea],"(sin catálogo)"))</f>
        <v/>
      </c>
      <c r="U1202" s="3">
        <f>IF(tblOrdenes[[#This Row],[centro_costo]]="","",_xlfn.XLOOKUP(tblOrdenes[[#This Row],[centro_costo]],tblCECO[codigo],tblCECO[area],"(sin catálogo)"))</f>
        <v/>
      </c>
      <c r="V1202" s="3">
        <f>IF(tblOrdenes[[#This Row],[centro_costo]]="","",_xlfn.XLOOKUP(tblOrdenes[[#This Row],[centro_costo]],tblCECO[codigo],tblCECO[coordinador],"(sin catálogo)"))</f>
        <v/>
      </c>
      <c r="W1202" s="3">
        <f>IF(tblOrdenes[[#This Row],[puesto_trabajo]]="","",_xlfn.XLOOKUP(tblOrdenes[[#This Row],[puesto_trabajo]],tblPuestos[codigo],tblPuestos[especialidad],"(sin catálogo)"))</f>
        <v/>
      </c>
      <c r="X1202" s="3">
        <f>IF(tblOrdenes[[#This Row],[cod_actividad]]="","",_xlfn.XLOOKUP(tblOrdenes[[#This Row],[cod_actividad]],tblActividades[codigo],tblActividades[descripcion],"(sin catálogo)"))</f>
        <v/>
      </c>
      <c r="Y1202" s="12">
        <f>IF(tblOrdenes[[#This Row],[fecha_inicio]]="","",TODAY()-tblOrdenes[[#This Row],[fecha_inicio]])</f>
        <v/>
      </c>
      <c r="Z1202" s="3">
        <f>IF(tblOrdenes[[#This Row],[backlog_dias]]="","",IF(tblOrdenes[[#This Row],[backlog_dias]]&lt;0,"FUTURO",IF(tblOrdenes[[#This Row],[backlog_dias]]&gt;p_dias_backlog_max,"BACKLOG","MES CORRIENTE")))</f>
        <v/>
      </c>
      <c r="AA1202" s="3">
        <f>IF(tblOrdenes[[#This Row],[backlog_dias]]="",FALSE,AND(tblOrdenes[[#This Row],[backlog_dias]]&gt;p_dias_backlog_min,tblOrdenes[[#This Row],[backlog_dias]]&lt;=p_dias_backlog_max))</f>
        <v/>
      </c>
      <c r="AB1202" s="6" t="n"/>
      <c r="AC1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2" s="10">
        <f>IF(tblOrdenes[[#This Row],[orden]]="","",_xlfn.XLOOKUP(tblOrdenes[[#This Row],[id_operacion]],tblEjecucion[id_operacion],tblEjecucion[precio],0))</f>
        <v/>
      </c>
      <c r="AG1202" s="10">
        <f>IF(tblOrdenes[[#This Row],[orden]]="","",MAX(0,_xlfn.XLOOKUP(tblOrdenes[[#This Row],[id_operacion]],tblEjecucion[id_operacion],tblEjecucion[costo_plan_total],0)-tblOrdenes[[#This Row],[costo_servicio]]))</f>
        <v/>
      </c>
      <c r="AH1202" s="10">
        <f>IF(tblOrdenes[[#This Row],[orden]]="","",tblOrdenes[[#This Row],[costo_servicio]]+tblOrdenes[[#This Row],[costo_materiales]])</f>
        <v/>
      </c>
      <c r="AI1202" s="6" t="n"/>
      <c r="AJ1202" s="6" t="n"/>
      <c r="AK1202" s="6" t="n"/>
      <c r="AL1202" s="3">
        <f>IF(tblOrdenes[[#This Row],[link_checklist]]="","",HYPERLINK(p_ruta_base_checklists&amp;tblOrdenes[[#This Row],[link_checklist]],"abrir"))</f>
        <v/>
      </c>
      <c r="AM1202" s="6" t="n"/>
      <c r="AN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Row],[tipo_ot]]="","",_xlfn.XLOOKUP(tblOrdenes[[#This Row],[tipo_ot]],tblTiposOT[codigo],tblTiposOT[clasificacion],"sin_clasificar"))</f>
        <v/>
      </c>
      <c r="T1203" s="3">
        <f>IF(tblOrdenes[[#This Row],[centro_costo]]="","",_xlfn.XLOOKUP(tblOrdenes[[#This Row],[centro_costo]],tblCECO[codigo],tblCECO[linea],"(sin catálogo)"))</f>
        <v/>
      </c>
      <c r="U1203" s="3">
        <f>IF(tblOrdenes[[#This Row],[centro_costo]]="","",_xlfn.XLOOKUP(tblOrdenes[[#This Row],[centro_costo]],tblCECO[codigo],tblCECO[area],"(sin catálogo)"))</f>
        <v/>
      </c>
      <c r="V1203" s="3">
        <f>IF(tblOrdenes[[#This Row],[centro_costo]]="","",_xlfn.XLOOKUP(tblOrdenes[[#This Row],[centro_costo]],tblCECO[codigo],tblCECO[coordinador],"(sin catálogo)"))</f>
        <v/>
      </c>
      <c r="W1203" s="3">
        <f>IF(tblOrdenes[[#This Row],[puesto_trabajo]]="","",_xlfn.XLOOKUP(tblOrdenes[[#This Row],[puesto_trabajo]],tblPuestos[codigo],tblPuestos[especialidad],"(sin catálogo)"))</f>
        <v/>
      </c>
      <c r="X1203" s="3">
        <f>IF(tblOrdenes[[#This Row],[cod_actividad]]="","",_xlfn.XLOOKUP(tblOrdenes[[#This Row],[cod_actividad]],tblActividades[codigo],tblActividades[descripcion],"(sin catálogo)"))</f>
        <v/>
      </c>
      <c r="Y1203" s="12">
        <f>IF(tblOrdenes[[#This Row],[fecha_inicio]]="","",TODAY()-tblOrdenes[[#This Row],[fecha_inicio]])</f>
        <v/>
      </c>
      <c r="Z1203" s="3">
        <f>IF(tblOrdenes[[#This Row],[backlog_dias]]="","",IF(tblOrdenes[[#This Row],[backlog_dias]]&lt;0,"FUTURO",IF(tblOrdenes[[#This Row],[backlog_dias]]&gt;p_dias_backlog_max,"BACKLOG","MES CORRIENTE")))</f>
        <v/>
      </c>
      <c r="AA1203" s="3">
        <f>IF(tblOrdenes[[#This Row],[backlog_dias]]="",FALSE,AND(tblOrdenes[[#This Row],[backlog_dias]]&gt;p_dias_backlog_min,tblOrdenes[[#This Row],[backlog_dias]]&lt;=p_dias_backlog_max))</f>
        <v/>
      </c>
      <c r="AB1203" s="6" t="n"/>
      <c r="AC1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3" s="10">
        <f>IF(tblOrdenes[[#This Row],[orden]]="","",_xlfn.XLOOKUP(tblOrdenes[[#This Row],[id_operacion]],tblEjecucion[id_operacion],tblEjecucion[precio],0))</f>
        <v/>
      </c>
      <c r="AG1203" s="10">
        <f>IF(tblOrdenes[[#This Row],[orden]]="","",MAX(0,_xlfn.XLOOKUP(tblOrdenes[[#This Row],[id_operacion]],tblEjecucion[id_operacion],tblEjecucion[costo_plan_total],0)-tblOrdenes[[#This Row],[costo_servicio]]))</f>
        <v/>
      </c>
      <c r="AH1203" s="10">
        <f>IF(tblOrdenes[[#This Row],[orden]]="","",tblOrdenes[[#This Row],[costo_servicio]]+tblOrdenes[[#This Row],[costo_materiales]])</f>
        <v/>
      </c>
      <c r="AI1203" s="6" t="n"/>
      <c r="AJ1203" s="6" t="n"/>
      <c r="AK1203" s="6" t="n"/>
      <c r="AL1203" s="3">
        <f>IF(tblOrdenes[[#This Row],[link_checklist]]="","",HYPERLINK(p_ruta_base_checklists&amp;tblOrdenes[[#This Row],[link_checklist]],"abrir"))</f>
        <v/>
      </c>
      <c r="AM1203" s="6" t="n"/>
      <c r="AN1203" s="3">
        <f>IF(tblOrdenes[[#This Row],[orden]]="","",tblOrdenes[[#This Row],[orden]]&amp;IF(tblOrdenes[[#This Row],[operacion]]="","0010",tblOrdenes[[#This Row],[operacion]]))</f>
        <v/>
      </c>
    </row>
  </sheetData>
  <conditionalFormatting sqref="Y4:Y1203">
    <cfRule type="cellIs" priority="1" operator="greaterThan" dxfId="0">
      <formula>90</formula>
    </cfRule>
  </conditionalFormatting>
  <conditionalFormatting sqref="AB4:AB1203">
    <cfRule type="expression" priority="2" dxfId="1">
      <formula>AND($AA4=TRUE,$AB4="")</formula>
    </cfRule>
  </conditionalFormatting>
  <conditionalFormatting sqref="AE4:AE1203">
    <cfRule type="cellIs" priority="3" operator="lessThan" dxfId="0">
      <formula>0</formula>
    </cfRule>
  </conditionalFormatting>
  <dataValidations count="1">
    <dataValidation sqref="AB4:AB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3">
        <f>IF(OR(tblAsignaciones[[#This Row],[turno]]="",ISNUMBER(MATCH(tblAsignaciones[[#This Row],[turno]],lista_no_disponible,0))),0,p_horas_jornada)</f>
        <v/>
      </c>
      <c r="I4" s="3">
        <f>tblAsignaciones[[#This Row],[semana]]&amp;"|"&amp;tblAsignaciones[[#This Row],[dia]]&amp;"|"&amp;tblAsignaciones[[#This Row],[tecnico]]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3">
        <f>IF(OR(tblAsignaciones[[#This Row],[turno]]="",ISNUMBER(MATCH(tblAsignaciones[[#This Row],[turno]],lista_no_disponible,0))),0,p_horas_jornada)</f>
        <v/>
      </c>
      <c r="I5" s="3">
        <f>tblAsignaciones[[#This Row],[semana]]&amp;"|"&amp;tblAsignaciones[[#This Row],[dia]]&amp;"|"&amp;tblAsignaciones[[#This Row],[tecnico]]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3">
        <f>IF(OR(tblAsignaciones[[#This Row],[turno]]="",ISNUMBER(MATCH(tblAsignaciones[[#This Row],[turno]],lista_no_disponible,0))),0,p_horas_jornada)</f>
        <v/>
      </c>
      <c r="I6" s="3">
        <f>tblAsignaciones[[#This Row],[semana]]&amp;"|"&amp;tblAsignaciones[[#This Row],[dia]]&amp;"|"&amp;tblAsignaciones[[#This Row],[tecnico]]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3">
        <f>IF(OR(tblAsignaciones[[#This Row],[turno]]="",ISNUMBER(MATCH(tblAsignaciones[[#This Row],[turno]],lista_no_disponible,0))),0,p_horas_jornada)</f>
        <v/>
      </c>
      <c r="I7" s="3">
        <f>tblAsignaciones[[#This Row],[semana]]&amp;"|"&amp;tblAsignaciones[[#This Row],[dia]]&amp;"|"&amp;tblAsignaciones[[#This Row],[tecnico]]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3">
        <f>IF(OR(tblAsignaciones[[#This Row],[turno]]="",ISNUMBER(MATCH(tblAsignaciones[[#This Row],[turno]],lista_no_disponible,0))),0,p_horas_jornada)</f>
        <v/>
      </c>
      <c r="I8" s="3">
        <f>tblAsignaciones[[#This Row],[semana]]&amp;"|"&amp;tblAsignaciones[[#This Row],[dia]]&amp;"|"&amp;tblAsignaciones[[#This Row],[tecnico]]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/>
      <c r="G9" s="3">
        <f>_xlfn.XLOOKUP(tblAsignaciones[[#This Row],[tecnico]],tblTecnicos[nombre],tblTecnicos[coordinador],"")</f>
        <v/>
      </c>
      <c r="H9" s="3">
        <f>IF(OR(tblAsignaciones[[#This Row],[turno]]="",ISNUMBER(MATCH(tblAsignaciones[[#This Row],[turno]],lista_no_disponible,0))),0,p_horas_jornada)</f>
        <v/>
      </c>
      <c r="I9" s="3">
        <f>tblAsignaciones[[#This Row],[semana]]&amp;"|"&amp;tblAsignaciones[[#This Row],[dia]]&amp;"|"&amp;tblAsignaciones[[#This Row],[tecnico]]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3">
        <f>IF(OR(tblAsignaciones[[#This Row],[turno]]="",ISNUMBER(MATCH(tblAsignaciones[[#This Row],[turno]],lista_no_disponible,0))),0,p_horas_jornada)</f>
        <v/>
      </c>
      <c r="I10" s="3">
        <f>tblAsignaciones[[#This Row],[semana]]&amp;"|"&amp;tblAsignaciones[[#This Row],[dia]]&amp;"|"&amp;tblAsignaciones[[#This Row],[tecnico]]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3">
        <f>IF(OR(tblAsignaciones[[#This Row],[turno]]="",ISNUMBER(MATCH(tblAsignaciones[[#This Row],[turno]],lista_no_disponible,0))),0,p_horas_jornada)</f>
        <v/>
      </c>
      <c r="I11" s="3">
        <f>tblAsignaciones[[#This Row],[semana]]&amp;"|"&amp;tblAsignaciones[[#This Row],[dia]]&amp;"|"&amp;tblAsignaciones[[#This Row],[tecnico]]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3">
        <f>IF(OR(tblAsignaciones[[#This Row],[turno]]="",ISNUMBER(MATCH(tblAsignaciones[[#This Row],[turno]],lista_no_disponible,0))),0,p_horas_jornada)</f>
        <v/>
      </c>
      <c r="I12" s="3">
        <f>tblAsignaciones[[#This Row],[semana]]&amp;"|"&amp;tblAsignaciones[[#This Row],[dia]]&amp;"|"&amp;tblAsignaciones[[#This Row],[tecnico]]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3">
        <f>IF(OR(tblAsignaciones[[#This Row],[turno]]="",ISNUMBER(MATCH(tblAsignaciones[[#This Row],[turno]],lista_no_disponible,0))),0,p_horas_jornada)</f>
        <v/>
      </c>
      <c r="I13" s="3">
        <f>tblAsignaciones[[#This Row],[semana]]&amp;"|"&amp;tblAsignaciones[[#This Row],[dia]]&amp;"|"&amp;tblAsignaciones[[#This Row],[tecnico]]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3">
        <f>IF(OR(tblAsignaciones[[#This Row],[turno]]="",ISNUMBER(MATCH(tblAsignaciones[[#This Row],[turno]],lista_no_disponible,0))),0,p_horas_jornada)</f>
        <v/>
      </c>
      <c r="I14" s="3">
        <f>tblAsignaciones[[#This Row],[semana]]&amp;"|"&amp;tblAsignaciones[[#This Row],[dia]]&amp;"|"&amp;tblAsignaciones[[#This Row],[tecnico]]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3">
        <f>IF(OR(tblAsignaciones[[#This Row],[turno]]="",ISNUMBER(MATCH(tblAsignaciones[[#This Row],[turno]],lista_no_disponible,0))),0,p_horas_jornada)</f>
        <v/>
      </c>
      <c r="I15" s="3">
        <f>tblAsignaciones[[#This Row],[semana]]&amp;"|"&amp;tblAsignaciones[[#This Row],[dia]]&amp;"|"&amp;tblAsignaciones[[#This Row],[tecnico]]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/>
      <c r="G16" s="3">
        <f>_xlfn.XLOOKUP(tblAsignaciones[[#This Row],[tecnico]],tblTecnicos[nombre],tblTecnicos[coordinador],"")</f>
        <v/>
      </c>
      <c r="H16" s="3">
        <f>IF(OR(tblAsignaciones[[#This Row],[turno]]="",ISNUMBER(MATCH(tblAsignaciones[[#This Row],[turno]],lista_no_disponible,0))),0,p_horas_jornada)</f>
        <v/>
      </c>
      <c r="I16" s="3">
        <f>tblAsignaciones[[#This Row],[semana]]&amp;"|"&amp;tblAsignaciones[[#This Row],[dia]]&amp;"|"&amp;tblAsignaciones[[#This Row],[tecnico]]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3">
        <f>IF(OR(tblAsignaciones[[#This Row],[turno]]="",ISNUMBER(MATCH(tblAsignaciones[[#This Row],[turno]],lista_no_disponible,0))),0,p_horas_jornada)</f>
        <v/>
      </c>
      <c r="I17" s="3">
        <f>tblAsignaciones[[#This Row],[semana]]&amp;"|"&amp;tblAsignaciones[[#This Row],[dia]]&amp;"|"&amp;tblAsignaciones[[#This Row],[tecnico]]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3">
        <f>IF(OR(tblAsignaciones[[#This Row],[turno]]="",ISNUMBER(MATCH(tblAsignaciones[[#This Row],[turno]],lista_no_disponible,0))),0,p_horas_jornada)</f>
        <v/>
      </c>
      <c r="I18" s="3">
        <f>tblAsignaciones[[#This Row],[semana]]&amp;"|"&amp;tblAsignaciones[[#This Row],[dia]]&amp;"|"&amp;tblAsignaciones[[#This Row],[tecnico]]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3">
        <f>IF(OR(tblAsignaciones[[#This Row],[turno]]="",ISNUMBER(MATCH(tblAsignaciones[[#This Row],[turno]],lista_no_disponible,0))),0,p_horas_jornada)</f>
        <v/>
      </c>
      <c r="I19" s="3">
        <f>tblAsignaciones[[#This Row],[semana]]&amp;"|"&amp;tblAsignaciones[[#This Row],[dia]]&amp;"|"&amp;tblAsignaciones[[#This Row],[tecnico]]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3">
        <f>IF(OR(tblAsignaciones[[#This Row],[turno]]="",ISNUMBER(MATCH(tblAsignaciones[[#This Row],[turno]],lista_no_disponible,0))),0,p_horas_jornada)</f>
        <v/>
      </c>
      <c r="I20" s="3">
        <f>tblAsignaciones[[#This Row],[semana]]&amp;"|"&amp;tblAsignaciones[[#This Row],[dia]]&amp;"|"&amp;tblAsignaciones[[#This Row],[tecnico]]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3">
        <f>IF(OR(tblAsignaciones[[#This Row],[turno]]="",ISNUMBER(MATCH(tblAsignaciones[[#This Row],[turno]],lista_no_disponible,0))),0,p_horas_jornada)</f>
        <v/>
      </c>
      <c r="I21" s="3">
        <f>tblAsignaciones[[#This Row],[semana]]&amp;"|"&amp;tblAsignaciones[[#This Row],[dia]]&amp;"|"&amp;tblAsignaciones[[#This Row],[tecnico]]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3">
        <f>IF(OR(tblAsignaciones[[#This Row],[turno]]="",ISNUMBER(MATCH(tblAsignaciones[[#This Row],[turno]],lista_no_disponible,0))),0,p_horas_jornada)</f>
        <v/>
      </c>
      <c r="I22" s="3">
        <f>tblAsignaciones[[#This Row],[semana]]&amp;"|"&amp;tblAsignaciones[[#This Row],[dia]]&amp;"|"&amp;tblAsignaciones[[#This Row],[tecnico]]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/>
      <c r="G23" s="3">
        <f>_xlfn.XLOOKUP(tblAsignaciones[[#This Row],[tecnico]],tblTecnicos[nombre],tblTecnicos[coordinador],"")</f>
        <v/>
      </c>
      <c r="H23" s="3">
        <f>IF(OR(tblAsignaciones[[#This Row],[turno]]="",ISNUMBER(MATCH(tblAsignaciones[[#This Row],[turno]],lista_no_disponible,0))),0,p_horas_jornada)</f>
        <v/>
      </c>
      <c r="I23" s="3">
        <f>tblAsignaciones[[#This Row],[semana]]&amp;"|"&amp;tblAsignaciones[[#This Row],[dia]]&amp;"|"&amp;tblAsignaciones[[#This Row],[tecnico]]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3">
        <f>IF(OR(tblAsignaciones[[#This Row],[turno]]="",ISNUMBER(MATCH(tblAsignaciones[[#This Row],[turno]],lista_no_disponible,0))),0,p_horas_jornada)</f>
        <v/>
      </c>
      <c r="I24" s="3">
        <f>tblAsignaciones[[#This Row],[semana]]&amp;"|"&amp;tblAsignaciones[[#This Row],[dia]]&amp;"|"&amp;tblAsignaciones[[#This Row],[tecnico]]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3">
        <f>IF(OR(tblAsignaciones[[#This Row],[turno]]="",ISNUMBER(MATCH(tblAsignaciones[[#This Row],[turno]],lista_no_disponible,0))),0,p_horas_jornada)</f>
        <v/>
      </c>
      <c r="I25" s="3">
        <f>tblAsignaciones[[#This Row],[semana]]&amp;"|"&amp;tblAsignaciones[[#This Row],[dia]]&amp;"|"&amp;tblAsignaciones[[#This Row],[tecnico]]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3">
        <f>IF(OR(tblAsignaciones[[#This Row],[turno]]="",ISNUMBER(MATCH(tblAsignaciones[[#This Row],[turno]],lista_no_disponible,0))),0,p_horas_jornada)</f>
        <v/>
      </c>
      <c r="I26" s="3">
        <f>tblAsignaciones[[#This Row],[semana]]&amp;"|"&amp;tblAsignaciones[[#This Row],[dia]]&amp;"|"&amp;tblAsignaciones[[#This Row],[tecnico]]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3">
        <f>IF(OR(tblAsignaciones[[#This Row],[turno]]="",ISNUMBER(MATCH(tblAsignaciones[[#This Row],[turno]],lista_no_disponible,0))),0,p_horas_jornada)</f>
        <v/>
      </c>
      <c r="I27" s="3">
        <f>tblAsignaciones[[#This Row],[semana]]&amp;"|"&amp;tblAsignaciones[[#This Row],[dia]]&amp;"|"&amp;tblAsignaciones[[#This Row],[tecnico]]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3">
        <f>IF(OR(tblAsignaciones[[#This Row],[turno]]="",ISNUMBER(MATCH(tblAsignaciones[[#This Row],[turno]],lista_no_disponible,0))),0,p_horas_jornada)</f>
        <v/>
      </c>
      <c r="I28" s="3">
        <f>tblAsignaciones[[#This Row],[semana]]&amp;"|"&amp;tblAsignaciones[[#This Row],[dia]]&amp;"|"&amp;tblAsignaciones[[#This Row],[tecnico]]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3">
        <f>IF(OR(tblAsignaciones[[#This Row],[turno]]="",ISNUMBER(MATCH(tblAsignaciones[[#This Row],[turno]],lista_no_disponible,0))),0,p_horas_jornada)</f>
        <v/>
      </c>
      <c r="I29" s="3">
        <f>tblAsignaciones[[#This Row],[semana]]&amp;"|"&amp;tblAsignaciones[[#This Row],[dia]]&amp;"|"&amp;tblAsignaciones[[#This Row],[tecnico]]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/>
      <c r="G30" s="3">
        <f>_xlfn.XLOOKUP(tblAsignaciones[[#This Row],[tecnico]],tblTecnicos[nombre],tblTecnicos[coordinador],"")</f>
        <v/>
      </c>
      <c r="H30" s="3">
        <f>IF(OR(tblAsignaciones[[#This Row],[turno]]="",ISNUMBER(MATCH(tblAsignaciones[[#This Row],[turno]],lista_no_disponible,0))),0,p_horas_jornada)</f>
        <v/>
      </c>
      <c r="I30" s="3">
        <f>tblAsignaciones[[#This Row],[semana]]&amp;"|"&amp;tblAsignaciones[[#This Row],[dia]]&amp;"|"&amp;tblAsignaciones[[#This Row],[tecnico]]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3">
        <f>IF(OR(tblAsignaciones[[#This Row],[turno]]="",ISNUMBER(MATCH(tblAsignaciones[[#This Row],[turno]],lista_no_disponible,0))),0,p_horas_jornada)</f>
        <v/>
      </c>
      <c r="I31" s="3">
        <f>tblAsignaciones[[#This Row],[semana]]&amp;"|"&amp;tblAsignaciones[[#This Row],[dia]]&amp;"|"&amp;tblAsignaciones[[#This Row],[tecnico]]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3">
        <f>IF(OR(tblAsignaciones[[#This Row],[turno]]="",ISNUMBER(MATCH(tblAsignaciones[[#This Row],[turno]],lista_no_disponible,0))),0,p_horas_jornada)</f>
        <v/>
      </c>
      <c r="I32" s="3">
        <f>tblAsignaciones[[#This Row],[semana]]&amp;"|"&amp;tblAsignaciones[[#This Row],[dia]]&amp;"|"&amp;tblAsignaciones[[#This Row],[tecnico]]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3">
        <f>IF(OR(tblAsignaciones[[#This Row],[turno]]="",ISNUMBER(MATCH(tblAsignaciones[[#This Row],[turno]],lista_no_disponible,0))),0,p_horas_jornada)</f>
        <v/>
      </c>
      <c r="I33" s="3">
        <f>tblAsignaciones[[#This Row],[semana]]&amp;"|"&amp;tblAsignaciones[[#This Row],[dia]]&amp;"|"&amp;tblAsignaciones[[#This Row],[tecnico]]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3">
        <f>IF(OR(tblAsignaciones[[#This Row],[turno]]="",ISNUMBER(MATCH(tblAsignaciones[[#This Row],[turno]],lista_no_disponible,0))),0,p_horas_jornada)</f>
        <v/>
      </c>
      <c r="I34" s="3">
        <f>tblAsignaciones[[#This Row],[semana]]&amp;"|"&amp;tblAsignaciones[[#This Row],[dia]]&amp;"|"&amp;tblAsignaciones[[#This Row],[tecnico]]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3">
        <f>IF(OR(tblAsignaciones[[#This Row],[turno]]="",ISNUMBER(MATCH(tblAsignaciones[[#This Row],[turno]],lista_no_disponible,0))),0,p_horas_jornada)</f>
        <v/>
      </c>
      <c r="I35" s="3">
        <f>tblAsignaciones[[#This Row],[semana]]&amp;"|"&amp;tblAsignaciones[[#This Row],[dia]]&amp;"|"&amp;tblAsignaciones[[#This Row],[tecnico]]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3">
        <f>IF(OR(tblAsignaciones[[#This Row],[turno]]="",ISNUMBER(MATCH(tblAsignaciones[[#This Row],[turno]],lista_no_disponible,0))),0,p_horas_jornada)</f>
        <v/>
      </c>
      <c r="I36" s="3">
        <f>tblAsignaciones[[#This Row],[semana]]&amp;"|"&amp;tblAsignaciones[[#This Row],[dia]]&amp;"|"&amp;tblAsignaciones[[#This Row],[tecnico]]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/>
      <c r="G37" s="3">
        <f>_xlfn.XLOOKUP(tblAsignaciones[[#This Row],[tecnico]],tblTecnicos[nombre],tblTecnicos[coordinador],"")</f>
        <v/>
      </c>
      <c r="H37" s="3">
        <f>IF(OR(tblAsignaciones[[#This Row],[turno]]="",ISNUMBER(MATCH(tblAsignaciones[[#This Row],[turno]],lista_no_disponible,0))),0,p_horas_jornada)</f>
        <v/>
      </c>
      <c r="I37" s="3">
        <f>tblAsignaciones[[#This Row],[semana]]&amp;"|"&amp;tblAsignaciones[[#This Row],[dia]]&amp;"|"&amp;tblAsignaciones[[#This Row],[tecnico]]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3">
        <f>IF(OR(tblAsignaciones[[#This Row],[turno]]="",ISNUMBER(MATCH(tblAsignaciones[[#This Row],[turno]],lista_no_disponible,0))),0,p_horas_jornada)</f>
        <v/>
      </c>
      <c r="I38" s="3">
        <f>tblAsignaciones[[#This Row],[semana]]&amp;"|"&amp;tblAsignaciones[[#This Row],[dia]]&amp;"|"&amp;tblAsignaciones[[#This Row],[tecnico]]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3">
        <f>IF(OR(tblAsignaciones[[#This Row],[turno]]="",ISNUMBER(MATCH(tblAsignaciones[[#This Row],[turno]],lista_no_disponible,0))),0,p_horas_jornada)</f>
        <v/>
      </c>
      <c r="I39" s="3">
        <f>tblAsignaciones[[#This Row],[semana]]&amp;"|"&amp;tblAsignaciones[[#This Row],[dia]]&amp;"|"&amp;tblAsignaciones[[#This Row],[tecnico]]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3">
        <f>IF(OR(tblAsignaciones[[#This Row],[turno]]="",ISNUMBER(MATCH(tblAsignaciones[[#This Row],[turno]],lista_no_disponible,0))),0,p_horas_jornada)</f>
        <v/>
      </c>
      <c r="I40" s="3">
        <f>tblAsignaciones[[#This Row],[semana]]&amp;"|"&amp;tblAsignaciones[[#This Row],[dia]]&amp;"|"&amp;tblAsignaciones[[#This Row],[tecnico]]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3">
        <f>IF(OR(tblAsignaciones[[#This Row],[turno]]="",ISNUMBER(MATCH(tblAsignaciones[[#This Row],[turno]],lista_no_disponible,0))),0,p_horas_jornada)</f>
        <v/>
      </c>
      <c r="I41" s="3">
        <f>tblAsignaciones[[#This Row],[semana]]&amp;"|"&amp;tblAsignaciones[[#This Row],[dia]]&amp;"|"&amp;tblAsignaciones[[#This Row],[tecnico]]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3">
        <f>IF(OR(tblAsignaciones[[#This Row],[turno]]="",ISNUMBER(MATCH(tblAsignaciones[[#This Row],[turno]],lista_no_disponible,0))),0,p_horas_jornada)</f>
        <v/>
      </c>
      <c r="I42" s="3">
        <f>tblAsignaciones[[#This Row],[semana]]&amp;"|"&amp;tblAsignaciones[[#This Row],[dia]]&amp;"|"&amp;tblAsignaciones[[#This Row],[tecnico]]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3">
        <f>IF(OR(tblAsignaciones[[#This Row],[turno]]="",ISNUMBER(MATCH(tblAsignaciones[[#This Row],[turno]],lista_no_disponible,0))),0,p_horas_jornada)</f>
        <v/>
      </c>
      <c r="I43" s="3">
        <f>tblAsignaciones[[#This Row],[semana]]&amp;"|"&amp;tblAsignaciones[[#This Row],[dia]]&amp;"|"&amp;tblAsignaciones[[#This Row],[tecnico]]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/>
      <c r="G44" s="3">
        <f>_xlfn.XLOOKUP(tblAsignaciones[[#This Row],[tecnico]],tblTecnicos[nombre],tblTecnicos[coordinador],"")</f>
        <v/>
      </c>
      <c r="H44" s="3">
        <f>IF(OR(tblAsignaciones[[#This Row],[turno]]="",ISNUMBER(MATCH(tblAsignaciones[[#This Row],[turno]],lista_no_disponible,0))),0,p_horas_jornada)</f>
        <v/>
      </c>
      <c r="I44" s="3">
        <f>tblAsignaciones[[#This Row],[semana]]&amp;"|"&amp;tblAsignaciones[[#This Row],[dia]]&amp;"|"&amp;tblAsignaciones[[#This Row],[tecnico]]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3">
        <f>IF(OR(tblAsignaciones[[#This Row],[turno]]="",ISNUMBER(MATCH(tblAsignaciones[[#This Row],[turno]],lista_no_disponible,0))),0,p_horas_jornada)</f>
        <v/>
      </c>
      <c r="I45" s="3">
        <f>tblAsignaciones[[#This Row],[semana]]&amp;"|"&amp;tblAsignaciones[[#This Row],[dia]]&amp;"|"&amp;tblAsignaciones[[#This Row],[tecnico]]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3">
        <f>IF(OR(tblAsignaciones[[#This Row],[turno]]="",ISNUMBER(MATCH(tblAsignaciones[[#This Row],[turno]],lista_no_disponible,0))),0,p_horas_jornada)</f>
        <v/>
      </c>
      <c r="I46" s="3">
        <f>tblAsignaciones[[#This Row],[semana]]&amp;"|"&amp;tblAsignaciones[[#This Row],[dia]]&amp;"|"&amp;tblAsignaciones[[#This Row],[tecnico]]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3">
        <f>IF(OR(tblAsignaciones[[#This Row],[turno]]="",ISNUMBER(MATCH(tblAsignaciones[[#This Row],[turno]],lista_no_disponible,0))),0,p_horas_jornada)</f>
        <v/>
      </c>
      <c r="I47" s="3">
        <f>tblAsignaciones[[#This Row],[semana]]&amp;"|"&amp;tblAsignaciones[[#This Row],[dia]]&amp;"|"&amp;tblAsignaciones[[#This Row],[tecnico]]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3">
        <f>IF(OR(tblAsignaciones[[#This Row],[turno]]="",ISNUMBER(MATCH(tblAsignaciones[[#This Row],[turno]],lista_no_disponible,0))),0,p_horas_jornada)</f>
        <v/>
      </c>
      <c r="I48" s="3">
        <f>tblAsignaciones[[#This Row],[semana]]&amp;"|"&amp;tblAsignaciones[[#This Row],[dia]]&amp;"|"&amp;tblAsignaciones[[#This Row],[tecnico]]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3">
        <f>IF(OR(tblAsignaciones[[#This Row],[turno]]="",ISNUMBER(MATCH(tblAsignaciones[[#This Row],[turno]],lista_no_disponible,0))),0,p_horas_jornada)</f>
        <v/>
      </c>
      <c r="I49" s="3">
        <f>tblAsignaciones[[#This Row],[semana]]&amp;"|"&amp;tblAsignaciones[[#This Row],[dia]]&amp;"|"&amp;tblAsignaciones[[#This Row],[tecnico]]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3">
        <f>IF(OR(tblAsignaciones[[#This Row],[turno]]="",ISNUMBER(MATCH(tblAsignaciones[[#This Row],[turno]],lista_no_disponible,0))),0,p_horas_jornada)</f>
        <v/>
      </c>
      <c r="I50" s="3">
        <f>tblAsignaciones[[#This Row],[semana]]&amp;"|"&amp;tblAsignaciones[[#This Row],[dia]]&amp;"|"&amp;tblAsignaciones[[#This Row],[tecnico]]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/>
      <c r="G51" s="3">
        <f>_xlfn.XLOOKUP(tblAsignaciones[[#This Row],[tecnico]],tblTecnicos[nombre],tblTecnicos[coordinador],"")</f>
        <v/>
      </c>
      <c r="H51" s="3">
        <f>IF(OR(tblAsignaciones[[#This Row],[turno]]="",ISNUMBER(MATCH(tblAsignaciones[[#This Row],[turno]],lista_no_disponible,0))),0,p_horas_jornada)</f>
        <v/>
      </c>
      <c r="I51" s="3">
        <f>tblAsignaciones[[#This Row],[semana]]&amp;"|"&amp;tblAsignaciones[[#This Row],[dia]]&amp;"|"&amp;tblAsignaciones[[#This Row],[tecnico]]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3">
        <f>IF(OR(tblAsignaciones[[#This Row],[turno]]="",ISNUMBER(MATCH(tblAsignaciones[[#This Row],[turno]],lista_no_disponible,0))),0,p_horas_jornada)</f>
        <v/>
      </c>
      <c r="I52" s="3">
        <f>tblAsignaciones[[#This Row],[semana]]&amp;"|"&amp;tblAsignaciones[[#This Row],[dia]]&amp;"|"&amp;tblAsignaciones[[#This Row],[tecnico]]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3">
        <f>IF(OR(tblAsignaciones[[#This Row],[turno]]="",ISNUMBER(MATCH(tblAsignaciones[[#This Row],[turno]],lista_no_disponible,0))),0,p_horas_jornada)</f>
        <v/>
      </c>
      <c r="I53" s="3">
        <f>tblAsignaciones[[#This Row],[semana]]&amp;"|"&amp;tblAsignaciones[[#This Row],[dia]]&amp;"|"&amp;tblAsignaciones[[#This Row],[tecnico]]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3">
        <f>IF(OR(tblAsignaciones[[#This Row],[turno]]="",ISNUMBER(MATCH(tblAsignaciones[[#This Row],[turno]],lista_no_disponible,0))),0,p_horas_jornada)</f>
        <v/>
      </c>
      <c r="I54" s="3">
        <f>tblAsignaciones[[#This Row],[semana]]&amp;"|"&amp;tblAsignaciones[[#This Row],[dia]]&amp;"|"&amp;tblAsignaciones[[#This Row],[tecnico]]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3">
        <f>IF(OR(tblAsignaciones[[#This Row],[turno]]="",ISNUMBER(MATCH(tblAsignaciones[[#This Row],[turno]],lista_no_disponible,0))),0,p_horas_jornada)</f>
        <v/>
      </c>
      <c r="I55" s="3">
        <f>tblAsignaciones[[#This Row],[semana]]&amp;"|"&amp;tblAsignaciones[[#This Row],[dia]]&amp;"|"&amp;tblAsignaciones[[#This Row],[tecnico]]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3">
        <f>IF(OR(tblAsignaciones[[#This Row],[turno]]="",ISNUMBER(MATCH(tblAsignaciones[[#This Row],[turno]],lista_no_disponible,0))),0,p_horas_jornada)</f>
        <v/>
      </c>
      <c r="I56" s="3">
        <f>tblAsignaciones[[#This Row],[semana]]&amp;"|"&amp;tblAsignaciones[[#This Row],[dia]]&amp;"|"&amp;tblAsignaciones[[#This Row],[tecnico]]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3">
        <f>IF(OR(tblAsignaciones[[#This Row],[turno]]="",ISNUMBER(MATCH(tblAsignaciones[[#This Row],[turno]],lista_no_disponible,0))),0,p_horas_jornada)</f>
        <v/>
      </c>
      <c r="I57" s="3">
        <f>tblAsignaciones[[#This Row],[semana]]&amp;"|"&amp;tblAsignaciones[[#This Row],[dia]]&amp;"|"&amp;tblAsignaciones[[#This Row],[tecnico]]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/>
      <c r="G58" s="3">
        <f>_xlfn.XLOOKUP(tblAsignaciones[[#This Row],[tecnico]],tblTecnicos[nombre],tblTecnicos[coordinador],"")</f>
        <v/>
      </c>
      <c r="H58" s="3">
        <f>IF(OR(tblAsignaciones[[#This Row],[turno]]="",ISNUMBER(MATCH(tblAsignaciones[[#This Row],[turno]],lista_no_disponible,0))),0,p_horas_jornada)</f>
        <v/>
      </c>
      <c r="I58" s="3">
        <f>tblAsignaciones[[#This Row],[semana]]&amp;"|"&amp;tblAsignaciones[[#This Row],[dia]]&amp;"|"&amp;tblAsignaciones[[#This Row],[tecnico]]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3">
        <f>IF(OR(tblAsignaciones[[#This Row],[turno]]="",ISNUMBER(MATCH(tblAsignaciones[[#This Row],[turno]],lista_no_disponible,0))),0,p_horas_jornada)</f>
        <v/>
      </c>
      <c r="I59" s="3">
        <f>tblAsignaciones[[#This Row],[semana]]&amp;"|"&amp;tblAsignaciones[[#This Row],[dia]]&amp;"|"&amp;tblAsignaciones[[#This Row],[tecnico]]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3">
        <f>IF(OR(tblAsignaciones[[#This Row],[turno]]="",ISNUMBER(MATCH(tblAsignaciones[[#This Row],[turno]],lista_no_disponible,0))),0,p_horas_jornada)</f>
        <v/>
      </c>
      <c r="I60" s="3">
        <f>tblAsignaciones[[#This Row],[semana]]&amp;"|"&amp;tblAsignaciones[[#This Row],[dia]]&amp;"|"&amp;tblAsignaciones[[#This Row],[tecnico]]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3">
        <f>IF(OR(tblAsignaciones[[#This Row],[turno]]="",ISNUMBER(MATCH(tblAsignaciones[[#This Row],[turno]],lista_no_disponible,0))),0,p_horas_jornada)</f>
        <v/>
      </c>
      <c r="I61" s="3">
        <f>tblAsignaciones[[#This Row],[semana]]&amp;"|"&amp;tblAsignaciones[[#This Row],[dia]]&amp;"|"&amp;tblAsignaciones[[#This Row],[tecnico]]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3">
        <f>IF(OR(tblAsignaciones[[#This Row],[turno]]="",ISNUMBER(MATCH(tblAsignaciones[[#This Row],[turno]],lista_no_disponible,0))),0,p_horas_jornada)</f>
        <v/>
      </c>
      <c r="I62" s="3">
        <f>tblAsignaciones[[#This Row],[semana]]&amp;"|"&amp;tblAsignaciones[[#This Row],[dia]]&amp;"|"&amp;tblAsignaciones[[#This Row],[tecnico]]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3">
        <f>IF(OR(tblAsignaciones[[#This Row],[turno]]="",ISNUMBER(MATCH(tblAsignaciones[[#This Row],[turno]],lista_no_disponible,0))),0,p_horas_jornada)</f>
        <v/>
      </c>
      <c r="I63" s="3">
        <f>tblAsignaciones[[#This Row],[semana]]&amp;"|"&amp;tblAsignaciones[[#This Row],[dia]]&amp;"|"&amp;tblAsignaciones[[#This Row],[tecnico]]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3">
        <f>IF(OR(tblAsignaciones[[#This Row],[turno]]="",ISNUMBER(MATCH(tblAsignaciones[[#This Row],[turno]],lista_no_disponible,0))),0,p_horas_jornada)</f>
        <v/>
      </c>
      <c r="I64" s="3">
        <f>tblAsignaciones[[#This Row],[semana]]&amp;"|"&amp;tblAsignaciones[[#This Row],[dia]]&amp;"|"&amp;tblAsignaciones[[#This Row],[tecnico]]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/>
      <c r="G65" s="3">
        <f>_xlfn.XLOOKUP(tblAsignaciones[[#This Row],[tecnico]],tblTecnicos[nombre],tblTecnicos[coordinador],"")</f>
        <v/>
      </c>
      <c r="H65" s="3">
        <f>IF(OR(tblAsignaciones[[#This Row],[turno]]="",ISNUMBER(MATCH(tblAsignaciones[[#This Row],[turno]],lista_no_disponible,0))),0,p_horas_jornada)</f>
        <v/>
      </c>
      <c r="I65" s="3">
        <f>tblAsignaciones[[#This Row],[semana]]&amp;"|"&amp;tblAsignaciones[[#This Row],[dia]]&amp;"|"&amp;tblAsignaciones[[#This Row],[tecnico]]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3">
        <f>IF(OR(tblAsignaciones[[#This Row],[turno]]="",ISNUMBER(MATCH(tblAsignaciones[[#This Row],[turno]],lista_no_disponible,0))),0,p_horas_jornada)</f>
        <v/>
      </c>
      <c r="I66" s="3">
        <f>tblAsignaciones[[#This Row],[semana]]&amp;"|"&amp;tblAsignaciones[[#This Row],[dia]]&amp;"|"&amp;tblAsignaciones[[#This Row],[tecnico]]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3">
        <f>IF(OR(tblAsignaciones[[#This Row],[turno]]="",ISNUMBER(MATCH(tblAsignaciones[[#This Row],[turno]],lista_no_disponible,0))),0,p_horas_jornada)</f>
        <v/>
      </c>
      <c r="I67" s="3">
        <f>tblAsignaciones[[#This Row],[semana]]&amp;"|"&amp;tblAsignaciones[[#This Row],[dia]]&amp;"|"&amp;tblAsignaciones[[#This Row],[tecnico]]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3">
        <f>IF(OR(tblAsignaciones[[#This Row],[turno]]="",ISNUMBER(MATCH(tblAsignaciones[[#This Row],[turno]],lista_no_disponible,0))),0,p_horas_jornada)</f>
        <v/>
      </c>
      <c r="I68" s="3">
        <f>tblAsignaciones[[#This Row],[semana]]&amp;"|"&amp;tblAsignaciones[[#This Row],[dia]]&amp;"|"&amp;tblAsignaciones[[#This Row],[tecnico]]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3">
        <f>IF(OR(tblAsignaciones[[#This Row],[turno]]="",ISNUMBER(MATCH(tblAsignaciones[[#This Row],[turno]],lista_no_disponible,0))),0,p_horas_jornada)</f>
        <v/>
      </c>
      <c r="I69" s="3">
        <f>tblAsignaciones[[#This Row],[semana]]&amp;"|"&amp;tblAsignaciones[[#This Row],[dia]]&amp;"|"&amp;tblAsignaciones[[#This Row],[tecnico]]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3">
        <f>IF(OR(tblAsignaciones[[#This Row],[turno]]="",ISNUMBER(MATCH(tblAsignaciones[[#This Row],[turno]],lista_no_disponible,0))),0,p_horas_jornada)</f>
        <v/>
      </c>
      <c r="I70" s="3">
        <f>tblAsignaciones[[#This Row],[semana]]&amp;"|"&amp;tblAsignaciones[[#This Row],[dia]]&amp;"|"&amp;tblAsignaciones[[#This Row],[tecnico]]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3">
        <f>IF(OR(tblAsignaciones[[#This Row],[turno]]="",ISNUMBER(MATCH(tblAsignaciones[[#This Row],[turno]],lista_no_disponible,0))),0,p_horas_jornada)</f>
        <v/>
      </c>
      <c r="I71" s="3">
        <f>tblAsignaciones[[#This Row],[semana]]&amp;"|"&amp;tblAsignaciones[[#This Row],[dia]]&amp;"|"&amp;tblAsignaciones[[#This Row],[tecnico]]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/>
      <c r="G72" s="3">
        <f>_xlfn.XLOOKUP(tblAsignaciones[[#This Row],[tecnico]],tblTecnicos[nombre],tblTecnicos[coordinador],"")</f>
        <v/>
      </c>
      <c r="H72" s="3">
        <f>IF(OR(tblAsignaciones[[#This Row],[turno]]="",ISNUMBER(MATCH(tblAsignaciones[[#This Row],[turno]],lista_no_disponible,0))),0,p_horas_jornada)</f>
        <v/>
      </c>
      <c r="I72" s="3">
        <f>tblAsignaciones[[#This Row],[semana]]&amp;"|"&amp;tblAsignaciones[[#This Row],[dia]]&amp;"|"&amp;tblAsignaciones[[#This Row],[tecnico]]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3">
        <f>IF(OR(tblAsignaciones[[#This Row],[turno]]="",ISNUMBER(MATCH(tblAsignaciones[[#This Row],[turno]],lista_no_disponible,0))),0,p_horas_jornada)</f>
        <v/>
      </c>
      <c r="I73" s="3">
        <f>tblAsignaciones[[#This Row],[semana]]&amp;"|"&amp;tblAsignaciones[[#This Row],[dia]]&amp;"|"&amp;tblAsignaciones[[#This Row],[tecnico]]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3">
        <f>IF(OR(tblAsignaciones[[#This Row],[turno]]="",ISNUMBER(MATCH(tblAsignaciones[[#This Row],[turno]],lista_no_disponible,0))),0,p_horas_jornada)</f>
        <v/>
      </c>
      <c r="I74" s="3">
        <f>tblAsignaciones[[#This Row],[semana]]&amp;"|"&amp;tblAsignaciones[[#This Row],[dia]]&amp;"|"&amp;tblAsignaciones[[#This Row],[tecnico]]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3">
        <f>IF(OR(tblAsignaciones[[#This Row],[turno]]="",ISNUMBER(MATCH(tblAsignaciones[[#This Row],[turno]],lista_no_disponible,0))),0,p_horas_jornada)</f>
        <v/>
      </c>
      <c r="I75" s="3">
        <f>tblAsignaciones[[#This Row],[semana]]&amp;"|"&amp;tblAsignaciones[[#This Row],[dia]]&amp;"|"&amp;tblAsignaciones[[#This Row],[tecnico]]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3">
        <f>IF(OR(tblAsignaciones[[#This Row],[turno]]="",ISNUMBER(MATCH(tblAsignaciones[[#This Row],[turno]],lista_no_disponible,0))),0,p_horas_jornada)</f>
        <v/>
      </c>
      <c r="I76" s="3">
        <f>tblAsignaciones[[#This Row],[semana]]&amp;"|"&amp;tblAsignaciones[[#This Row],[dia]]&amp;"|"&amp;tblAsignaciones[[#This Row],[tecnico]]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3">
        <f>IF(OR(tblAsignaciones[[#This Row],[turno]]="",ISNUMBER(MATCH(tblAsignaciones[[#This Row],[turno]],lista_no_disponible,0))),0,p_horas_jornada)</f>
        <v/>
      </c>
      <c r="I77" s="3">
        <f>tblAsignaciones[[#This Row],[semana]]&amp;"|"&amp;tblAsignaciones[[#This Row],[dia]]&amp;"|"&amp;tblAsignaciones[[#This Row],[tecnico]]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3">
        <f>IF(OR(tblAsignaciones[[#This Row],[turno]]="",ISNUMBER(MATCH(tblAsignaciones[[#This Row],[turno]],lista_no_disponible,0))),0,p_horas_jornada)</f>
        <v/>
      </c>
      <c r="I78" s="3">
        <f>tblAsignaciones[[#This Row],[semana]]&amp;"|"&amp;tblAsignaciones[[#This Row],[dia]]&amp;"|"&amp;tblAsignaciones[[#This Row],[tecnico]]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/>
      <c r="G79" s="3">
        <f>_xlfn.XLOOKUP(tblAsignaciones[[#This Row],[tecnico]],tblTecnicos[nombre],tblTecnicos[coordinador],"")</f>
        <v/>
      </c>
      <c r="H79" s="3">
        <f>IF(OR(tblAsignaciones[[#This Row],[turno]]="",ISNUMBER(MATCH(tblAsignaciones[[#This Row],[turno]],lista_no_disponible,0))),0,p_horas_jornada)</f>
        <v/>
      </c>
      <c r="I79" s="3">
        <f>tblAsignaciones[[#This Row],[semana]]&amp;"|"&amp;tblAsignaciones[[#This Row],[dia]]&amp;"|"&amp;tblAsignaciones[[#This Row],[tecnico]]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3">
        <f>IF(OR(tblAsignaciones[[#This Row],[turno]]="",ISNUMBER(MATCH(tblAsignaciones[[#This Row],[turno]],lista_no_disponible,0))),0,p_horas_jornada)</f>
        <v/>
      </c>
      <c r="I80" s="3">
        <f>tblAsignaciones[[#This Row],[semana]]&amp;"|"&amp;tblAsignaciones[[#This Row],[dia]]&amp;"|"&amp;tblAsignaciones[[#This Row],[tecnico]]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3">
        <f>IF(OR(tblAsignaciones[[#This Row],[turno]]="",ISNUMBER(MATCH(tblAsignaciones[[#This Row],[turno]],lista_no_disponible,0))),0,p_horas_jornada)</f>
        <v/>
      </c>
      <c r="I81" s="3">
        <f>tblAsignaciones[[#This Row],[semana]]&amp;"|"&amp;tblAsignaciones[[#This Row],[dia]]&amp;"|"&amp;tblAsignaciones[[#This Row],[tecnico]]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3">
        <f>IF(OR(tblAsignaciones[[#This Row],[turno]]="",ISNUMBER(MATCH(tblAsignaciones[[#This Row],[turno]],lista_no_disponible,0))),0,p_horas_jornada)</f>
        <v/>
      </c>
      <c r="I82" s="3">
        <f>tblAsignaciones[[#This Row],[semana]]&amp;"|"&amp;tblAsignaciones[[#This Row],[dia]]&amp;"|"&amp;tblAsignaciones[[#This Row],[tecnico]]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3">
        <f>IF(OR(tblAsignaciones[[#This Row],[turno]]="",ISNUMBER(MATCH(tblAsignaciones[[#This Row],[turno]],lista_no_disponible,0))),0,p_horas_jornada)</f>
        <v/>
      </c>
      <c r="I83" s="3">
        <f>tblAsignaciones[[#This Row],[semana]]&amp;"|"&amp;tblAsignaciones[[#This Row],[dia]]&amp;"|"&amp;tblAsignaciones[[#This Row],[tecnico]]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3">
        <f>IF(OR(tblAsignaciones[[#This Row],[turno]]="",ISNUMBER(MATCH(tblAsignaciones[[#This Row],[turno]],lista_no_disponible,0))),0,p_horas_jornada)</f>
        <v/>
      </c>
      <c r="I84" s="3">
        <f>tblAsignaciones[[#This Row],[semana]]&amp;"|"&amp;tblAsignaciones[[#This Row],[dia]]&amp;"|"&amp;tblAsignaciones[[#This Row],[tecnico]]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3">
        <f>IF(OR(tblAsignaciones[[#This Row],[turno]]="",ISNUMBER(MATCH(tblAsignaciones[[#This Row],[turno]],lista_no_disponible,0))),0,p_horas_jornada)</f>
        <v/>
      </c>
      <c r="I85" s="3">
        <f>tblAsignaciones[[#This Row],[semana]]&amp;"|"&amp;tblAsignaciones[[#This Row],[dia]]&amp;"|"&amp;tblAsignaciones[[#This Row],[tecnico]]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/>
      <c r="G86" s="3">
        <f>_xlfn.XLOOKUP(tblAsignaciones[[#This Row],[tecnico]],tblTecnicos[nombre],tblTecnicos[coordinador],"")</f>
        <v/>
      </c>
      <c r="H86" s="3">
        <f>IF(OR(tblAsignaciones[[#This Row],[turno]]="",ISNUMBER(MATCH(tblAsignaciones[[#This Row],[turno]],lista_no_disponible,0))),0,p_horas_jornada)</f>
        <v/>
      </c>
      <c r="I86" s="3">
        <f>tblAsignaciones[[#This Row],[semana]]&amp;"|"&amp;tblAsignaciones[[#This Row],[dia]]&amp;"|"&amp;tblAsignaciones[[#This Row],[tecnico]]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3">
        <f>IF(OR(tblAsignaciones[[#This Row],[turno]]="",ISNUMBER(MATCH(tblAsignaciones[[#This Row],[turno]],lista_no_disponible,0))),0,p_horas_jornada)</f>
        <v/>
      </c>
      <c r="I87" s="3">
        <f>tblAsignaciones[[#This Row],[semana]]&amp;"|"&amp;tblAsignaciones[[#This Row],[dia]]&amp;"|"&amp;tblAsignaciones[[#This Row],[tecnico]]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3">
        <f>IF(OR(tblAsignaciones[[#This Row],[turno]]="",ISNUMBER(MATCH(tblAsignaciones[[#This Row],[turno]],lista_no_disponible,0))),0,p_horas_jornada)</f>
        <v/>
      </c>
      <c r="I88" s="3">
        <f>tblAsignaciones[[#This Row],[semana]]&amp;"|"&amp;tblAsignaciones[[#This Row],[dia]]&amp;"|"&amp;tblAsignaciones[[#This Row],[tecnico]]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3">
        <f>IF(OR(tblAsignaciones[[#This Row],[turno]]="",ISNUMBER(MATCH(tblAsignaciones[[#This Row],[turno]],lista_no_disponible,0))),0,p_horas_jornada)</f>
        <v/>
      </c>
      <c r="I89" s="3">
        <f>tblAsignaciones[[#This Row],[semana]]&amp;"|"&amp;tblAsignaciones[[#This Row],[dia]]&amp;"|"&amp;tblAsignaciones[[#This Row],[tecnico]]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3">
        <f>IF(OR(tblAsignaciones[[#This Row],[turno]]="",ISNUMBER(MATCH(tblAsignaciones[[#This Row],[turno]],lista_no_disponible,0))),0,p_horas_jornada)</f>
        <v/>
      </c>
      <c r="I90" s="3">
        <f>tblAsignaciones[[#This Row],[semana]]&amp;"|"&amp;tblAsignaciones[[#This Row],[dia]]&amp;"|"&amp;tblAsignaciones[[#This Row],[tecnico]]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3">
        <f>IF(OR(tblAsignaciones[[#This Row],[turno]]="",ISNUMBER(MATCH(tblAsignaciones[[#This Row],[turno]],lista_no_disponible,0))),0,p_horas_jornada)</f>
        <v/>
      </c>
      <c r="I91" s="3">
        <f>tblAsignaciones[[#This Row],[semana]]&amp;"|"&amp;tblAsignaciones[[#This Row],[dia]]&amp;"|"&amp;tblAsignaciones[[#This Row],[tecnico]]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3">
        <f>IF(OR(tblAsignaciones[[#This Row],[turno]]="",ISNUMBER(MATCH(tblAsignaciones[[#This Row],[turno]],lista_no_disponible,0))),0,p_horas_jornada)</f>
        <v/>
      </c>
      <c r="I92" s="3">
        <f>tblAsignaciones[[#This Row],[semana]]&amp;"|"&amp;tblAsignaciones[[#This Row],[dia]]&amp;"|"&amp;tblAsignaciones[[#This Row],[tecnico]]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/>
      <c r="G93" s="3">
        <f>_xlfn.XLOOKUP(tblAsignaciones[[#This Row],[tecnico]],tblTecnicos[nombre],tblTecnicos[coordinador],"")</f>
        <v/>
      </c>
      <c r="H93" s="3">
        <f>IF(OR(tblAsignaciones[[#This Row],[turno]]="",ISNUMBER(MATCH(tblAsignaciones[[#This Row],[turno]],lista_no_disponible,0))),0,p_horas_jornada)</f>
        <v/>
      </c>
      <c r="I93" s="3">
        <f>tblAsignaciones[[#This Row],[semana]]&amp;"|"&amp;tblAsignaciones[[#This Row],[dia]]&amp;"|"&amp;tblAsignaciones[[#This Row],[tecnico]]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3">
        <f>IF(OR(tblAsignaciones[[#This Row],[turno]]="",ISNUMBER(MATCH(tblAsignaciones[[#This Row],[turno]],lista_no_disponible,0))),0,p_horas_jornada)</f>
        <v/>
      </c>
      <c r="I94" s="3">
        <f>tblAsignaciones[[#This Row],[semana]]&amp;"|"&amp;tblAsignaciones[[#This Row],[dia]]&amp;"|"&amp;tblAsignaciones[[#This Row],[tecnico]]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3">
        <f>IF(OR(tblAsignaciones[[#This Row],[turno]]="",ISNUMBER(MATCH(tblAsignaciones[[#This Row],[turno]],lista_no_disponible,0))),0,p_horas_jornada)</f>
        <v/>
      </c>
      <c r="I95" s="3">
        <f>tblAsignaciones[[#This Row],[semana]]&amp;"|"&amp;tblAsignaciones[[#This Row],[dia]]&amp;"|"&amp;tblAsignaciones[[#This Row],[tecnico]]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3">
        <f>IF(OR(tblAsignaciones[[#This Row],[turno]]="",ISNUMBER(MATCH(tblAsignaciones[[#This Row],[turno]],lista_no_disponible,0))),0,p_horas_jornada)</f>
        <v/>
      </c>
      <c r="I96" s="3">
        <f>tblAsignaciones[[#This Row],[semana]]&amp;"|"&amp;tblAsignaciones[[#This Row],[dia]]&amp;"|"&amp;tblAsignaciones[[#This Row],[tecnico]]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3">
        <f>IF(OR(tblAsignaciones[[#This Row],[turno]]="",ISNUMBER(MATCH(tblAsignaciones[[#This Row],[turno]],lista_no_disponible,0))),0,p_horas_jornada)</f>
        <v/>
      </c>
      <c r="I97" s="3">
        <f>tblAsignaciones[[#This Row],[semana]]&amp;"|"&amp;tblAsignaciones[[#This Row],[dia]]&amp;"|"&amp;tblAsignaciones[[#This Row],[tecnico]]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3">
        <f>IF(OR(tblAsignaciones[[#This Row],[turno]]="",ISNUMBER(MATCH(tblAsignaciones[[#This Row],[turno]],lista_no_disponible,0))),0,p_horas_jornada)</f>
        <v/>
      </c>
      <c r="I98" s="3">
        <f>tblAsignaciones[[#This Row],[semana]]&amp;"|"&amp;tblAsignaciones[[#This Row],[dia]]&amp;"|"&amp;tblAsignaciones[[#This Row],[tecnico]]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3">
        <f>IF(OR(tblAsignaciones[[#This Row],[turno]]="",ISNUMBER(MATCH(tblAsignaciones[[#This Row],[turno]],lista_no_disponible,0))),0,p_horas_jornada)</f>
        <v/>
      </c>
      <c r="I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/>
      <c r="G100" s="3">
        <f>_xlfn.XLOOKUP(tblAsignaciones[[#This Row],[tecnico]],tblTecnicos[nombre],tblTecnicos[coordinador],"")</f>
        <v/>
      </c>
      <c r="H100" s="3">
        <f>IF(OR(tblAsignaciones[[#This Row],[turno]]="",ISNUMBER(MATCH(tblAsignaciones[[#This Row],[turno]],lista_no_disponible,0))),0,p_horas_jornada)</f>
        <v/>
      </c>
      <c r="I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3">
        <f>IF(OR(tblAsignaciones[[#This Row],[turno]]="",ISNUMBER(MATCH(tblAsignaciones[[#This Row],[turno]],lista_no_disponible,0))),0,p_horas_jornada)</f>
        <v/>
      </c>
      <c r="I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3">
        <f>IF(OR(tblAsignaciones[[#This Row],[turno]]="",ISNUMBER(MATCH(tblAsignaciones[[#This Row],[turno]],lista_no_disponible,0))),0,p_horas_jornada)</f>
        <v/>
      </c>
      <c r="I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3">
        <f>IF(OR(tblAsignaciones[[#This Row],[turno]]="",ISNUMBER(MATCH(tblAsignaciones[[#This Row],[turno]],lista_no_disponible,0))),0,p_horas_jornada)</f>
        <v/>
      </c>
      <c r="I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3">
        <f>IF(OR(tblAsignaciones[[#This Row],[turno]]="",ISNUMBER(MATCH(tblAsignaciones[[#This Row],[turno]],lista_no_disponible,0))),0,p_horas_jornada)</f>
        <v/>
      </c>
      <c r="I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3">
        <f>IF(OR(tblAsignaciones[[#This Row],[turno]]="",ISNUMBER(MATCH(tblAsignaciones[[#This Row],[turno]],lista_no_disponible,0))),0,p_horas_jornada)</f>
        <v/>
      </c>
      <c r="I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3">
        <f>IF(OR(tblAsignaciones[[#This Row],[turno]]="",ISNUMBER(MATCH(tblAsignaciones[[#This Row],[turno]],lista_no_disponible,0))),0,p_horas_jornada)</f>
        <v/>
      </c>
      <c r="I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/>
      <c r="G107" s="3">
        <f>_xlfn.XLOOKUP(tblAsignaciones[[#This Row],[tecnico]],tblTecnicos[nombre],tblTecnicos[coordinador],"")</f>
        <v/>
      </c>
      <c r="H107" s="3">
        <f>IF(OR(tblAsignaciones[[#This Row],[turno]]="",ISNUMBER(MATCH(tblAsignaciones[[#This Row],[turno]],lista_no_disponible,0))),0,p_horas_jornada)</f>
        <v/>
      </c>
      <c r="I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3">
        <f>IF(OR(tblAsignaciones[[#This Row],[turno]]="",ISNUMBER(MATCH(tblAsignaciones[[#This Row],[turno]],lista_no_disponible,0))),0,p_horas_jornada)</f>
        <v/>
      </c>
      <c r="I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3">
        <f>IF(OR(tblAsignaciones[[#This Row],[turno]]="",ISNUMBER(MATCH(tblAsignaciones[[#This Row],[turno]],lista_no_disponible,0))),0,p_horas_jornada)</f>
        <v/>
      </c>
      <c r="I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3">
        <f>IF(OR(tblAsignaciones[[#This Row],[turno]]="",ISNUMBER(MATCH(tblAsignaciones[[#This Row],[turno]],lista_no_disponible,0))),0,p_horas_jornada)</f>
        <v/>
      </c>
      <c r="I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3">
        <f>IF(OR(tblAsignaciones[[#This Row],[turno]]="",ISNUMBER(MATCH(tblAsignaciones[[#This Row],[turno]],lista_no_disponible,0))),0,p_horas_jornada)</f>
        <v/>
      </c>
      <c r="I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3">
        <f>IF(OR(tblAsignaciones[[#This Row],[turno]]="",ISNUMBER(MATCH(tblAsignaciones[[#This Row],[turno]],lista_no_disponible,0))),0,p_horas_jornada)</f>
        <v/>
      </c>
      <c r="I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3">
        <f>IF(OR(tblAsignaciones[[#This Row],[turno]]="",ISNUMBER(MATCH(tblAsignaciones[[#This Row],[turno]],lista_no_disponible,0))),0,p_horas_jornada)</f>
        <v/>
      </c>
      <c r="I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/>
      <c r="G114" s="3">
        <f>_xlfn.XLOOKUP(tblAsignaciones[[#This Row],[tecnico]],tblTecnicos[nombre],tblTecnicos[coordinador],"")</f>
        <v/>
      </c>
      <c r="H114" s="3">
        <f>IF(OR(tblAsignaciones[[#This Row],[turno]]="",ISNUMBER(MATCH(tblAsignaciones[[#This Row],[turno]],lista_no_disponible,0))),0,p_horas_jornada)</f>
        <v/>
      </c>
      <c r="I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3">
        <f>IF(OR(tblAsignaciones[[#This Row],[turno]]="",ISNUMBER(MATCH(tblAsignaciones[[#This Row],[turno]],lista_no_disponible,0))),0,p_horas_jornada)</f>
        <v/>
      </c>
      <c r="I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3">
        <f>IF(OR(tblAsignaciones[[#This Row],[turno]]="",ISNUMBER(MATCH(tblAsignaciones[[#This Row],[turno]],lista_no_disponible,0))),0,p_horas_jornada)</f>
        <v/>
      </c>
      <c r="I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3">
        <f>IF(OR(tblAsignaciones[[#This Row],[turno]]="",ISNUMBER(MATCH(tblAsignaciones[[#This Row],[turno]],lista_no_disponible,0))),0,p_horas_jornada)</f>
        <v/>
      </c>
      <c r="I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3">
        <f>IF(OR(tblAsignaciones[[#This Row],[turno]]="",ISNUMBER(MATCH(tblAsignaciones[[#This Row],[turno]],lista_no_disponible,0))),0,p_horas_jornada)</f>
        <v/>
      </c>
      <c r="I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3">
        <f>IF(OR(tblAsignaciones[[#This Row],[turno]]="",ISNUMBER(MATCH(tblAsignaciones[[#This Row],[turno]],lista_no_disponible,0))),0,p_horas_jornada)</f>
        <v/>
      </c>
      <c r="I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3">
        <f>IF(OR(tblAsignaciones[[#This Row],[turno]]="",ISNUMBER(MATCH(tblAsignaciones[[#This Row],[turno]],lista_no_disponible,0))),0,p_horas_jornada)</f>
        <v/>
      </c>
      <c r="I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/>
      <c r="G121" s="3">
        <f>_xlfn.XLOOKUP(tblAsignaciones[[#This Row],[tecnico]],tblTecnicos[nombre],tblTecnicos[coordinador],"")</f>
        <v/>
      </c>
      <c r="H121" s="3">
        <f>IF(OR(tblAsignaciones[[#This Row],[turno]]="",ISNUMBER(MATCH(tblAsignaciones[[#This Row],[turno]],lista_no_disponible,0))),0,p_horas_jornada)</f>
        <v/>
      </c>
      <c r="I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3">
        <f>IF(OR(tblAsignaciones[[#This Row],[turno]]="",ISNUMBER(MATCH(tblAsignaciones[[#This Row],[turno]],lista_no_disponible,0))),0,p_horas_jornada)</f>
        <v/>
      </c>
      <c r="I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3">
        <f>IF(OR(tblAsignaciones[[#This Row],[turno]]="",ISNUMBER(MATCH(tblAsignaciones[[#This Row],[turno]],lista_no_disponible,0))),0,p_horas_jornada)</f>
        <v/>
      </c>
      <c r="I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3">
        <f>IF(OR(tblAsignaciones[[#This Row],[turno]]="",ISNUMBER(MATCH(tblAsignaciones[[#This Row],[turno]],lista_no_disponible,0))),0,p_horas_jornada)</f>
        <v/>
      </c>
      <c r="I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3">
        <f>IF(OR(tblAsignaciones[[#This Row],[turno]]="",ISNUMBER(MATCH(tblAsignaciones[[#This Row],[turno]],lista_no_disponible,0))),0,p_horas_jornada)</f>
        <v/>
      </c>
      <c r="I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3">
        <f>IF(OR(tblAsignaciones[[#This Row],[turno]]="",ISNUMBER(MATCH(tblAsignaciones[[#This Row],[turno]],lista_no_disponible,0))),0,p_horas_jornada)</f>
        <v/>
      </c>
      <c r="I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3">
        <f>IF(OR(tblAsignaciones[[#This Row],[turno]]="",ISNUMBER(MATCH(tblAsignaciones[[#This Row],[turno]],lista_no_disponible,0))),0,p_horas_jornada)</f>
        <v/>
      </c>
      <c r="I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/>
      <c r="G128" s="3">
        <f>_xlfn.XLOOKUP(tblAsignaciones[[#This Row],[tecnico]],tblTecnicos[nombre],tblTecnicos[coordinador],"")</f>
        <v/>
      </c>
      <c r="H128" s="3">
        <f>IF(OR(tblAsignaciones[[#This Row],[turno]]="",ISNUMBER(MATCH(tblAsignaciones[[#This Row],[turno]],lista_no_disponible,0))),0,p_horas_jornada)</f>
        <v/>
      </c>
      <c r="I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3">
        <f>IF(OR(tblAsignaciones[[#This Row],[turno]]="",ISNUMBER(MATCH(tblAsignaciones[[#This Row],[turno]],lista_no_disponible,0))),0,p_horas_jornada)</f>
        <v/>
      </c>
      <c r="I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3">
        <f>IF(OR(tblAsignaciones[[#This Row],[turno]]="",ISNUMBER(MATCH(tblAsignaciones[[#This Row],[turno]],lista_no_disponible,0))),0,p_horas_jornada)</f>
        <v/>
      </c>
      <c r="I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3">
        <f>IF(OR(tblAsignaciones[[#This Row],[turno]]="",ISNUMBER(MATCH(tblAsignaciones[[#This Row],[turno]],lista_no_disponible,0))),0,p_horas_jornada)</f>
        <v/>
      </c>
      <c r="I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3">
        <f>IF(OR(tblAsignaciones[[#This Row],[turno]]="",ISNUMBER(MATCH(tblAsignaciones[[#This Row],[turno]],lista_no_disponible,0))),0,p_horas_jornada)</f>
        <v/>
      </c>
      <c r="I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3">
        <f>IF(OR(tblAsignaciones[[#This Row],[turno]]="",ISNUMBER(MATCH(tblAsignaciones[[#This Row],[turno]],lista_no_disponible,0))),0,p_horas_jornada)</f>
        <v/>
      </c>
      <c r="I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3">
        <f>IF(OR(tblAsignaciones[[#This Row],[turno]]="",ISNUMBER(MATCH(tblAsignaciones[[#This Row],[turno]],lista_no_disponible,0))),0,p_horas_jornada)</f>
        <v/>
      </c>
      <c r="I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/>
      <c r="G135" s="3">
        <f>_xlfn.XLOOKUP(tblAsignaciones[[#This Row],[tecnico]],tblTecnicos[nombre],tblTecnicos[coordinador],"")</f>
        <v/>
      </c>
      <c r="H135" s="3">
        <f>IF(OR(tblAsignaciones[[#This Row],[turno]]="",ISNUMBER(MATCH(tblAsignaciones[[#This Row],[turno]],lista_no_disponible,0))),0,p_horas_jornada)</f>
        <v/>
      </c>
      <c r="I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3">
        <f>IF(OR(tblAsignaciones[[#This Row],[turno]]="",ISNUMBER(MATCH(tblAsignaciones[[#This Row],[turno]],lista_no_disponible,0))),0,p_horas_jornada)</f>
        <v/>
      </c>
      <c r="I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3">
        <f>IF(OR(tblAsignaciones[[#This Row],[turno]]="",ISNUMBER(MATCH(tblAsignaciones[[#This Row],[turno]],lista_no_disponible,0))),0,p_horas_jornada)</f>
        <v/>
      </c>
      <c r="I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3">
        <f>IF(OR(tblAsignaciones[[#This Row],[turno]]="",ISNUMBER(MATCH(tblAsignaciones[[#This Row],[turno]],lista_no_disponible,0))),0,p_horas_jornada)</f>
        <v/>
      </c>
      <c r="I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3">
        <f>IF(OR(tblAsignaciones[[#This Row],[turno]]="",ISNUMBER(MATCH(tblAsignaciones[[#This Row],[turno]],lista_no_disponible,0))),0,p_horas_jornada)</f>
        <v/>
      </c>
      <c r="I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3">
        <f>IF(OR(tblAsignaciones[[#This Row],[turno]]="",ISNUMBER(MATCH(tblAsignaciones[[#This Row],[turno]],lista_no_disponible,0))),0,p_horas_jornada)</f>
        <v/>
      </c>
      <c r="I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3">
        <f>IF(OR(tblAsignaciones[[#This Row],[turno]]="",ISNUMBER(MATCH(tblAsignaciones[[#This Row],[turno]],lista_no_disponible,0))),0,p_horas_jornada)</f>
        <v/>
      </c>
      <c r="I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/>
      <c r="G142" s="3">
        <f>_xlfn.XLOOKUP(tblAsignaciones[[#This Row],[tecnico]],tblTecnicos[nombre],tblTecnicos[coordinador],"")</f>
        <v/>
      </c>
      <c r="H142" s="3">
        <f>IF(OR(tblAsignaciones[[#This Row],[turno]]="",ISNUMBER(MATCH(tblAsignaciones[[#This Row],[turno]],lista_no_disponible,0))),0,p_horas_jornada)</f>
        <v/>
      </c>
      <c r="I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3">
        <f>IF(OR(tblAsignaciones[[#This Row],[turno]]="",ISNUMBER(MATCH(tblAsignaciones[[#This Row],[turno]],lista_no_disponible,0))),0,p_horas_jornada)</f>
        <v/>
      </c>
      <c r="I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3">
        <f>IF(OR(tblAsignaciones[[#This Row],[turno]]="",ISNUMBER(MATCH(tblAsignaciones[[#This Row],[turno]],lista_no_disponible,0))),0,p_horas_jornada)</f>
        <v/>
      </c>
      <c r="I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3">
        <f>IF(OR(tblAsignaciones[[#This Row],[turno]]="",ISNUMBER(MATCH(tblAsignaciones[[#This Row],[turno]],lista_no_disponible,0))),0,p_horas_jornada)</f>
        <v/>
      </c>
      <c r="I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3">
        <f>IF(OR(tblAsignaciones[[#This Row],[turno]]="",ISNUMBER(MATCH(tblAsignaciones[[#This Row],[turno]],lista_no_disponible,0))),0,p_horas_jornada)</f>
        <v/>
      </c>
      <c r="I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3">
        <f>IF(OR(tblAsignaciones[[#This Row],[turno]]="",ISNUMBER(MATCH(tblAsignaciones[[#This Row],[turno]],lista_no_disponible,0))),0,p_horas_jornada)</f>
        <v/>
      </c>
      <c r="I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3">
        <f>IF(OR(tblAsignaciones[[#This Row],[turno]]="",ISNUMBER(MATCH(tblAsignaciones[[#This Row],[turno]],lista_no_disponible,0))),0,p_horas_jornada)</f>
        <v/>
      </c>
      <c r="I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/>
      <c r="G149" s="3">
        <f>_xlfn.XLOOKUP(tblAsignaciones[[#This Row],[tecnico]],tblTecnicos[nombre],tblTecnicos[coordinador],"")</f>
        <v/>
      </c>
      <c r="H149" s="3">
        <f>IF(OR(tblAsignaciones[[#This Row],[turno]]="",ISNUMBER(MATCH(tblAsignaciones[[#This Row],[turno]],lista_no_disponible,0))),0,p_horas_jornada)</f>
        <v/>
      </c>
      <c r="I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3">
        <f>IF(OR(tblAsignaciones[[#This Row],[turno]]="",ISNUMBER(MATCH(tblAsignaciones[[#This Row],[turno]],lista_no_disponible,0))),0,p_horas_jornada)</f>
        <v/>
      </c>
      <c r="I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3">
        <f>IF(OR(tblAsignaciones[[#This Row],[turno]]="",ISNUMBER(MATCH(tblAsignaciones[[#This Row],[turno]],lista_no_disponible,0))),0,p_horas_jornada)</f>
        <v/>
      </c>
      <c r="I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3">
        <f>IF(OR(tblAsignaciones[[#This Row],[turno]]="",ISNUMBER(MATCH(tblAsignaciones[[#This Row],[turno]],lista_no_disponible,0))),0,p_horas_jornada)</f>
        <v/>
      </c>
      <c r="I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3">
        <f>IF(OR(tblAsignaciones[[#This Row],[turno]]="",ISNUMBER(MATCH(tblAsignaciones[[#This Row],[turno]],lista_no_disponible,0))),0,p_horas_jornada)</f>
        <v/>
      </c>
      <c r="I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3">
        <f>IF(OR(tblAsignaciones[[#This Row],[turno]]="",ISNUMBER(MATCH(tblAsignaciones[[#This Row],[turno]],lista_no_disponible,0))),0,p_horas_jornada)</f>
        <v/>
      </c>
      <c r="I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3">
        <f>IF(OR(tblAsignaciones[[#This Row],[turno]]="",ISNUMBER(MATCH(tblAsignaciones[[#This Row],[turno]],lista_no_disponible,0))),0,p_horas_jornada)</f>
        <v/>
      </c>
      <c r="I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/>
      <c r="G156" s="3">
        <f>_xlfn.XLOOKUP(tblAsignaciones[[#This Row],[tecnico]],tblTecnicos[nombre],tblTecnicos[coordinador],"")</f>
        <v/>
      </c>
      <c r="H156" s="3">
        <f>IF(OR(tblAsignaciones[[#This Row],[turno]]="",ISNUMBER(MATCH(tblAsignaciones[[#This Row],[turno]],lista_no_disponible,0))),0,p_horas_jornada)</f>
        <v/>
      </c>
      <c r="I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3">
        <f>IF(OR(tblAsignaciones[[#This Row],[turno]]="",ISNUMBER(MATCH(tblAsignaciones[[#This Row],[turno]],lista_no_disponible,0))),0,p_horas_jornada)</f>
        <v/>
      </c>
      <c r="I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3">
        <f>IF(OR(tblAsignaciones[[#This Row],[turno]]="",ISNUMBER(MATCH(tblAsignaciones[[#This Row],[turno]],lista_no_disponible,0))),0,p_horas_jornada)</f>
        <v/>
      </c>
      <c r="I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3">
        <f>IF(OR(tblAsignaciones[[#This Row],[turno]]="",ISNUMBER(MATCH(tblAsignaciones[[#This Row],[turno]],lista_no_disponible,0))),0,p_horas_jornada)</f>
        <v/>
      </c>
      <c r="I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3">
        <f>IF(OR(tblAsignaciones[[#This Row],[turno]]="",ISNUMBER(MATCH(tblAsignaciones[[#This Row],[turno]],lista_no_disponible,0))),0,p_horas_jornada)</f>
        <v/>
      </c>
      <c r="I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3">
        <f>IF(OR(tblAsignaciones[[#This Row],[turno]]="",ISNUMBER(MATCH(tblAsignaciones[[#This Row],[turno]],lista_no_disponible,0))),0,p_horas_jornada)</f>
        <v/>
      </c>
      <c r="I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3">
        <f>IF(OR(tblAsignaciones[[#This Row],[turno]]="",ISNUMBER(MATCH(tblAsignaciones[[#This Row],[turno]],lista_no_disponible,0))),0,p_horas_jornada)</f>
        <v/>
      </c>
      <c r="I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/>
      <c r="G163" s="3">
        <f>_xlfn.XLOOKUP(tblAsignaciones[[#This Row],[tecnico]],tblTecnicos[nombre],tblTecnicos[coordinador],"")</f>
        <v/>
      </c>
      <c r="H163" s="3">
        <f>IF(OR(tblAsignaciones[[#This Row],[turno]]="",ISNUMBER(MATCH(tblAsignaciones[[#This Row],[turno]],lista_no_disponible,0))),0,p_horas_jornada)</f>
        <v/>
      </c>
      <c r="I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3">
        <f>IF(OR(tblAsignaciones[[#This Row],[turno]]="",ISNUMBER(MATCH(tblAsignaciones[[#This Row],[turno]],lista_no_disponible,0))),0,p_horas_jornada)</f>
        <v/>
      </c>
      <c r="I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3">
        <f>IF(OR(tblAsignaciones[[#This Row],[turno]]="",ISNUMBER(MATCH(tblAsignaciones[[#This Row],[turno]],lista_no_disponible,0))),0,p_horas_jornada)</f>
        <v/>
      </c>
      <c r="I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3">
        <f>IF(OR(tblAsignaciones[[#This Row],[turno]]="",ISNUMBER(MATCH(tblAsignaciones[[#This Row],[turno]],lista_no_disponible,0))),0,p_horas_jornada)</f>
        <v/>
      </c>
      <c r="I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3">
        <f>IF(OR(tblAsignaciones[[#This Row],[turno]]="",ISNUMBER(MATCH(tblAsignaciones[[#This Row],[turno]],lista_no_disponible,0))),0,p_horas_jornada)</f>
        <v/>
      </c>
      <c r="I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3">
        <f>IF(OR(tblAsignaciones[[#This Row],[turno]]="",ISNUMBER(MATCH(tblAsignaciones[[#This Row],[turno]],lista_no_disponible,0))),0,p_horas_jornada)</f>
        <v/>
      </c>
      <c r="I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3">
        <f>IF(OR(tblAsignaciones[[#This Row],[turno]]="",ISNUMBER(MATCH(tblAsignaciones[[#This Row],[turno]],lista_no_disponible,0))),0,p_horas_jornada)</f>
        <v/>
      </c>
      <c r="I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/>
      <c r="G170" s="3">
        <f>_xlfn.XLOOKUP(tblAsignaciones[[#This Row],[tecnico]],tblTecnicos[nombre],tblTecnicos[coordinador],"")</f>
        <v/>
      </c>
      <c r="H170" s="3">
        <f>IF(OR(tblAsignaciones[[#This Row],[turno]]="",ISNUMBER(MATCH(tblAsignaciones[[#This Row],[turno]],lista_no_disponible,0))),0,p_horas_jornada)</f>
        <v/>
      </c>
      <c r="I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3">
        <f>IF(OR(tblAsignaciones[[#This Row],[turno]]="",ISNUMBER(MATCH(tblAsignaciones[[#This Row],[turno]],lista_no_disponible,0))),0,p_horas_jornada)</f>
        <v/>
      </c>
      <c r="I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3">
        <f>IF(OR(tblAsignaciones[[#This Row],[turno]]="",ISNUMBER(MATCH(tblAsignaciones[[#This Row],[turno]],lista_no_disponible,0))),0,p_horas_jornada)</f>
        <v/>
      </c>
      <c r="I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3">
        <f>IF(OR(tblAsignaciones[[#This Row],[turno]]="",ISNUMBER(MATCH(tblAsignaciones[[#This Row],[turno]],lista_no_disponible,0))),0,p_horas_jornada)</f>
        <v/>
      </c>
      <c r="I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3">
        <f>IF(OR(tblAsignaciones[[#This Row],[turno]]="",ISNUMBER(MATCH(tblAsignaciones[[#This Row],[turno]],lista_no_disponible,0))),0,p_horas_jornada)</f>
        <v/>
      </c>
      <c r="I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3">
        <f>IF(OR(tblAsignaciones[[#This Row],[turno]]="",ISNUMBER(MATCH(tblAsignaciones[[#This Row],[turno]],lista_no_disponible,0))),0,p_horas_jornada)</f>
        <v/>
      </c>
      <c r="I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3">
        <f>IF(OR(tblAsignaciones[[#This Row],[turno]]="",ISNUMBER(MATCH(tblAsignaciones[[#This Row],[turno]],lista_no_disponible,0))),0,p_horas_jornada)</f>
        <v/>
      </c>
      <c r="I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/>
      <c r="G177" s="3">
        <f>_xlfn.XLOOKUP(tblAsignaciones[[#This Row],[tecnico]],tblTecnicos[nombre],tblTecnicos[coordinador],"")</f>
        <v/>
      </c>
      <c r="H177" s="3">
        <f>IF(OR(tblAsignaciones[[#This Row],[turno]]="",ISNUMBER(MATCH(tblAsignaciones[[#This Row],[turno]],lista_no_disponible,0))),0,p_horas_jornada)</f>
        <v/>
      </c>
      <c r="I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3">
        <f>IF(OR(tblAsignaciones[[#This Row],[turno]]="",ISNUMBER(MATCH(tblAsignaciones[[#This Row],[turno]],lista_no_disponible,0))),0,p_horas_jornada)</f>
        <v/>
      </c>
      <c r="I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3">
        <f>IF(OR(tblAsignaciones[[#This Row],[turno]]="",ISNUMBER(MATCH(tblAsignaciones[[#This Row],[turno]],lista_no_disponible,0))),0,p_horas_jornada)</f>
        <v/>
      </c>
      <c r="I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3">
        <f>IF(OR(tblAsignaciones[[#This Row],[turno]]="",ISNUMBER(MATCH(tblAsignaciones[[#This Row],[turno]],lista_no_disponible,0))),0,p_horas_jornada)</f>
        <v/>
      </c>
      <c r="I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3">
        <f>IF(OR(tblAsignaciones[[#This Row],[turno]]="",ISNUMBER(MATCH(tblAsignaciones[[#This Row],[turno]],lista_no_disponible,0))),0,p_horas_jornada)</f>
        <v/>
      </c>
      <c r="I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3">
        <f>IF(OR(tblAsignaciones[[#This Row],[turno]]="",ISNUMBER(MATCH(tblAsignaciones[[#This Row],[turno]],lista_no_disponible,0))),0,p_horas_jornada)</f>
        <v/>
      </c>
      <c r="I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3">
        <f>IF(OR(tblAsignaciones[[#This Row],[turno]]="",ISNUMBER(MATCH(tblAsignaciones[[#This Row],[turno]],lista_no_disponible,0))),0,p_horas_jornada)</f>
        <v/>
      </c>
      <c r="I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/>
      <c r="G184" s="3">
        <f>_xlfn.XLOOKUP(tblAsignaciones[[#This Row],[tecnico]],tblTecnicos[nombre],tblTecnicos[coordinador],"")</f>
        <v/>
      </c>
      <c r="H184" s="3">
        <f>IF(OR(tblAsignaciones[[#This Row],[turno]]="",ISNUMBER(MATCH(tblAsignaciones[[#This Row],[turno]],lista_no_disponible,0))),0,p_horas_jornada)</f>
        <v/>
      </c>
      <c r="I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3">
        <f>IF(OR(tblAsignaciones[[#This Row],[turno]]="",ISNUMBER(MATCH(tblAsignaciones[[#This Row],[turno]],lista_no_disponible,0))),0,p_horas_jornada)</f>
        <v/>
      </c>
      <c r="I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3">
        <f>IF(OR(tblAsignaciones[[#This Row],[turno]]="",ISNUMBER(MATCH(tblAsignaciones[[#This Row],[turno]],lista_no_disponible,0))),0,p_horas_jornada)</f>
        <v/>
      </c>
      <c r="I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3">
        <f>IF(OR(tblAsignaciones[[#This Row],[turno]]="",ISNUMBER(MATCH(tblAsignaciones[[#This Row],[turno]],lista_no_disponible,0))),0,p_horas_jornada)</f>
        <v/>
      </c>
      <c r="I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3">
        <f>IF(OR(tblAsignaciones[[#This Row],[turno]]="",ISNUMBER(MATCH(tblAsignaciones[[#This Row],[turno]],lista_no_disponible,0))),0,p_horas_jornada)</f>
        <v/>
      </c>
      <c r="I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3">
        <f>IF(OR(tblAsignaciones[[#This Row],[turno]]="",ISNUMBER(MATCH(tblAsignaciones[[#This Row],[turno]],lista_no_disponible,0))),0,p_horas_jornada)</f>
        <v/>
      </c>
      <c r="I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3">
        <f>IF(OR(tblAsignaciones[[#This Row],[turno]]="",ISNUMBER(MATCH(tblAsignaciones[[#This Row],[turno]],lista_no_disponible,0))),0,p_horas_jornada)</f>
        <v/>
      </c>
      <c r="I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/>
      <c r="G191" s="3">
        <f>_xlfn.XLOOKUP(tblAsignaciones[[#This Row],[tecnico]],tblTecnicos[nombre],tblTecnicos[coordinador],"")</f>
        <v/>
      </c>
      <c r="H191" s="3">
        <f>IF(OR(tblAsignaciones[[#This Row],[turno]]="",ISNUMBER(MATCH(tblAsignaciones[[#This Row],[turno]],lista_no_disponible,0))),0,p_horas_jornada)</f>
        <v/>
      </c>
      <c r="I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3">
        <f>IF(OR(tblAsignaciones[[#This Row],[turno]]="",ISNUMBER(MATCH(tblAsignaciones[[#This Row],[turno]],lista_no_disponible,0))),0,p_horas_jornada)</f>
        <v/>
      </c>
      <c r="I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3">
        <f>IF(OR(tblAsignaciones[[#This Row],[turno]]="",ISNUMBER(MATCH(tblAsignaciones[[#This Row],[turno]],lista_no_disponible,0))),0,p_horas_jornada)</f>
        <v/>
      </c>
      <c r="I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3">
        <f>IF(OR(tblAsignaciones[[#This Row],[turno]]="",ISNUMBER(MATCH(tblAsignaciones[[#This Row],[turno]],lista_no_disponible,0))),0,p_horas_jornada)</f>
        <v/>
      </c>
      <c r="I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3">
        <f>IF(OR(tblAsignaciones[[#This Row],[turno]]="",ISNUMBER(MATCH(tblAsignaciones[[#This Row],[turno]],lista_no_disponible,0))),0,p_horas_jornada)</f>
        <v/>
      </c>
      <c r="I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3">
        <f>IF(OR(tblAsignaciones[[#This Row],[turno]]="",ISNUMBER(MATCH(tblAsignaciones[[#This Row],[turno]],lista_no_disponible,0))),0,p_horas_jornada)</f>
        <v/>
      </c>
      <c r="I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3">
        <f>IF(OR(tblAsignaciones[[#This Row],[turno]]="",ISNUMBER(MATCH(tblAsignaciones[[#This Row],[turno]],lista_no_disponible,0))),0,p_horas_jornada)</f>
        <v/>
      </c>
      <c r="I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/>
      <c r="G198" s="3">
        <f>_xlfn.XLOOKUP(tblAsignaciones[[#This Row],[tecnico]],tblTecnicos[nombre],tblTecnicos[coordinador],"")</f>
        <v/>
      </c>
      <c r="H198" s="3">
        <f>IF(OR(tblAsignaciones[[#This Row],[turno]]="",ISNUMBER(MATCH(tblAsignaciones[[#This Row],[turno]],lista_no_disponible,0))),0,p_horas_jornada)</f>
        <v/>
      </c>
      <c r="I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3">
        <f>IF(OR(tblAsignaciones[[#This Row],[turno]]="",ISNUMBER(MATCH(tblAsignaciones[[#This Row],[turno]],lista_no_disponible,0))),0,p_horas_jornada)</f>
        <v/>
      </c>
      <c r="I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3">
        <f>IF(OR(tblAsignaciones[[#This Row],[turno]]="",ISNUMBER(MATCH(tblAsignaciones[[#This Row],[turno]],lista_no_disponible,0))),0,p_horas_jornada)</f>
        <v/>
      </c>
      <c r="I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3">
        <f>IF(OR(tblAsignaciones[[#This Row],[turno]]="",ISNUMBER(MATCH(tblAsignaciones[[#This Row],[turno]],lista_no_disponible,0))),0,p_horas_jornada)</f>
        <v/>
      </c>
      <c r="I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3">
        <f>IF(OR(tblAsignaciones[[#This Row],[turno]]="",ISNUMBER(MATCH(tblAsignaciones[[#This Row],[turno]],lista_no_disponible,0))),0,p_horas_jornada)</f>
        <v/>
      </c>
      <c r="I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3">
        <f>IF(OR(tblAsignaciones[[#This Row],[turno]]="",ISNUMBER(MATCH(tblAsignaciones[[#This Row],[turno]],lista_no_disponible,0))),0,p_horas_jornada)</f>
        <v/>
      </c>
      <c r="I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3">
        <f>IF(OR(tblAsignaciones[[#This Row],[turno]]="",ISNUMBER(MATCH(tblAsignaciones[[#This Row],[turno]],lista_no_disponible,0))),0,p_horas_jornada)</f>
        <v/>
      </c>
      <c r="I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/>
      <c r="G205" s="3">
        <f>_xlfn.XLOOKUP(tblAsignaciones[[#This Row],[tecnico]],tblTecnicos[nombre],tblTecnicos[coordinador],"")</f>
        <v/>
      </c>
      <c r="H205" s="3">
        <f>IF(OR(tblAsignaciones[[#This Row],[turno]]="",ISNUMBER(MATCH(tblAsignaciones[[#This Row],[turno]],lista_no_disponible,0))),0,p_horas_jornada)</f>
        <v/>
      </c>
      <c r="I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3">
        <f>IF(OR(tblAsignaciones[[#This Row],[turno]]="",ISNUMBER(MATCH(tblAsignaciones[[#This Row],[turno]],lista_no_disponible,0))),0,p_horas_jornada)</f>
        <v/>
      </c>
      <c r="I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3">
        <f>IF(OR(tblAsignaciones[[#This Row],[turno]]="",ISNUMBER(MATCH(tblAsignaciones[[#This Row],[turno]],lista_no_disponible,0))),0,p_horas_jornada)</f>
        <v/>
      </c>
      <c r="I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3">
        <f>IF(OR(tblAsignaciones[[#This Row],[turno]]="",ISNUMBER(MATCH(tblAsignaciones[[#This Row],[turno]],lista_no_disponible,0))),0,p_horas_jornada)</f>
        <v/>
      </c>
      <c r="I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3">
        <f>IF(OR(tblAsignaciones[[#This Row],[turno]]="",ISNUMBER(MATCH(tblAsignaciones[[#This Row],[turno]],lista_no_disponible,0))),0,p_horas_jornada)</f>
        <v/>
      </c>
      <c r="I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3">
        <f>IF(OR(tblAsignaciones[[#This Row],[turno]]="",ISNUMBER(MATCH(tblAsignaciones[[#This Row],[turno]],lista_no_disponible,0))),0,p_horas_jornada)</f>
        <v/>
      </c>
      <c r="I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3">
        <f>IF(OR(tblAsignaciones[[#This Row],[turno]]="",ISNUMBER(MATCH(tblAsignaciones[[#This Row],[turno]],lista_no_disponible,0))),0,p_horas_jornada)</f>
        <v/>
      </c>
      <c r="I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/>
      <c r="G212" s="3">
        <f>_xlfn.XLOOKUP(tblAsignaciones[[#This Row],[tecnico]],tblTecnicos[nombre],tblTecnicos[coordinador],"")</f>
        <v/>
      </c>
      <c r="H212" s="3">
        <f>IF(OR(tblAsignaciones[[#This Row],[turno]]="",ISNUMBER(MATCH(tblAsignaciones[[#This Row],[turno]],lista_no_disponible,0))),0,p_horas_jornada)</f>
        <v/>
      </c>
      <c r="I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3">
        <f>IF(OR(tblAsignaciones[[#This Row],[turno]]="",ISNUMBER(MATCH(tblAsignaciones[[#This Row],[turno]],lista_no_disponible,0))),0,p_horas_jornada)</f>
        <v/>
      </c>
      <c r="I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3">
        <f>IF(OR(tblAsignaciones[[#This Row],[turno]]="",ISNUMBER(MATCH(tblAsignaciones[[#This Row],[turno]],lista_no_disponible,0))),0,p_horas_jornada)</f>
        <v/>
      </c>
      <c r="I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3">
        <f>IF(OR(tblAsignaciones[[#This Row],[turno]]="",ISNUMBER(MATCH(tblAsignaciones[[#This Row],[turno]],lista_no_disponible,0))),0,p_horas_jornada)</f>
        <v/>
      </c>
      <c r="I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3">
        <f>IF(OR(tblAsignaciones[[#This Row],[turno]]="",ISNUMBER(MATCH(tblAsignaciones[[#This Row],[turno]],lista_no_disponible,0))),0,p_horas_jornada)</f>
        <v/>
      </c>
      <c r="I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3">
        <f>IF(OR(tblAsignaciones[[#This Row],[turno]]="",ISNUMBER(MATCH(tblAsignaciones[[#This Row],[turno]],lista_no_disponible,0))),0,p_horas_jornada)</f>
        <v/>
      </c>
      <c r="I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3">
        <f>IF(OR(tblAsignaciones[[#This Row],[turno]]="",ISNUMBER(MATCH(tblAsignaciones[[#This Row],[turno]],lista_no_disponible,0))),0,p_horas_jornada)</f>
        <v/>
      </c>
      <c r="I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/>
      <c r="G219" s="3">
        <f>_xlfn.XLOOKUP(tblAsignaciones[[#This Row],[tecnico]],tblTecnicos[nombre],tblTecnicos[coordinador],"")</f>
        <v/>
      </c>
      <c r="H219" s="3">
        <f>IF(OR(tblAsignaciones[[#This Row],[turno]]="",ISNUMBER(MATCH(tblAsignaciones[[#This Row],[turno]],lista_no_disponible,0))),0,p_horas_jornada)</f>
        <v/>
      </c>
      <c r="I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3">
        <f>IF(OR(tblAsignaciones[[#This Row],[turno]]="",ISNUMBER(MATCH(tblAsignaciones[[#This Row],[turno]],lista_no_disponible,0))),0,p_horas_jornada)</f>
        <v/>
      </c>
      <c r="I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3">
        <f>IF(OR(tblAsignaciones[[#This Row],[turno]]="",ISNUMBER(MATCH(tblAsignaciones[[#This Row],[turno]],lista_no_disponible,0))),0,p_horas_jornada)</f>
        <v/>
      </c>
      <c r="I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3">
        <f>IF(OR(tblAsignaciones[[#This Row],[turno]]="",ISNUMBER(MATCH(tblAsignaciones[[#This Row],[turno]],lista_no_disponible,0))),0,p_horas_jornada)</f>
        <v/>
      </c>
      <c r="I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3">
        <f>IF(OR(tblAsignaciones[[#This Row],[turno]]="",ISNUMBER(MATCH(tblAsignaciones[[#This Row],[turno]],lista_no_disponible,0))),0,p_horas_jornada)</f>
        <v/>
      </c>
      <c r="I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3">
        <f>IF(OR(tblAsignaciones[[#This Row],[turno]]="",ISNUMBER(MATCH(tblAsignaciones[[#This Row],[turno]],lista_no_disponible,0))),0,p_horas_jornada)</f>
        <v/>
      </c>
      <c r="I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3">
        <f>IF(OR(tblAsignaciones[[#This Row],[turno]]="",ISNUMBER(MATCH(tblAsignaciones[[#This Row],[turno]],lista_no_disponible,0))),0,p_horas_jornada)</f>
        <v/>
      </c>
      <c r="I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/>
      <c r="G226" s="3">
        <f>_xlfn.XLOOKUP(tblAsignaciones[[#This Row],[tecnico]],tblTecnicos[nombre],tblTecnicos[coordinador],"")</f>
        <v/>
      </c>
      <c r="H226" s="3">
        <f>IF(OR(tblAsignaciones[[#This Row],[turno]]="",ISNUMBER(MATCH(tblAsignaciones[[#This Row],[turno]],lista_no_disponible,0))),0,p_horas_jornada)</f>
        <v/>
      </c>
      <c r="I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3">
        <f>IF(OR(tblAsignaciones[[#This Row],[turno]]="",ISNUMBER(MATCH(tblAsignaciones[[#This Row],[turno]],lista_no_disponible,0))),0,p_horas_jornada)</f>
        <v/>
      </c>
      <c r="I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3">
        <f>IF(OR(tblAsignaciones[[#This Row],[turno]]="",ISNUMBER(MATCH(tblAsignaciones[[#This Row],[turno]],lista_no_disponible,0))),0,p_horas_jornada)</f>
        <v/>
      </c>
      <c r="I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3">
        <f>IF(OR(tblAsignaciones[[#This Row],[turno]]="",ISNUMBER(MATCH(tblAsignaciones[[#This Row],[turno]],lista_no_disponible,0))),0,p_horas_jornada)</f>
        <v/>
      </c>
      <c r="I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3">
        <f>IF(OR(tblAsignaciones[[#This Row],[turno]]="",ISNUMBER(MATCH(tblAsignaciones[[#This Row],[turno]],lista_no_disponible,0))),0,p_horas_jornada)</f>
        <v/>
      </c>
      <c r="I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3">
        <f>IF(OR(tblAsignaciones[[#This Row],[turno]]="",ISNUMBER(MATCH(tblAsignaciones[[#This Row],[turno]],lista_no_disponible,0))),0,p_horas_jornada)</f>
        <v/>
      </c>
      <c r="I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3">
        <f>IF(OR(tblAsignaciones[[#This Row],[turno]]="",ISNUMBER(MATCH(tblAsignaciones[[#This Row],[turno]],lista_no_disponible,0))),0,p_horas_jornada)</f>
        <v/>
      </c>
      <c r="I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/>
      <c r="G233" s="3">
        <f>_xlfn.XLOOKUP(tblAsignaciones[[#This Row],[tecnico]],tblTecnicos[nombre],tblTecnicos[coordinador],"")</f>
        <v/>
      </c>
      <c r="H233" s="3">
        <f>IF(OR(tblAsignaciones[[#This Row],[turno]]="",ISNUMBER(MATCH(tblAsignaciones[[#This Row],[turno]],lista_no_disponible,0))),0,p_horas_jornada)</f>
        <v/>
      </c>
      <c r="I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3">
        <f>IF(OR(tblAsignaciones[[#This Row],[turno]]="",ISNUMBER(MATCH(tblAsignaciones[[#This Row],[turno]],lista_no_disponible,0))),0,p_horas_jornada)</f>
        <v/>
      </c>
      <c r="I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3">
        <f>IF(OR(tblAsignaciones[[#This Row],[turno]]="",ISNUMBER(MATCH(tblAsignaciones[[#This Row],[turno]],lista_no_disponible,0))),0,p_horas_jornada)</f>
        <v/>
      </c>
      <c r="I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3">
        <f>IF(OR(tblAsignaciones[[#This Row],[turno]]="",ISNUMBER(MATCH(tblAsignaciones[[#This Row],[turno]],lista_no_disponible,0))),0,p_horas_jornada)</f>
        <v/>
      </c>
      <c r="I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3">
        <f>IF(OR(tblAsignaciones[[#This Row],[turno]]="",ISNUMBER(MATCH(tblAsignaciones[[#This Row],[turno]],lista_no_disponible,0))),0,p_horas_jornada)</f>
        <v/>
      </c>
      <c r="I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3">
        <f>IF(OR(tblAsignaciones[[#This Row],[turno]]="",ISNUMBER(MATCH(tblAsignaciones[[#This Row],[turno]],lista_no_disponible,0))),0,p_horas_jornada)</f>
        <v/>
      </c>
      <c r="I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3">
        <f>IF(OR(tblAsignaciones[[#This Row],[turno]]="",ISNUMBER(MATCH(tblAsignaciones[[#This Row],[turno]],lista_no_disponible,0))),0,p_horas_jornada)</f>
        <v/>
      </c>
      <c r="I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/>
      <c r="G240" s="3">
        <f>_xlfn.XLOOKUP(tblAsignaciones[[#This Row],[tecnico]],tblTecnicos[nombre],tblTecnicos[coordinador],"")</f>
        <v/>
      </c>
      <c r="H240" s="3">
        <f>IF(OR(tblAsignaciones[[#This Row],[turno]]="",ISNUMBER(MATCH(tblAsignaciones[[#This Row],[turno]],lista_no_disponible,0))),0,p_horas_jornada)</f>
        <v/>
      </c>
      <c r="I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3">
        <f>IF(OR(tblAsignaciones[[#This Row],[turno]]="",ISNUMBER(MATCH(tblAsignaciones[[#This Row],[turno]],lista_no_disponible,0))),0,p_horas_jornada)</f>
        <v/>
      </c>
      <c r="I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3">
        <f>IF(OR(tblAsignaciones[[#This Row],[turno]]="",ISNUMBER(MATCH(tblAsignaciones[[#This Row],[turno]],lista_no_disponible,0))),0,p_horas_jornada)</f>
        <v/>
      </c>
      <c r="I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3">
        <f>IF(OR(tblAsignaciones[[#This Row],[turno]]="",ISNUMBER(MATCH(tblAsignaciones[[#This Row],[turno]],lista_no_disponible,0))),0,p_horas_jornada)</f>
        <v/>
      </c>
      <c r="I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3">
        <f>IF(OR(tblAsignaciones[[#This Row],[turno]]="",ISNUMBER(MATCH(tblAsignaciones[[#This Row],[turno]],lista_no_disponible,0))),0,p_horas_jornada)</f>
        <v/>
      </c>
      <c r="I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3">
        <f>IF(OR(tblAsignaciones[[#This Row],[turno]]="",ISNUMBER(MATCH(tblAsignaciones[[#This Row],[turno]],lista_no_disponible,0))),0,p_horas_jornada)</f>
        <v/>
      </c>
      <c r="I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3">
        <f>IF(OR(tblAsignaciones[[#This Row],[turno]]="",ISNUMBER(MATCH(tblAsignaciones[[#This Row],[turno]],lista_no_disponible,0))),0,p_horas_jornada)</f>
        <v/>
      </c>
      <c r="I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/>
      <c r="G247" s="3">
        <f>_xlfn.XLOOKUP(tblAsignaciones[[#This Row],[tecnico]],tblTecnicos[nombre],tblTecnicos[coordinador],"")</f>
        <v/>
      </c>
      <c r="H247" s="3">
        <f>IF(OR(tblAsignaciones[[#This Row],[turno]]="",ISNUMBER(MATCH(tblAsignaciones[[#This Row],[turno]],lista_no_disponible,0))),0,p_horas_jornada)</f>
        <v/>
      </c>
      <c r="I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3">
        <f>IF(OR(tblAsignaciones[[#This Row],[turno]]="",ISNUMBER(MATCH(tblAsignaciones[[#This Row],[turno]],lista_no_disponible,0))),0,p_horas_jornada)</f>
        <v/>
      </c>
      <c r="I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3">
        <f>IF(OR(tblAsignaciones[[#This Row],[turno]]="",ISNUMBER(MATCH(tblAsignaciones[[#This Row],[turno]],lista_no_disponible,0))),0,p_horas_jornada)</f>
        <v/>
      </c>
      <c r="I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3">
        <f>IF(OR(tblAsignaciones[[#This Row],[turno]]="",ISNUMBER(MATCH(tblAsignaciones[[#This Row],[turno]],lista_no_disponible,0))),0,p_horas_jornada)</f>
        <v/>
      </c>
      <c r="I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3">
        <f>IF(OR(tblAsignaciones[[#This Row],[turno]]="",ISNUMBER(MATCH(tblAsignaciones[[#This Row],[turno]],lista_no_disponible,0))),0,p_horas_jornada)</f>
        <v/>
      </c>
      <c r="I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3">
        <f>IF(OR(tblAsignaciones[[#This Row],[turno]]="",ISNUMBER(MATCH(tblAsignaciones[[#This Row],[turno]],lista_no_disponible,0))),0,p_horas_jornada)</f>
        <v/>
      </c>
      <c r="I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3">
        <f>IF(OR(tblAsignaciones[[#This Row],[turno]]="",ISNUMBER(MATCH(tblAsignaciones[[#This Row],[turno]],lista_no_disponible,0))),0,p_horas_jornada)</f>
        <v/>
      </c>
      <c r="I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/>
      <c r="G254" s="3">
        <f>_xlfn.XLOOKUP(tblAsignaciones[[#This Row],[tecnico]],tblTecnicos[nombre],tblTecnicos[coordinador],"")</f>
        <v/>
      </c>
      <c r="H254" s="3">
        <f>IF(OR(tblAsignaciones[[#This Row],[turno]]="",ISNUMBER(MATCH(tblAsignaciones[[#This Row],[turno]],lista_no_disponible,0))),0,p_horas_jornada)</f>
        <v/>
      </c>
      <c r="I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/>
      <c r="G255" s="3">
        <f>_xlfn.XLOOKUP(tblAsignaciones[[#This Row],[tecnico]],tblTecnicos[nombre],tblTecnicos[coordinador],"")</f>
        <v/>
      </c>
      <c r="H255" s="3">
        <f>IF(OR(tblAsignaciones[[#This Row],[turno]]="",ISNUMBER(MATCH(tblAsignaciones[[#This Row],[turno]],lista_no_disponible,0))),0,p_horas_jornada)</f>
        <v/>
      </c>
      <c r="I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3">
        <f>IF(OR(tblAsignaciones[[#This Row],[turno]]="",ISNUMBER(MATCH(tblAsignaciones[[#This Row],[turno]],lista_no_disponible,0))),0,p_horas_jornada)</f>
        <v/>
      </c>
      <c r="I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3">
        <f>IF(OR(tblAsignaciones[[#This Row],[turno]]="",ISNUMBER(MATCH(tblAsignaciones[[#This Row],[turno]],lista_no_disponible,0))),0,p_horas_jornada)</f>
        <v/>
      </c>
      <c r="I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3">
        <f>IF(OR(tblAsignaciones[[#This Row],[turno]]="",ISNUMBER(MATCH(tblAsignaciones[[#This Row],[turno]],lista_no_disponible,0))),0,p_horas_jornada)</f>
        <v/>
      </c>
      <c r="I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3">
        <f>IF(OR(tblAsignaciones[[#This Row],[turno]]="",ISNUMBER(MATCH(tblAsignaciones[[#This Row],[turno]],lista_no_disponible,0))),0,p_horas_jornada)</f>
        <v/>
      </c>
      <c r="I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3">
        <f>IF(OR(tblAsignaciones[[#This Row],[turno]]="",ISNUMBER(MATCH(tblAsignaciones[[#This Row],[turno]],lista_no_disponible,0))),0,p_horas_jornada)</f>
        <v/>
      </c>
      <c r="I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/>
      <c r="G261" s="3">
        <f>_xlfn.XLOOKUP(tblAsignaciones[[#This Row],[tecnico]],tblTecnicos[nombre],tblTecnicos[coordinador],"")</f>
        <v/>
      </c>
      <c r="H261" s="3">
        <f>IF(OR(tblAsignaciones[[#This Row],[turno]]="",ISNUMBER(MATCH(tblAsignaciones[[#This Row],[turno]],lista_no_disponible,0))),0,p_horas_jornada)</f>
        <v/>
      </c>
      <c r="I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3">
        <f>IF(OR(tblAsignaciones[[#This Row],[turno]]="",ISNUMBER(MATCH(tblAsignaciones[[#This Row],[turno]],lista_no_disponible,0))),0,p_horas_jornada)</f>
        <v/>
      </c>
      <c r="I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3">
        <f>IF(OR(tblAsignaciones[[#This Row],[turno]]="",ISNUMBER(MATCH(tblAsignaciones[[#This Row],[turno]],lista_no_disponible,0))),0,p_horas_jornada)</f>
        <v/>
      </c>
      <c r="I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3">
        <f>IF(OR(tblAsignaciones[[#This Row],[turno]]="",ISNUMBER(MATCH(tblAsignaciones[[#This Row],[turno]],lista_no_disponible,0))),0,p_horas_jornada)</f>
        <v/>
      </c>
      <c r="I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3">
        <f>IF(OR(tblAsignaciones[[#This Row],[turno]]="",ISNUMBER(MATCH(tblAsignaciones[[#This Row],[turno]],lista_no_disponible,0))),0,p_horas_jornada)</f>
        <v/>
      </c>
      <c r="I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3">
        <f>IF(OR(tblAsignaciones[[#This Row],[turno]]="",ISNUMBER(MATCH(tblAsignaciones[[#This Row],[turno]],lista_no_disponible,0))),0,p_horas_jornada)</f>
        <v/>
      </c>
      <c r="I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3">
        <f>IF(OR(tblAsignaciones[[#This Row],[turno]]="",ISNUMBER(MATCH(tblAsignaciones[[#This Row],[turno]],lista_no_disponible,0))),0,p_horas_jornada)</f>
        <v/>
      </c>
      <c r="I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/>
      <c r="G268" s="3">
        <f>_xlfn.XLOOKUP(tblAsignaciones[[#This Row],[tecnico]],tblTecnicos[nombre],tblTecnicos[coordinador],"")</f>
        <v/>
      </c>
      <c r="H268" s="3">
        <f>IF(OR(tblAsignaciones[[#This Row],[turno]]="",ISNUMBER(MATCH(tblAsignaciones[[#This Row],[turno]],lista_no_disponible,0))),0,p_horas_jornada)</f>
        <v/>
      </c>
      <c r="I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3">
        <f>IF(OR(tblAsignaciones[[#This Row],[turno]]="",ISNUMBER(MATCH(tblAsignaciones[[#This Row],[turno]],lista_no_disponible,0))),0,p_horas_jornada)</f>
        <v/>
      </c>
      <c r="I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3">
        <f>IF(OR(tblAsignaciones[[#This Row],[turno]]="",ISNUMBER(MATCH(tblAsignaciones[[#This Row],[turno]],lista_no_disponible,0))),0,p_horas_jornada)</f>
        <v/>
      </c>
      <c r="I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3">
        <f>IF(OR(tblAsignaciones[[#This Row],[turno]]="",ISNUMBER(MATCH(tblAsignaciones[[#This Row],[turno]],lista_no_disponible,0))),0,p_horas_jornada)</f>
        <v/>
      </c>
      <c r="I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3">
        <f>IF(OR(tblAsignaciones[[#This Row],[turno]]="",ISNUMBER(MATCH(tblAsignaciones[[#This Row],[turno]],lista_no_disponible,0))),0,p_horas_jornada)</f>
        <v/>
      </c>
      <c r="I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3">
        <f>IF(OR(tblAsignaciones[[#This Row],[turno]]="",ISNUMBER(MATCH(tblAsignaciones[[#This Row],[turno]],lista_no_disponible,0))),0,p_horas_jornada)</f>
        <v/>
      </c>
      <c r="I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3">
        <f>IF(OR(tblAsignaciones[[#This Row],[turno]]="",ISNUMBER(MATCH(tblAsignaciones[[#This Row],[turno]],lista_no_disponible,0))),0,p_horas_jornada)</f>
        <v/>
      </c>
      <c r="I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/>
      <c r="G275" s="3">
        <f>_xlfn.XLOOKUP(tblAsignaciones[[#This Row],[tecnico]],tblTecnicos[nombre],tblTecnicos[coordinador],"")</f>
        <v/>
      </c>
      <c r="H275" s="3">
        <f>IF(OR(tblAsignaciones[[#This Row],[turno]]="",ISNUMBER(MATCH(tblAsignaciones[[#This Row],[turno]],lista_no_disponible,0))),0,p_horas_jornada)</f>
        <v/>
      </c>
      <c r="I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3">
        <f>IF(OR(tblAsignaciones[[#This Row],[turno]]="",ISNUMBER(MATCH(tblAsignaciones[[#This Row],[turno]],lista_no_disponible,0))),0,p_horas_jornada)</f>
        <v/>
      </c>
      <c r="I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3">
        <f>IF(OR(tblAsignaciones[[#This Row],[turno]]="",ISNUMBER(MATCH(tblAsignaciones[[#This Row],[turno]],lista_no_disponible,0))),0,p_horas_jornada)</f>
        <v/>
      </c>
      <c r="I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3">
        <f>IF(OR(tblAsignaciones[[#This Row],[turno]]="",ISNUMBER(MATCH(tblAsignaciones[[#This Row],[turno]],lista_no_disponible,0))),0,p_horas_jornada)</f>
        <v/>
      </c>
      <c r="I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3">
        <f>IF(OR(tblAsignaciones[[#This Row],[turno]]="",ISNUMBER(MATCH(tblAsignaciones[[#This Row],[turno]],lista_no_disponible,0))),0,p_horas_jornada)</f>
        <v/>
      </c>
      <c r="I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3">
        <f>IF(OR(tblAsignaciones[[#This Row],[turno]]="",ISNUMBER(MATCH(tblAsignaciones[[#This Row],[turno]],lista_no_disponible,0))),0,p_horas_jornada)</f>
        <v/>
      </c>
      <c r="I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3">
        <f>IF(OR(tblAsignaciones[[#This Row],[turno]]="",ISNUMBER(MATCH(tblAsignaciones[[#This Row],[turno]],lista_no_disponible,0))),0,p_horas_jornada)</f>
        <v/>
      </c>
      <c r="I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/>
      <c r="G282" s="3">
        <f>_xlfn.XLOOKUP(tblAsignaciones[[#This Row],[tecnico]],tblTecnicos[nombre],tblTecnicos[coordinador],"")</f>
        <v/>
      </c>
      <c r="H282" s="3">
        <f>IF(OR(tblAsignaciones[[#This Row],[turno]]="",ISNUMBER(MATCH(tblAsignaciones[[#This Row],[turno]],lista_no_disponible,0))),0,p_horas_jornada)</f>
        <v/>
      </c>
      <c r="I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3">
        <f>IF(OR(tblAsignaciones[[#This Row],[turno]]="",ISNUMBER(MATCH(tblAsignaciones[[#This Row],[turno]],lista_no_disponible,0))),0,p_horas_jornada)</f>
        <v/>
      </c>
      <c r="I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3">
        <f>IF(OR(tblAsignaciones[[#This Row],[turno]]="",ISNUMBER(MATCH(tblAsignaciones[[#This Row],[turno]],lista_no_disponible,0))),0,p_horas_jornada)</f>
        <v/>
      </c>
      <c r="I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3">
        <f>IF(OR(tblAsignaciones[[#This Row],[turno]]="",ISNUMBER(MATCH(tblAsignaciones[[#This Row],[turno]],lista_no_disponible,0))),0,p_horas_jornada)</f>
        <v/>
      </c>
      <c r="I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3">
        <f>IF(OR(tblAsignaciones[[#This Row],[turno]]="",ISNUMBER(MATCH(tblAsignaciones[[#This Row],[turno]],lista_no_disponible,0))),0,p_horas_jornada)</f>
        <v/>
      </c>
      <c r="I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3">
        <f>IF(OR(tblAsignaciones[[#This Row],[turno]]="",ISNUMBER(MATCH(tblAsignaciones[[#This Row],[turno]],lista_no_disponible,0))),0,p_horas_jornada)</f>
        <v/>
      </c>
      <c r="I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3">
        <f>IF(OR(tblAsignaciones[[#This Row],[turno]]="",ISNUMBER(MATCH(tblAsignaciones[[#This Row],[turno]],lista_no_disponible,0))),0,p_horas_jornada)</f>
        <v/>
      </c>
      <c r="I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/>
      <c r="G289" s="3">
        <f>_xlfn.XLOOKUP(tblAsignaciones[[#This Row],[tecnico]],tblTecnicos[nombre],tblTecnicos[coordinador],"")</f>
        <v/>
      </c>
      <c r="H289" s="3">
        <f>IF(OR(tblAsignaciones[[#This Row],[turno]]="",ISNUMBER(MATCH(tblAsignaciones[[#This Row],[turno]],lista_no_disponible,0))),0,p_horas_jornada)</f>
        <v/>
      </c>
      <c r="I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3">
        <f>IF(OR(tblAsignaciones[[#This Row],[turno]]="",ISNUMBER(MATCH(tblAsignaciones[[#This Row],[turno]],lista_no_disponible,0))),0,p_horas_jornada)</f>
        <v/>
      </c>
      <c r="I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3">
        <f>IF(OR(tblAsignaciones[[#This Row],[turno]]="",ISNUMBER(MATCH(tblAsignaciones[[#This Row],[turno]],lista_no_disponible,0))),0,p_horas_jornada)</f>
        <v/>
      </c>
      <c r="I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3">
        <f>IF(OR(tblAsignaciones[[#This Row],[turno]]="",ISNUMBER(MATCH(tblAsignaciones[[#This Row],[turno]],lista_no_disponible,0))),0,p_horas_jornada)</f>
        <v/>
      </c>
      <c r="I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3">
        <f>IF(OR(tblAsignaciones[[#This Row],[turno]]="",ISNUMBER(MATCH(tblAsignaciones[[#This Row],[turno]],lista_no_disponible,0))),0,p_horas_jornada)</f>
        <v/>
      </c>
      <c r="I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3">
        <f>IF(OR(tblAsignaciones[[#This Row],[turno]]="",ISNUMBER(MATCH(tblAsignaciones[[#This Row],[turno]],lista_no_disponible,0))),0,p_horas_jornada)</f>
        <v/>
      </c>
      <c r="I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3">
        <f>IF(OR(tblAsignaciones[[#This Row],[turno]]="",ISNUMBER(MATCH(tblAsignaciones[[#This Row],[turno]],lista_no_disponible,0))),0,p_horas_jornada)</f>
        <v/>
      </c>
      <c r="I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/>
      <c r="G296" s="3">
        <f>_xlfn.XLOOKUP(tblAsignaciones[[#This Row],[tecnico]],tblTecnicos[nombre],tblTecnicos[coordinador],"")</f>
        <v/>
      </c>
      <c r="H296" s="3">
        <f>IF(OR(tblAsignaciones[[#This Row],[turno]]="",ISNUMBER(MATCH(tblAsignaciones[[#This Row],[turno]],lista_no_disponible,0))),0,p_horas_jornada)</f>
        <v/>
      </c>
      <c r="I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3">
        <f>IF(OR(tblAsignaciones[[#This Row],[turno]]="",ISNUMBER(MATCH(tblAsignaciones[[#This Row],[turno]],lista_no_disponible,0))),0,p_horas_jornada)</f>
        <v/>
      </c>
      <c r="I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3">
        <f>IF(OR(tblAsignaciones[[#This Row],[turno]]="",ISNUMBER(MATCH(tblAsignaciones[[#This Row],[turno]],lista_no_disponible,0))),0,p_horas_jornada)</f>
        <v/>
      </c>
      <c r="I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3">
        <f>IF(OR(tblAsignaciones[[#This Row],[turno]]="",ISNUMBER(MATCH(tblAsignaciones[[#This Row],[turno]],lista_no_disponible,0))),0,p_horas_jornada)</f>
        <v/>
      </c>
      <c r="I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3">
        <f>IF(OR(tblAsignaciones[[#This Row],[turno]]="",ISNUMBER(MATCH(tblAsignaciones[[#This Row],[turno]],lista_no_disponible,0))),0,p_horas_jornada)</f>
        <v/>
      </c>
      <c r="I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3">
        <f>IF(OR(tblAsignaciones[[#This Row],[turno]]="",ISNUMBER(MATCH(tblAsignaciones[[#This Row],[turno]],lista_no_disponible,0))),0,p_horas_jornada)</f>
        <v/>
      </c>
      <c r="I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3">
        <f>IF(OR(tblAsignaciones[[#This Row],[turno]]="",ISNUMBER(MATCH(tblAsignaciones[[#This Row],[turno]],lista_no_disponible,0))),0,p_horas_jornada)</f>
        <v/>
      </c>
      <c r="I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/>
      <c r="G303" s="3">
        <f>_xlfn.XLOOKUP(tblAsignaciones[[#This Row],[tecnico]],tblTecnicos[nombre],tblTecnicos[coordinador],"")</f>
        <v/>
      </c>
      <c r="H303" s="3">
        <f>IF(OR(tblAsignaciones[[#This Row],[turno]]="",ISNUMBER(MATCH(tblAsignaciones[[#This Row],[turno]],lista_no_disponible,0))),0,p_horas_jornada)</f>
        <v/>
      </c>
      <c r="I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3">
        <f>IF(OR(tblAsignaciones[[#This Row],[turno]]="",ISNUMBER(MATCH(tblAsignaciones[[#This Row],[turno]],lista_no_disponible,0))),0,p_horas_jornada)</f>
        <v/>
      </c>
      <c r="I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3">
        <f>IF(OR(tblAsignaciones[[#This Row],[turno]]="",ISNUMBER(MATCH(tblAsignaciones[[#This Row],[turno]],lista_no_disponible,0))),0,p_horas_jornada)</f>
        <v/>
      </c>
      <c r="I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3">
        <f>IF(OR(tblAsignaciones[[#This Row],[turno]]="",ISNUMBER(MATCH(tblAsignaciones[[#This Row],[turno]],lista_no_disponible,0))),0,p_horas_jornada)</f>
        <v/>
      </c>
      <c r="I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3">
        <f>IF(OR(tblAsignaciones[[#This Row],[turno]]="",ISNUMBER(MATCH(tblAsignaciones[[#This Row],[turno]],lista_no_disponible,0))),0,p_horas_jornada)</f>
        <v/>
      </c>
      <c r="I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3">
        <f>IF(OR(tblAsignaciones[[#This Row],[turno]]="",ISNUMBER(MATCH(tblAsignaciones[[#This Row],[turno]],lista_no_disponible,0))),0,p_horas_jornada)</f>
        <v/>
      </c>
      <c r="I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3">
        <f>IF(OR(tblAsignaciones[[#This Row],[turno]]="",ISNUMBER(MATCH(tblAsignaciones[[#This Row],[turno]],lista_no_disponible,0))),0,p_horas_jornada)</f>
        <v/>
      </c>
      <c r="I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/>
      <c r="G310" s="3">
        <f>_xlfn.XLOOKUP(tblAsignaciones[[#This Row],[tecnico]],tblTecnicos[nombre],tblTecnicos[coordinador],"")</f>
        <v/>
      </c>
      <c r="H310" s="3">
        <f>IF(OR(tblAsignaciones[[#This Row],[turno]]="",ISNUMBER(MATCH(tblAsignaciones[[#This Row],[turno]],lista_no_disponible,0))),0,p_horas_jornada)</f>
        <v/>
      </c>
      <c r="I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3">
        <f>IF(OR(tblAsignaciones[[#This Row],[turno]]="",ISNUMBER(MATCH(tblAsignaciones[[#This Row],[turno]],lista_no_disponible,0))),0,p_horas_jornada)</f>
        <v/>
      </c>
      <c r="I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3">
        <f>IF(OR(tblAsignaciones[[#This Row],[turno]]="",ISNUMBER(MATCH(tblAsignaciones[[#This Row],[turno]],lista_no_disponible,0))),0,p_horas_jornada)</f>
        <v/>
      </c>
      <c r="I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3">
        <f>IF(OR(tblAsignaciones[[#This Row],[turno]]="",ISNUMBER(MATCH(tblAsignaciones[[#This Row],[turno]],lista_no_disponible,0))),0,p_horas_jornada)</f>
        <v/>
      </c>
      <c r="I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3">
        <f>IF(OR(tblAsignaciones[[#This Row],[turno]]="",ISNUMBER(MATCH(tblAsignaciones[[#This Row],[turno]],lista_no_disponible,0))),0,p_horas_jornada)</f>
        <v/>
      </c>
      <c r="I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3">
        <f>IF(OR(tblAsignaciones[[#This Row],[turno]]="",ISNUMBER(MATCH(tblAsignaciones[[#This Row],[turno]],lista_no_disponible,0))),0,p_horas_jornada)</f>
        <v/>
      </c>
      <c r="I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3">
        <f>IF(OR(tblAsignaciones[[#This Row],[turno]]="",ISNUMBER(MATCH(tblAsignaciones[[#This Row],[turno]],lista_no_disponible,0))),0,p_horas_jornada)</f>
        <v/>
      </c>
      <c r="I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/>
      <c r="G317" s="3">
        <f>_xlfn.XLOOKUP(tblAsignaciones[[#This Row],[tecnico]],tblTecnicos[nombre],tblTecnicos[coordinador],"")</f>
        <v/>
      </c>
      <c r="H317" s="3">
        <f>IF(OR(tblAsignaciones[[#This Row],[turno]]="",ISNUMBER(MATCH(tblAsignaciones[[#This Row],[turno]],lista_no_disponible,0))),0,p_horas_jornada)</f>
        <v/>
      </c>
      <c r="I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3">
        <f>IF(OR(tblAsignaciones[[#This Row],[turno]]="",ISNUMBER(MATCH(tblAsignaciones[[#This Row],[turno]],lista_no_disponible,0))),0,p_horas_jornada)</f>
        <v/>
      </c>
      <c r="I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3">
        <f>IF(OR(tblAsignaciones[[#This Row],[turno]]="",ISNUMBER(MATCH(tblAsignaciones[[#This Row],[turno]],lista_no_disponible,0))),0,p_horas_jornada)</f>
        <v/>
      </c>
      <c r="I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3">
        <f>IF(OR(tblAsignaciones[[#This Row],[turno]]="",ISNUMBER(MATCH(tblAsignaciones[[#This Row],[turno]],lista_no_disponible,0))),0,p_horas_jornada)</f>
        <v/>
      </c>
      <c r="I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3">
        <f>IF(OR(tblAsignaciones[[#This Row],[turno]]="",ISNUMBER(MATCH(tblAsignaciones[[#This Row],[turno]],lista_no_disponible,0))),0,p_horas_jornada)</f>
        <v/>
      </c>
      <c r="I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3">
        <f>IF(OR(tblAsignaciones[[#This Row],[turno]]="",ISNUMBER(MATCH(tblAsignaciones[[#This Row],[turno]],lista_no_disponible,0))),0,p_horas_jornada)</f>
        <v/>
      </c>
      <c r="I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3">
        <f>IF(OR(tblAsignaciones[[#This Row],[turno]]="",ISNUMBER(MATCH(tblAsignaciones[[#This Row],[turno]],lista_no_disponible,0))),0,p_horas_jornada)</f>
        <v/>
      </c>
      <c r="I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/>
      <c r="G324" s="3">
        <f>_xlfn.XLOOKUP(tblAsignaciones[[#This Row],[tecnico]],tblTecnicos[nombre],tblTecnicos[coordinador],"")</f>
        <v/>
      </c>
      <c r="H324" s="3">
        <f>IF(OR(tblAsignaciones[[#This Row],[turno]]="",ISNUMBER(MATCH(tblAsignaciones[[#This Row],[turno]],lista_no_disponible,0))),0,p_horas_jornada)</f>
        <v/>
      </c>
      <c r="I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3">
        <f>IF(OR(tblAsignaciones[[#This Row],[turno]]="",ISNUMBER(MATCH(tblAsignaciones[[#This Row],[turno]],lista_no_disponible,0))),0,p_horas_jornada)</f>
        <v/>
      </c>
      <c r="I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3">
        <f>IF(OR(tblAsignaciones[[#This Row],[turno]]="",ISNUMBER(MATCH(tblAsignaciones[[#This Row],[turno]],lista_no_disponible,0))),0,p_horas_jornada)</f>
        <v/>
      </c>
      <c r="I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3">
        <f>IF(OR(tblAsignaciones[[#This Row],[turno]]="",ISNUMBER(MATCH(tblAsignaciones[[#This Row],[turno]],lista_no_disponible,0))),0,p_horas_jornada)</f>
        <v/>
      </c>
      <c r="I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3">
        <f>IF(OR(tblAsignaciones[[#This Row],[turno]]="",ISNUMBER(MATCH(tblAsignaciones[[#This Row],[turno]],lista_no_disponible,0))),0,p_horas_jornada)</f>
        <v/>
      </c>
      <c r="I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3">
        <f>IF(OR(tblAsignaciones[[#This Row],[turno]]="",ISNUMBER(MATCH(tblAsignaciones[[#This Row],[turno]],lista_no_disponible,0))),0,p_horas_jornada)</f>
        <v/>
      </c>
      <c r="I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3">
        <f>IF(OR(tblAsignaciones[[#This Row],[turno]]="",ISNUMBER(MATCH(tblAsignaciones[[#This Row],[turno]],lista_no_disponible,0))),0,p_horas_jornada)</f>
        <v/>
      </c>
      <c r="I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/>
      <c r="G331" s="3">
        <f>_xlfn.XLOOKUP(tblAsignaciones[[#This Row],[tecnico]],tblTecnicos[nombre],tblTecnicos[coordinador],"")</f>
        <v/>
      </c>
      <c r="H331" s="3">
        <f>IF(OR(tblAsignaciones[[#This Row],[turno]]="",ISNUMBER(MATCH(tblAsignaciones[[#This Row],[turno]],lista_no_disponible,0))),0,p_horas_jornada)</f>
        <v/>
      </c>
      <c r="I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3">
        <f>IF(OR(tblAsignaciones[[#This Row],[turno]]="",ISNUMBER(MATCH(tblAsignaciones[[#This Row],[turno]],lista_no_disponible,0))),0,p_horas_jornada)</f>
        <v/>
      </c>
      <c r="I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3">
        <f>IF(OR(tblAsignaciones[[#This Row],[turno]]="",ISNUMBER(MATCH(tblAsignaciones[[#This Row],[turno]],lista_no_disponible,0))),0,p_horas_jornada)</f>
        <v/>
      </c>
      <c r="I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3">
        <f>IF(OR(tblAsignaciones[[#This Row],[turno]]="",ISNUMBER(MATCH(tblAsignaciones[[#This Row],[turno]],lista_no_disponible,0))),0,p_horas_jornada)</f>
        <v/>
      </c>
      <c r="I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3">
        <f>IF(OR(tblAsignaciones[[#This Row],[turno]]="",ISNUMBER(MATCH(tblAsignaciones[[#This Row],[turno]],lista_no_disponible,0))),0,p_horas_jornada)</f>
        <v/>
      </c>
      <c r="I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3">
        <f>IF(OR(tblAsignaciones[[#This Row],[turno]]="",ISNUMBER(MATCH(tblAsignaciones[[#This Row],[turno]],lista_no_disponible,0))),0,p_horas_jornada)</f>
        <v/>
      </c>
      <c r="I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3">
        <f>IF(OR(tblAsignaciones[[#This Row],[turno]]="",ISNUMBER(MATCH(tblAsignaciones[[#This Row],[turno]],lista_no_disponible,0))),0,p_horas_jornada)</f>
        <v/>
      </c>
      <c r="I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/>
      <c r="G338" s="3">
        <f>_xlfn.XLOOKUP(tblAsignaciones[[#This Row],[tecnico]],tblTecnicos[nombre],tblTecnicos[coordinador],"")</f>
        <v/>
      </c>
      <c r="H338" s="3">
        <f>IF(OR(tblAsignaciones[[#This Row],[turno]]="",ISNUMBER(MATCH(tblAsignaciones[[#This Row],[turno]],lista_no_disponible,0))),0,p_horas_jornada)</f>
        <v/>
      </c>
      <c r="I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3">
        <f>IF(OR(tblAsignaciones[[#This Row],[turno]]="",ISNUMBER(MATCH(tblAsignaciones[[#This Row],[turno]],lista_no_disponible,0))),0,p_horas_jornada)</f>
        <v/>
      </c>
      <c r="I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46223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46223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46223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46223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4" t="n"/>
      <c r="C8" s="6" t="n"/>
      <c r="D8" s="15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4" t="n"/>
      <c r="C9" s="6" t="n"/>
      <c r="D9" s="15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4" t="n"/>
      <c r="C10" s="6" t="n"/>
      <c r="D10" s="15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4" t="n"/>
      <c r="C11" s="6" t="n"/>
      <c r="D11" s="15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4" t="n"/>
      <c r="C12" s="6" t="n"/>
      <c r="D12" s="15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4" t="n"/>
      <c r="C13" s="6" t="n"/>
      <c r="D13" s="15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4" t="n"/>
      <c r="C14" s="6" t="n"/>
      <c r="D14" s="15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4" t="n"/>
      <c r="C15" s="6" t="n"/>
      <c r="D15" s="15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4" t="n"/>
      <c r="C16" s="6" t="n"/>
      <c r="D16" s="15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4" t="n"/>
      <c r="C17" s="6" t="n"/>
      <c r="D17" s="15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4" t="n"/>
      <c r="C18" s="6" t="n"/>
      <c r="D18" s="15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4" t="n"/>
      <c r="C19" s="6" t="n"/>
      <c r="D19" s="15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4" t="n"/>
      <c r="C20" s="6" t="n"/>
      <c r="D20" s="15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4" t="n"/>
      <c r="C21" s="6" t="n"/>
      <c r="D21" s="15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4" t="n"/>
      <c r="C22" s="6" t="n"/>
      <c r="D22" s="15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4" t="n"/>
      <c r="C23" s="6" t="n"/>
      <c r="D23" s="15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4" t="n"/>
      <c r="C24" s="6" t="n"/>
      <c r="D24" s="15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4" t="n"/>
      <c r="C25" s="6" t="n"/>
      <c r="D25" s="15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4" t="n"/>
      <c r="C26" s="6" t="n"/>
      <c r="D26" s="15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4" t="n"/>
      <c r="C27" s="6" t="n"/>
      <c r="D27" s="15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4" t="n"/>
      <c r="C28" s="6" t="n"/>
      <c r="D28" s="15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4" t="n"/>
      <c r="C29" s="6" t="n"/>
      <c r="D29" s="15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4" t="n"/>
      <c r="C30" s="6" t="n"/>
      <c r="D30" s="15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4" t="n"/>
      <c r="C31" s="6" t="n"/>
      <c r="D31" s="15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4" t="n"/>
      <c r="C32" s="6" t="n"/>
      <c r="D32" s="15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4" t="n"/>
      <c r="C33" s="6" t="n"/>
      <c r="D33" s="15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4" t="n"/>
      <c r="C34" s="6" t="n"/>
      <c r="D34" s="15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4" t="n"/>
      <c r="C35" s="6" t="n"/>
      <c r="D35" s="15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4" t="n"/>
      <c r="C36" s="6" t="n"/>
      <c r="D36" s="15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4" t="n"/>
      <c r="C37" s="6" t="n"/>
      <c r="D37" s="15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4" t="n"/>
      <c r="C38" s="6" t="n"/>
      <c r="D38" s="15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4" t="n"/>
      <c r="C39" s="6" t="n"/>
      <c r="D39" s="15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4" t="n"/>
      <c r="C40" s="6" t="n"/>
      <c r="D40" s="15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4" t="n"/>
      <c r="C41" s="6" t="n"/>
      <c r="D41" s="15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4" t="n"/>
      <c r="C42" s="6" t="n"/>
      <c r="D42" s="15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4" t="n"/>
      <c r="C43" s="6" t="n"/>
      <c r="D43" s="15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4" t="n"/>
      <c r="C44" s="6" t="n"/>
      <c r="D44" s="15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4" t="n"/>
      <c r="C45" s="6" t="n"/>
      <c r="D45" s="15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4" t="n"/>
      <c r="C46" s="6" t="n"/>
      <c r="D46" s="15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4" t="n"/>
      <c r="C47" s="6" t="n"/>
      <c r="D47" s="15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4" t="n"/>
      <c r="C48" s="6" t="n"/>
      <c r="D48" s="15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4" t="n"/>
      <c r="C49" s="6" t="n"/>
      <c r="D49" s="15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4" t="n"/>
      <c r="C50" s="6" t="n"/>
      <c r="D50" s="15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4" t="n"/>
      <c r="C51" s="6" t="n"/>
      <c r="D51" s="15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4" t="n"/>
      <c r="C52" s="6" t="n"/>
      <c r="D52" s="15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4" t="n"/>
      <c r="C53" s="6" t="n"/>
      <c r="D53" s="15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4" t="n"/>
      <c r="C54" s="6" t="n"/>
      <c r="D54" s="15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4" t="n"/>
      <c r="C55" s="6" t="n"/>
      <c r="D55" s="15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4" t="n"/>
      <c r="C56" s="6" t="n"/>
      <c r="D56" s="15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4" t="n"/>
      <c r="C57" s="6" t="n"/>
      <c r="D57" s="15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4" t="n"/>
      <c r="C58" s="6" t="n"/>
      <c r="D58" s="15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4" t="n"/>
      <c r="C59" s="6" t="n"/>
      <c r="D59" s="15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4" t="n"/>
      <c r="C60" s="6" t="n"/>
      <c r="D60" s="15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4" t="n"/>
      <c r="C61" s="6" t="n"/>
      <c r="D61" s="15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4" t="n"/>
      <c r="C62" s="6" t="n"/>
      <c r="D62" s="15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4" t="n"/>
      <c r="C63" s="6" t="n"/>
      <c r="D63" s="15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4" t="n"/>
      <c r="C64" s="6" t="n"/>
      <c r="D64" s="15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4" t="n"/>
      <c r="C65" s="6" t="n"/>
      <c r="D65" s="15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4" t="n"/>
      <c r="C66" s="6" t="n"/>
      <c r="D66" s="15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4" t="n"/>
      <c r="C67" s="6" t="n"/>
      <c r="D67" s="15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4" t="n"/>
      <c r="C68" s="6" t="n"/>
      <c r="D68" s="15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4" t="n"/>
      <c r="C69" s="6" t="n"/>
      <c r="D69" s="15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4" t="n"/>
      <c r="C70" s="6" t="n"/>
      <c r="D70" s="15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4" t="n"/>
      <c r="C71" s="6" t="n"/>
      <c r="D71" s="15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4" t="n"/>
      <c r="C72" s="6" t="n"/>
      <c r="D72" s="15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4" t="n"/>
      <c r="C73" s="6" t="n"/>
      <c r="D73" s="15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4" t="n"/>
      <c r="C74" s="6" t="n"/>
      <c r="D74" s="15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4" t="n"/>
      <c r="C75" s="6" t="n"/>
      <c r="D75" s="15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4" t="n"/>
      <c r="C76" s="6" t="n"/>
      <c r="D76" s="15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4" t="n"/>
      <c r="C77" s="6" t="n"/>
      <c r="D77" s="15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4" t="n"/>
      <c r="C78" s="6" t="n"/>
      <c r="D78" s="15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4" t="n"/>
      <c r="C79" s="6" t="n"/>
      <c r="D79" s="15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4" t="n"/>
      <c r="C80" s="6" t="n"/>
      <c r="D80" s="15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4" t="n"/>
      <c r="C81" s="6" t="n"/>
      <c r="D81" s="15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4" t="n"/>
      <c r="C82" s="6" t="n"/>
      <c r="D82" s="15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4" t="n"/>
      <c r="C83" s="6" t="n"/>
      <c r="D83" s="15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4" t="n"/>
      <c r="C84" s="6" t="n"/>
      <c r="D84" s="15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4" t="n"/>
      <c r="C85" s="6" t="n"/>
      <c r="D85" s="15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4" t="n"/>
      <c r="C86" s="6" t="n"/>
      <c r="D86" s="15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4" t="n"/>
      <c r="C87" s="6" t="n"/>
      <c r="D87" s="15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4" t="n"/>
      <c r="C88" s="6" t="n"/>
      <c r="D88" s="15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4" t="n"/>
      <c r="C89" s="6" t="n"/>
      <c r="D89" s="15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4" t="n"/>
      <c r="C90" s="6" t="n"/>
      <c r="D90" s="15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4" t="n"/>
      <c r="C91" s="6" t="n"/>
      <c r="D91" s="15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4" t="n"/>
      <c r="C92" s="6" t="n"/>
      <c r="D92" s="15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4" t="n"/>
      <c r="C93" s="6" t="n"/>
      <c r="D93" s="15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4" t="n"/>
      <c r="C94" s="6" t="n"/>
      <c r="D94" s="15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4" t="n"/>
      <c r="C95" s="6" t="n"/>
      <c r="D95" s="15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4" t="n"/>
      <c r="C96" s="6" t="n"/>
      <c r="D96" s="15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4" t="n"/>
      <c r="C97" s="6" t="n"/>
      <c r="D97" s="15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4" t="n"/>
      <c r="C98" s="6" t="n"/>
      <c r="D98" s="15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4" t="n"/>
      <c r="C99" s="6" t="n"/>
      <c r="D99" s="15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4" t="n"/>
      <c r="C100" s="6" t="n"/>
      <c r="D100" s="15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4" t="n"/>
      <c r="C101" s="6" t="n"/>
      <c r="D101" s="15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4" t="n"/>
      <c r="C102" s="6" t="n"/>
      <c r="D102" s="15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4" t="n"/>
      <c r="C103" s="6" t="n"/>
      <c r="D103" s="15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4" t="n"/>
      <c r="C104" s="6" t="n"/>
      <c r="D104" s="15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4" t="n"/>
      <c r="C105" s="6" t="n"/>
      <c r="D105" s="15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4" t="n"/>
      <c r="C106" s="6" t="n"/>
      <c r="D106" s="15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4" t="n"/>
      <c r="C107" s="6" t="n"/>
      <c r="D107" s="15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4" t="n"/>
      <c r="C108" s="6" t="n"/>
      <c r="D108" s="15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4" t="n"/>
      <c r="C109" s="6" t="n"/>
      <c r="D109" s="15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4" t="n"/>
      <c r="C110" s="6" t="n"/>
      <c r="D110" s="15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4" t="n"/>
      <c r="C111" s="6" t="n"/>
      <c r="D111" s="15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4" t="n"/>
      <c r="C112" s="6" t="n"/>
      <c r="D112" s="15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4" t="n"/>
      <c r="C113" s="6" t="n"/>
      <c r="D113" s="15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4" t="n"/>
      <c r="C114" s="6" t="n"/>
      <c r="D114" s="15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4" t="n"/>
      <c r="C115" s="6" t="n"/>
      <c r="D115" s="15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4" t="n"/>
      <c r="C116" s="6" t="n"/>
      <c r="D116" s="15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4" t="n"/>
      <c r="C117" s="6" t="n"/>
      <c r="D117" s="15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4" t="n"/>
      <c r="C118" s="6" t="n"/>
      <c r="D118" s="15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4" t="n"/>
      <c r="C119" s="6" t="n"/>
      <c r="D119" s="15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4" t="n"/>
      <c r="C120" s="6" t="n"/>
      <c r="D120" s="15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4" t="n"/>
      <c r="C121" s="6" t="n"/>
      <c r="D121" s="15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4" t="n"/>
      <c r="C122" s="6" t="n"/>
      <c r="D122" s="15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4" t="n"/>
      <c r="C123" s="6" t="n"/>
      <c r="D123" s="15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4" t="n"/>
      <c r="C124" s="6" t="n"/>
      <c r="D124" s="15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4" t="n"/>
      <c r="C125" s="6" t="n"/>
      <c r="D125" s="15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4" t="n"/>
      <c r="C126" s="6" t="n"/>
      <c r="D126" s="15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4" t="n"/>
      <c r="C127" s="6" t="n"/>
      <c r="D127" s="15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4" t="n"/>
      <c r="C128" s="6" t="n"/>
      <c r="D128" s="15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4" t="n"/>
      <c r="C129" s="6" t="n"/>
      <c r="D129" s="15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4" t="n"/>
      <c r="C130" s="6" t="n"/>
      <c r="D130" s="15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4" t="n"/>
      <c r="C131" s="6" t="n"/>
      <c r="D131" s="15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4" t="n"/>
      <c r="C132" s="6" t="n"/>
      <c r="D132" s="15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4" t="n"/>
      <c r="C133" s="6" t="n"/>
      <c r="D133" s="15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4" t="n"/>
      <c r="C134" s="6" t="n"/>
      <c r="D134" s="15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4" t="n"/>
      <c r="C135" s="6" t="n"/>
      <c r="D135" s="15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4" t="n"/>
      <c r="C136" s="6" t="n"/>
      <c r="D136" s="15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4" t="n"/>
      <c r="C137" s="6" t="n"/>
      <c r="D137" s="15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4" t="n"/>
      <c r="C138" s="6" t="n"/>
      <c r="D138" s="15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4" t="n"/>
      <c r="C139" s="6" t="n"/>
      <c r="D139" s="15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4" t="n"/>
      <c r="C140" s="6" t="n"/>
      <c r="D140" s="15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4" t="n"/>
      <c r="C141" s="6" t="n"/>
      <c r="D141" s="15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4" t="n"/>
      <c r="C142" s="6" t="n"/>
      <c r="D142" s="15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4" t="n"/>
      <c r="C143" s="6" t="n"/>
      <c r="D143" s="15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4" t="n"/>
      <c r="C144" s="6" t="n"/>
      <c r="D144" s="15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4" t="n"/>
      <c r="C145" s="6" t="n"/>
      <c r="D145" s="15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4" t="n"/>
      <c r="C146" s="6" t="n"/>
      <c r="D146" s="15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4" t="n"/>
      <c r="C147" s="6" t="n"/>
      <c r="D147" s="15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4" t="n"/>
      <c r="C148" s="6" t="n"/>
      <c r="D148" s="15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4" t="n"/>
      <c r="C149" s="6" t="n"/>
      <c r="D149" s="15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4" t="n"/>
      <c r="C150" s="6" t="n"/>
      <c r="D150" s="15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4" t="n"/>
      <c r="C151" s="6" t="n"/>
      <c r="D151" s="15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4" t="n"/>
      <c r="C152" s="6" t="n"/>
      <c r="D152" s="15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4" t="n"/>
      <c r="C153" s="6" t="n"/>
      <c r="D153" s="15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4" t="n"/>
      <c r="C154" s="6" t="n"/>
      <c r="D154" s="15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4" t="n"/>
      <c r="C155" s="6" t="n"/>
      <c r="D155" s="15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4" t="n"/>
      <c r="C156" s="6" t="n"/>
      <c r="D156" s="15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4" t="n"/>
      <c r="C157" s="6" t="n"/>
      <c r="D157" s="15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4" t="n"/>
      <c r="C158" s="6" t="n"/>
      <c r="D158" s="15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4" t="n"/>
      <c r="C159" s="6" t="n"/>
      <c r="D159" s="15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4" t="n"/>
      <c r="C160" s="6" t="n"/>
      <c r="D160" s="15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4" t="n"/>
      <c r="C161" s="6" t="n"/>
      <c r="D161" s="15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4" t="n"/>
      <c r="C162" s="6" t="n"/>
      <c r="D162" s="15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4" t="n"/>
      <c r="C163" s="6" t="n"/>
      <c r="D163" s="15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4" t="n"/>
      <c r="C164" s="6" t="n"/>
      <c r="D164" s="15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4" t="n"/>
      <c r="C165" s="6" t="n"/>
      <c r="D165" s="15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4" t="n"/>
      <c r="C166" s="6" t="n"/>
      <c r="D166" s="15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4" t="n"/>
      <c r="C167" s="6" t="n"/>
      <c r="D167" s="15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4" t="n"/>
      <c r="C168" s="6" t="n"/>
      <c r="D168" s="15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4" t="n"/>
      <c r="C169" s="6" t="n"/>
      <c r="D169" s="15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4" t="n"/>
      <c r="C170" s="6" t="n"/>
      <c r="D170" s="15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4" t="n"/>
      <c r="C171" s="6" t="n"/>
      <c r="D171" s="15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4" t="n"/>
      <c r="C172" s="6" t="n"/>
      <c r="D172" s="15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4" t="n"/>
      <c r="C173" s="6" t="n"/>
      <c r="D173" s="15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4" t="n"/>
      <c r="C174" s="6" t="n"/>
      <c r="D174" s="15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4" t="n"/>
      <c r="C175" s="6" t="n"/>
      <c r="D175" s="15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4" t="n"/>
      <c r="C176" s="6" t="n"/>
      <c r="D176" s="15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4" t="n"/>
      <c r="C177" s="6" t="n"/>
      <c r="D177" s="15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4" t="n"/>
      <c r="C178" s="6" t="n"/>
      <c r="D178" s="15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4" t="n"/>
      <c r="C179" s="6" t="n"/>
      <c r="D179" s="15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4" t="n"/>
      <c r="C180" s="6" t="n"/>
      <c r="D180" s="15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4" t="n"/>
      <c r="C181" s="6" t="n"/>
      <c r="D181" s="15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4" t="n"/>
      <c r="C182" s="6" t="n"/>
      <c r="D182" s="15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4" t="n"/>
      <c r="C183" s="6" t="n"/>
      <c r="D183" s="15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4" t="n"/>
      <c r="C184" s="6" t="n"/>
      <c r="D184" s="15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4" t="n"/>
      <c r="C185" s="6" t="n"/>
      <c r="D185" s="15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4" t="n"/>
      <c r="C186" s="6" t="n"/>
      <c r="D186" s="15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4" t="n"/>
      <c r="C187" s="6" t="n"/>
      <c r="D187" s="15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4" t="n"/>
      <c r="C188" s="6" t="n"/>
      <c r="D188" s="15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4" t="n"/>
      <c r="C189" s="6" t="n"/>
      <c r="D189" s="15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4" t="n"/>
      <c r="C190" s="6" t="n"/>
      <c r="D190" s="15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4" t="n"/>
      <c r="C191" s="6" t="n"/>
      <c r="D191" s="15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4" t="n"/>
      <c r="C192" s="6" t="n"/>
      <c r="D192" s="15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4" t="n"/>
      <c r="C193" s="6" t="n"/>
      <c r="D193" s="15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4" t="n"/>
      <c r="C194" s="6" t="n"/>
      <c r="D194" s="15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4" t="n"/>
      <c r="C195" s="6" t="n"/>
      <c r="D195" s="15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4" t="n"/>
      <c r="C196" s="6" t="n"/>
      <c r="D196" s="15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4" t="n"/>
      <c r="C197" s="6" t="n"/>
      <c r="D197" s="15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4" t="n"/>
      <c r="C198" s="6" t="n"/>
      <c r="D198" s="15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4" t="n"/>
      <c r="C199" s="6" t="n"/>
      <c r="D199" s="15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4" t="n"/>
      <c r="C200" s="6" t="n"/>
      <c r="D200" s="15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4" t="n"/>
      <c r="C201" s="6" t="n"/>
      <c r="D201" s="15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4" t="n"/>
      <c r="C202" s="6" t="n"/>
      <c r="D202" s="15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4" t="n"/>
      <c r="C203" s="6" t="n"/>
      <c r="D203" s="15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4" t="n"/>
      <c r="C204" s="6" t="n"/>
      <c r="D204" s="15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4" t="n"/>
      <c r="C205" s="6" t="n"/>
      <c r="D205" s="15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4" t="n"/>
      <c r="C206" s="6" t="n"/>
      <c r="D206" s="15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4" t="n"/>
      <c r="C207" s="6" t="n"/>
      <c r="D207" s="15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4" t="n"/>
      <c r="C208" s="6" t="n"/>
      <c r="D208" s="15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4" t="n"/>
      <c r="C209" s="6" t="n"/>
      <c r="D209" s="15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4" t="n"/>
      <c r="C210" s="6" t="n"/>
      <c r="D210" s="15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4" t="n"/>
      <c r="C211" s="6" t="n"/>
      <c r="D211" s="15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4" t="n"/>
      <c r="C212" s="6" t="n"/>
      <c r="D212" s="15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4" t="n"/>
      <c r="C213" s="6" t="n"/>
      <c r="D213" s="15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4" t="n"/>
      <c r="C214" s="6" t="n"/>
      <c r="D214" s="15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4" t="n"/>
      <c r="C215" s="6" t="n"/>
      <c r="D215" s="15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4" t="n"/>
      <c r="C216" s="6" t="n"/>
      <c r="D216" s="15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4" t="n"/>
      <c r="C217" s="6" t="n"/>
      <c r="D217" s="15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4" t="n"/>
      <c r="C218" s="6" t="n"/>
      <c r="D218" s="15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4" t="n"/>
      <c r="C219" s="6" t="n"/>
      <c r="D219" s="15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4" t="n"/>
      <c r="C220" s="6" t="n"/>
      <c r="D220" s="15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4" t="n"/>
      <c r="C221" s="6" t="n"/>
      <c r="D221" s="15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4" t="n"/>
      <c r="C222" s="6" t="n"/>
      <c r="D222" s="15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4" t="n"/>
      <c r="C223" s="6" t="n"/>
      <c r="D223" s="15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4" t="n"/>
      <c r="C224" s="6" t="n"/>
      <c r="D224" s="15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4" t="n"/>
      <c r="C225" s="6" t="n"/>
      <c r="D225" s="15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4" t="n"/>
      <c r="C226" s="6" t="n"/>
      <c r="D226" s="15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4" t="n"/>
      <c r="C227" s="6" t="n"/>
      <c r="D227" s="15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4" t="n"/>
      <c r="C228" s="6" t="n"/>
      <c r="D228" s="15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4" t="n"/>
      <c r="C229" s="6" t="n"/>
      <c r="D229" s="15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4" t="n"/>
      <c r="C230" s="6" t="n"/>
      <c r="D230" s="15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4" t="n"/>
      <c r="C231" s="6" t="n"/>
      <c r="D231" s="15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4" t="n"/>
      <c r="C232" s="6" t="n"/>
      <c r="D232" s="15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4" t="n"/>
      <c r="C233" s="6" t="n"/>
      <c r="D233" s="15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4" t="n"/>
      <c r="C234" s="6" t="n"/>
      <c r="D234" s="15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4" t="n"/>
      <c r="C235" s="6" t="n"/>
      <c r="D235" s="15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4" t="n"/>
      <c r="C236" s="6" t="n"/>
      <c r="D236" s="15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4" t="n"/>
      <c r="C237" s="6" t="n"/>
      <c r="D237" s="15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4" t="n"/>
      <c r="C238" s="6" t="n"/>
      <c r="D238" s="15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4" t="n"/>
      <c r="C239" s="6" t="n"/>
      <c r="D239" s="15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4" t="n"/>
      <c r="C240" s="6" t="n"/>
      <c r="D240" s="15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4" t="n"/>
      <c r="C241" s="6" t="n"/>
      <c r="D241" s="15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4" t="n"/>
      <c r="C242" s="6" t="n"/>
      <c r="D242" s="15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4" t="n"/>
      <c r="C243" s="6" t="n"/>
      <c r="D243" s="15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4" t="n"/>
      <c r="C244" s="6" t="n"/>
      <c r="D244" s="15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4" t="n"/>
      <c r="C245" s="6" t="n"/>
      <c r="D245" s="15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4" t="n"/>
      <c r="C246" s="6" t="n"/>
      <c r="D246" s="15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4" t="n"/>
      <c r="C247" s="6" t="n"/>
      <c r="D247" s="15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4" t="n"/>
      <c r="C248" s="6" t="n"/>
      <c r="D248" s="15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4" t="n"/>
      <c r="C249" s="6" t="n"/>
      <c r="D249" s="15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4" t="n"/>
      <c r="C250" s="6" t="n"/>
      <c r="D250" s="15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4" t="n"/>
      <c r="C251" s="6" t="n"/>
      <c r="D251" s="15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4" t="n"/>
      <c r="C252" s="6" t="n"/>
      <c r="D252" s="15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4" t="n"/>
      <c r="C253" s="6" t="n"/>
      <c r="D253" s="15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4" t="n"/>
      <c r="C254" s="6" t="n"/>
      <c r="D254" s="15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4" t="n"/>
      <c r="C255" s="6" t="n"/>
      <c r="D255" s="15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4" t="n"/>
      <c r="C256" s="6" t="n"/>
      <c r="D256" s="15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4" t="n"/>
      <c r="C257" s="6" t="n"/>
      <c r="D257" s="15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4" t="n"/>
      <c r="C258" s="6" t="n"/>
      <c r="D258" s="15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4" t="n"/>
      <c r="C259" s="6" t="n"/>
      <c r="D259" s="15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4" t="n"/>
      <c r="C260" s="6" t="n"/>
      <c r="D260" s="15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4" t="n"/>
      <c r="C261" s="6" t="n"/>
      <c r="D261" s="15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4" t="n"/>
      <c r="C262" s="6" t="n"/>
      <c r="D262" s="15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4" t="n"/>
      <c r="C263" s="6" t="n"/>
      <c r="D263" s="15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4" t="n"/>
      <c r="C264" s="6" t="n"/>
      <c r="D264" s="15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4" t="n"/>
      <c r="C265" s="6" t="n"/>
      <c r="D265" s="15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4" t="n"/>
      <c r="C266" s="6" t="n"/>
      <c r="D266" s="15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4" t="n"/>
      <c r="C267" s="6" t="n"/>
      <c r="D267" s="15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4" t="n"/>
      <c r="C268" s="6" t="n"/>
      <c r="D268" s="15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4" t="n"/>
      <c r="C269" s="6" t="n"/>
      <c r="D269" s="15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4" t="n"/>
      <c r="C270" s="6" t="n"/>
      <c r="D270" s="15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4" t="n"/>
      <c r="C271" s="6" t="n"/>
      <c r="D271" s="15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4" t="n"/>
      <c r="C272" s="6" t="n"/>
      <c r="D272" s="15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4" t="n"/>
      <c r="C273" s="6" t="n"/>
      <c r="D273" s="15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4" t="n"/>
      <c r="C274" s="6" t="n"/>
      <c r="D274" s="15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4" t="n"/>
      <c r="C275" s="6" t="n"/>
      <c r="D275" s="15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4" t="n"/>
      <c r="C276" s="6" t="n"/>
      <c r="D276" s="15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4" t="n"/>
      <c r="C277" s="6" t="n"/>
      <c r="D277" s="15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4" t="n"/>
      <c r="C278" s="6" t="n"/>
      <c r="D278" s="15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4" t="n"/>
      <c r="C279" s="6" t="n"/>
      <c r="D279" s="15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4" t="n"/>
      <c r="C280" s="6" t="n"/>
      <c r="D280" s="15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4" t="n"/>
      <c r="C281" s="6" t="n"/>
      <c r="D281" s="15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4" t="n"/>
      <c r="C282" s="6" t="n"/>
      <c r="D282" s="15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4" t="n"/>
      <c r="C283" s="6" t="n"/>
      <c r="D283" s="15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4" t="n"/>
      <c r="C284" s="6" t="n"/>
      <c r="D284" s="15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4" t="n"/>
      <c r="C285" s="6" t="n"/>
      <c r="D285" s="15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4" t="n"/>
      <c r="C286" s="6" t="n"/>
      <c r="D286" s="15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4" t="n"/>
      <c r="C287" s="6" t="n"/>
      <c r="D287" s="15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4" t="n"/>
      <c r="C288" s="6" t="n"/>
      <c r="D288" s="15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4" t="n"/>
      <c r="C289" s="6" t="n"/>
      <c r="D289" s="15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4" t="n"/>
      <c r="C290" s="6" t="n"/>
      <c r="D290" s="15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4" t="n"/>
      <c r="C291" s="6" t="n"/>
      <c r="D291" s="15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4" t="n"/>
      <c r="C292" s="6" t="n"/>
      <c r="D292" s="15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4" t="n"/>
      <c r="C293" s="6" t="n"/>
      <c r="D293" s="15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4" t="n"/>
      <c r="C294" s="6" t="n"/>
      <c r="D294" s="15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4" t="n"/>
      <c r="C295" s="6" t="n"/>
      <c r="D295" s="15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4" t="n"/>
      <c r="C296" s="6" t="n"/>
      <c r="D296" s="15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4" t="n"/>
      <c r="C297" s="6" t="n"/>
      <c r="D297" s="15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4" t="n"/>
      <c r="C298" s="6" t="n"/>
      <c r="D298" s="15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4" t="n"/>
      <c r="C299" s="6" t="n"/>
      <c r="D299" s="15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4" t="n"/>
      <c r="C300" s="6" t="n"/>
      <c r="D300" s="15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4" t="n"/>
      <c r="C301" s="6" t="n"/>
      <c r="D301" s="15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4" t="n"/>
      <c r="C302" s="6" t="n"/>
      <c r="D302" s="15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4" t="n"/>
      <c r="C303" s="6" t="n"/>
      <c r="D303" s="15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IF(N7="","",IF(N7+7&gt;MAX(tblOrdenes[fecha_inicio]),"",N7+7))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IF(N8="","",IF(N8+7&gt;MAX(tblOrdenes[fecha_inicio]),"",N8+7))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SUMIFS(tblAsignaciones[horas_disponibles],tblAsignaciones[especialidad],$A244,tblAsignaciones[semana],$B244)</f>
        <v/>
      </c>
      <c r="D244" s="17">
        <f>C244*p_factor_productividad</f>
        <v/>
      </c>
      <c r="E244" s="17">
        <f>SUMIFS(tblOrdenes[horas_efectivas],tblOrdenes[especialidad],$A244,tblOrdenes[semana],$B244,tblOrdenes[clasificacion],"preventiva")</f>
        <v/>
      </c>
      <c r="F244" s="17">
        <f>SUMIFS(tblOrdenes[horas_efectivas],tblOrdenes[especialidad],$A244,tblOrdenes[semana],$B244,tblOrdenes[clasificacion],"correctiva")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SUMIFS(tblAsignaciones[horas_disponibles],tblAsignaciones[especialidad],$A245,tblAsignaciones[semana],$B245)</f>
        <v/>
      </c>
      <c r="D245" s="17">
        <f>C245*p_factor_productividad</f>
        <v/>
      </c>
      <c r="E245" s="17">
        <f>SUMIFS(tblOrdenes[horas_efectivas],tblOrdenes[especialidad],$A245,tblOrdenes[semana],$B245,tblOrdenes[clasificacion],"preventiva")</f>
        <v/>
      </c>
      <c r="F245" s="17">
        <f>SUMIFS(tblOrdenes[horas_efectivas],tblOrdenes[especialidad],$A245,tblOrdenes[semana],$B245,tblOrdenes[clasificacion],"correctiva")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SUMIFS(tblAsignaciones[horas_disponibles],tblAsignaciones[especialidad],$A246,tblAsignaciones[semana],$B246)</f>
        <v/>
      </c>
      <c r="D246" s="17">
        <f>C246*p_factor_productividad</f>
        <v/>
      </c>
      <c r="E246" s="17">
        <f>SUMIFS(tblOrdenes[horas_efectivas],tblOrdenes[especialidad],$A246,tblOrdenes[semana],$B246,tblOrdenes[clasificacion],"preventiva")</f>
        <v/>
      </c>
      <c r="F246" s="17">
        <f>SUMIFS(tblOrdenes[horas_efectivas],tblOrdenes[especialidad],$A246,tblOrdenes[semana],$B246,tblOrdenes[clasificacion],"correctiva")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SUMIFS(tblAsignaciones[horas_disponibles],tblAsignaciones[especialidad],$A247,tblAsignaciones[semana],$B247)</f>
        <v/>
      </c>
      <c r="D247" s="17">
        <f>C247*p_factor_productividad</f>
        <v/>
      </c>
      <c r="E247" s="17">
        <f>SUMIFS(tblOrdenes[horas_efectivas],tblOrdenes[especialidad],$A247,tblOrdenes[semana],$B247,tblOrdenes[clasificacion],"preventiva")</f>
        <v/>
      </c>
      <c r="F247" s="17">
        <f>SUMIFS(tblOrdenes[horas_efectivas],tblOrdenes[especialidad],$A247,tblOrdenes[semana],$B247,tblOrdenes[clasificacion],"correctiva")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SUMIFS(tblAsignaciones[horas_disponibles],tblAsignaciones[especialidad],$A248,tblAsignaciones[semana],$B248)</f>
        <v/>
      </c>
      <c r="D248" s="17">
        <f>C248*p_factor_productividad</f>
        <v/>
      </c>
      <c r="E248" s="17">
        <f>SUMIFS(tblOrdenes[horas_efectivas],tblOrdenes[especialidad],$A248,tblOrdenes[semana],$B248,tblOrdenes[clasificacion],"preventiva")</f>
        <v/>
      </c>
      <c r="F248" s="17">
        <f>SUMIFS(tblOrdenes[horas_efectivas],tblOrdenes[especialidad],$A248,tblOrdenes[semana],$B248,tblOrdenes[clasificacion],"correctiva")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SUMIFS(tblAsignaciones[horas_disponibles],tblAsignaciones[especialidad],$A249,tblAsignaciones[semana],$B249)</f>
        <v/>
      </c>
      <c r="D249" s="17">
        <f>C249*p_factor_productividad</f>
        <v/>
      </c>
      <c r="E249" s="17">
        <f>SUMIFS(tblOrdenes[horas_efectivas],tblOrdenes[especialidad],$A249,tblOrdenes[semana],$B249,tblOrdenes[clasificacion],"preventiva")</f>
        <v/>
      </c>
      <c r="F249" s="17">
        <f>SUMIFS(tblOrdenes[horas_efectivas],tblOrdenes[especialidad],$A249,tblOrdenes[semana],$B249,tblOrdenes[clasificacion],"correctiva")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SUMIFS(tblAsignaciones[horas_disponibles],tblAsignaciones[especialidad],$A250,tblAsignaciones[semana],$B250)</f>
        <v/>
      </c>
      <c r="D250" s="17">
        <f>C250*p_factor_productividad</f>
        <v/>
      </c>
      <c r="E250" s="17">
        <f>SUMIFS(tblOrdenes[horas_efectivas],tblOrdenes[especialidad],$A250,tblOrdenes[semana],$B250,tblOrdenes[clasificacion],"preventiva")</f>
        <v/>
      </c>
      <c r="F250" s="17">
        <f>SUMIFS(tblOrdenes[horas_efectivas],tblOrdenes[especialidad],$A250,tblOrdenes[semana],$B250,tblOrdenes[clasificacion],"correctiva")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SUMIFS(tblAsignaciones[horas_disponibles],tblAsignaciones[especialidad],$A251,tblAsignaciones[semana],$B251)</f>
        <v/>
      </c>
      <c r="D251" s="17">
        <f>C251*p_factor_productividad</f>
        <v/>
      </c>
      <c r="E251" s="17">
        <f>SUMIFS(tblOrdenes[horas_efectivas],tblOrdenes[especialidad],$A251,tblOrdenes[semana],$B251,tblOrdenes[clasificacion],"preventiva")</f>
        <v/>
      </c>
      <c r="F251" s="17">
        <f>SUMIFS(tblOrdenes[horas_efectivas],tblOrdenes[especialidad],$A251,tblOrdenes[semana],$B251,tblOrdenes[clasificacion],"correctiva")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SUMIFS(tblAsignaciones[horas_disponibles],tblAsignaciones[especialidad],$A252,tblAsignaciones[semana],$B252)</f>
        <v/>
      </c>
      <c r="D252" s="17">
        <f>C252*p_factor_productividad</f>
        <v/>
      </c>
      <c r="E252" s="17">
        <f>SUMIFS(tblOrdenes[horas_efectivas],tblOrdenes[especialidad],$A252,tblOrdenes[semana],$B252,tblOrdenes[clasificacion],"preventiva")</f>
        <v/>
      </c>
      <c r="F252" s="17">
        <f>SUMIFS(tblOrdenes[horas_efectivas],tblOrdenes[especialidad],$A252,tblOrdenes[semana],$B252,tblOrdenes[clasificacion],"correctiva")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SUMIFS(tblAsignaciones[horas_disponibles],tblAsignaciones[especialidad],$A253,tblAsignaciones[semana],$B253)</f>
        <v/>
      </c>
      <c r="D253" s="17">
        <f>C253*p_factor_productividad</f>
        <v/>
      </c>
      <c r="E253" s="17">
        <f>SUMIFS(tblOrdenes[horas_efectivas],tblOrdenes[especialidad],$A253,tblOrdenes[semana],$B253,tblOrdenes[clasificacion],"preventiva")</f>
        <v/>
      </c>
      <c r="F253" s="17">
        <f>SUMIFS(tblOrdenes[horas_efectivas],tblOrdenes[especialidad],$A253,tblOrdenes[semana],$B253,tblOrdenes[clasificacion],"correctiva")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SUMIFS(tblAsignaciones[horas_disponibles],tblAsignaciones[especialidad],$A254,tblAsignaciones[semana],$B254)</f>
        <v/>
      </c>
      <c r="D254" s="17">
        <f>C254*p_factor_productividad</f>
        <v/>
      </c>
      <c r="E254" s="17">
        <f>SUMIFS(tblOrdenes[horas_efectivas],tblOrdenes[especialidad],$A254,tblOrdenes[semana],$B254,tblOrdenes[clasificacion],"preventiva")</f>
        <v/>
      </c>
      <c r="F254" s="17">
        <f>SUMIFS(tblOrdenes[horas_efectivas],tblOrdenes[especialidad],$A254,tblOrdenes[semana],$B254,tblOrdenes[clasificacion],"correctiva")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SUMIFS(tblAsignaciones[horas_disponibles],tblAsignaciones[especialidad],$A255,tblAsignaciones[semana],$B255)</f>
        <v/>
      </c>
      <c r="D255" s="17">
        <f>C255*p_factor_productividad</f>
        <v/>
      </c>
      <c r="E255" s="17">
        <f>SUMIFS(tblOrdenes[horas_efectivas],tblOrdenes[especialidad],$A255,tblOrdenes[semana],$B255,tblOrdenes[clasificacion],"preventiva")</f>
        <v/>
      </c>
      <c r="F255" s="17">
        <f>SUMIFS(tblOrdenes[horas_efectivas],tblOrdenes[especialidad],$A255,tblOrdenes[semana],$B255,tblOrdenes[clasificacion],"correctiva")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SUMIFS(tblAsignaciones[horas_disponibles],tblAsignaciones[especialidad],$A256,tblAsignaciones[semana],$B256)</f>
        <v/>
      </c>
      <c r="D256" s="17">
        <f>C256*p_factor_productividad</f>
        <v/>
      </c>
      <c r="E256" s="17">
        <f>SUMIFS(tblOrdenes[horas_efectivas],tblOrdenes[especialidad],$A256,tblOrdenes[semana],$B256,tblOrdenes[clasificacion],"preventiva")</f>
        <v/>
      </c>
      <c r="F256" s="17">
        <f>SUMIFS(tblOrdenes[horas_efectivas],tblOrdenes[especialidad],$A256,tblOrdenes[semana],$B256,tblOrdenes[clasificacion],"correctiva")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SUMIFS(tblAsignaciones[horas_disponibles],tblAsignaciones[especialidad],$A257,tblAsignaciones[semana],$B257)</f>
        <v/>
      </c>
      <c r="D257" s="17">
        <f>C257*p_factor_productividad</f>
        <v/>
      </c>
      <c r="E257" s="17">
        <f>SUMIFS(tblOrdenes[horas_efectivas],tblOrdenes[especialidad],$A257,tblOrdenes[semana],$B257,tblOrdenes[clasificacion],"preventiva")</f>
        <v/>
      </c>
      <c r="F257" s="17">
        <f>SUMIFS(tblOrdenes[horas_efectivas],tblOrdenes[especialidad],$A257,tblOrdenes[semana],$B257,tblOrdenes[clasificacion],"correctiva")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SUMIFS(tblAsignaciones[horas_disponibles],tblAsignaciones[especialidad],$A258,tblAsignaciones[semana],$B258)</f>
        <v/>
      </c>
      <c r="D258" s="17">
        <f>C258*p_factor_productividad</f>
        <v/>
      </c>
      <c r="E258" s="17">
        <f>SUMIFS(tblOrdenes[horas_efectivas],tblOrdenes[especialidad],$A258,tblOrdenes[semana],$B258,tblOrdenes[clasificacion],"preventiva")</f>
        <v/>
      </c>
      <c r="F258" s="17">
        <f>SUMIFS(tblOrdenes[horas_efectivas],tblOrdenes[especialidad],$A258,tblOrdenes[semana],$B258,tblOrdenes[clasificacion],"correctiva")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SUMIFS(tblAsignaciones[horas_disponibles],tblAsignaciones[especialidad],$A259,tblAsignaciones[semana],$B259)</f>
        <v/>
      </c>
      <c r="D259" s="17">
        <f>C259*p_factor_productividad</f>
        <v/>
      </c>
      <c r="E259" s="17">
        <f>SUMIFS(tblOrdenes[horas_efectivas],tblOrdenes[especialidad],$A259,tblOrdenes[semana],$B259,tblOrdenes[clasificacion],"preventiva")</f>
        <v/>
      </c>
      <c r="F259" s="17">
        <f>SUMIFS(tblOrdenes[horas_efectivas],tblOrdenes[especialidad],$A259,tblOrdenes[semana],$B259,tblOrdenes[clasificacion],"correctiva")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SUMIFS(tblAsignaciones[horas_disponibles],tblAsignaciones[especialidad],$A260,tblAsignaciones[semana],$B260)</f>
        <v/>
      </c>
      <c r="D260" s="17">
        <f>C260*p_factor_productividad</f>
        <v/>
      </c>
      <c r="E260" s="17">
        <f>SUMIFS(tblOrdenes[horas_efectivas],tblOrdenes[especialidad],$A260,tblOrdenes[semana],$B260,tblOrdenes[clasificacion],"preventiva")</f>
        <v/>
      </c>
      <c r="F260" s="17">
        <f>SUMIFS(tblOrdenes[horas_efectivas],tblOrdenes[especialidad],$A260,tblOrdenes[semana],$B260,tblOrdenes[clasificacion],"correctiva")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SUMIFS(tblAsignaciones[horas_disponibles],tblAsignaciones[especialidad],$A261,tblAsignaciones[semana],$B261)</f>
        <v/>
      </c>
      <c r="D261" s="17">
        <f>C261*p_factor_productividad</f>
        <v/>
      </c>
      <c r="E261" s="17">
        <f>SUMIFS(tblOrdenes[horas_efectivas],tblOrdenes[especialidad],$A261,tblOrdenes[semana],$B261,tblOrdenes[clasificacion],"preventiva")</f>
        <v/>
      </c>
      <c r="F261" s="17">
        <f>SUMIFS(tblOrdenes[horas_efectivas],tblOrdenes[especialidad],$A261,tblOrdenes[semana],$B261,tblOrdenes[clasificacion],"correctiva")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SUMIFS(tblAsignaciones[horas_disponibles],tblAsignaciones[especialidad],$A262,tblAsignaciones[semana],$B262)</f>
        <v/>
      </c>
      <c r="D262" s="17">
        <f>C262*p_factor_productividad</f>
        <v/>
      </c>
      <c r="E262" s="17">
        <f>SUMIFS(tblOrdenes[horas_efectivas],tblOrdenes[especialidad],$A262,tblOrdenes[semana],$B262,tblOrdenes[clasificacion],"preventiva")</f>
        <v/>
      </c>
      <c r="F262" s="17">
        <f>SUMIFS(tblOrdenes[horas_efectivas],tblOrdenes[especialidad],$A262,tblOrdenes[semana],$B262,tblOrdenes[clasificacion],"correctiva")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SUMIFS(tblAsignaciones[horas_disponibles],tblAsignaciones[especialidad],$A263,tblAsignaciones[semana],$B263)</f>
        <v/>
      </c>
      <c r="D263" s="17">
        <f>C263*p_factor_productividad</f>
        <v/>
      </c>
      <c r="E263" s="17">
        <f>SUMIFS(tblOrdenes[horas_efectivas],tblOrdenes[especialidad],$A263,tblOrdenes[semana],$B263,tblOrdenes[clasificacion],"preventiva")</f>
        <v/>
      </c>
      <c r="F263" s="17">
        <f>SUMIFS(tblOrdenes[horas_efectivas],tblOrdenes[especialidad],$A263,tblOrdenes[semana],$B263,tblOrdenes[clasificacion],"correctiva")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SUMIFS(tblAsignaciones[horas_disponibles],tblAsignaciones[especialidad],$A264,tblAsignaciones[semana],$B264)</f>
        <v/>
      </c>
      <c r="D264" s="17">
        <f>C264*p_factor_productividad</f>
        <v/>
      </c>
      <c r="E264" s="17">
        <f>SUMIFS(tblOrdenes[horas_efectivas],tblOrdenes[especialidad],$A264,tblOrdenes[semana],$B264,tblOrdenes[clasificacion],"preventiva")</f>
        <v/>
      </c>
      <c r="F264" s="17">
        <f>SUMIFS(tblOrdenes[horas_efectivas],tblOrdenes[especialidad],$A264,tblOrdenes[semana],$B264,tblOrdenes[clasificacion],"correctiva")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SUMIFS(tblAsignaciones[horas_disponibles],tblAsignaciones[especialidad],$A265,tblAsignaciones[semana],$B265)</f>
        <v/>
      </c>
      <c r="D265" s="17">
        <f>C265*p_factor_productividad</f>
        <v/>
      </c>
      <c r="E265" s="17">
        <f>SUMIFS(tblOrdenes[horas_efectivas],tblOrdenes[especialidad],$A265,tblOrdenes[semana],$B265,tblOrdenes[clasificacion],"preventiva")</f>
        <v/>
      </c>
      <c r="F265" s="17">
        <f>SUMIFS(tblOrdenes[horas_efectivas],tblOrdenes[especialidad],$A265,tblOrdenes[semana],$B265,tblOrdenes[clasificacion],"correctiva")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SUMIFS(tblAsignaciones[horas_disponibles],tblAsignaciones[especialidad],$A266,tblAsignaciones[semana],$B266)</f>
        <v/>
      </c>
      <c r="D266" s="17">
        <f>C266*p_factor_productividad</f>
        <v/>
      </c>
      <c r="E266" s="17">
        <f>SUMIFS(tblOrdenes[horas_efectivas],tblOrdenes[especialidad],$A266,tblOrdenes[semana],$B266,tblOrdenes[clasificacion],"preventiva")</f>
        <v/>
      </c>
      <c r="F266" s="17">
        <f>SUMIFS(tblOrdenes[horas_efectivas],tblOrdenes[especialidad],$A266,tblOrdenes[semana],$B266,tblOrdenes[clasificacion],"correctiva")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SUMIFS(tblAsignaciones[horas_disponibles],tblAsignaciones[especialidad],$A267,tblAsignaciones[semana],$B267)</f>
        <v/>
      </c>
      <c r="D267" s="17">
        <f>C267*p_factor_productividad</f>
        <v/>
      </c>
      <c r="E267" s="17">
        <f>SUMIFS(tblOrdenes[horas_efectivas],tblOrdenes[especialidad],$A267,tblOrdenes[semana],$B267,tblOrdenes[clasificacion],"preventiva")</f>
        <v/>
      </c>
      <c r="F267" s="17">
        <f>SUMIFS(tblOrdenes[horas_efectivas],tblOrdenes[especialidad],$A267,tblOrdenes[semana],$B267,tblOrdenes[clasificacion],"correctiva")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SUMIFS(tblAsignaciones[horas_disponibles],tblAsignaciones[especialidad],$A268,tblAsignaciones[semana],$B268)</f>
        <v/>
      </c>
      <c r="D268" s="17">
        <f>C268*p_factor_productividad</f>
        <v/>
      </c>
      <c r="E268" s="17">
        <f>SUMIFS(tblOrdenes[horas_efectivas],tblOrdenes[especialidad],$A268,tblOrdenes[semana],$B268,tblOrdenes[clasificacion],"preventiva")</f>
        <v/>
      </c>
      <c r="F268" s="17">
        <f>SUMIFS(tblOrdenes[horas_efectivas],tblOrdenes[especialidad],$A268,tblOrdenes[semana],$B268,tblOrdenes[clasificacion],"correctiva")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SUMIFS(tblAsignaciones[horas_disponibles],tblAsignaciones[especialidad],$A269,tblAsignaciones[semana],$B269)</f>
        <v/>
      </c>
      <c r="D269" s="17">
        <f>C269*p_factor_productividad</f>
        <v/>
      </c>
      <c r="E269" s="17">
        <f>SUMIFS(tblOrdenes[horas_efectivas],tblOrdenes[especialidad],$A269,tblOrdenes[semana],$B269,tblOrdenes[clasificacion],"preventiva")</f>
        <v/>
      </c>
      <c r="F269" s="17">
        <f>SUMIFS(tblOrdenes[horas_efectivas],tblOrdenes[especialidad],$A269,tblOrdenes[semana],$B269,tblOrdenes[clasificacion],"correctiva")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SUMIFS(tblAsignaciones[horas_disponibles],tblAsignaciones[especialidad],$A270,tblAsignaciones[semana],$B270)</f>
        <v/>
      </c>
      <c r="D270" s="17">
        <f>C270*p_factor_productividad</f>
        <v/>
      </c>
      <c r="E270" s="17">
        <f>SUMIFS(tblOrdenes[horas_efectivas],tblOrdenes[especialidad],$A270,tblOrdenes[semana],$B270,tblOrdenes[clasificacion],"preventiva")</f>
        <v/>
      </c>
      <c r="F270" s="17">
        <f>SUMIFS(tblOrdenes[horas_efectivas],tblOrdenes[especialidad],$A270,tblOrdenes[semana],$B270,tblOrdenes[clasificacion],"correctiva")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SUMIFS(tblAsignaciones[horas_disponibles],tblAsignaciones[especialidad],$A271,tblAsignaciones[semana],$B271)</f>
        <v/>
      </c>
      <c r="D271" s="17">
        <f>C271*p_factor_productividad</f>
        <v/>
      </c>
      <c r="E271" s="17">
        <f>SUMIFS(tblOrdenes[horas_efectivas],tblOrdenes[especialidad],$A271,tblOrdenes[semana],$B271,tblOrdenes[clasificacion],"preventiva")</f>
        <v/>
      </c>
      <c r="F271" s="17">
        <f>SUMIFS(tblOrdenes[horas_efectivas],tblOrdenes[especialidad],$A271,tblOrdenes[semana],$B271,tblOrdenes[clasificacion],"correctiva")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SUMIFS(tblAsignaciones[horas_disponibles],tblAsignaciones[especialidad],$A272,tblAsignaciones[semana],$B272)</f>
        <v/>
      </c>
      <c r="D272" s="17">
        <f>C272*p_factor_productividad</f>
        <v/>
      </c>
      <c r="E272" s="17">
        <f>SUMIFS(tblOrdenes[horas_efectivas],tblOrdenes[especialidad],$A272,tblOrdenes[semana],$B272,tblOrdenes[clasificacion],"preventiva")</f>
        <v/>
      </c>
      <c r="F272" s="17">
        <f>SUMIFS(tblOrdenes[horas_efectivas],tblOrdenes[especialidad],$A272,tblOrdenes[semana],$B272,tblOrdenes[clasificacion],"correctiva")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SUMIFS(tblAsignaciones[horas_disponibles],tblAsignaciones[especialidad],$A273,tblAsignaciones[semana],$B273)</f>
        <v/>
      </c>
      <c r="D273" s="17">
        <f>C273*p_factor_productividad</f>
        <v/>
      </c>
      <c r="E273" s="17">
        <f>SUMIFS(tblOrdenes[horas_efectivas],tblOrdenes[especialidad],$A273,tblOrdenes[semana],$B273,tblOrdenes[clasificacion],"preventiva")</f>
        <v/>
      </c>
      <c r="F273" s="17">
        <f>SUMIFS(tblOrdenes[horas_efectivas],tblOrdenes[especialidad],$A273,tblOrdenes[semana],$B273,tblOrdenes[clasificacion],"correctiva")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SUMIFS(tblAsignaciones[horas_disponibles],tblAsignaciones[especialidad],$A274,tblAsignaciones[semana],$B274)</f>
        <v/>
      </c>
      <c r="D274" s="17">
        <f>C274*p_factor_productividad</f>
        <v/>
      </c>
      <c r="E274" s="17">
        <f>SUMIFS(tblOrdenes[horas_efectivas],tblOrdenes[especialidad],$A274,tblOrdenes[semana],$B274,tblOrdenes[clasificacion],"preventiva")</f>
        <v/>
      </c>
      <c r="F274" s="17">
        <f>SUMIFS(tblOrdenes[horas_efectivas],tblOrdenes[especialidad],$A274,tblOrdenes[semana],$B274,tblOrdenes[clasificacion],"correctiva")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SUMIFS(tblAsignaciones[horas_disponibles],tblAsignaciones[especialidad],$A275,tblAsignaciones[semana],$B275)</f>
        <v/>
      </c>
      <c r="D275" s="17">
        <f>C275*p_factor_productividad</f>
        <v/>
      </c>
      <c r="E275" s="17">
        <f>SUMIFS(tblOrdenes[horas_efectivas],tblOrdenes[especialidad],$A275,tblOrdenes[semana],$B275,tblOrdenes[clasificacion],"preventiva")</f>
        <v/>
      </c>
      <c r="F275" s="17">
        <f>SUMIFS(tblOrdenes[horas_efectivas],tblOrdenes[especialidad],$A275,tblOrdenes[semana],$B275,tblOrdenes[clasificacion],"correctiva")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SUMIFS(tblAsignaciones[horas_disponibles],tblAsignaciones[especialidad],$A276,tblAsignaciones[semana],$B276)</f>
        <v/>
      </c>
      <c r="D276" s="17">
        <f>C276*p_factor_productividad</f>
        <v/>
      </c>
      <c r="E276" s="17">
        <f>SUMIFS(tblOrdenes[horas_efectivas],tblOrdenes[especialidad],$A276,tblOrdenes[semana],$B276,tblOrdenes[clasificacion],"preventiva")</f>
        <v/>
      </c>
      <c r="F276" s="17">
        <f>SUMIFS(tblOrdenes[horas_efectivas],tblOrdenes[especialidad],$A276,tblOrdenes[semana],$B276,tblOrdenes[clasificacion],"correctiva")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SUMIFS(tblAsignaciones[horas_disponibles],tblAsignaciones[especialidad],$A277,tblAsignaciones[semana],$B277)</f>
        <v/>
      </c>
      <c r="D277" s="17">
        <f>C277*p_factor_productividad</f>
        <v/>
      </c>
      <c r="E277" s="17">
        <f>SUMIFS(tblOrdenes[horas_efectivas],tblOrdenes[especialidad],$A277,tblOrdenes[semana],$B277,tblOrdenes[clasificacion],"preventiva")</f>
        <v/>
      </c>
      <c r="F277" s="17">
        <f>SUMIFS(tblOrdenes[horas_efectivas],tblOrdenes[especialidad],$A277,tblOrdenes[semana],$B277,tblOrdenes[clasificacion],"correctiva")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SUMIFS(tblAsignaciones[horas_disponibles],tblAsignaciones[especialidad],$A278,tblAsignaciones[semana],$B278)</f>
        <v/>
      </c>
      <c r="D278" s="17">
        <f>C278*p_factor_productividad</f>
        <v/>
      </c>
      <c r="E278" s="17">
        <f>SUMIFS(tblOrdenes[horas_efectivas],tblOrdenes[especialidad],$A278,tblOrdenes[semana],$B278,tblOrdenes[clasificacion],"preventiva")</f>
        <v/>
      </c>
      <c r="F278" s="17">
        <f>SUMIFS(tblOrdenes[horas_efectivas],tblOrdenes[especialidad],$A278,tblOrdenes[semana],$B278,tblOrdenes[clasificacion],"correctiva")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SUMIFS(tblAsignaciones[horas_disponibles],tblAsignaciones[especialidad],$A279,tblAsignaciones[semana],$B279)</f>
        <v/>
      </c>
      <c r="D279" s="17">
        <f>C279*p_factor_productividad</f>
        <v/>
      </c>
      <c r="E279" s="17">
        <f>SUMIFS(tblOrdenes[horas_efectivas],tblOrdenes[especialidad],$A279,tblOrdenes[semana],$B279,tblOrdenes[clasificacion],"preventiva")</f>
        <v/>
      </c>
      <c r="F279" s="17">
        <f>SUMIFS(tblOrdenes[horas_efectivas],tblOrdenes[especialidad],$A279,tblOrdenes[semana],$B279,tblOrdenes[clasificacion],"correctiva")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SUMIFS(tblAsignaciones[horas_disponibles],tblAsignaciones[especialidad],$A280,tblAsignaciones[semana],$B280)</f>
        <v/>
      </c>
      <c r="D280" s="17">
        <f>C280*p_factor_productividad</f>
        <v/>
      </c>
      <c r="E280" s="17">
        <f>SUMIFS(tblOrdenes[horas_efectivas],tblOrdenes[especialidad],$A280,tblOrdenes[semana],$B280,tblOrdenes[clasificacion],"preventiva")</f>
        <v/>
      </c>
      <c r="F280" s="17">
        <f>SUMIFS(tblOrdenes[horas_efectivas],tblOrdenes[especialidad],$A280,tblOrdenes[semana],$B280,tblOrdenes[clasificacion],"correctiva")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SUMIFS(tblAsignaciones[horas_disponibles],tblAsignaciones[especialidad],$A281,tblAsignaciones[semana],$B281)</f>
        <v/>
      </c>
      <c r="D281" s="17">
        <f>C281*p_factor_productividad</f>
        <v/>
      </c>
      <c r="E281" s="17">
        <f>SUMIFS(tblOrdenes[horas_efectivas],tblOrdenes[especialidad],$A281,tblOrdenes[semana],$B281,tblOrdenes[clasificacion],"preventiva")</f>
        <v/>
      </c>
      <c r="F281" s="17">
        <f>SUMIFS(tblOrdenes[horas_efectivas],tblOrdenes[especialidad],$A281,tblOrdenes[semana],$B281,tblOrdenes[clasificacion],"correctiva")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SUMIFS(tblAsignaciones[horas_disponibles],tblAsignaciones[especialidad],$A282,tblAsignaciones[semana],$B282)</f>
        <v/>
      </c>
      <c r="D282" s="17">
        <f>C282*p_factor_productividad</f>
        <v/>
      </c>
      <c r="E282" s="17">
        <f>SUMIFS(tblOrdenes[horas_efectivas],tblOrdenes[especialidad],$A282,tblOrdenes[semana],$B282,tblOrdenes[clasificacion],"preventiva")</f>
        <v/>
      </c>
      <c r="F282" s="17">
        <f>SUMIFS(tblOrdenes[horas_efectivas],tblOrdenes[especialidad],$A282,tblOrdenes[semana],$B282,tblOrdenes[clasificacion],"correctiva")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SUMIFS(tblAsignaciones[horas_disponibles],tblAsignaciones[especialidad],$A283,tblAsignaciones[semana],$B283)</f>
        <v/>
      </c>
      <c r="D283" s="17">
        <f>C283*p_factor_productividad</f>
        <v/>
      </c>
      <c r="E283" s="17">
        <f>SUMIFS(tblOrdenes[horas_efectivas],tblOrdenes[especialidad],$A283,tblOrdenes[semana],$B283,tblOrdenes[clasificacion],"preventiva")</f>
        <v/>
      </c>
      <c r="F283" s="17">
        <f>SUMIFS(tblOrdenes[horas_efectivas],tblOrdenes[especialidad],$A283,tblOrdenes[semana],$B283,tblOrdenes[clasificacion],"correctiva")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SUMIFS(tblAsignaciones[horas_disponibles],tblAsignaciones[especialidad],$A284,tblAsignaciones[semana],$B284)</f>
        <v/>
      </c>
      <c r="D284" s="17">
        <f>C284*p_factor_productividad</f>
        <v/>
      </c>
      <c r="E284" s="17">
        <f>SUMIFS(tblOrdenes[horas_efectivas],tblOrdenes[especialidad],$A284,tblOrdenes[semana],$B284,tblOrdenes[clasificacion],"preventiva")</f>
        <v/>
      </c>
      <c r="F284" s="17">
        <f>SUMIFS(tblOrdenes[horas_efectivas],tblOrdenes[especialidad],$A284,tblOrdenes[semana],$B284,tblOrdenes[clasificacion],"correctiva")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SUMIFS(tblAsignaciones[horas_disponibles],tblAsignaciones[especialidad],$A285,tblAsignaciones[semana],$B285)</f>
        <v/>
      </c>
      <c r="D285" s="17">
        <f>C285*p_factor_productividad</f>
        <v/>
      </c>
      <c r="E285" s="17">
        <f>SUMIFS(tblOrdenes[horas_efectivas],tblOrdenes[especialidad],$A285,tblOrdenes[semana],$B285,tblOrdenes[clasificacion],"preventiva")</f>
        <v/>
      </c>
      <c r="F285" s="17">
        <f>SUMIFS(tblOrdenes[horas_efectivas],tblOrdenes[especialidad],$A285,tblOrdenes[semana],$B285,tblOrdenes[clasificacion],"correctiva")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SUMIFS(tblAsignaciones[horas_disponibles],tblAsignaciones[especialidad],$A286,tblAsignaciones[semana],$B286)</f>
        <v/>
      </c>
      <c r="D286" s="17">
        <f>C286*p_factor_productividad</f>
        <v/>
      </c>
      <c r="E286" s="17">
        <f>SUMIFS(tblOrdenes[horas_efectivas],tblOrdenes[especialidad],$A286,tblOrdenes[semana],$B286,tblOrdenes[clasificacion],"preventiva")</f>
        <v/>
      </c>
      <c r="F286" s="17">
        <f>SUMIFS(tblOrdenes[horas_efectivas],tblOrdenes[especialidad],$A286,tblOrdenes[semana],$B286,tblOrdenes[clasificacion],"correctiva")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SUMIFS(tblAsignaciones[horas_disponibles],tblAsignaciones[especialidad],$A287,tblAsignaciones[semana],$B287)</f>
        <v/>
      </c>
      <c r="D287" s="17">
        <f>C287*p_factor_productividad</f>
        <v/>
      </c>
      <c r="E287" s="17">
        <f>SUMIFS(tblOrdenes[horas_efectivas],tblOrdenes[especialidad],$A287,tblOrdenes[semana],$B287,tblOrdenes[clasificacion],"preventiva")</f>
        <v/>
      </c>
      <c r="F287" s="17">
        <f>SUMIFS(tblOrdenes[horas_efectivas],tblOrdenes[especialidad],$A287,tblOrdenes[semana],$B287,tblOrdenes[clasificacion],"correctiva")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SUMIFS(tblAsignaciones[horas_disponibles],tblAsignaciones[especialidad],$A288,tblAsignaciones[semana],$B288)</f>
        <v/>
      </c>
      <c r="D288" s="17">
        <f>C288*p_factor_productividad</f>
        <v/>
      </c>
      <c r="E288" s="17">
        <f>SUMIFS(tblOrdenes[horas_efectivas],tblOrdenes[especialidad],$A288,tblOrdenes[semana],$B288,tblOrdenes[clasificacion],"preventiva")</f>
        <v/>
      </c>
      <c r="F288" s="17">
        <f>SUMIFS(tblOrdenes[horas_efectivas],tblOrdenes[especialidad],$A288,tblOrdenes[semana],$B288,tblOrdenes[clasificacion],"correctiva")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SUMIFS(tblAsignaciones[horas_disponibles],tblAsignaciones[especialidad],$A289,tblAsignaciones[semana],$B289)</f>
        <v/>
      </c>
      <c r="D289" s="17">
        <f>C289*p_factor_productividad</f>
        <v/>
      </c>
      <c r="E289" s="17">
        <f>SUMIFS(tblOrdenes[horas_efectivas],tblOrdenes[especialidad],$A289,tblOrdenes[semana],$B289,tblOrdenes[clasificacion],"preventiva")</f>
        <v/>
      </c>
      <c r="F289" s="17">
        <f>SUMIFS(tblOrdenes[horas_efectivas],tblOrdenes[especialidad],$A289,tblOrdenes[semana],$B289,tblOrdenes[clasificacion],"correctiva")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SUMIFS(tblAsignaciones[horas_disponibles],tblAsignaciones[especialidad],$A290,tblAsignaciones[semana],$B290)</f>
        <v/>
      </c>
      <c r="D290" s="17">
        <f>C290*p_factor_productividad</f>
        <v/>
      </c>
      <c r="E290" s="17">
        <f>SUMIFS(tblOrdenes[horas_efectivas],tblOrdenes[especialidad],$A290,tblOrdenes[semana],$B290,tblOrdenes[clasificacion],"preventiva")</f>
        <v/>
      </c>
      <c r="F290" s="17">
        <f>SUMIFS(tblOrdenes[horas_efectivas],tblOrdenes[especialidad],$A290,tblOrdenes[semana],$B290,tblOrdenes[clasificacion],"correctiva")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SUMIFS(tblAsignaciones[horas_disponibles],tblAsignaciones[especialidad],$A291,tblAsignaciones[semana],$B291)</f>
        <v/>
      </c>
      <c r="D291" s="17">
        <f>C291*p_factor_productividad</f>
        <v/>
      </c>
      <c r="E291" s="17">
        <f>SUMIFS(tblOrdenes[horas_efectivas],tblOrdenes[especialidad],$A291,tblOrdenes[semana],$B291,tblOrdenes[clasificacion],"preventiva")</f>
        <v/>
      </c>
      <c r="F291" s="17">
        <f>SUMIFS(tblOrdenes[horas_efectivas],tblOrdenes[especialidad],$A291,tblOrdenes[semana],$B291,tblOrdenes[clasificacion],"correctiva")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SUMIFS(tblAsignaciones[horas_disponibles],tblAsignaciones[especialidad],$A292,tblAsignaciones[semana],$B292)</f>
        <v/>
      </c>
      <c r="D292" s="17">
        <f>C292*p_factor_productividad</f>
        <v/>
      </c>
      <c r="E292" s="17">
        <f>SUMIFS(tblOrdenes[horas_efectivas],tblOrdenes[especialidad],$A292,tblOrdenes[semana],$B292,tblOrdenes[clasificacion],"preventiva")</f>
        <v/>
      </c>
      <c r="F292" s="17">
        <f>SUMIFS(tblOrdenes[horas_efectivas],tblOrdenes[especialidad],$A292,tblOrdenes[semana],$B292,tblOrdenes[clasificacion],"correctiva")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SUMIFS(tblAsignaciones[horas_disponibles],tblAsignaciones[especialidad],$A293,tblAsignaciones[semana],$B293)</f>
        <v/>
      </c>
      <c r="D293" s="17">
        <f>C293*p_factor_productividad</f>
        <v/>
      </c>
      <c r="E293" s="17">
        <f>SUMIFS(tblOrdenes[horas_efectivas],tblOrdenes[especialidad],$A293,tblOrdenes[semana],$B293,tblOrdenes[clasificacion],"preventiva")</f>
        <v/>
      </c>
      <c r="F293" s="17">
        <f>SUMIFS(tblOrdenes[horas_efectivas],tblOrdenes[especialidad],$A293,tblOrdenes[semana],$B293,tblOrdenes[clasificacion],"correctiva")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SUMIFS(tblAsignaciones[horas_disponibles],tblAsignaciones[especialidad],$A294,tblAsignaciones[semana],$B294)</f>
        <v/>
      </c>
      <c r="D294" s="17">
        <f>C294*p_factor_productividad</f>
        <v/>
      </c>
      <c r="E294" s="17">
        <f>SUMIFS(tblOrdenes[horas_efectivas],tblOrdenes[especialidad],$A294,tblOrdenes[semana],$B294,tblOrdenes[clasificacion],"preventiva")</f>
        <v/>
      </c>
      <c r="F294" s="17">
        <f>SUMIFS(tblOrdenes[horas_efectivas],tblOrdenes[especialidad],$A294,tblOrdenes[semana],$B294,tblOrdenes[clasificacion],"correctiva")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SUMIFS(tblAsignaciones[horas_disponibles],tblAsignaciones[especialidad],$A295,tblAsignaciones[semana],$B295)</f>
        <v/>
      </c>
      <c r="D295" s="17">
        <f>C295*p_factor_productividad</f>
        <v/>
      </c>
      <c r="E295" s="17">
        <f>SUMIFS(tblOrdenes[horas_efectivas],tblOrdenes[especialidad],$A295,tblOrdenes[semana],$B295,tblOrdenes[clasificacion],"preventiva")</f>
        <v/>
      </c>
      <c r="F295" s="17">
        <f>SUMIFS(tblOrdenes[horas_efectivas],tblOrdenes[especialidad],$A295,tblOrdenes[semana],$B295,tblOrdenes[clasificacion],"correctiva")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SUMIFS(tblAsignaciones[horas_disponibles],tblAsignaciones[especialidad],$A296,tblAsignaciones[semana],$B296)</f>
        <v/>
      </c>
      <c r="D296" s="17">
        <f>C296*p_factor_productividad</f>
        <v/>
      </c>
      <c r="E296" s="17">
        <f>SUMIFS(tblOrdenes[horas_efectivas],tblOrdenes[especialidad],$A296,tblOrdenes[semana],$B296,tblOrdenes[clasificacion],"preventiva")</f>
        <v/>
      </c>
      <c r="F296" s="17">
        <f>SUMIFS(tblOrdenes[horas_efectivas],tblOrdenes[especialidad],$A296,tblOrdenes[semana],$B296,tblOrdenes[clasificacion],"correctiva")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SUMIFS(tblAsignaciones[horas_disponibles],tblAsignaciones[especialidad],$A297,tblAsignaciones[semana],$B297)</f>
        <v/>
      </c>
      <c r="D297" s="17">
        <f>C297*p_factor_productividad</f>
        <v/>
      </c>
      <c r="E297" s="17">
        <f>SUMIFS(tblOrdenes[horas_efectivas],tblOrdenes[especialidad],$A297,tblOrdenes[semana],$B297,tblOrdenes[clasificacion],"preventiva")</f>
        <v/>
      </c>
      <c r="F297" s="17">
        <f>SUMIFS(tblOrdenes[horas_efectivas],tblOrdenes[especialidad],$A297,tblOrdenes[semana],$B297,tblOrdenes[clasificacion],"correctiva")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SUMIFS(tblAsignaciones[horas_disponibles],tblAsignaciones[especialidad],$A298,tblAsignaciones[semana],$B298)</f>
        <v/>
      </c>
      <c r="D298" s="17">
        <f>C298*p_factor_productividad</f>
        <v/>
      </c>
      <c r="E298" s="17">
        <f>SUMIFS(tblOrdenes[horas_efectivas],tblOrdenes[especialidad],$A298,tblOrdenes[semana],$B298,tblOrdenes[clasificacion],"preventiva")</f>
        <v/>
      </c>
      <c r="F298" s="17">
        <f>SUMIFS(tblOrdenes[horas_efectivas],tblOrdenes[especialidad],$A298,tblOrdenes[semana],$B298,tblOrdenes[clasificacion],"correctiva")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SUMIFS(tblAsignaciones[horas_disponibles],tblAsignaciones[especialidad],$A299,tblAsignaciones[semana],$B299)</f>
        <v/>
      </c>
      <c r="D299" s="17">
        <f>C299*p_factor_productividad</f>
        <v/>
      </c>
      <c r="E299" s="17">
        <f>SUMIFS(tblOrdenes[horas_efectivas],tblOrdenes[especialidad],$A299,tblOrdenes[semana],$B299,tblOrdenes[clasificacion],"preventiva")</f>
        <v/>
      </c>
      <c r="F299" s="17">
        <f>SUMIFS(tblOrdenes[horas_efectivas],tblOrdenes[especialidad],$A299,tblOrdenes[semana],$B299,tblOrdenes[clasificacion],"correctiva")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SUMIFS(tblAsignaciones[horas_disponibles],tblAsignaciones[especialidad],$A300,tblAsignaciones[semana],$B300)</f>
        <v/>
      </c>
      <c r="D300" s="17">
        <f>C300*p_factor_productividad</f>
        <v/>
      </c>
      <c r="E300" s="17">
        <f>SUMIFS(tblOrdenes[horas_efectivas],tblOrdenes[especialidad],$A300,tblOrdenes[semana],$B300,tblOrdenes[clasificacion],"preventiva")</f>
        <v/>
      </c>
      <c r="F300" s="17">
        <f>SUMIFS(tblOrdenes[horas_efectivas],tblOrdenes[especialidad],$A300,tblOrdenes[semana],$B300,tblOrdenes[clasificacion],"correctiva")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SUMIFS(tblAsignaciones[horas_disponibles],tblAsignaciones[especialidad],$A301,tblAsignaciones[semana],$B301)</f>
        <v/>
      </c>
      <c r="D301" s="17">
        <f>C301*p_factor_productividad</f>
        <v/>
      </c>
      <c r="E301" s="17">
        <f>SUMIFS(tblOrdenes[horas_efectivas],tblOrdenes[especialidad],$A301,tblOrdenes[semana],$B301,tblOrdenes[clasificacion],"preventiva")</f>
        <v/>
      </c>
      <c r="F301" s="17">
        <f>SUMIFS(tblOrdenes[horas_efectivas],tblOrdenes[especialidad],$A301,tblOrdenes[semana],$B301,tblOrdenes[clasificacion],"correctiva")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SUMIFS(tblAsignaciones[horas_disponibles],tblAsignaciones[especialidad],$A302,tblAsignaciones[semana],$B302)</f>
        <v/>
      </c>
      <c r="D302" s="17">
        <f>C302*p_factor_productividad</f>
        <v/>
      </c>
      <c r="E302" s="17">
        <f>SUMIFS(tblOrdenes[horas_efectivas],tblOrdenes[especialidad],$A302,tblOrdenes[semana],$B302,tblOrdenes[clasificacion],"preventiva")</f>
        <v/>
      </c>
      <c r="F302" s="17">
        <f>SUMIFS(tblOrdenes[horas_efectivas],tblOrdenes[especialidad],$A302,tblOrdenes[semana],$B302,tblOrdenes[clasificacion],"correctiva")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SUMIFS(tblAsignaciones[horas_disponibles],tblAsignaciones[especialidad],$A303,tblAsignaciones[semana],$B303)</f>
        <v/>
      </c>
      <c r="D303" s="17">
        <f>C303*p_factor_productividad</f>
        <v/>
      </c>
      <c r="E303" s="17">
        <f>SUMIFS(tblOrdenes[horas_efectivas],tblOrdenes[especialidad],$A303,tblOrdenes[semana],$B303,tblOrdenes[clasificacion],"preventiva")</f>
        <v/>
      </c>
      <c r="F303" s="17">
        <f>SUMIFS(tblOrdenes[horas_efectivas],tblOrdenes[especialidad],$A303,tblOrdenes[semana],$B303,tblOrdenes[clasificacion],"correctiva")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SUMIFS(tblOrdenes[horas_efectivas],tblOrdenes[semana],$A370,tblOrdenes[clasificacion],"preventiva")</f>
        <v/>
      </c>
      <c r="C370" s="17">
        <f>SUMIFS(tblOrdenes[horas_efectivas],tblOrdenes[semana],$A370,tblOrdenes[clasificacion],"correctiva")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SUMIFS(tblOrdenes[horas_efectivas],tblOrdenes[semana],$A371,tblOrdenes[clasificacion],"preventiva")</f>
        <v/>
      </c>
      <c r="C371" s="17">
        <f>SUMIFS(tblOrdenes[horas_efectivas],tblOrdenes[semana],$A371,tblOrdenes[clasificacion],"correctiva")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SUMIFS(tblOrdenes[horas_efectivas],tblOrdenes[semana],$A372,tblOrdenes[clasificacion],"preventiva")</f>
        <v/>
      </c>
      <c r="C372" s="17">
        <f>SUMIFS(tblOrdenes[horas_efectivas],tblOrdenes[semana],$A372,tblOrdenes[clasificacion],"correctiva")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SUMIFS(tblOrdenes[horas_efectivas],tblOrdenes[semana],$A373,tblOrdenes[clasificacion],"preventiva")</f>
        <v/>
      </c>
      <c r="C373" s="17">
        <f>SUMIFS(tblOrdenes[horas_efectivas],tblOrdenes[semana],$A373,tblOrdenes[clasificacion],"correctiva")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SUMIFS(tblOrdenes[horas_efectivas],tblOrdenes[semana],$A374,tblOrdenes[clasificacion],"preventiva")</f>
        <v/>
      </c>
      <c r="C374" s="17">
        <f>SUMIFS(tblOrdenes[horas_efectivas],tblOrdenes[semana],$A374,tblOrdenes[clasificacion],"correctiva")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SUMIFS(tblOrdenes[horas_efectivas],tblOrdenes[semana],$A375,tblOrdenes[clasificacion],"preventiva")</f>
        <v/>
      </c>
      <c r="C375" s="17">
        <f>SUMIFS(tblOrdenes[horas_efectivas],tblOrdenes[semana],$A375,tblOrdenes[clasificacion],"correctiva")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SUMIFS(tblOrdenes[horas_efectivas],tblOrdenes[semana],$A376,tblOrdenes[clasificacion],"preventiva")</f>
        <v/>
      </c>
      <c r="C376" s="17">
        <f>SUMIFS(tblOrdenes[horas_efectivas],tblOrdenes[semana],$A376,tblOrdenes[clasificacion],"correctiva")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SUMIFS(tblOrdenes[horas_efectivas],tblOrdenes[semana],$A377,tblOrdenes[clasificacion],"preventiva")</f>
        <v/>
      </c>
      <c r="C377" s="17">
        <f>SUMIFS(tblOrdenes[horas_efectivas],tblOrdenes[semana],$A377,tblOrdenes[clasificacion],"correctiva")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SUMIFS(tblOrdenes[horas_efectivas],tblOrdenes[semana],$A378,tblOrdenes[clasificacion],"preventiva")</f>
        <v/>
      </c>
      <c r="C378" s="17">
        <f>SUMIFS(tblOrdenes[horas_efectivas],tblOrdenes[semana],$A378,tblOrdenes[clasificacion],"correctiva")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SUMIFS(tblOrdenes[horas_efectivas],tblOrdenes[semana],$A379,tblOrdenes[clasificacion],"preventiva")</f>
        <v/>
      </c>
      <c r="C379" s="17">
        <f>SUMIFS(tblOrdenes[horas_efectivas],tblOrdenes[semana],$A379,tblOrdenes[clasificacion],"correctiva")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SUMIFS(tblOrdenes[horas_efectivas],tblOrdenes[semana],$A380,tblOrdenes[clasificacion],"preventiva")</f>
        <v/>
      </c>
      <c r="C380" s="17">
        <f>SUMIFS(tblOrdenes[horas_efectivas],tblOrdenes[semana],$A380,tblOrdenes[clasificacion],"correctiva")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SUMIFS(tblOrdenes[horas_efectivas],tblOrdenes[semana],$A381,tblOrdenes[clasificacion],"preventiva")</f>
        <v/>
      </c>
      <c r="C381" s="17">
        <f>SUMIFS(tblOrdenes[horas_efectivas],tblOrdenes[semana],$A381,tblOrdenes[clasificacion],"correctiva")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SUMIFS(tblOrdenes[horas_efectivas],tblOrdenes[semana],$A382,tblOrdenes[clasificacion],"preventiva")</f>
        <v/>
      </c>
      <c r="C382" s="17">
        <f>SUMIFS(tblOrdenes[horas_efectivas],tblOrdenes[semana],$A382,tblOrdenes[clasificacion],"correctiva")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SUMIFS(tblOrdenes[horas_efectivas],tblOrdenes[semana],$A383,tblOrdenes[clasificacion],"preventiva")</f>
        <v/>
      </c>
      <c r="C383" s="17">
        <f>SUMIFS(tblOrdenes[horas_efectivas],tblOrdenes[semana],$A383,tblOrdenes[clasificacion],"correctiva")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SUMIFS(tblOrdenes[horas_efectivas],tblOrdenes[semana],$A384,tblOrdenes[clasificacion],"preventiva")</f>
        <v/>
      </c>
      <c r="C384" s="17">
        <f>SUMIFS(tblOrdenes[horas_efectivas],tblOrdenes[semana],$A384,tblOrdenes[clasificacion],"correctiva")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SUMIFS(tblOrdenes[horas_efectivas],tblOrdenes[semana],$A385,tblOrdenes[clasificacion],"preventiva")</f>
        <v/>
      </c>
      <c r="C385" s="17">
        <f>SUMIFS(tblOrdenes[horas_efectivas],tblOrdenes[semana],$A385,tblOrdenes[clasificacion],"correctiva")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SUMIFS(tblOrdenes[horas_efectivas],tblOrdenes[semana],$A386,tblOrdenes[clasificacion],"preventiva")</f>
        <v/>
      </c>
      <c r="C386" s="17">
        <f>SUMIFS(tblOrdenes[horas_efectivas],tblOrdenes[semana],$A386,tblOrdenes[clasificacion],"correctiva")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SUMIFS(tblOrdenes[horas_efectivas],tblOrdenes[semana],$A387,tblOrdenes[clasificacion],"preventiva")</f>
        <v/>
      </c>
      <c r="C387" s="17">
        <f>SUMIFS(tblOrdenes[horas_efectivas],tblOrdenes[semana],$A387,tblOrdenes[clasificacion],"correctiva")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SUMIFS(tblOrdenes[horas_efectivas],tblOrdenes[semana],$A388,tblOrdenes[clasificacion],"preventiva")</f>
        <v/>
      </c>
      <c r="C388" s="17">
        <f>SUMIFS(tblOrdenes[horas_efectivas],tblOrdenes[semana],$A388,tblOrdenes[clasificacion],"correctiva")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SUMIFS(tblOrdenes[horas_efectivas],tblOrdenes[semana],$A389,tblOrdenes[clasificacion],"preventiva")</f>
        <v/>
      </c>
      <c r="C389" s="17">
        <f>SUMIFS(tblOrdenes[horas_efectivas],tblOrdenes[semana],$A389,tblOrdenes[clasificacion],"correctiva")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SUMIFS(tblOrdenes[horas_efectivas],tblOrdenes[semana],$A390,tblOrdenes[clasificacion],"preventiva")</f>
        <v/>
      </c>
      <c r="C390" s="17">
        <f>SUMIFS(tblOrdenes[horas_efectivas],tblOrdenes[semana],$A390,tblOrdenes[clasificacion],"correctiva")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SUMIFS(tblOrdenes[horas_efectivas],tblOrdenes[semana],$A391,tblOrdenes[clasificacion],"preventiva")</f>
        <v/>
      </c>
      <c r="C391" s="17">
        <f>SUMIFS(tblOrdenes[horas_efectivas],tblOrdenes[semana],$A391,tblOrdenes[clasificacion],"correctiva")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SUMIFS(tblOrdenes[horas_efectivas],tblOrdenes[semana],$A392,tblOrdenes[clasificacion],"preventiva")</f>
        <v/>
      </c>
      <c r="C392" s="17">
        <f>SUMIFS(tblOrdenes[horas_efectivas],tblOrdenes[semana],$A392,tblOrdenes[clasificacion],"correctiva")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SUMIFS(tblOrdenes[horas_efectivas],tblOrdenes[semana],$A393,tblOrdenes[clasificacion],"preventiva")</f>
        <v/>
      </c>
      <c r="C393" s="17">
        <f>SUMIFS(tblOrdenes[horas_efectivas],tblOrdenes[semana],$A393,tblOrdenes[clasificacion],"correctiva")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SUMIFS(tblOrdenes[horas_efectivas],tblOrdenes[semana],$A394,tblOrdenes[clasificacion],"preventiva")</f>
        <v/>
      </c>
      <c r="C394" s="17">
        <f>SUMIFS(tblOrdenes[horas_efectivas],tblOrdenes[semana],$A394,tblOrdenes[clasificacion],"correctiva")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SUMIFS(tblOrdenes[horas_efectivas],tblOrdenes[semana],$A395,tblOrdenes[clasificacion],"preventiva")</f>
        <v/>
      </c>
      <c r="C395" s="17">
        <f>SUMIFS(tblOrdenes[horas_efectivas],tblOrdenes[semana],$A395,tblOrdenes[clasificacion],"correctiva")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SUMIFS(tblOrdenes[horas_efectivas],tblOrdenes[semana],$A396,tblOrdenes[clasificacion],"preventiva")</f>
        <v/>
      </c>
      <c r="C396" s="17">
        <f>SUMIFS(tblOrdenes[horas_efectivas],tblOrdenes[semana],$A396,tblOrdenes[clasificacion],"correctiva")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SUMIFS(tblOrdenes[horas_efectivas],tblOrdenes[semana],$A397,tblOrdenes[clasificacion],"preventiva")</f>
        <v/>
      </c>
      <c r="C397" s="17">
        <f>SUMIFS(tblOrdenes[horas_efectivas],tblOrdenes[semana],$A397,tblOrdenes[clasificacion],"correctiva")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SUMIFS(tblOrdenes[horas_efectivas],tblOrdenes[semana],$A398,tblOrdenes[clasificacion],"preventiva")</f>
        <v/>
      </c>
      <c r="C398" s="17">
        <f>SUMIFS(tblOrdenes[horas_efectivas],tblOrdenes[semana],$A398,tblOrdenes[clasificacion],"correctiva")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SUMIFS(tblOrdenes[horas_efectivas],tblOrdenes[semana],$A399,tblOrdenes[clasificacion],"preventiva")</f>
        <v/>
      </c>
      <c r="C399" s="17">
        <f>SUMIFS(tblOrdenes[horas_efectivas],tblOrdenes[semana],$A399,tblOrdenes[clasificacion],"correctiva")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SUMIFS(tblOrdenes[horas_efectivas],tblOrdenes[semana],$A400,tblOrdenes[clasificacion],"preventiva")</f>
        <v/>
      </c>
      <c r="C400" s="17">
        <f>SUMIFS(tblOrdenes[horas_efectivas],tblOrdenes[semana],$A400,tblOrdenes[clasificacion],"correctiva")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SUMIFS(tblOrdenes[horas_efectivas],tblOrdenes[semana],$A401,tblOrdenes[clasificacion],"preventiva")</f>
        <v/>
      </c>
      <c r="C401" s="17">
        <f>SUMIFS(tblOrdenes[horas_efectivas],tblOrdenes[semana],$A401,tblOrdenes[clasificacion],"correctiva")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SUMIFS(tblOrdenes[horas_efectivas],tblOrdenes[semana],$A402,tblOrdenes[clasificacion],"preventiva")</f>
        <v/>
      </c>
      <c r="C402" s="17">
        <f>SUMIFS(tblOrdenes[horas_efectivas],tblOrdenes[semana],$A402,tblOrdenes[clasificacion],"correctiva")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SUMIFS(tblOrdenes[horas_efectivas],tblOrdenes[semana],$A403,tblOrdenes[clasificacion],"preventiva")</f>
        <v/>
      </c>
      <c r="C403" s="17">
        <f>SUMIFS(tblOrdenes[horas_efectivas],tblOrdenes[semana],$A403,tblOrdenes[clasificacion],"correctiva")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SUMIFS(tblOrdenes[horas_efectivas],tblOrdenes[semana],$A404,tblOrdenes[clasificacion],"preventiva")</f>
        <v/>
      </c>
      <c r="C404" s="17">
        <f>SUMIFS(tblOrdenes[horas_efectivas],tblOrdenes[semana],$A404,tblOrdenes[clasificacion],"correctiva")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SUMIFS(tblOrdenes[horas_efectivas],tblOrdenes[semana],$A405,tblOrdenes[clasificacion],"preventiva")</f>
        <v/>
      </c>
      <c r="C405" s="17">
        <f>SUMIFS(tblOrdenes[horas_efectivas],tblOrdenes[semana],$A405,tblOrdenes[clasificacion],"correctiva")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SUMIFS(tblOrdenes[horas_efectivas],tblOrdenes[semana],$A406,tblOrdenes[clasificacion],"preventiva")</f>
        <v/>
      </c>
      <c r="C406" s="17">
        <f>SUMIFS(tblOrdenes[horas_efectivas],tblOrdenes[semana],$A406,tblOrdenes[clasificacion],"correctiva")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SUMIFS(tblOrdenes[horas_efectivas],tblOrdenes[semana],$A407,tblOrdenes[clasificacion],"preventiva")</f>
        <v/>
      </c>
      <c r="C407" s="17">
        <f>SUMIFS(tblOrdenes[horas_efectivas],tblOrdenes[semana],$A407,tblOrdenes[clasificacion],"correctiva")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SUMIFS(tblOrdenes[horas_efectivas],tblOrdenes[semana],$A408,tblOrdenes[clasificacion],"preventiva")</f>
        <v/>
      </c>
      <c r="C408" s="17">
        <f>SUMIFS(tblOrdenes[horas_efectivas],tblOrdenes[semana],$A408,tblOrdenes[clasificacion],"correctiva")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SUMIFS(tblOrdenes[horas_efectivas],tblOrdenes[semana],$A409,tblOrdenes[clasificacion],"preventiva")</f>
        <v/>
      </c>
      <c r="C409" s="17">
        <f>SUMIFS(tblOrdenes[horas_efectivas],tblOrdenes[semana],$A409,tblOrdenes[clasificacion],"correctiva")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SUMIFS(tblOrdenes[horas_efectivas],tblOrdenes[semana],$A410,tblOrdenes[clasificacion],"preventiva")</f>
        <v/>
      </c>
      <c r="C410" s="17">
        <f>SUMIFS(tblOrdenes[horas_efectivas],tblOrdenes[semana],$A410,tblOrdenes[clasificacion],"correctiva")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SUMIFS(tblOrdenes[horas_efectivas],tblOrdenes[semana],$A411,tblOrdenes[clasificacion],"preventiva")</f>
        <v/>
      </c>
      <c r="C411" s="17">
        <f>SUMIFS(tblOrdenes[horas_efectivas],tblOrdenes[semana],$A411,tblOrdenes[clasificacion],"correctiva")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SUMIFS(tblOrdenes[horas_efectivas],tblOrdenes[semana],$A412,tblOrdenes[clasificacion],"preventiva")</f>
        <v/>
      </c>
      <c r="C412" s="17">
        <f>SUMIFS(tblOrdenes[horas_efectivas],tblOrdenes[semana],$A412,tblOrdenes[clasificacion],"correctiva")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SUMIFS(tblOrdenes[horas_efectivas],tblOrdenes[semana],$A413,tblOrdenes[clasificacion],"preventiva")</f>
        <v/>
      </c>
      <c r="C413" s="17">
        <f>SUMIFS(tblOrdenes[horas_efectivas],tblOrdenes[semana],$A413,tblOrdenes[clasificacion],"correctiva")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SUMIFS(tblOrdenes[horas_efectivas],tblOrdenes[semana],$A414,tblOrdenes[clasificacion],"preventiva")</f>
        <v/>
      </c>
      <c r="C414" s="17">
        <f>SUMIFS(tblOrdenes[horas_efectivas],tblOrdenes[semana],$A414,tblOrdenes[clasificacion],"correctiva")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SUMIFS(tblOrdenes[horas_efectivas],tblOrdenes[semana],$A415,tblOrdenes[clasificacion],"preventiva")</f>
        <v/>
      </c>
      <c r="C415" s="17">
        <f>SUMIFS(tblOrdenes[horas_efectivas],tblOrdenes[semana],$A415,tblOrdenes[clasificacion],"correctiva")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SUMIFS(tblOrdenes[horas_efectivas],tblOrdenes[semana],$A416,tblOrdenes[clasificacion],"preventiva")</f>
        <v/>
      </c>
      <c r="C416" s="17">
        <f>SUMIFS(tblOrdenes[horas_efectivas],tblOrdenes[semana],$A416,tblOrdenes[clasificacion],"correctiva")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SUMIFS(tblOrdenes[horas_efectivas],tblOrdenes[semana],$A417,tblOrdenes[clasificacion],"preventiva")</f>
        <v/>
      </c>
      <c r="C417" s="17">
        <f>SUMIFS(tblOrdenes[horas_efectivas],tblOrdenes[semana],$A417,tblOrdenes[clasificacion],"correctiva")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SUMIFS(tblOrdenes[horas_efectivas],tblOrdenes[semana],$A418,tblOrdenes[clasificacion],"preventiva")</f>
        <v/>
      </c>
      <c r="C418" s="17">
        <f>SUMIFS(tblOrdenes[horas_efectivas],tblOrdenes[semana],$A418,tblOrdenes[clasificacion],"correctiva")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SUMIFS(tblOrdenes[horas_efectivas],tblOrdenes[semana],$A419,tblOrdenes[clasificacion],"preventiva")</f>
        <v/>
      </c>
      <c r="C419" s="17">
        <f>SUMIFS(tblOrdenes[horas_efectivas],tblOrdenes[semana],$A419,tblOrdenes[clasificacion],"correctiva")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SUMIFS(tblOrdenes[horas_efectivas],tblOrdenes[semana],$A420,tblOrdenes[clasificacion],"preventiva")</f>
        <v/>
      </c>
      <c r="C420" s="17">
        <f>SUMIFS(tblOrdenes[horas_efectivas],tblOrdenes[semana],$A420,tblOrdenes[clasificacion],"correctiva")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SUMIFS(tblOrdenes[horas_efectivas],tblOrdenes[semana],$A421,tblOrdenes[clasificacion],"preventiva")</f>
        <v/>
      </c>
      <c r="C421" s="17">
        <f>SUMIFS(tblOrdenes[horas_efectivas],tblOrdenes[semana],$A421,tblOrdenes[clasificacion],"correctiva")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SUMIFS(tblOrdenes[horas_efectivas],tblOrdenes[semana],$A422,tblOrdenes[clasificacion],"preventiva")</f>
        <v/>
      </c>
      <c r="C422" s="17">
        <f>SUMIFS(tblOrdenes[horas_efectivas],tblOrdenes[semana],$A422,tblOrdenes[clasificacion],"correctiva")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SUMIFS(tblOrdenes[horas_efectivas],tblOrdenes[semana],$A423,tblOrdenes[clasificacion],"preventiva")</f>
        <v/>
      </c>
      <c r="C423" s="17">
        <f>SUMIFS(tblOrdenes[horas_efectivas],tblOrdenes[semana],$A423,tblOrdenes[clasificacion],"correctiva")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SUMIFS(tblOrdenes[horas_efectivas],tblOrdenes[semana],$A424,tblOrdenes[clasificacion],"preventiva")</f>
        <v/>
      </c>
      <c r="C424" s="17">
        <f>SUMIFS(tblOrdenes[horas_efectivas],tblOrdenes[semana],$A424,tblOrdenes[clasificacion],"correctiva")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SUMIFS(tblOrdenes[horas_efectivas],tblOrdenes[semana],$A425,tblOrdenes[clasificacion],"preventiva")</f>
        <v/>
      </c>
      <c r="C425" s="17">
        <f>SUMIFS(tblOrdenes[horas_efectivas],tblOrdenes[semana],$A425,tblOrdenes[clasificacion],"correctiva")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SUMIFS(tblOrdenes[horas_efectivas],tblOrdenes[semana],$A426,tblOrdenes[clasificacion],"preventiva")</f>
        <v/>
      </c>
      <c r="C426" s="17">
        <f>SUMIFS(tblOrdenes[horas_efectivas],tblOrdenes[semana],$A426,tblOrdenes[clasificacion],"correctiva")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SUMIFS(tblOrdenes[horas_efectivas],tblOrdenes[semana],$A427,tblOrdenes[clasificacion],"preventiva")</f>
        <v/>
      </c>
      <c r="C427" s="17">
        <f>SUMIFS(tblOrdenes[horas_efectivas],tblOrdenes[semana],$A427,tblOrdenes[clasificacion],"correctiva")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SUMIFS(tblOrdenes[horas_efectivas],tblOrdenes[semana],$A428,tblOrdenes[clasificacion],"preventiva")</f>
        <v/>
      </c>
      <c r="C428" s="17">
        <f>SUMIFS(tblOrdenes[horas_efectivas],tblOrdenes[semana],$A428,tblOrdenes[clasificacion],"correctiva")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SUMIFS(tblOrdenes[horas_efectivas],tblOrdenes[semana],$A429,tblOrdenes[clasificacion],"preventiva")</f>
        <v/>
      </c>
      <c r="C429" s="17">
        <f>SUMIFS(tblOrdenes[horas_efectivas],tblOrdenes[semana],$A429,tblOrdenes[clasificacion],"correctiva")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C5" s="4" t="inlineStr">
        <is>
          <t>HH:</t>
        </is>
      </c>
      <c r="D5" s="17">
        <f>SUMIFS($K$26:$K$1225,$A$26:$A$1225,IF($B$3="(todos)","*",$B$3),$B$26:$B$1225,IF($D$3="(todos)","*",$D$3),$C$26:$C$1225,IF($F$3="(todos)","*",$F$3),$D$26:$D$1225,IF($H$3="(todos)","*",$H$3),$E$26:$E$1225,IF($J$3="(todos)","*",$J$3),$F$26:$F$1225,IF($L$3="(todos)","*",$L$3))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IF('ORDENES'!$A4="","",IF('ORDENES'!$AC4="","-",'ORDENES'!$AC4))</f>
        <v/>
      </c>
      <c r="D26" s="3">
        <f>IF('ORDENES'!$A4="","",IF('ORDENES'!$V4="","-",'ORDENES'!$V4))</f>
        <v/>
      </c>
      <c r="E26" s="3">
        <f>IF('ORDENES'!$A4="","",IF('ORDENES'!$U4="","-",'ORDENES'!$U4))</f>
        <v/>
      </c>
      <c r="F26" s="3">
        <f>IF('ORDENES'!$A4="","",IF('ORDENES'!$W4="","-",'ORDENES'!$W4))</f>
        <v/>
      </c>
      <c r="G26" s="3">
        <f>IF('ORDENES'!$A4="","",IF('ORDENES'!$AB4="","-",'ORDENES'!$AB4))</f>
        <v/>
      </c>
      <c r="H26" s="3">
        <f>IF('ORDENES'!$A4="","",IF('ORDENES'!$AN4="","-",'ORDENES'!$AN4))</f>
        <v/>
      </c>
      <c r="I26" s="3">
        <f>IF('ORDENES'!$A4="","",IF('ORDENES'!$D4="","-",'ORDENES'!$D4))</f>
        <v/>
      </c>
      <c r="J26" s="3">
        <f>IF('ORDENES'!$A4="","",IF('ORDENES'!$E4="","-",'ORDENES'!$E4))</f>
        <v/>
      </c>
      <c r="K26" s="12">
        <f>IF('ORDENES'!$A4="","",IF('ORDENES'!$M4="",0,'ORDENES'!$M4))</f>
        <v/>
      </c>
      <c r="L26" s="3">
        <f>IF('ORDENES'!$A4="","",IF('ORDENES'!$N4="","-",'ORDENES'!$N4))</f>
        <v/>
      </c>
      <c r="M26" s="3">
        <f>IF('ORDENES'!$A4="","",'ORDENES'!$AA4)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IF('ORDENES'!$A5="","",IF('ORDENES'!$AC5="","-",'ORDENES'!$AC5))</f>
        <v/>
      </c>
      <c r="D27" s="3">
        <f>IF('ORDENES'!$A5="","",IF('ORDENES'!$V5="","-",'ORDENES'!$V5))</f>
        <v/>
      </c>
      <c r="E27" s="3">
        <f>IF('ORDENES'!$A5="","",IF('ORDENES'!$U5="","-",'ORDENES'!$U5))</f>
        <v/>
      </c>
      <c r="F27" s="3">
        <f>IF('ORDENES'!$A5="","",IF('ORDENES'!$W5="","-",'ORDENES'!$W5))</f>
        <v/>
      </c>
      <c r="G27" s="3">
        <f>IF('ORDENES'!$A5="","",IF('ORDENES'!$AB5="","-",'ORDENES'!$AB5))</f>
        <v/>
      </c>
      <c r="H27" s="3">
        <f>IF('ORDENES'!$A5="","",IF('ORDENES'!$AN5="","-",'ORDENES'!$AN5))</f>
        <v/>
      </c>
      <c r="I27" s="3">
        <f>IF('ORDENES'!$A5="","",IF('ORDENES'!$D5="","-",'ORDENES'!$D5))</f>
        <v/>
      </c>
      <c r="J27" s="3">
        <f>IF('ORDENES'!$A5="","",IF('ORDENES'!$E5="","-",'ORDENES'!$E5))</f>
        <v/>
      </c>
      <c r="K27" s="12">
        <f>IF('ORDENES'!$A5="","",IF('ORDENES'!$M5="",0,'ORDENES'!$M5))</f>
        <v/>
      </c>
      <c r="L27" s="3">
        <f>IF('ORDENES'!$A5="","",IF('ORDENES'!$N5="","-",'ORDENES'!$N5))</f>
        <v/>
      </c>
      <c r="M27" s="3">
        <f>IF('ORDENES'!$A5="","",'ORDENES'!$AA5)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IF('ORDENES'!$A6="","",IF('ORDENES'!$AC6="","-",'ORDENES'!$AC6))</f>
        <v/>
      </c>
      <c r="D28" s="3">
        <f>IF('ORDENES'!$A6="","",IF('ORDENES'!$V6="","-",'ORDENES'!$V6))</f>
        <v/>
      </c>
      <c r="E28" s="3">
        <f>IF('ORDENES'!$A6="","",IF('ORDENES'!$U6="","-",'ORDENES'!$U6))</f>
        <v/>
      </c>
      <c r="F28" s="3">
        <f>IF('ORDENES'!$A6="","",IF('ORDENES'!$W6="","-",'ORDENES'!$W6))</f>
        <v/>
      </c>
      <c r="G28" s="3">
        <f>IF('ORDENES'!$A6="","",IF('ORDENES'!$AB6="","-",'ORDENES'!$AB6))</f>
        <v/>
      </c>
      <c r="H28" s="3">
        <f>IF('ORDENES'!$A6="","",IF('ORDENES'!$AN6="","-",'ORDENES'!$AN6))</f>
        <v/>
      </c>
      <c r="I28" s="3">
        <f>IF('ORDENES'!$A6="","",IF('ORDENES'!$D6="","-",'ORDENES'!$D6))</f>
        <v/>
      </c>
      <c r="J28" s="3">
        <f>IF('ORDENES'!$A6="","",IF('ORDENES'!$E6="","-",'ORDENES'!$E6))</f>
        <v/>
      </c>
      <c r="K28" s="12">
        <f>IF('ORDENES'!$A6="","",IF('ORDENES'!$M6="",0,'ORDENES'!$M6))</f>
        <v/>
      </c>
      <c r="L28" s="3">
        <f>IF('ORDENES'!$A6="","",IF('ORDENES'!$N6="","-",'ORDENES'!$N6))</f>
        <v/>
      </c>
      <c r="M28" s="3">
        <f>IF('ORDENES'!$A6="","",'ORDENES'!$AA6)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IF('ORDENES'!$A7="","",IF('ORDENES'!$AC7="","-",'ORDENES'!$AC7))</f>
        <v/>
      </c>
      <c r="D29" s="3">
        <f>IF('ORDENES'!$A7="","",IF('ORDENES'!$V7="","-",'ORDENES'!$V7))</f>
        <v/>
      </c>
      <c r="E29" s="3">
        <f>IF('ORDENES'!$A7="","",IF('ORDENES'!$U7="","-",'ORDENES'!$U7))</f>
        <v/>
      </c>
      <c r="F29" s="3">
        <f>IF('ORDENES'!$A7="","",IF('ORDENES'!$W7="","-",'ORDENES'!$W7))</f>
        <v/>
      </c>
      <c r="G29" s="3">
        <f>IF('ORDENES'!$A7="","",IF('ORDENES'!$AB7="","-",'ORDENES'!$AB7))</f>
        <v/>
      </c>
      <c r="H29" s="3">
        <f>IF('ORDENES'!$A7="","",IF('ORDENES'!$AN7="","-",'ORDENES'!$AN7))</f>
        <v/>
      </c>
      <c r="I29" s="3">
        <f>IF('ORDENES'!$A7="","",IF('ORDENES'!$D7="","-",'ORDENES'!$D7))</f>
        <v/>
      </c>
      <c r="J29" s="3">
        <f>IF('ORDENES'!$A7="","",IF('ORDENES'!$E7="","-",'ORDENES'!$E7))</f>
        <v/>
      </c>
      <c r="K29" s="12">
        <f>IF('ORDENES'!$A7="","",IF('ORDENES'!$M7="",0,'ORDENES'!$M7))</f>
        <v/>
      </c>
      <c r="L29" s="3">
        <f>IF('ORDENES'!$A7="","",IF('ORDENES'!$N7="","-",'ORDENES'!$N7))</f>
        <v/>
      </c>
      <c r="M29" s="3">
        <f>IF('ORDENES'!$A7="","",'ORDENES'!$AA7)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IF('ORDENES'!$A8="","",IF('ORDENES'!$AC8="","-",'ORDENES'!$AC8))</f>
        <v/>
      </c>
      <c r="D30" s="3">
        <f>IF('ORDENES'!$A8="","",IF('ORDENES'!$V8="","-",'ORDENES'!$V8))</f>
        <v/>
      </c>
      <c r="E30" s="3">
        <f>IF('ORDENES'!$A8="","",IF('ORDENES'!$U8="","-",'ORDENES'!$U8))</f>
        <v/>
      </c>
      <c r="F30" s="3">
        <f>IF('ORDENES'!$A8="","",IF('ORDENES'!$W8="","-",'ORDENES'!$W8))</f>
        <v/>
      </c>
      <c r="G30" s="3">
        <f>IF('ORDENES'!$A8="","",IF('ORDENES'!$AB8="","-",'ORDENES'!$AB8))</f>
        <v/>
      </c>
      <c r="H30" s="3">
        <f>IF('ORDENES'!$A8="","",IF('ORDENES'!$AN8="","-",'ORDENES'!$AN8))</f>
        <v/>
      </c>
      <c r="I30" s="3">
        <f>IF('ORDENES'!$A8="","",IF('ORDENES'!$D8="","-",'ORDENES'!$D8))</f>
        <v/>
      </c>
      <c r="J30" s="3">
        <f>IF('ORDENES'!$A8="","",IF('ORDENES'!$E8="","-",'ORDENES'!$E8))</f>
        <v/>
      </c>
      <c r="K30" s="12">
        <f>IF('ORDENES'!$A8="","",IF('ORDENES'!$M8="",0,'ORDENES'!$M8))</f>
        <v/>
      </c>
      <c r="L30" s="3">
        <f>IF('ORDENES'!$A8="","",IF('ORDENES'!$N8="","-",'ORDENES'!$N8))</f>
        <v/>
      </c>
      <c r="M30" s="3">
        <f>IF('ORDENES'!$A8="","",'ORDENES'!$AA8)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IF('ORDENES'!$A9="","",IF('ORDENES'!$AC9="","-",'ORDENES'!$AC9))</f>
        <v/>
      </c>
      <c r="D31" s="3">
        <f>IF('ORDENES'!$A9="","",IF('ORDENES'!$V9="","-",'ORDENES'!$V9))</f>
        <v/>
      </c>
      <c r="E31" s="3">
        <f>IF('ORDENES'!$A9="","",IF('ORDENES'!$U9="","-",'ORDENES'!$U9))</f>
        <v/>
      </c>
      <c r="F31" s="3">
        <f>IF('ORDENES'!$A9="","",IF('ORDENES'!$W9="","-",'ORDENES'!$W9))</f>
        <v/>
      </c>
      <c r="G31" s="3">
        <f>IF('ORDENES'!$A9="","",IF('ORDENES'!$AB9="","-",'ORDENES'!$AB9))</f>
        <v/>
      </c>
      <c r="H31" s="3">
        <f>IF('ORDENES'!$A9="","",IF('ORDENES'!$AN9="","-",'ORDENES'!$AN9))</f>
        <v/>
      </c>
      <c r="I31" s="3">
        <f>IF('ORDENES'!$A9="","",IF('ORDENES'!$D9="","-",'ORDENES'!$D9))</f>
        <v/>
      </c>
      <c r="J31" s="3">
        <f>IF('ORDENES'!$A9="","",IF('ORDENES'!$E9="","-",'ORDENES'!$E9))</f>
        <v/>
      </c>
      <c r="K31" s="12">
        <f>IF('ORDENES'!$A9="","",IF('ORDENES'!$M9="",0,'ORDENES'!$M9))</f>
        <v/>
      </c>
      <c r="L31" s="3">
        <f>IF('ORDENES'!$A9="","",IF('ORDENES'!$N9="","-",'ORDENES'!$N9))</f>
        <v/>
      </c>
      <c r="M31" s="3">
        <f>IF('ORDENES'!$A9="","",'ORDENES'!$AA9)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IF('ORDENES'!$A10="","",IF('ORDENES'!$AC10="","-",'ORDENES'!$AC10))</f>
        <v/>
      </c>
      <c r="D32" s="3">
        <f>IF('ORDENES'!$A10="","",IF('ORDENES'!$V10="","-",'ORDENES'!$V10))</f>
        <v/>
      </c>
      <c r="E32" s="3">
        <f>IF('ORDENES'!$A10="","",IF('ORDENES'!$U10="","-",'ORDENES'!$U10))</f>
        <v/>
      </c>
      <c r="F32" s="3">
        <f>IF('ORDENES'!$A10="","",IF('ORDENES'!$W10="","-",'ORDENES'!$W10))</f>
        <v/>
      </c>
      <c r="G32" s="3">
        <f>IF('ORDENES'!$A10="","",IF('ORDENES'!$AB10="","-",'ORDENES'!$AB10))</f>
        <v/>
      </c>
      <c r="H32" s="3">
        <f>IF('ORDENES'!$A10="","",IF('ORDENES'!$AN10="","-",'ORDENES'!$AN10))</f>
        <v/>
      </c>
      <c r="I32" s="3">
        <f>IF('ORDENES'!$A10="","",IF('ORDENES'!$D10="","-",'ORDENES'!$D10))</f>
        <v/>
      </c>
      <c r="J32" s="3">
        <f>IF('ORDENES'!$A10="","",IF('ORDENES'!$E10="","-",'ORDENES'!$E10))</f>
        <v/>
      </c>
      <c r="K32" s="12">
        <f>IF('ORDENES'!$A10="","",IF('ORDENES'!$M10="",0,'ORDENES'!$M10))</f>
        <v/>
      </c>
      <c r="L32" s="3">
        <f>IF('ORDENES'!$A10="","",IF('ORDENES'!$N10="","-",'ORDENES'!$N10))</f>
        <v/>
      </c>
      <c r="M32" s="3">
        <f>IF('ORDENES'!$A10="","",'ORDENES'!$AA10)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IF('ORDENES'!$A11="","",IF('ORDENES'!$AC11="","-",'ORDENES'!$AC11))</f>
        <v/>
      </c>
      <c r="D33" s="3">
        <f>IF('ORDENES'!$A11="","",IF('ORDENES'!$V11="","-",'ORDENES'!$V11))</f>
        <v/>
      </c>
      <c r="E33" s="3">
        <f>IF('ORDENES'!$A11="","",IF('ORDENES'!$U11="","-",'ORDENES'!$U11))</f>
        <v/>
      </c>
      <c r="F33" s="3">
        <f>IF('ORDENES'!$A11="","",IF('ORDENES'!$W11="","-",'ORDENES'!$W11))</f>
        <v/>
      </c>
      <c r="G33" s="3">
        <f>IF('ORDENES'!$A11="","",IF('ORDENES'!$AB11="","-",'ORDENES'!$AB11))</f>
        <v/>
      </c>
      <c r="H33" s="3">
        <f>IF('ORDENES'!$A11="","",IF('ORDENES'!$AN11="","-",'ORDENES'!$AN11))</f>
        <v/>
      </c>
      <c r="I33" s="3">
        <f>IF('ORDENES'!$A11="","",IF('ORDENES'!$D11="","-",'ORDENES'!$D11))</f>
        <v/>
      </c>
      <c r="J33" s="3">
        <f>IF('ORDENES'!$A11="","",IF('ORDENES'!$E11="","-",'ORDENES'!$E11))</f>
        <v/>
      </c>
      <c r="K33" s="12">
        <f>IF('ORDENES'!$A11="","",IF('ORDENES'!$M11="",0,'ORDENES'!$M11))</f>
        <v/>
      </c>
      <c r="L33" s="3">
        <f>IF('ORDENES'!$A11="","",IF('ORDENES'!$N11="","-",'ORDENES'!$N11))</f>
        <v/>
      </c>
      <c r="M33" s="3">
        <f>IF('ORDENES'!$A11="","",'ORDENES'!$AA11)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IF('ORDENES'!$A12="","",IF('ORDENES'!$AC12="","-",'ORDENES'!$AC12))</f>
        <v/>
      </c>
      <c r="D34" s="3">
        <f>IF('ORDENES'!$A12="","",IF('ORDENES'!$V12="","-",'ORDENES'!$V12))</f>
        <v/>
      </c>
      <c r="E34" s="3">
        <f>IF('ORDENES'!$A12="","",IF('ORDENES'!$U12="","-",'ORDENES'!$U12))</f>
        <v/>
      </c>
      <c r="F34" s="3">
        <f>IF('ORDENES'!$A12="","",IF('ORDENES'!$W12="","-",'ORDENES'!$W12))</f>
        <v/>
      </c>
      <c r="G34" s="3">
        <f>IF('ORDENES'!$A12="","",IF('ORDENES'!$AB12="","-",'ORDENES'!$AB12))</f>
        <v/>
      </c>
      <c r="H34" s="3">
        <f>IF('ORDENES'!$A12="","",IF('ORDENES'!$AN12="","-",'ORDENES'!$AN12))</f>
        <v/>
      </c>
      <c r="I34" s="3">
        <f>IF('ORDENES'!$A12="","",IF('ORDENES'!$D12="","-",'ORDENES'!$D12))</f>
        <v/>
      </c>
      <c r="J34" s="3">
        <f>IF('ORDENES'!$A12="","",IF('ORDENES'!$E12="","-",'ORDENES'!$E12))</f>
        <v/>
      </c>
      <c r="K34" s="12">
        <f>IF('ORDENES'!$A12="","",IF('ORDENES'!$M12="",0,'ORDENES'!$M12))</f>
        <v/>
      </c>
      <c r="L34" s="3">
        <f>IF('ORDENES'!$A12="","",IF('ORDENES'!$N12="","-",'ORDENES'!$N12))</f>
        <v/>
      </c>
      <c r="M34" s="3">
        <f>IF('ORDENES'!$A12="","",'ORDENES'!$AA12)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IF('ORDENES'!$A13="","",IF('ORDENES'!$AC13="","-",'ORDENES'!$AC13))</f>
        <v/>
      </c>
      <c r="D35" s="3">
        <f>IF('ORDENES'!$A13="","",IF('ORDENES'!$V13="","-",'ORDENES'!$V13))</f>
        <v/>
      </c>
      <c r="E35" s="3">
        <f>IF('ORDENES'!$A13="","",IF('ORDENES'!$U13="","-",'ORDENES'!$U13))</f>
        <v/>
      </c>
      <c r="F35" s="3">
        <f>IF('ORDENES'!$A13="","",IF('ORDENES'!$W13="","-",'ORDENES'!$W13))</f>
        <v/>
      </c>
      <c r="G35" s="3">
        <f>IF('ORDENES'!$A13="","",IF('ORDENES'!$AB13="","-",'ORDENES'!$AB13))</f>
        <v/>
      </c>
      <c r="H35" s="3">
        <f>IF('ORDENES'!$A13="","",IF('ORDENES'!$AN13="","-",'ORDENES'!$AN13))</f>
        <v/>
      </c>
      <c r="I35" s="3">
        <f>IF('ORDENES'!$A13="","",IF('ORDENES'!$D13="","-",'ORDENES'!$D13))</f>
        <v/>
      </c>
      <c r="J35" s="3">
        <f>IF('ORDENES'!$A13="","",IF('ORDENES'!$E13="","-",'ORDENES'!$E13))</f>
        <v/>
      </c>
      <c r="K35" s="12">
        <f>IF('ORDENES'!$A13="","",IF('ORDENES'!$M13="",0,'ORDENES'!$M13))</f>
        <v/>
      </c>
      <c r="L35" s="3">
        <f>IF('ORDENES'!$A13="","",IF('ORDENES'!$N13="","-",'ORDENES'!$N13))</f>
        <v/>
      </c>
      <c r="M35" s="3">
        <f>IF('ORDENES'!$A13="","",'ORDENES'!$AA13)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IF('ORDENES'!$A14="","",IF('ORDENES'!$AC14="","-",'ORDENES'!$AC14))</f>
        <v/>
      </c>
      <c r="D36" s="3">
        <f>IF('ORDENES'!$A14="","",IF('ORDENES'!$V14="","-",'ORDENES'!$V14))</f>
        <v/>
      </c>
      <c r="E36" s="3">
        <f>IF('ORDENES'!$A14="","",IF('ORDENES'!$U14="","-",'ORDENES'!$U14))</f>
        <v/>
      </c>
      <c r="F36" s="3">
        <f>IF('ORDENES'!$A14="","",IF('ORDENES'!$W14="","-",'ORDENES'!$W14))</f>
        <v/>
      </c>
      <c r="G36" s="3">
        <f>IF('ORDENES'!$A14="","",IF('ORDENES'!$AB14="","-",'ORDENES'!$AB14))</f>
        <v/>
      </c>
      <c r="H36" s="3">
        <f>IF('ORDENES'!$A14="","",IF('ORDENES'!$AN14="","-",'ORDENES'!$AN14))</f>
        <v/>
      </c>
      <c r="I36" s="3">
        <f>IF('ORDENES'!$A14="","",IF('ORDENES'!$D14="","-",'ORDENES'!$D14))</f>
        <v/>
      </c>
      <c r="J36" s="3">
        <f>IF('ORDENES'!$A14="","",IF('ORDENES'!$E14="","-",'ORDENES'!$E14))</f>
        <v/>
      </c>
      <c r="K36" s="12">
        <f>IF('ORDENES'!$A14="","",IF('ORDENES'!$M14="",0,'ORDENES'!$M14))</f>
        <v/>
      </c>
      <c r="L36" s="3">
        <f>IF('ORDENES'!$A14="","",IF('ORDENES'!$N14="","-",'ORDENES'!$N14))</f>
        <v/>
      </c>
      <c r="M36" s="3">
        <f>IF('ORDENES'!$A14="","",'ORDENES'!$AA14)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IF('ORDENES'!$A15="","",IF('ORDENES'!$AC15="","-",'ORDENES'!$AC15))</f>
        <v/>
      </c>
      <c r="D37" s="3">
        <f>IF('ORDENES'!$A15="","",IF('ORDENES'!$V15="","-",'ORDENES'!$V15))</f>
        <v/>
      </c>
      <c r="E37" s="3">
        <f>IF('ORDENES'!$A15="","",IF('ORDENES'!$U15="","-",'ORDENES'!$U15))</f>
        <v/>
      </c>
      <c r="F37" s="3">
        <f>IF('ORDENES'!$A15="","",IF('ORDENES'!$W15="","-",'ORDENES'!$W15))</f>
        <v/>
      </c>
      <c r="G37" s="3">
        <f>IF('ORDENES'!$A15="","",IF('ORDENES'!$AB15="","-",'ORDENES'!$AB15))</f>
        <v/>
      </c>
      <c r="H37" s="3">
        <f>IF('ORDENES'!$A15="","",IF('ORDENES'!$AN15="","-",'ORDENES'!$AN15))</f>
        <v/>
      </c>
      <c r="I37" s="3">
        <f>IF('ORDENES'!$A15="","",IF('ORDENES'!$D15="","-",'ORDENES'!$D15))</f>
        <v/>
      </c>
      <c r="J37" s="3">
        <f>IF('ORDENES'!$A15="","",IF('ORDENES'!$E15="","-",'ORDENES'!$E15))</f>
        <v/>
      </c>
      <c r="K37" s="12">
        <f>IF('ORDENES'!$A15="","",IF('ORDENES'!$M15="",0,'ORDENES'!$M15))</f>
        <v/>
      </c>
      <c r="L37" s="3">
        <f>IF('ORDENES'!$A15="","",IF('ORDENES'!$N15="","-",'ORDENES'!$N15))</f>
        <v/>
      </c>
      <c r="M37" s="3">
        <f>IF('ORDENES'!$A15="","",'ORDENES'!$AA15)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IF('ORDENES'!$A16="","",IF('ORDENES'!$AC16="","-",'ORDENES'!$AC16))</f>
        <v/>
      </c>
      <c r="D38" s="3">
        <f>IF('ORDENES'!$A16="","",IF('ORDENES'!$V16="","-",'ORDENES'!$V16))</f>
        <v/>
      </c>
      <c r="E38" s="3">
        <f>IF('ORDENES'!$A16="","",IF('ORDENES'!$U16="","-",'ORDENES'!$U16))</f>
        <v/>
      </c>
      <c r="F38" s="3">
        <f>IF('ORDENES'!$A16="","",IF('ORDENES'!$W16="","-",'ORDENES'!$W16))</f>
        <v/>
      </c>
      <c r="G38" s="3">
        <f>IF('ORDENES'!$A16="","",IF('ORDENES'!$AB16="","-",'ORDENES'!$AB16))</f>
        <v/>
      </c>
      <c r="H38" s="3">
        <f>IF('ORDENES'!$A16="","",IF('ORDENES'!$AN16="","-",'ORDENES'!$AN16))</f>
        <v/>
      </c>
      <c r="I38" s="3">
        <f>IF('ORDENES'!$A16="","",IF('ORDENES'!$D16="","-",'ORDENES'!$D16))</f>
        <v/>
      </c>
      <c r="J38" s="3">
        <f>IF('ORDENES'!$A16="","",IF('ORDENES'!$E16="","-",'ORDENES'!$E16))</f>
        <v/>
      </c>
      <c r="K38" s="12">
        <f>IF('ORDENES'!$A16="","",IF('ORDENES'!$M16="",0,'ORDENES'!$M16))</f>
        <v/>
      </c>
      <c r="L38" s="3">
        <f>IF('ORDENES'!$A16="","",IF('ORDENES'!$N16="","-",'ORDENES'!$N16))</f>
        <v/>
      </c>
      <c r="M38" s="3">
        <f>IF('ORDENES'!$A16="","",'ORDENES'!$AA16)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IF('ORDENES'!$A17="","",IF('ORDENES'!$AC17="","-",'ORDENES'!$AC17))</f>
        <v/>
      </c>
      <c r="D39" s="3">
        <f>IF('ORDENES'!$A17="","",IF('ORDENES'!$V17="","-",'ORDENES'!$V17))</f>
        <v/>
      </c>
      <c r="E39" s="3">
        <f>IF('ORDENES'!$A17="","",IF('ORDENES'!$U17="","-",'ORDENES'!$U17))</f>
        <v/>
      </c>
      <c r="F39" s="3">
        <f>IF('ORDENES'!$A17="","",IF('ORDENES'!$W17="","-",'ORDENES'!$W17))</f>
        <v/>
      </c>
      <c r="G39" s="3">
        <f>IF('ORDENES'!$A17="","",IF('ORDENES'!$AB17="","-",'ORDENES'!$AB17))</f>
        <v/>
      </c>
      <c r="H39" s="3">
        <f>IF('ORDENES'!$A17="","",IF('ORDENES'!$AN17="","-",'ORDENES'!$AN17))</f>
        <v/>
      </c>
      <c r="I39" s="3">
        <f>IF('ORDENES'!$A17="","",IF('ORDENES'!$D17="","-",'ORDENES'!$D17))</f>
        <v/>
      </c>
      <c r="J39" s="3">
        <f>IF('ORDENES'!$A17="","",IF('ORDENES'!$E17="","-",'ORDENES'!$E17))</f>
        <v/>
      </c>
      <c r="K39" s="12">
        <f>IF('ORDENES'!$A17="","",IF('ORDENES'!$M17="",0,'ORDENES'!$M17))</f>
        <v/>
      </c>
      <c r="L39" s="3">
        <f>IF('ORDENES'!$A17="","",IF('ORDENES'!$N17="","-",'ORDENES'!$N17))</f>
        <v/>
      </c>
      <c r="M39" s="3">
        <f>IF('ORDENES'!$A17="","",'ORDENES'!$AA17)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IF('ORDENES'!$A18="","",IF('ORDENES'!$AC18="","-",'ORDENES'!$AC18))</f>
        <v/>
      </c>
      <c r="D40" s="3">
        <f>IF('ORDENES'!$A18="","",IF('ORDENES'!$V18="","-",'ORDENES'!$V18))</f>
        <v/>
      </c>
      <c r="E40" s="3">
        <f>IF('ORDENES'!$A18="","",IF('ORDENES'!$U18="","-",'ORDENES'!$U18))</f>
        <v/>
      </c>
      <c r="F40" s="3">
        <f>IF('ORDENES'!$A18="","",IF('ORDENES'!$W18="","-",'ORDENES'!$W18))</f>
        <v/>
      </c>
      <c r="G40" s="3">
        <f>IF('ORDENES'!$A18="","",IF('ORDENES'!$AB18="","-",'ORDENES'!$AB18))</f>
        <v/>
      </c>
      <c r="H40" s="3">
        <f>IF('ORDENES'!$A18="","",IF('ORDENES'!$AN18="","-",'ORDENES'!$AN18))</f>
        <v/>
      </c>
      <c r="I40" s="3">
        <f>IF('ORDENES'!$A18="","",IF('ORDENES'!$D18="","-",'ORDENES'!$D18))</f>
        <v/>
      </c>
      <c r="J40" s="3">
        <f>IF('ORDENES'!$A18="","",IF('ORDENES'!$E18="","-",'ORDENES'!$E18))</f>
        <v/>
      </c>
      <c r="K40" s="12">
        <f>IF('ORDENES'!$A18="","",IF('ORDENES'!$M18="",0,'ORDENES'!$M18))</f>
        <v/>
      </c>
      <c r="L40" s="3">
        <f>IF('ORDENES'!$A18="","",IF('ORDENES'!$N18="","-",'ORDENES'!$N18))</f>
        <v/>
      </c>
      <c r="M40" s="3">
        <f>IF('ORDENES'!$A18="","",'ORDENES'!$AA18)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IF('ORDENES'!$A19="","",IF('ORDENES'!$AC19="","-",'ORDENES'!$AC19))</f>
        <v/>
      </c>
      <c r="D41" s="3">
        <f>IF('ORDENES'!$A19="","",IF('ORDENES'!$V19="","-",'ORDENES'!$V19))</f>
        <v/>
      </c>
      <c r="E41" s="3">
        <f>IF('ORDENES'!$A19="","",IF('ORDENES'!$U19="","-",'ORDENES'!$U19))</f>
        <v/>
      </c>
      <c r="F41" s="3">
        <f>IF('ORDENES'!$A19="","",IF('ORDENES'!$W19="","-",'ORDENES'!$W19))</f>
        <v/>
      </c>
      <c r="G41" s="3">
        <f>IF('ORDENES'!$A19="","",IF('ORDENES'!$AB19="","-",'ORDENES'!$AB19))</f>
        <v/>
      </c>
      <c r="H41" s="3">
        <f>IF('ORDENES'!$A19="","",IF('ORDENES'!$AN19="","-",'ORDENES'!$AN19))</f>
        <v/>
      </c>
      <c r="I41" s="3">
        <f>IF('ORDENES'!$A19="","",IF('ORDENES'!$D19="","-",'ORDENES'!$D19))</f>
        <v/>
      </c>
      <c r="J41" s="3">
        <f>IF('ORDENES'!$A19="","",IF('ORDENES'!$E19="","-",'ORDENES'!$E19))</f>
        <v/>
      </c>
      <c r="K41" s="12">
        <f>IF('ORDENES'!$A19="","",IF('ORDENES'!$M19="",0,'ORDENES'!$M19))</f>
        <v/>
      </c>
      <c r="L41" s="3">
        <f>IF('ORDENES'!$A19="","",IF('ORDENES'!$N19="","-",'ORDENES'!$N19))</f>
        <v/>
      </c>
      <c r="M41" s="3">
        <f>IF('ORDENES'!$A19="","",'ORDENES'!$AA19)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IF('ORDENES'!$A20="","",IF('ORDENES'!$AC20="","-",'ORDENES'!$AC20))</f>
        <v/>
      </c>
      <c r="D42" s="3">
        <f>IF('ORDENES'!$A20="","",IF('ORDENES'!$V20="","-",'ORDENES'!$V20))</f>
        <v/>
      </c>
      <c r="E42" s="3">
        <f>IF('ORDENES'!$A20="","",IF('ORDENES'!$U20="","-",'ORDENES'!$U20))</f>
        <v/>
      </c>
      <c r="F42" s="3">
        <f>IF('ORDENES'!$A20="","",IF('ORDENES'!$W20="","-",'ORDENES'!$W20))</f>
        <v/>
      </c>
      <c r="G42" s="3">
        <f>IF('ORDENES'!$A20="","",IF('ORDENES'!$AB20="","-",'ORDENES'!$AB20))</f>
        <v/>
      </c>
      <c r="H42" s="3">
        <f>IF('ORDENES'!$A20="","",IF('ORDENES'!$AN20="","-",'ORDENES'!$AN20))</f>
        <v/>
      </c>
      <c r="I42" s="3">
        <f>IF('ORDENES'!$A20="","",IF('ORDENES'!$D20="","-",'ORDENES'!$D20))</f>
        <v/>
      </c>
      <c r="J42" s="3">
        <f>IF('ORDENES'!$A20="","",IF('ORDENES'!$E20="","-",'ORDENES'!$E20))</f>
        <v/>
      </c>
      <c r="K42" s="12">
        <f>IF('ORDENES'!$A20="","",IF('ORDENES'!$M20="",0,'ORDENES'!$M20))</f>
        <v/>
      </c>
      <c r="L42" s="3">
        <f>IF('ORDENES'!$A20="","",IF('ORDENES'!$N20="","-",'ORDENES'!$N20))</f>
        <v/>
      </c>
      <c r="M42" s="3">
        <f>IF('ORDENES'!$A20="","",'ORDENES'!$AA20)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IF('ORDENES'!$A21="","",IF('ORDENES'!$AC21="","-",'ORDENES'!$AC21))</f>
        <v/>
      </c>
      <c r="D43" s="3">
        <f>IF('ORDENES'!$A21="","",IF('ORDENES'!$V21="","-",'ORDENES'!$V21))</f>
        <v/>
      </c>
      <c r="E43" s="3">
        <f>IF('ORDENES'!$A21="","",IF('ORDENES'!$U21="","-",'ORDENES'!$U21))</f>
        <v/>
      </c>
      <c r="F43" s="3">
        <f>IF('ORDENES'!$A21="","",IF('ORDENES'!$W21="","-",'ORDENES'!$W21))</f>
        <v/>
      </c>
      <c r="G43" s="3">
        <f>IF('ORDENES'!$A21="","",IF('ORDENES'!$AB21="","-",'ORDENES'!$AB21))</f>
        <v/>
      </c>
      <c r="H43" s="3">
        <f>IF('ORDENES'!$A21="","",IF('ORDENES'!$AN21="","-",'ORDENES'!$AN21))</f>
        <v/>
      </c>
      <c r="I43" s="3">
        <f>IF('ORDENES'!$A21="","",IF('ORDENES'!$D21="","-",'ORDENES'!$D21))</f>
        <v/>
      </c>
      <c r="J43" s="3">
        <f>IF('ORDENES'!$A21="","",IF('ORDENES'!$E21="","-",'ORDENES'!$E21))</f>
        <v/>
      </c>
      <c r="K43" s="12">
        <f>IF('ORDENES'!$A21="","",IF('ORDENES'!$M21="",0,'ORDENES'!$M21))</f>
        <v/>
      </c>
      <c r="L43" s="3">
        <f>IF('ORDENES'!$A21="","",IF('ORDENES'!$N21="","-",'ORDENES'!$N21))</f>
        <v/>
      </c>
      <c r="M43" s="3">
        <f>IF('ORDENES'!$A21="","",'ORDENES'!$AA21)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IF('ORDENES'!$A22="","",IF('ORDENES'!$AC22="","-",'ORDENES'!$AC22))</f>
        <v/>
      </c>
      <c r="D44" s="3">
        <f>IF('ORDENES'!$A22="","",IF('ORDENES'!$V22="","-",'ORDENES'!$V22))</f>
        <v/>
      </c>
      <c r="E44" s="3">
        <f>IF('ORDENES'!$A22="","",IF('ORDENES'!$U22="","-",'ORDENES'!$U22))</f>
        <v/>
      </c>
      <c r="F44" s="3">
        <f>IF('ORDENES'!$A22="","",IF('ORDENES'!$W22="","-",'ORDENES'!$W22))</f>
        <v/>
      </c>
      <c r="G44" s="3">
        <f>IF('ORDENES'!$A22="","",IF('ORDENES'!$AB22="","-",'ORDENES'!$AB22))</f>
        <v/>
      </c>
      <c r="H44" s="3">
        <f>IF('ORDENES'!$A22="","",IF('ORDENES'!$AN22="","-",'ORDENES'!$AN22))</f>
        <v/>
      </c>
      <c r="I44" s="3">
        <f>IF('ORDENES'!$A22="","",IF('ORDENES'!$D22="","-",'ORDENES'!$D22))</f>
        <v/>
      </c>
      <c r="J44" s="3">
        <f>IF('ORDENES'!$A22="","",IF('ORDENES'!$E22="","-",'ORDENES'!$E22))</f>
        <v/>
      </c>
      <c r="K44" s="12">
        <f>IF('ORDENES'!$A22="","",IF('ORDENES'!$M22="",0,'ORDENES'!$M22))</f>
        <v/>
      </c>
      <c r="L44" s="3">
        <f>IF('ORDENES'!$A22="","",IF('ORDENES'!$N22="","-",'ORDENES'!$N22))</f>
        <v/>
      </c>
      <c r="M44" s="3">
        <f>IF('ORDENES'!$A22="","",'ORDENES'!$AA22)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IF('ORDENES'!$A23="","",IF('ORDENES'!$AC23="","-",'ORDENES'!$AC23))</f>
        <v/>
      </c>
      <c r="D45" s="3">
        <f>IF('ORDENES'!$A23="","",IF('ORDENES'!$V23="","-",'ORDENES'!$V23))</f>
        <v/>
      </c>
      <c r="E45" s="3">
        <f>IF('ORDENES'!$A23="","",IF('ORDENES'!$U23="","-",'ORDENES'!$U23))</f>
        <v/>
      </c>
      <c r="F45" s="3">
        <f>IF('ORDENES'!$A23="","",IF('ORDENES'!$W23="","-",'ORDENES'!$W23))</f>
        <v/>
      </c>
      <c r="G45" s="3">
        <f>IF('ORDENES'!$A23="","",IF('ORDENES'!$AB23="","-",'ORDENES'!$AB23))</f>
        <v/>
      </c>
      <c r="H45" s="3">
        <f>IF('ORDENES'!$A23="","",IF('ORDENES'!$AN23="","-",'ORDENES'!$AN23))</f>
        <v/>
      </c>
      <c r="I45" s="3">
        <f>IF('ORDENES'!$A23="","",IF('ORDENES'!$D23="","-",'ORDENES'!$D23))</f>
        <v/>
      </c>
      <c r="J45" s="3">
        <f>IF('ORDENES'!$A23="","",IF('ORDENES'!$E23="","-",'ORDENES'!$E23))</f>
        <v/>
      </c>
      <c r="K45" s="12">
        <f>IF('ORDENES'!$A23="","",IF('ORDENES'!$M23="",0,'ORDENES'!$M23))</f>
        <v/>
      </c>
      <c r="L45" s="3">
        <f>IF('ORDENES'!$A23="","",IF('ORDENES'!$N23="","-",'ORDENES'!$N23))</f>
        <v/>
      </c>
      <c r="M45" s="3">
        <f>IF('ORDENES'!$A23="","",'ORDENES'!$AA23)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IF('ORDENES'!$A24="","",IF('ORDENES'!$AC24="","-",'ORDENES'!$AC24))</f>
        <v/>
      </c>
      <c r="D46" s="3">
        <f>IF('ORDENES'!$A24="","",IF('ORDENES'!$V24="","-",'ORDENES'!$V24))</f>
        <v/>
      </c>
      <c r="E46" s="3">
        <f>IF('ORDENES'!$A24="","",IF('ORDENES'!$U24="","-",'ORDENES'!$U24))</f>
        <v/>
      </c>
      <c r="F46" s="3">
        <f>IF('ORDENES'!$A24="","",IF('ORDENES'!$W24="","-",'ORDENES'!$W24))</f>
        <v/>
      </c>
      <c r="G46" s="3">
        <f>IF('ORDENES'!$A24="","",IF('ORDENES'!$AB24="","-",'ORDENES'!$AB24))</f>
        <v/>
      </c>
      <c r="H46" s="3">
        <f>IF('ORDENES'!$A24="","",IF('ORDENES'!$AN24="","-",'ORDENES'!$AN24))</f>
        <v/>
      </c>
      <c r="I46" s="3">
        <f>IF('ORDENES'!$A24="","",IF('ORDENES'!$D24="","-",'ORDENES'!$D24))</f>
        <v/>
      </c>
      <c r="J46" s="3">
        <f>IF('ORDENES'!$A24="","",IF('ORDENES'!$E24="","-",'ORDENES'!$E24))</f>
        <v/>
      </c>
      <c r="K46" s="12">
        <f>IF('ORDENES'!$A24="","",IF('ORDENES'!$M24="",0,'ORDENES'!$M24))</f>
        <v/>
      </c>
      <c r="L46" s="3">
        <f>IF('ORDENES'!$A24="","",IF('ORDENES'!$N24="","-",'ORDENES'!$N24))</f>
        <v/>
      </c>
      <c r="M46" s="3">
        <f>IF('ORDENES'!$A24="","",'ORDENES'!$AA24)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IF('ORDENES'!$A25="","",IF('ORDENES'!$AC25="","-",'ORDENES'!$AC25))</f>
        <v/>
      </c>
      <c r="D47" s="3">
        <f>IF('ORDENES'!$A25="","",IF('ORDENES'!$V25="","-",'ORDENES'!$V25))</f>
        <v/>
      </c>
      <c r="E47" s="3">
        <f>IF('ORDENES'!$A25="","",IF('ORDENES'!$U25="","-",'ORDENES'!$U25))</f>
        <v/>
      </c>
      <c r="F47" s="3">
        <f>IF('ORDENES'!$A25="","",IF('ORDENES'!$W25="","-",'ORDENES'!$W25))</f>
        <v/>
      </c>
      <c r="G47" s="3">
        <f>IF('ORDENES'!$A25="","",IF('ORDENES'!$AB25="","-",'ORDENES'!$AB25))</f>
        <v/>
      </c>
      <c r="H47" s="3">
        <f>IF('ORDENES'!$A25="","",IF('ORDENES'!$AN25="","-",'ORDENES'!$AN25))</f>
        <v/>
      </c>
      <c r="I47" s="3">
        <f>IF('ORDENES'!$A25="","",IF('ORDENES'!$D25="","-",'ORDENES'!$D25))</f>
        <v/>
      </c>
      <c r="J47" s="3">
        <f>IF('ORDENES'!$A25="","",IF('ORDENES'!$E25="","-",'ORDENES'!$E25))</f>
        <v/>
      </c>
      <c r="K47" s="12">
        <f>IF('ORDENES'!$A25="","",IF('ORDENES'!$M25="",0,'ORDENES'!$M25))</f>
        <v/>
      </c>
      <c r="L47" s="3">
        <f>IF('ORDENES'!$A25="","",IF('ORDENES'!$N25="","-",'ORDENES'!$N25))</f>
        <v/>
      </c>
      <c r="M47" s="3">
        <f>IF('ORDENES'!$A25="","",'ORDENES'!$AA25)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IF('ORDENES'!$A26="","",IF('ORDENES'!$AC26="","-",'ORDENES'!$AC26))</f>
        <v/>
      </c>
      <c r="D48" s="3">
        <f>IF('ORDENES'!$A26="","",IF('ORDENES'!$V26="","-",'ORDENES'!$V26))</f>
        <v/>
      </c>
      <c r="E48" s="3">
        <f>IF('ORDENES'!$A26="","",IF('ORDENES'!$U26="","-",'ORDENES'!$U26))</f>
        <v/>
      </c>
      <c r="F48" s="3">
        <f>IF('ORDENES'!$A26="","",IF('ORDENES'!$W26="","-",'ORDENES'!$W26))</f>
        <v/>
      </c>
      <c r="G48" s="3">
        <f>IF('ORDENES'!$A26="","",IF('ORDENES'!$AB26="","-",'ORDENES'!$AB26))</f>
        <v/>
      </c>
      <c r="H48" s="3">
        <f>IF('ORDENES'!$A26="","",IF('ORDENES'!$AN26="","-",'ORDENES'!$AN26))</f>
        <v/>
      </c>
      <c r="I48" s="3">
        <f>IF('ORDENES'!$A26="","",IF('ORDENES'!$D26="","-",'ORDENES'!$D26))</f>
        <v/>
      </c>
      <c r="J48" s="3">
        <f>IF('ORDENES'!$A26="","",IF('ORDENES'!$E26="","-",'ORDENES'!$E26))</f>
        <v/>
      </c>
      <c r="K48" s="12">
        <f>IF('ORDENES'!$A26="","",IF('ORDENES'!$M26="",0,'ORDENES'!$M26))</f>
        <v/>
      </c>
      <c r="L48" s="3">
        <f>IF('ORDENES'!$A26="","",IF('ORDENES'!$N26="","-",'ORDENES'!$N26))</f>
        <v/>
      </c>
      <c r="M48" s="3">
        <f>IF('ORDENES'!$A26="","",'ORDENES'!$AA26)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IF('ORDENES'!$A27="","",IF('ORDENES'!$AC27="","-",'ORDENES'!$AC27))</f>
        <v/>
      </c>
      <c r="D49" s="3">
        <f>IF('ORDENES'!$A27="","",IF('ORDENES'!$V27="","-",'ORDENES'!$V27))</f>
        <v/>
      </c>
      <c r="E49" s="3">
        <f>IF('ORDENES'!$A27="","",IF('ORDENES'!$U27="","-",'ORDENES'!$U27))</f>
        <v/>
      </c>
      <c r="F49" s="3">
        <f>IF('ORDENES'!$A27="","",IF('ORDENES'!$W27="","-",'ORDENES'!$W27))</f>
        <v/>
      </c>
      <c r="G49" s="3">
        <f>IF('ORDENES'!$A27="","",IF('ORDENES'!$AB27="","-",'ORDENES'!$AB27))</f>
        <v/>
      </c>
      <c r="H49" s="3">
        <f>IF('ORDENES'!$A27="","",IF('ORDENES'!$AN27="","-",'ORDENES'!$AN27))</f>
        <v/>
      </c>
      <c r="I49" s="3">
        <f>IF('ORDENES'!$A27="","",IF('ORDENES'!$D27="","-",'ORDENES'!$D27))</f>
        <v/>
      </c>
      <c r="J49" s="3">
        <f>IF('ORDENES'!$A27="","",IF('ORDENES'!$E27="","-",'ORDENES'!$E27))</f>
        <v/>
      </c>
      <c r="K49" s="12">
        <f>IF('ORDENES'!$A27="","",IF('ORDENES'!$M27="",0,'ORDENES'!$M27))</f>
        <v/>
      </c>
      <c r="L49" s="3">
        <f>IF('ORDENES'!$A27="","",IF('ORDENES'!$N27="","-",'ORDENES'!$N27))</f>
        <v/>
      </c>
      <c r="M49" s="3">
        <f>IF('ORDENES'!$A27="","",'ORDENES'!$AA27)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IF('ORDENES'!$A28="","",IF('ORDENES'!$AC28="","-",'ORDENES'!$AC28))</f>
        <v/>
      </c>
      <c r="D50" s="3">
        <f>IF('ORDENES'!$A28="","",IF('ORDENES'!$V28="","-",'ORDENES'!$V28))</f>
        <v/>
      </c>
      <c r="E50" s="3">
        <f>IF('ORDENES'!$A28="","",IF('ORDENES'!$U28="","-",'ORDENES'!$U28))</f>
        <v/>
      </c>
      <c r="F50" s="3">
        <f>IF('ORDENES'!$A28="","",IF('ORDENES'!$W28="","-",'ORDENES'!$W28))</f>
        <v/>
      </c>
      <c r="G50" s="3">
        <f>IF('ORDENES'!$A28="","",IF('ORDENES'!$AB28="","-",'ORDENES'!$AB28))</f>
        <v/>
      </c>
      <c r="H50" s="3">
        <f>IF('ORDENES'!$A28="","",IF('ORDENES'!$AN28="","-",'ORDENES'!$AN28))</f>
        <v/>
      </c>
      <c r="I50" s="3">
        <f>IF('ORDENES'!$A28="","",IF('ORDENES'!$D28="","-",'ORDENES'!$D28))</f>
        <v/>
      </c>
      <c r="J50" s="3">
        <f>IF('ORDENES'!$A28="","",IF('ORDENES'!$E28="","-",'ORDENES'!$E28))</f>
        <v/>
      </c>
      <c r="K50" s="12">
        <f>IF('ORDENES'!$A28="","",IF('ORDENES'!$M28="",0,'ORDENES'!$M28))</f>
        <v/>
      </c>
      <c r="L50" s="3">
        <f>IF('ORDENES'!$A28="","",IF('ORDENES'!$N28="","-",'ORDENES'!$N28))</f>
        <v/>
      </c>
      <c r="M50" s="3">
        <f>IF('ORDENES'!$A28="","",'ORDENES'!$AA28)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IF('ORDENES'!$A29="","",IF('ORDENES'!$AC29="","-",'ORDENES'!$AC29))</f>
        <v/>
      </c>
      <c r="D51" s="3">
        <f>IF('ORDENES'!$A29="","",IF('ORDENES'!$V29="","-",'ORDENES'!$V29))</f>
        <v/>
      </c>
      <c r="E51" s="3">
        <f>IF('ORDENES'!$A29="","",IF('ORDENES'!$U29="","-",'ORDENES'!$U29))</f>
        <v/>
      </c>
      <c r="F51" s="3">
        <f>IF('ORDENES'!$A29="","",IF('ORDENES'!$W29="","-",'ORDENES'!$W29))</f>
        <v/>
      </c>
      <c r="G51" s="3">
        <f>IF('ORDENES'!$A29="","",IF('ORDENES'!$AB29="","-",'ORDENES'!$AB29))</f>
        <v/>
      </c>
      <c r="H51" s="3">
        <f>IF('ORDENES'!$A29="","",IF('ORDENES'!$AN29="","-",'ORDENES'!$AN29))</f>
        <v/>
      </c>
      <c r="I51" s="3">
        <f>IF('ORDENES'!$A29="","",IF('ORDENES'!$D29="","-",'ORDENES'!$D29))</f>
        <v/>
      </c>
      <c r="J51" s="3">
        <f>IF('ORDENES'!$A29="","",IF('ORDENES'!$E29="","-",'ORDENES'!$E29))</f>
        <v/>
      </c>
      <c r="K51" s="12">
        <f>IF('ORDENES'!$A29="","",IF('ORDENES'!$M29="",0,'ORDENES'!$M29))</f>
        <v/>
      </c>
      <c r="L51" s="3">
        <f>IF('ORDENES'!$A29="","",IF('ORDENES'!$N29="","-",'ORDENES'!$N29))</f>
        <v/>
      </c>
      <c r="M51" s="3">
        <f>IF('ORDENES'!$A29="","",'ORDENES'!$AA29)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IF('ORDENES'!$A30="","",IF('ORDENES'!$AC30="","-",'ORDENES'!$AC30))</f>
        <v/>
      </c>
      <c r="D52" s="3">
        <f>IF('ORDENES'!$A30="","",IF('ORDENES'!$V30="","-",'ORDENES'!$V30))</f>
        <v/>
      </c>
      <c r="E52" s="3">
        <f>IF('ORDENES'!$A30="","",IF('ORDENES'!$U30="","-",'ORDENES'!$U30))</f>
        <v/>
      </c>
      <c r="F52" s="3">
        <f>IF('ORDENES'!$A30="","",IF('ORDENES'!$W30="","-",'ORDENES'!$W30))</f>
        <v/>
      </c>
      <c r="G52" s="3">
        <f>IF('ORDENES'!$A30="","",IF('ORDENES'!$AB30="","-",'ORDENES'!$AB30))</f>
        <v/>
      </c>
      <c r="H52" s="3">
        <f>IF('ORDENES'!$A30="","",IF('ORDENES'!$AN30="","-",'ORDENES'!$AN30))</f>
        <v/>
      </c>
      <c r="I52" s="3">
        <f>IF('ORDENES'!$A30="","",IF('ORDENES'!$D30="","-",'ORDENES'!$D30))</f>
        <v/>
      </c>
      <c r="J52" s="3">
        <f>IF('ORDENES'!$A30="","",IF('ORDENES'!$E30="","-",'ORDENES'!$E30))</f>
        <v/>
      </c>
      <c r="K52" s="12">
        <f>IF('ORDENES'!$A30="","",IF('ORDENES'!$M30="",0,'ORDENES'!$M30))</f>
        <v/>
      </c>
      <c r="L52" s="3">
        <f>IF('ORDENES'!$A30="","",IF('ORDENES'!$N30="","-",'ORDENES'!$N30))</f>
        <v/>
      </c>
      <c r="M52" s="3">
        <f>IF('ORDENES'!$A30="","",'ORDENES'!$AA30)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IF('ORDENES'!$A31="","",IF('ORDENES'!$AC31="","-",'ORDENES'!$AC31))</f>
        <v/>
      </c>
      <c r="D53" s="3">
        <f>IF('ORDENES'!$A31="","",IF('ORDENES'!$V31="","-",'ORDENES'!$V31))</f>
        <v/>
      </c>
      <c r="E53" s="3">
        <f>IF('ORDENES'!$A31="","",IF('ORDENES'!$U31="","-",'ORDENES'!$U31))</f>
        <v/>
      </c>
      <c r="F53" s="3">
        <f>IF('ORDENES'!$A31="","",IF('ORDENES'!$W31="","-",'ORDENES'!$W31))</f>
        <v/>
      </c>
      <c r="G53" s="3">
        <f>IF('ORDENES'!$A31="","",IF('ORDENES'!$AB31="","-",'ORDENES'!$AB31))</f>
        <v/>
      </c>
      <c r="H53" s="3">
        <f>IF('ORDENES'!$A31="","",IF('ORDENES'!$AN31="","-",'ORDENES'!$AN31))</f>
        <v/>
      </c>
      <c r="I53" s="3">
        <f>IF('ORDENES'!$A31="","",IF('ORDENES'!$D31="","-",'ORDENES'!$D31))</f>
        <v/>
      </c>
      <c r="J53" s="3">
        <f>IF('ORDENES'!$A31="","",IF('ORDENES'!$E31="","-",'ORDENES'!$E31))</f>
        <v/>
      </c>
      <c r="K53" s="12">
        <f>IF('ORDENES'!$A31="","",IF('ORDENES'!$M31="",0,'ORDENES'!$M31))</f>
        <v/>
      </c>
      <c r="L53" s="3">
        <f>IF('ORDENES'!$A31="","",IF('ORDENES'!$N31="","-",'ORDENES'!$N31))</f>
        <v/>
      </c>
      <c r="M53" s="3">
        <f>IF('ORDENES'!$A31="","",'ORDENES'!$AA31)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IF('ORDENES'!$A32="","",IF('ORDENES'!$AC32="","-",'ORDENES'!$AC32))</f>
        <v/>
      </c>
      <c r="D54" s="3">
        <f>IF('ORDENES'!$A32="","",IF('ORDENES'!$V32="","-",'ORDENES'!$V32))</f>
        <v/>
      </c>
      <c r="E54" s="3">
        <f>IF('ORDENES'!$A32="","",IF('ORDENES'!$U32="","-",'ORDENES'!$U32))</f>
        <v/>
      </c>
      <c r="F54" s="3">
        <f>IF('ORDENES'!$A32="","",IF('ORDENES'!$W32="","-",'ORDENES'!$W32))</f>
        <v/>
      </c>
      <c r="G54" s="3">
        <f>IF('ORDENES'!$A32="","",IF('ORDENES'!$AB32="","-",'ORDENES'!$AB32))</f>
        <v/>
      </c>
      <c r="H54" s="3">
        <f>IF('ORDENES'!$A32="","",IF('ORDENES'!$AN32="","-",'ORDENES'!$AN32))</f>
        <v/>
      </c>
      <c r="I54" s="3">
        <f>IF('ORDENES'!$A32="","",IF('ORDENES'!$D32="","-",'ORDENES'!$D32))</f>
        <v/>
      </c>
      <c r="J54" s="3">
        <f>IF('ORDENES'!$A32="","",IF('ORDENES'!$E32="","-",'ORDENES'!$E32))</f>
        <v/>
      </c>
      <c r="K54" s="12">
        <f>IF('ORDENES'!$A32="","",IF('ORDENES'!$M32="",0,'ORDENES'!$M32))</f>
        <v/>
      </c>
      <c r="L54" s="3">
        <f>IF('ORDENES'!$A32="","",IF('ORDENES'!$N32="","-",'ORDENES'!$N32))</f>
        <v/>
      </c>
      <c r="M54" s="3">
        <f>IF('ORDENES'!$A32="","",'ORDENES'!$AA32)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IF('ORDENES'!$A33="","",IF('ORDENES'!$AC33="","-",'ORDENES'!$AC33))</f>
        <v/>
      </c>
      <c r="D55" s="3">
        <f>IF('ORDENES'!$A33="","",IF('ORDENES'!$V33="","-",'ORDENES'!$V33))</f>
        <v/>
      </c>
      <c r="E55" s="3">
        <f>IF('ORDENES'!$A33="","",IF('ORDENES'!$U33="","-",'ORDENES'!$U33))</f>
        <v/>
      </c>
      <c r="F55" s="3">
        <f>IF('ORDENES'!$A33="","",IF('ORDENES'!$W33="","-",'ORDENES'!$W33))</f>
        <v/>
      </c>
      <c r="G55" s="3">
        <f>IF('ORDENES'!$A33="","",IF('ORDENES'!$AB33="","-",'ORDENES'!$AB33))</f>
        <v/>
      </c>
      <c r="H55" s="3">
        <f>IF('ORDENES'!$A33="","",IF('ORDENES'!$AN33="","-",'ORDENES'!$AN33))</f>
        <v/>
      </c>
      <c r="I55" s="3">
        <f>IF('ORDENES'!$A33="","",IF('ORDENES'!$D33="","-",'ORDENES'!$D33))</f>
        <v/>
      </c>
      <c r="J55" s="3">
        <f>IF('ORDENES'!$A33="","",IF('ORDENES'!$E33="","-",'ORDENES'!$E33))</f>
        <v/>
      </c>
      <c r="K55" s="12">
        <f>IF('ORDENES'!$A33="","",IF('ORDENES'!$M33="",0,'ORDENES'!$M33))</f>
        <v/>
      </c>
      <c r="L55" s="3">
        <f>IF('ORDENES'!$A33="","",IF('ORDENES'!$N33="","-",'ORDENES'!$N33))</f>
        <v/>
      </c>
      <c r="M55" s="3">
        <f>IF('ORDENES'!$A33="","",'ORDENES'!$AA33)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IF('ORDENES'!$A34="","",IF('ORDENES'!$AC34="","-",'ORDENES'!$AC34))</f>
        <v/>
      </c>
      <c r="D56" s="3">
        <f>IF('ORDENES'!$A34="","",IF('ORDENES'!$V34="","-",'ORDENES'!$V34))</f>
        <v/>
      </c>
      <c r="E56" s="3">
        <f>IF('ORDENES'!$A34="","",IF('ORDENES'!$U34="","-",'ORDENES'!$U34))</f>
        <v/>
      </c>
      <c r="F56" s="3">
        <f>IF('ORDENES'!$A34="","",IF('ORDENES'!$W34="","-",'ORDENES'!$W34))</f>
        <v/>
      </c>
      <c r="G56" s="3">
        <f>IF('ORDENES'!$A34="","",IF('ORDENES'!$AB34="","-",'ORDENES'!$AB34))</f>
        <v/>
      </c>
      <c r="H56" s="3">
        <f>IF('ORDENES'!$A34="","",IF('ORDENES'!$AN34="","-",'ORDENES'!$AN34))</f>
        <v/>
      </c>
      <c r="I56" s="3">
        <f>IF('ORDENES'!$A34="","",IF('ORDENES'!$D34="","-",'ORDENES'!$D34))</f>
        <v/>
      </c>
      <c r="J56" s="3">
        <f>IF('ORDENES'!$A34="","",IF('ORDENES'!$E34="","-",'ORDENES'!$E34))</f>
        <v/>
      </c>
      <c r="K56" s="12">
        <f>IF('ORDENES'!$A34="","",IF('ORDENES'!$M34="",0,'ORDENES'!$M34))</f>
        <v/>
      </c>
      <c r="L56" s="3">
        <f>IF('ORDENES'!$A34="","",IF('ORDENES'!$N34="","-",'ORDENES'!$N34))</f>
        <v/>
      </c>
      <c r="M56" s="3">
        <f>IF('ORDENES'!$A34="","",'ORDENES'!$AA34)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IF('ORDENES'!$A35="","",IF('ORDENES'!$AC35="","-",'ORDENES'!$AC35))</f>
        <v/>
      </c>
      <c r="D57" s="3">
        <f>IF('ORDENES'!$A35="","",IF('ORDENES'!$V35="","-",'ORDENES'!$V35))</f>
        <v/>
      </c>
      <c r="E57" s="3">
        <f>IF('ORDENES'!$A35="","",IF('ORDENES'!$U35="","-",'ORDENES'!$U35))</f>
        <v/>
      </c>
      <c r="F57" s="3">
        <f>IF('ORDENES'!$A35="","",IF('ORDENES'!$W35="","-",'ORDENES'!$W35))</f>
        <v/>
      </c>
      <c r="G57" s="3">
        <f>IF('ORDENES'!$A35="","",IF('ORDENES'!$AB35="","-",'ORDENES'!$AB35))</f>
        <v/>
      </c>
      <c r="H57" s="3">
        <f>IF('ORDENES'!$A35="","",IF('ORDENES'!$AN35="","-",'ORDENES'!$AN35))</f>
        <v/>
      </c>
      <c r="I57" s="3">
        <f>IF('ORDENES'!$A35="","",IF('ORDENES'!$D35="","-",'ORDENES'!$D35))</f>
        <v/>
      </c>
      <c r="J57" s="3">
        <f>IF('ORDENES'!$A35="","",IF('ORDENES'!$E35="","-",'ORDENES'!$E35))</f>
        <v/>
      </c>
      <c r="K57" s="12">
        <f>IF('ORDENES'!$A35="","",IF('ORDENES'!$M35="",0,'ORDENES'!$M35))</f>
        <v/>
      </c>
      <c r="L57" s="3">
        <f>IF('ORDENES'!$A35="","",IF('ORDENES'!$N35="","-",'ORDENES'!$N35))</f>
        <v/>
      </c>
      <c r="M57" s="3">
        <f>IF('ORDENES'!$A35="","",'ORDENES'!$AA35)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IF('ORDENES'!$A36="","",IF('ORDENES'!$AC36="","-",'ORDENES'!$AC36))</f>
        <v/>
      </c>
      <c r="D58" s="3">
        <f>IF('ORDENES'!$A36="","",IF('ORDENES'!$V36="","-",'ORDENES'!$V36))</f>
        <v/>
      </c>
      <c r="E58" s="3">
        <f>IF('ORDENES'!$A36="","",IF('ORDENES'!$U36="","-",'ORDENES'!$U36))</f>
        <v/>
      </c>
      <c r="F58" s="3">
        <f>IF('ORDENES'!$A36="","",IF('ORDENES'!$W36="","-",'ORDENES'!$W36))</f>
        <v/>
      </c>
      <c r="G58" s="3">
        <f>IF('ORDENES'!$A36="","",IF('ORDENES'!$AB36="","-",'ORDENES'!$AB36))</f>
        <v/>
      </c>
      <c r="H58" s="3">
        <f>IF('ORDENES'!$A36="","",IF('ORDENES'!$AN36="","-",'ORDENES'!$AN36))</f>
        <v/>
      </c>
      <c r="I58" s="3">
        <f>IF('ORDENES'!$A36="","",IF('ORDENES'!$D36="","-",'ORDENES'!$D36))</f>
        <v/>
      </c>
      <c r="J58" s="3">
        <f>IF('ORDENES'!$A36="","",IF('ORDENES'!$E36="","-",'ORDENES'!$E36))</f>
        <v/>
      </c>
      <c r="K58" s="12">
        <f>IF('ORDENES'!$A36="","",IF('ORDENES'!$M36="",0,'ORDENES'!$M36))</f>
        <v/>
      </c>
      <c r="L58" s="3">
        <f>IF('ORDENES'!$A36="","",IF('ORDENES'!$N36="","-",'ORDENES'!$N36))</f>
        <v/>
      </c>
      <c r="M58" s="3">
        <f>IF('ORDENES'!$A36="","",'ORDENES'!$AA36)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IF('ORDENES'!$A37="","",IF('ORDENES'!$AC37="","-",'ORDENES'!$AC37))</f>
        <v/>
      </c>
      <c r="D59" s="3">
        <f>IF('ORDENES'!$A37="","",IF('ORDENES'!$V37="","-",'ORDENES'!$V37))</f>
        <v/>
      </c>
      <c r="E59" s="3">
        <f>IF('ORDENES'!$A37="","",IF('ORDENES'!$U37="","-",'ORDENES'!$U37))</f>
        <v/>
      </c>
      <c r="F59" s="3">
        <f>IF('ORDENES'!$A37="","",IF('ORDENES'!$W37="","-",'ORDENES'!$W37))</f>
        <v/>
      </c>
      <c r="G59" s="3">
        <f>IF('ORDENES'!$A37="","",IF('ORDENES'!$AB37="","-",'ORDENES'!$AB37))</f>
        <v/>
      </c>
      <c r="H59" s="3">
        <f>IF('ORDENES'!$A37="","",IF('ORDENES'!$AN37="","-",'ORDENES'!$AN37))</f>
        <v/>
      </c>
      <c r="I59" s="3">
        <f>IF('ORDENES'!$A37="","",IF('ORDENES'!$D37="","-",'ORDENES'!$D37))</f>
        <v/>
      </c>
      <c r="J59" s="3">
        <f>IF('ORDENES'!$A37="","",IF('ORDENES'!$E37="","-",'ORDENES'!$E37))</f>
        <v/>
      </c>
      <c r="K59" s="12">
        <f>IF('ORDENES'!$A37="","",IF('ORDENES'!$M37="",0,'ORDENES'!$M37))</f>
        <v/>
      </c>
      <c r="L59" s="3">
        <f>IF('ORDENES'!$A37="","",IF('ORDENES'!$N37="","-",'ORDENES'!$N37))</f>
        <v/>
      </c>
      <c r="M59" s="3">
        <f>IF('ORDENES'!$A37="","",'ORDENES'!$AA37)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IF('ORDENES'!$A38="","",IF('ORDENES'!$AC38="","-",'ORDENES'!$AC38))</f>
        <v/>
      </c>
      <c r="D60" s="3">
        <f>IF('ORDENES'!$A38="","",IF('ORDENES'!$V38="","-",'ORDENES'!$V38))</f>
        <v/>
      </c>
      <c r="E60" s="3">
        <f>IF('ORDENES'!$A38="","",IF('ORDENES'!$U38="","-",'ORDENES'!$U38))</f>
        <v/>
      </c>
      <c r="F60" s="3">
        <f>IF('ORDENES'!$A38="","",IF('ORDENES'!$W38="","-",'ORDENES'!$W38))</f>
        <v/>
      </c>
      <c r="G60" s="3">
        <f>IF('ORDENES'!$A38="","",IF('ORDENES'!$AB38="","-",'ORDENES'!$AB38))</f>
        <v/>
      </c>
      <c r="H60" s="3">
        <f>IF('ORDENES'!$A38="","",IF('ORDENES'!$AN38="","-",'ORDENES'!$AN38))</f>
        <v/>
      </c>
      <c r="I60" s="3">
        <f>IF('ORDENES'!$A38="","",IF('ORDENES'!$D38="","-",'ORDENES'!$D38))</f>
        <v/>
      </c>
      <c r="J60" s="3">
        <f>IF('ORDENES'!$A38="","",IF('ORDENES'!$E38="","-",'ORDENES'!$E38))</f>
        <v/>
      </c>
      <c r="K60" s="12">
        <f>IF('ORDENES'!$A38="","",IF('ORDENES'!$M38="",0,'ORDENES'!$M38))</f>
        <v/>
      </c>
      <c r="L60" s="3">
        <f>IF('ORDENES'!$A38="","",IF('ORDENES'!$N38="","-",'ORDENES'!$N38))</f>
        <v/>
      </c>
      <c r="M60" s="3">
        <f>IF('ORDENES'!$A38="","",'ORDENES'!$AA38)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IF('ORDENES'!$A39="","",IF('ORDENES'!$AC39="","-",'ORDENES'!$AC39))</f>
        <v/>
      </c>
      <c r="D61" s="3">
        <f>IF('ORDENES'!$A39="","",IF('ORDENES'!$V39="","-",'ORDENES'!$V39))</f>
        <v/>
      </c>
      <c r="E61" s="3">
        <f>IF('ORDENES'!$A39="","",IF('ORDENES'!$U39="","-",'ORDENES'!$U39))</f>
        <v/>
      </c>
      <c r="F61" s="3">
        <f>IF('ORDENES'!$A39="","",IF('ORDENES'!$W39="","-",'ORDENES'!$W39))</f>
        <v/>
      </c>
      <c r="G61" s="3">
        <f>IF('ORDENES'!$A39="","",IF('ORDENES'!$AB39="","-",'ORDENES'!$AB39))</f>
        <v/>
      </c>
      <c r="H61" s="3">
        <f>IF('ORDENES'!$A39="","",IF('ORDENES'!$AN39="","-",'ORDENES'!$AN39))</f>
        <v/>
      </c>
      <c r="I61" s="3">
        <f>IF('ORDENES'!$A39="","",IF('ORDENES'!$D39="","-",'ORDENES'!$D39))</f>
        <v/>
      </c>
      <c r="J61" s="3">
        <f>IF('ORDENES'!$A39="","",IF('ORDENES'!$E39="","-",'ORDENES'!$E39))</f>
        <v/>
      </c>
      <c r="K61" s="12">
        <f>IF('ORDENES'!$A39="","",IF('ORDENES'!$M39="",0,'ORDENES'!$M39))</f>
        <v/>
      </c>
      <c r="L61" s="3">
        <f>IF('ORDENES'!$A39="","",IF('ORDENES'!$N39="","-",'ORDENES'!$N39))</f>
        <v/>
      </c>
      <c r="M61" s="3">
        <f>IF('ORDENES'!$A39="","",'ORDENES'!$AA39)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IF('ORDENES'!$A40="","",IF('ORDENES'!$AC40="","-",'ORDENES'!$AC40))</f>
        <v/>
      </c>
      <c r="D62" s="3">
        <f>IF('ORDENES'!$A40="","",IF('ORDENES'!$V40="","-",'ORDENES'!$V40))</f>
        <v/>
      </c>
      <c r="E62" s="3">
        <f>IF('ORDENES'!$A40="","",IF('ORDENES'!$U40="","-",'ORDENES'!$U40))</f>
        <v/>
      </c>
      <c r="F62" s="3">
        <f>IF('ORDENES'!$A40="","",IF('ORDENES'!$W40="","-",'ORDENES'!$W40))</f>
        <v/>
      </c>
      <c r="G62" s="3">
        <f>IF('ORDENES'!$A40="","",IF('ORDENES'!$AB40="","-",'ORDENES'!$AB40))</f>
        <v/>
      </c>
      <c r="H62" s="3">
        <f>IF('ORDENES'!$A40="","",IF('ORDENES'!$AN40="","-",'ORDENES'!$AN40))</f>
        <v/>
      </c>
      <c r="I62" s="3">
        <f>IF('ORDENES'!$A40="","",IF('ORDENES'!$D40="","-",'ORDENES'!$D40))</f>
        <v/>
      </c>
      <c r="J62" s="3">
        <f>IF('ORDENES'!$A40="","",IF('ORDENES'!$E40="","-",'ORDENES'!$E40))</f>
        <v/>
      </c>
      <c r="K62" s="12">
        <f>IF('ORDENES'!$A40="","",IF('ORDENES'!$M40="",0,'ORDENES'!$M40))</f>
        <v/>
      </c>
      <c r="L62" s="3">
        <f>IF('ORDENES'!$A40="","",IF('ORDENES'!$N40="","-",'ORDENES'!$N40))</f>
        <v/>
      </c>
      <c r="M62" s="3">
        <f>IF('ORDENES'!$A40="","",'ORDENES'!$AA40)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IF('ORDENES'!$A41="","",IF('ORDENES'!$AC41="","-",'ORDENES'!$AC41))</f>
        <v/>
      </c>
      <c r="D63" s="3">
        <f>IF('ORDENES'!$A41="","",IF('ORDENES'!$V41="","-",'ORDENES'!$V41))</f>
        <v/>
      </c>
      <c r="E63" s="3">
        <f>IF('ORDENES'!$A41="","",IF('ORDENES'!$U41="","-",'ORDENES'!$U41))</f>
        <v/>
      </c>
      <c r="F63" s="3">
        <f>IF('ORDENES'!$A41="","",IF('ORDENES'!$W41="","-",'ORDENES'!$W41))</f>
        <v/>
      </c>
      <c r="G63" s="3">
        <f>IF('ORDENES'!$A41="","",IF('ORDENES'!$AB41="","-",'ORDENES'!$AB41))</f>
        <v/>
      </c>
      <c r="H63" s="3">
        <f>IF('ORDENES'!$A41="","",IF('ORDENES'!$AN41="","-",'ORDENES'!$AN41))</f>
        <v/>
      </c>
      <c r="I63" s="3">
        <f>IF('ORDENES'!$A41="","",IF('ORDENES'!$D41="","-",'ORDENES'!$D41))</f>
        <v/>
      </c>
      <c r="J63" s="3">
        <f>IF('ORDENES'!$A41="","",IF('ORDENES'!$E41="","-",'ORDENES'!$E41))</f>
        <v/>
      </c>
      <c r="K63" s="12">
        <f>IF('ORDENES'!$A41="","",IF('ORDENES'!$M41="",0,'ORDENES'!$M41))</f>
        <v/>
      </c>
      <c r="L63" s="3">
        <f>IF('ORDENES'!$A41="","",IF('ORDENES'!$N41="","-",'ORDENES'!$N41))</f>
        <v/>
      </c>
      <c r="M63" s="3">
        <f>IF('ORDENES'!$A41="","",'ORDENES'!$AA41)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IF('ORDENES'!$A42="","",IF('ORDENES'!$AC42="","-",'ORDENES'!$AC42))</f>
        <v/>
      </c>
      <c r="D64" s="3">
        <f>IF('ORDENES'!$A42="","",IF('ORDENES'!$V42="","-",'ORDENES'!$V42))</f>
        <v/>
      </c>
      <c r="E64" s="3">
        <f>IF('ORDENES'!$A42="","",IF('ORDENES'!$U42="","-",'ORDENES'!$U42))</f>
        <v/>
      </c>
      <c r="F64" s="3">
        <f>IF('ORDENES'!$A42="","",IF('ORDENES'!$W42="","-",'ORDENES'!$W42))</f>
        <v/>
      </c>
      <c r="G64" s="3">
        <f>IF('ORDENES'!$A42="","",IF('ORDENES'!$AB42="","-",'ORDENES'!$AB42))</f>
        <v/>
      </c>
      <c r="H64" s="3">
        <f>IF('ORDENES'!$A42="","",IF('ORDENES'!$AN42="","-",'ORDENES'!$AN42))</f>
        <v/>
      </c>
      <c r="I64" s="3">
        <f>IF('ORDENES'!$A42="","",IF('ORDENES'!$D42="","-",'ORDENES'!$D42))</f>
        <v/>
      </c>
      <c r="J64" s="3">
        <f>IF('ORDENES'!$A42="","",IF('ORDENES'!$E42="","-",'ORDENES'!$E42))</f>
        <v/>
      </c>
      <c r="K64" s="12">
        <f>IF('ORDENES'!$A42="","",IF('ORDENES'!$M42="",0,'ORDENES'!$M42))</f>
        <v/>
      </c>
      <c r="L64" s="3">
        <f>IF('ORDENES'!$A42="","",IF('ORDENES'!$N42="","-",'ORDENES'!$N42))</f>
        <v/>
      </c>
      <c r="M64" s="3">
        <f>IF('ORDENES'!$A42="","",'ORDENES'!$AA42)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IF('ORDENES'!$A43="","",IF('ORDENES'!$AC43="","-",'ORDENES'!$AC43))</f>
        <v/>
      </c>
      <c r="D65" s="3">
        <f>IF('ORDENES'!$A43="","",IF('ORDENES'!$V43="","-",'ORDENES'!$V43))</f>
        <v/>
      </c>
      <c r="E65" s="3">
        <f>IF('ORDENES'!$A43="","",IF('ORDENES'!$U43="","-",'ORDENES'!$U43))</f>
        <v/>
      </c>
      <c r="F65" s="3">
        <f>IF('ORDENES'!$A43="","",IF('ORDENES'!$W43="","-",'ORDENES'!$W43))</f>
        <v/>
      </c>
      <c r="G65" s="3">
        <f>IF('ORDENES'!$A43="","",IF('ORDENES'!$AB43="","-",'ORDENES'!$AB43))</f>
        <v/>
      </c>
      <c r="H65" s="3">
        <f>IF('ORDENES'!$A43="","",IF('ORDENES'!$AN43="","-",'ORDENES'!$AN43))</f>
        <v/>
      </c>
      <c r="I65" s="3">
        <f>IF('ORDENES'!$A43="","",IF('ORDENES'!$D43="","-",'ORDENES'!$D43))</f>
        <v/>
      </c>
      <c r="J65" s="3">
        <f>IF('ORDENES'!$A43="","",IF('ORDENES'!$E43="","-",'ORDENES'!$E43))</f>
        <v/>
      </c>
      <c r="K65" s="12">
        <f>IF('ORDENES'!$A43="","",IF('ORDENES'!$M43="",0,'ORDENES'!$M43))</f>
        <v/>
      </c>
      <c r="L65" s="3">
        <f>IF('ORDENES'!$A43="","",IF('ORDENES'!$N43="","-",'ORDENES'!$N43))</f>
        <v/>
      </c>
      <c r="M65" s="3">
        <f>IF('ORDENES'!$A43="","",'ORDENES'!$AA43)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IF('ORDENES'!$A44="","",IF('ORDENES'!$AC44="","-",'ORDENES'!$AC44))</f>
        <v/>
      </c>
      <c r="D66" s="3">
        <f>IF('ORDENES'!$A44="","",IF('ORDENES'!$V44="","-",'ORDENES'!$V44))</f>
        <v/>
      </c>
      <c r="E66" s="3">
        <f>IF('ORDENES'!$A44="","",IF('ORDENES'!$U44="","-",'ORDENES'!$U44))</f>
        <v/>
      </c>
      <c r="F66" s="3">
        <f>IF('ORDENES'!$A44="","",IF('ORDENES'!$W44="","-",'ORDENES'!$W44))</f>
        <v/>
      </c>
      <c r="G66" s="3">
        <f>IF('ORDENES'!$A44="","",IF('ORDENES'!$AB44="","-",'ORDENES'!$AB44))</f>
        <v/>
      </c>
      <c r="H66" s="3">
        <f>IF('ORDENES'!$A44="","",IF('ORDENES'!$AN44="","-",'ORDENES'!$AN44))</f>
        <v/>
      </c>
      <c r="I66" s="3">
        <f>IF('ORDENES'!$A44="","",IF('ORDENES'!$D44="","-",'ORDENES'!$D44))</f>
        <v/>
      </c>
      <c r="J66" s="3">
        <f>IF('ORDENES'!$A44="","",IF('ORDENES'!$E44="","-",'ORDENES'!$E44))</f>
        <v/>
      </c>
      <c r="K66" s="12">
        <f>IF('ORDENES'!$A44="","",IF('ORDENES'!$M44="",0,'ORDENES'!$M44))</f>
        <v/>
      </c>
      <c r="L66" s="3">
        <f>IF('ORDENES'!$A44="","",IF('ORDENES'!$N44="","-",'ORDENES'!$N44))</f>
        <v/>
      </c>
      <c r="M66" s="3">
        <f>IF('ORDENES'!$A44="","",'ORDENES'!$AA44)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IF('ORDENES'!$A45="","",IF('ORDENES'!$AC45="","-",'ORDENES'!$AC45))</f>
        <v/>
      </c>
      <c r="D67" s="3">
        <f>IF('ORDENES'!$A45="","",IF('ORDENES'!$V45="","-",'ORDENES'!$V45))</f>
        <v/>
      </c>
      <c r="E67" s="3">
        <f>IF('ORDENES'!$A45="","",IF('ORDENES'!$U45="","-",'ORDENES'!$U45))</f>
        <v/>
      </c>
      <c r="F67" s="3">
        <f>IF('ORDENES'!$A45="","",IF('ORDENES'!$W45="","-",'ORDENES'!$W45))</f>
        <v/>
      </c>
      <c r="G67" s="3">
        <f>IF('ORDENES'!$A45="","",IF('ORDENES'!$AB45="","-",'ORDENES'!$AB45))</f>
        <v/>
      </c>
      <c r="H67" s="3">
        <f>IF('ORDENES'!$A45="","",IF('ORDENES'!$AN45="","-",'ORDENES'!$AN45))</f>
        <v/>
      </c>
      <c r="I67" s="3">
        <f>IF('ORDENES'!$A45="","",IF('ORDENES'!$D45="","-",'ORDENES'!$D45))</f>
        <v/>
      </c>
      <c r="J67" s="3">
        <f>IF('ORDENES'!$A45="","",IF('ORDENES'!$E45="","-",'ORDENES'!$E45))</f>
        <v/>
      </c>
      <c r="K67" s="12">
        <f>IF('ORDENES'!$A45="","",IF('ORDENES'!$M45="",0,'ORDENES'!$M45))</f>
        <v/>
      </c>
      <c r="L67" s="3">
        <f>IF('ORDENES'!$A45="","",IF('ORDENES'!$N45="","-",'ORDENES'!$N45))</f>
        <v/>
      </c>
      <c r="M67" s="3">
        <f>IF('ORDENES'!$A45="","",'ORDENES'!$AA45)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IF('ORDENES'!$A46="","",IF('ORDENES'!$AC46="","-",'ORDENES'!$AC46))</f>
        <v/>
      </c>
      <c r="D68" s="3">
        <f>IF('ORDENES'!$A46="","",IF('ORDENES'!$V46="","-",'ORDENES'!$V46))</f>
        <v/>
      </c>
      <c r="E68" s="3">
        <f>IF('ORDENES'!$A46="","",IF('ORDENES'!$U46="","-",'ORDENES'!$U46))</f>
        <v/>
      </c>
      <c r="F68" s="3">
        <f>IF('ORDENES'!$A46="","",IF('ORDENES'!$W46="","-",'ORDENES'!$W46))</f>
        <v/>
      </c>
      <c r="G68" s="3">
        <f>IF('ORDENES'!$A46="","",IF('ORDENES'!$AB46="","-",'ORDENES'!$AB46))</f>
        <v/>
      </c>
      <c r="H68" s="3">
        <f>IF('ORDENES'!$A46="","",IF('ORDENES'!$AN46="","-",'ORDENES'!$AN46))</f>
        <v/>
      </c>
      <c r="I68" s="3">
        <f>IF('ORDENES'!$A46="","",IF('ORDENES'!$D46="","-",'ORDENES'!$D46))</f>
        <v/>
      </c>
      <c r="J68" s="3">
        <f>IF('ORDENES'!$A46="","",IF('ORDENES'!$E46="","-",'ORDENES'!$E46))</f>
        <v/>
      </c>
      <c r="K68" s="12">
        <f>IF('ORDENES'!$A46="","",IF('ORDENES'!$M46="",0,'ORDENES'!$M46))</f>
        <v/>
      </c>
      <c r="L68" s="3">
        <f>IF('ORDENES'!$A46="","",IF('ORDENES'!$N46="","-",'ORDENES'!$N46))</f>
        <v/>
      </c>
      <c r="M68" s="3">
        <f>IF('ORDENES'!$A46="","",'ORDENES'!$AA46)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IF('ORDENES'!$A47="","",IF('ORDENES'!$AC47="","-",'ORDENES'!$AC47))</f>
        <v/>
      </c>
      <c r="D69" s="3">
        <f>IF('ORDENES'!$A47="","",IF('ORDENES'!$V47="","-",'ORDENES'!$V47))</f>
        <v/>
      </c>
      <c r="E69" s="3">
        <f>IF('ORDENES'!$A47="","",IF('ORDENES'!$U47="","-",'ORDENES'!$U47))</f>
        <v/>
      </c>
      <c r="F69" s="3">
        <f>IF('ORDENES'!$A47="","",IF('ORDENES'!$W47="","-",'ORDENES'!$W47))</f>
        <v/>
      </c>
      <c r="G69" s="3">
        <f>IF('ORDENES'!$A47="","",IF('ORDENES'!$AB47="","-",'ORDENES'!$AB47))</f>
        <v/>
      </c>
      <c r="H69" s="3">
        <f>IF('ORDENES'!$A47="","",IF('ORDENES'!$AN47="","-",'ORDENES'!$AN47))</f>
        <v/>
      </c>
      <c r="I69" s="3">
        <f>IF('ORDENES'!$A47="","",IF('ORDENES'!$D47="","-",'ORDENES'!$D47))</f>
        <v/>
      </c>
      <c r="J69" s="3">
        <f>IF('ORDENES'!$A47="","",IF('ORDENES'!$E47="","-",'ORDENES'!$E47))</f>
        <v/>
      </c>
      <c r="K69" s="12">
        <f>IF('ORDENES'!$A47="","",IF('ORDENES'!$M47="",0,'ORDENES'!$M47))</f>
        <v/>
      </c>
      <c r="L69" s="3">
        <f>IF('ORDENES'!$A47="","",IF('ORDENES'!$N47="","-",'ORDENES'!$N47))</f>
        <v/>
      </c>
      <c r="M69" s="3">
        <f>IF('ORDENES'!$A47="","",'ORDENES'!$AA47)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IF('ORDENES'!$A48="","",IF('ORDENES'!$AC48="","-",'ORDENES'!$AC48))</f>
        <v/>
      </c>
      <c r="D70" s="3">
        <f>IF('ORDENES'!$A48="","",IF('ORDENES'!$V48="","-",'ORDENES'!$V48))</f>
        <v/>
      </c>
      <c r="E70" s="3">
        <f>IF('ORDENES'!$A48="","",IF('ORDENES'!$U48="","-",'ORDENES'!$U48))</f>
        <v/>
      </c>
      <c r="F70" s="3">
        <f>IF('ORDENES'!$A48="","",IF('ORDENES'!$W48="","-",'ORDENES'!$W48))</f>
        <v/>
      </c>
      <c r="G70" s="3">
        <f>IF('ORDENES'!$A48="","",IF('ORDENES'!$AB48="","-",'ORDENES'!$AB48))</f>
        <v/>
      </c>
      <c r="H70" s="3">
        <f>IF('ORDENES'!$A48="","",IF('ORDENES'!$AN48="","-",'ORDENES'!$AN48))</f>
        <v/>
      </c>
      <c r="I70" s="3">
        <f>IF('ORDENES'!$A48="","",IF('ORDENES'!$D48="","-",'ORDENES'!$D48))</f>
        <v/>
      </c>
      <c r="J70" s="3">
        <f>IF('ORDENES'!$A48="","",IF('ORDENES'!$E48="","-",'ORDENES'!$E48))</f>
        <v/>
      </c>
      <c r="K70" s="12">
        <f>IF('ORDENES'!$A48="","",IF('ORDENES'!$M48="",0,'ORDENES'!$M48))</f>
        <v/>
      </c>
      <c r="L70" s="3">
        <f>IF('ORDENES'!$A48="","",IF('ORDENES'!$N48="","-",'ORDENES'!$N48))</f>
        <v/>
      </c>
      <c r="M70" s="3">
        <f>IF('ORDENES'!$A48="","",'ORDENES'!$AA48)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IF('ORDENES'!$A49="","",IF('ORDENES'!$AC49="","-",'ORDENES'!$AC49))</f>
        <v/>
      </c>
      <c r="D71" s="3">
        <f>IF('ORDENES'!$A49="","",IF('ORDENES'!$V49="","-",'ORDENES'!$V49))</f>
        <v/>
      </c>
      <c r="E71" s="3">
        <f>IF('ORDENES'!$A49="","",IF('ORDENES'!$U49="","-",'ORDENES'!$U49))</f>
        <v/>
      </c>
      <c r="F71" s="3">
        <f>IF('ORDENES'!$A49="","",IF('ORDENES'!$W49="","-",'ORDENES'!$W49))</f>
        <v/>
      </c>
      <c r="G71" s="3">
        <f>IF('ORDENES'!$A49="","",IF('ORDENES'!$AB49="","-",'ORDENES'!$AB49))</f>
        <v/>
      </c>
      <c r="H71" s="3">
        <f>IF('ORDENES'!$A49="","",IF('ORDENES'!$AN49="","-",'ORDENES'!$AN49))</f>
        <v/>
      </c>
      <c r="I71" s="3">
        <f>IF('ORDENES'!$A49="","",IF('ORDENES'!$D49="","-",'ORDENES'!$D49))</f>
        <v/>
      </c>
      <c r="J71" s="3">
        <f>IF('ORDENES'!$A49="","",IF('ORDENES'!$E49="","-",'ORDENES'!$E49))</f>
        <v/>
      </c>
      <c r="K71" s="12">
        <f>IF('ORDENES'!$A49="","",IF('ORDENES'!$M49="",0,'ORDENES'!$M49))</f>
        <v/>
      </c>
      <c r="L71" s="3">
        <f>IF('ORDENES'!$A49="","",IF('ORDENES'!$N49="","-",'ORDENES'!$N49))</f>
        <v/>
      </c>
      <c r="M71" s="3">
        <f>IF('ORDENES'!$A49="","",'ORDENES'!$AA49)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IF('ORDENES'!$A50="","",IF('ORDENES'!$AC50="","-",'ORDENES'!$AC50))</f>
        <v/>
      </c>
      <c r="D72" s="3">
        <f>IF('ORDENES'!$A50="","",IF('ORDENES'!$V50="","-",'ORDENES'!$V50))</f>
        <v/>
      </c>
      <c r="E72" s="3">
        <f>IF('ORDENES'!$A50="","",IF('ORDENES'!$U50="","-",'ORDENES'!$U50))</f>
        <v/>
      </c>
      <c r="F72" s="3">
        <f>IF('ORDENES'!$A50="","",IF('ORDENES'!$W50="","-",'ORDENES'!$W50))</f>
        <v/>
      </c>
      <c r="G72" s="3">
        <f>IF('ORDENES'!$A50="","",IF('ORDENES'!$AB50="","-",'ORDENES'!$AB50))</f>
        <v/>
      </c>
      <c r="H72" s="3">
        <f>IF('ORDENES'!$A50="","",IF('ORDENES'!$AN50="","-",'ORDENES'!$AN50))</f>
        <v/>
      </c>
      <c r="I72" s="3">
        <f>IF('ORDENES'!$A50="","",IF('ORDENES'!$D50="","-",'ORDENES'!$D50))</f>
        <v/>
      </c>
      <c r="J72" s="3">
        <f>IF('ORDENES'!$A50="","",IF('ORDENES'!$E50="","-",'ORDENES'!$E50))</f>
        <v/>
      </c>
      <c r="K72" s="12">
        <f>IF('ORDENES'!$A50="","",IF('ORDENES'!$M50="",0,'ORDENES'!$M50))</f>
        <v/>
      </c>
      <c r="L72" s="3">
        <f>IF('ORDENES'!$A50="","",IF('ORDENES'!$N50="","-",'ORDENES'!$N50))</f>
        <v/>
      </c>
      <c r="M72" s="3">
        <f>IF('ORDENES'!$A50="","",'ORDENES'!$AA50)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IF('ORDENES'!$A51="","",IF('ORDENES'!$AC51="","-",'ORDENES'!$AC51))</f>
        <v/>
      </c>
      <c r="D73" s="3">
        <f>IF('ORDENES'!$A51="","",IF('ORDENES'!$V51="","-",'ORDENES'!$V51))</f>
        <v/>
      </c>
      <c r="E73" s="3">
        <f>IF('ORDENES'!$A51="","",IF('ORDENES'!$U51="","-",'ORDENES'!$U51))</f>
        <v/>
      </c>
      <c r="F73" s="3">
        <f>IF('ORDENES'!$A51="","",IF('ORDENES'!$W51="","-",'ORDENES'!$W51))</f>
        <v/>
      </c>
      <c r="G73" s="3">
        <f>IF('ORDENES'!$A51="","",IF('ORDENES'!$AB51="","-",'ORDENES'!$AB51))</f>
        <v/>
      </c>
      <c r="H73" s="3">
        <f>IF('ORDENES'!$A51="","",IF('ORDENES'!$AN51="","-",'ORDENES'!$AN51))</f>
        <v/>
      </c>
      <c r="I73" s="3">
        <f>IF('ORDENES'!$A51="","",IF('ORDENES'!$D51="","-",'ORDENES'!$D51))</f>
        <v/>
      </c>
      <c r="J73" s="3">
        <f>IF('ORDENES'!$A51="","",IF('ORDENES'!$E51="","-",'ORDENES'!$E51))</f>
        <v/>
      </c>
      <c r="K73" s="12">
        <f>IF('ORDENES'!$A51="","",IF('ORDENES'!$M51="",0,'ORDENES'!$M51))</f>
        <v/>
      </c>
      <c r="L73" s="3">
        <f>IF('ORDENES'!$A51="","",IF('ORDENES'!$N51="","-",'ORDENES'!$N51))</f>
        <v/>
      </c>
      <c r="M73" s="3">
        <f>IF('ORDENES'!$A51="","",'ORDENES'!$AA51)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IF('ORDENES'!$A52="","",IF('ORDENES'!$AC52="","-",'ORDENES'!$AC52))</f>
        <v/>
      </c>
      <c r="D74" s="3">
        <f>IF('ORDENES'!$A52="","",IF('ORDENES'!$V52="","-",'ORDENES'!$V52))</f>
        <v/>
      </c>
      <c r="E74" s="3">
        <f>IF('ORDENES'!$A52="","",IF('ORDENES'!$U52="","-",'ORDENES'!$U52))</f>
        <v/>
      </c>
      <c r="F74" s="3">
        <f>IF('ORDENES'!$A52="","",IF('ORDENES'!$W52="","-",'ORDENES'!$W52))</f>
        <v/>
      </c>
      <c r="G74" s="3">
        <f>IF('ORDENES'!$A52="","",IF('ORDENES'!$AB52="","-",'ORDENES'!$AB52))</f>
        <v/>
      </c>
      <c r="H74" s="3">
        <f>IF('ORDENES'!$A52="","",IF('ORDENES'!$AN52="","-",'ORDENES'!$AN52))</f>
        <v/>
      </c>
      <c r="I74" s="3">
        <f>IF('ORDENES'!$A52="","",IF('ORDENES'!$D52="","-",'ORDENES'!$D52))</f>
        <v/>
      </c>
      <c r="J74" s="3">
        <f>IF('ORDENES'!$A52="","",IF('ORDENES'!$E52="","-",'ORDENES'!$E52))</f>
        <v/>
      </c>
      <c r="K74" s="12">
        <f>IF('ORDENES'!$A52="","",IF('ORDENES'!$M52="",0,'ORDENES'!$M52))</f>
        <v/>
      </c>
      <c r="L74" s="3">
        <f>IF('ORDENES'!$A52="","",IF('ORDENES'!$N52="","-",'ORDENES'!$N52))</f>
        <v/>
      </c>
      <c r="M74" s="3">
        <f>IF('ORDENES'!$A52="","",'ORDENES'!$AA52)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IF('ORDENES'!$A53="","",IF('ORDENES'!$AC53="","-",'ORDENES'!$AC53))</f>
        <v/>
      </c>
      <c r="D75" s="3">
        <f>IF('ORDENES'!$A53="","",IF('ORDENES'!$V53="","-",'ORDENES'!$V53))</f>
        <v/>
      </c>
      <c r="E75" s="3">
        <f>IF('ORDENES'!$A53="","",IF('ORDENES'!$U53="","-",'ORDENES'!$U53))</f>
        <v/>
      </c>
      <c r="F75" s="3">
        <f>IF('ORDENES'!$A53="","",IF('ORDENES'!$W53="","-",'ORDENES'!$W53))</f>
        <v/>
      </c>
      <c r="G75" s="3">
        <f>IF('ORDENES'!$A53="","",IF('ORDENES'!$AB53="","-",'ORDENES'!$AB53))</f>
        <v/>
      </c>
      <c r="H75" s="3">
        <f>IF('ORDENES'!$A53="","",IF('ORDENES'!$AN53="","-",'ORDENES'!$AN53))</f>
        <v/>
      </c>
      <c r="I75" s="3">
        <f>IF('ORDENES'!$A53="","",IF('ORDENES'!$D53="","-",'ORDENES'!$D53))</f>
        <v/>
      </c>
      <c r="J75" s="3">
        <f>IF('ORDENES'!$A53="","",IF('ORDENES'!$E53="","-",'ORDENES'!$E53))</f>
        <v/>
      </c>
      <c r="K75" s="12">
        <f>IF('ORDENES'!$A53="","",IF('ORDENES'!$M53="",0,'ORDENES'!$M53))</f>
        <v/>
      </c>
      <c r="L75" s="3">
        <f>IF('ORDENES'!$A53="","",IF('ORDENES'!$N53="","-",'ORDENES'!$N53))</f>
        <v/>
      </c>
      <c r="M75" s="3">
        <f>IF('ORDENES'!$A53="","",'ORDENES'!$AA53)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IF('ORDENES'!$A54="","",IF('ORDENES'!$AC54="","-",'ORDENES'!$AC54))</f>
        <v/>
      </c>
      <c r="D76" s="3">
        <f>IF('ORDENES'!$A54="","",IF('ORDENES'!$V54="","-",'ORDENES'!$V54))</f>
        <v/>
      </c>
      <c r="E76" s="3">
        <f>IF('ORDENES'!$A54="","",IF('ORDENES'!$U54="","-",'ORDENES'!$U54))</f>
        <v/>
      </c>
      <c r="F76" s="3">
        <f>IF('ORDENES'!$A54="","",IF('ORDENES'!$W54="","-",'ORDENES'!$W54))</f>
        <v/>
      </c>
      <c r="G76" s="3">
        <f>IF('ORDENES'!$A54="","",IF('ORDENES'!$AB54="","-",'ORDENES'!$AB54))</f>
        <v/>
      </c>
      <c r="H76" s="3">
        <f>IF('ORDENES'!$A54="","",IF('ORDENES'!$AN54="","-",'ORDENES'!$AN54))</f>
        <v/>
      </c>
      <c r="I76" s="3">
        <f>IF('ORDENES'!$A54="","",IF('ORDENES'!$D54="","-",'ORDENES'!$D54))</f>
        <v/>
      </c>
      <c r="J76" s="3">
        <f>IF('ORDENES'!$A54="","",IF('ORDENES'!$E54="","-",'ORDENES'!$E54))</f>
        <v/>
      </c>
      <c r="K76" s="12">
        <f>IF('ORDENES'!$A54="","",IF('ORDENES'!$M54="",0,'ORDENES'!$M54))</f>
        <v/>
      </c>
      <c r="L76" s="3">
        <f>IF('ORDENES'!$A54="","",IF('ORDENES'!$N54="","-",'ORDENES'!$N54))</f>
        <v/>
      </c>
      <c r="M76" s="3">
        <f>IF('ORDENES'!$A54="","",'ORDENES'!$AA54)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IF('ORDENES'!$A55="","",IF('ORDENES'!$AC55="","-",'ORDENES'!$AC55))</f>
        <v/>
      </c>
      <c r="D77" s="3">
        <f>IF('ORDENES'!$A55="","",IF('ORDENES'!$V55="","-",'ORDENES'!$V55))</f>
        <v/>
      </c>
      <c r="E77" s="3">
        <f>IF('ORDENES'!$A55="","",IF('ORDENES'!$U55="","-",'ORDENES'!$U55))</f>
        <v/>
      </c>
      <c r="F77" s="3">
        <f>IF('ORDENES'!$A55="","",IF('ORDENES'!$W55="","-",'ORDENES'!$W55))</f>
        <v/>
      </c>
      <c r="G77" s="3">
        <f>IF('ORDENES'!$A55="","",IF('ORDENES'!$AB55="","-",'ORDENES'!$AB55))</f>
        <v/>
      </c>
      <c r="H77" s="3">
        <f>IF('ORDENES'!$A55="","",IF('ORDENES'!$AN55="","-",'ORDENES'!$AN55))</f>
        <v/>
      </c>
      <c r="I77" s="3">
        <f>IF('ORDENES'!$A55="","",IF('ORDENES'!$D55="","-",'ORDENES'!$D55))</f>
        <v/>
      </c>
      <c r="J77" s="3">
        <f>IF('ORDENES'!$A55="","",IF('ORDENES'!$E55="","-",'ORDENES'!$E55))</f>
        <v/>
      </c>
      <c r="K77" s="12">
        <f>IF('ORDENES'!$A55="","",IF('ORDENES'!$M55="",0,'ORDENES'!$M55))</f>
        <v/>
      </c>
      <c r="L77" s="3">
        <f>IF('ORDENES'!$A55="","",IF('ORDENES'!$N55="","-",'ORDENES'!$N55))</f>
        <v/>
      </c>
      <c r="M77" s="3">
        <f>IF('ORDENES'!$A55="","",'ORDENES'!$AA55)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IF('ORDENES'!$A56="","",IF('ORDENES'!$AC56="","-",'ORDENES'!$AC56))</f>
        <v/>
      </c>
      <c r="D78" s="3">
        <f>IF('ORDENES'!$A56="","",IF('ORDENES'!$V56="","-",'ORDENES'!$V56))</f>
        <v/>
      </c>
      <c r="E78" s="3">
        <f>IF('ORDENES'!$A56="","",IF('ORDENES'!$U56="","-",'ORDENES'!$U56))</f>
        <v/>
      </c>
      <c r="F78" s="3">
        <f>IF('ORDENES'!$A56="","",IF('ORDENES'!$W56="","-",'ORDENES'!$W56))</f>
        <v/>
      </c>
      <c r="G78" s="3">
        <f>IF('ORDENES'!$A56="","",IF('ORDENES'!$AB56="","-",'ORDENES'!$AB56))</f>
        <v/>
      </c>
      <c r="H78" s="3">
        <f>IF('ORDENES'!$A56="","",IF('ORDENES'!$AN56="","-",'ORDENES'!$AN56))</f>
        <v/>
      </c>
      <c r="I78" s="3">
        <f>IF('ORDENES'!$A56="","",IF('ORDENES'!$D56="","-",'ORDENES'!$D56))</f>
        <v/>
      </c>
      <c r="J78" s="3">
        <f>IF('ORDENES'!$A56="","",IF('ORDENES'!$E56="","-",'ORDENES'!$E56))</f>
        <v/>
      </c>
      <c r="K78" s="12">
        <f>IF('ORDENES'!$A56="","",IF('ORDENES'!$M56="",0,'ORDENES'!$M56))</f>
        <v/>
      </c>
      <c r="L78" s="3">
        <f>IF('ORDENES'!$A56="","",IF('ORDENES'!$N56="","-",'ORDENES'!$N56))</f>
        <v/>
      </c>
      <c r="M78" s="3">
        <f>IF('ORDENES'!$A56="","",'ORDENES'!$AA56)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IF('ORDENES'!$A57="","",IF('ORDENES'!$AC57="","-",'ORDENES'!$AC57))</f>
        <v/>
      </c>
      <c r="D79" s="3">
        <f>IF('ORDENES'!$A57="","",IF('ORDENES'!$V57="","-",'ORDENES'!$V57))</f>
        <v/>
      </c>
      <c r="E79" s="3">
        <f>IF('ORDENES'!$A57="","",IF('ORDENES'!$U57="","-",'ORDENES'!$U57))</f>
        <v/>
      </c>
      <c r="F79" s="3">
        <f>IF('ORDENES'!$A57="","",IF('ORDENES'!$W57="","-",'ORDENES'!$W57))</f>
        <v/>
      </c>
      <c r="G79" s="3">
        <f>IF('ORDENES'!$A57="","",IF('ORDENES'!$AB57="","-",'ORDENES'!$AB57))</f>
        <v/>
      </c>
      <c r="H79" s="3">
        <f>IF('ORDENES'!$A57="","",IF('ORDENES'!$AN57="","-",'ORDENES'!$AN57))</f>
        <v/>
      </c>
      <c r="I79" s="3">
        <f>IF('ORDENES'!$A57="","",IF('ORDENES'!$D57="","-",'ORDENES'!$D57))</f>
        <v/>
      </c>
      <c r="J79" s="3">
        <f>IF('ORDENES'!$A57="","",IF('ORDENES'!$E57="","-",'ORDENES'!$E57))</f>
        <v/>
      </c>
      <c r="K79" s="12">
        <f>IF('ORDENES'!$A57="","",IF('ORDENES'!$M57="",0,'ORDENES'!$M57))</f>
        <v/>
      </c>
      <c r="L79" s="3">
        <f>IF('ORDENES'!$A57="","",IF('ORDENES'!$N57="","-",'ORDENES'!$N57))</f>
        <v/>
      </c>
      <c r="M79" s="3">
        <f>IF('ORDENES'!$A57="","",'ORDENES'!$AA57)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IF('ORDENES'!$A58="","",IF('ORDENES'!$AC58="","-",'ORDENES'!$AC58))</f>
        <v/>
      </c>
      <c r="D80" s="3">
        <f>IF('ORDENES'!$A58="","",IF('ORDENES'!$V58="","-",'ORDENES'!$V58))</f>
        <v/>
      </c>
      <c r="E80" s="3">
        <f>IF('ORDENES'!$A58="","",IF('ORDENES'!$U58="","-",'ORDENES'!$U58))</f>
        <v/>
      </c>
      <c r="F80" s="3">
        <f>IF('ORDENES'!$A58="","",IF('ORDENES'!$W58="","-",'ORDENES'!$W58))</f>
        <v/>
      </c>
      <c r="G80" s="3">
        <f>IF('ORDENES'!$A58="","",IF('ORDENES'!$AB58="","-",'ORDENES'!$AB58))</f>
        <v/>
      </c>
      <c r="H80" s="3">
        <f>IF('ORDENES'!$A58="","",IF('ORDENES'!$AN58="","-",'ORDENES'!$AN58))</f>
        <v/>
      </c>
      <c r="I80" s="3">
        <f>IF('ORDENES'!$A58="","",IF('ORDENES'!$D58="","-",'ORDENES'!$D58))</f>
        <v/>
      </c>
      <c r="J80" s="3">
        <f>IF('ORDENES'!$A58="","",IF('ORDENES'!$E58="","-",'ORDENES'!$E58))</f>
        <v/>
      </c>
      <c r="K80" s="12">
        <f>IF('ORDENES'!$A58="","",IF('ORDENES'!$M58="",0,'ORDENES'!$M58))</f>
        <v/>
      </c>
      <c r="L80" s="3">
        <f>IF('ORDENES'!$A58="","",IF('ORDENES'!$N58="","-",'ORDENES'!$N58))</f>
        <v/>
      </c>
      <c r="M80" s="3">
        <f>IF('ORDENES'!$A58="","",'ORDENES'!$AA58)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IF('ORDENES'!$A59="","",IF('ORDENES'!$AC59="","-",'ORDENES'!$AC59))</f>
        <v/>
      </c>
      <c r="D81" s="3">
        <f>IF('ORDENES'!$A59="","",IF('ORDENES'!$V59="","-",'ORDENES'!$V59))</f>
        <v/>
      </c>
      <c r="E81" s="3">
        <f>IF('ORDENES'!$A59="","",IF('ORDENES'!$U59="","-",'ORDENES'!$U59))</f>
        <v/>
      </c>
      <c r="F81" s="3">
        <f>IF('ORDENES'!$A59="","",IF('ORDENES'!$W59="","-",'ORDENES'!$W59))</f>
        <v/>
      </c>
      <c r="G81" s="3">
        <f>IF('ORDENES'!$A59="","",IF('ORDENES'!$AB59="","-",'ORDENES'!$AB59))</f>
        <v/>
      </c>
      <c r="H81" s="3">
        <f>IF('ORDENES'!$A59="","",IF('ORDENES'!$AN59="","-",'ORDENES'!$AN59))</f>
        <v/>
      </c>
      <c r="I81" s="3">
        <f>IF('ORDENES'!$A59="","",IF('ORDENES'!$D59="","-",'ORDENES'!$D59))</f>
        <v/>
      </c>
      <c r="J81" s="3">
        <f>IF('ORDENES'!$A59="","",IF('ORDENES'!$E59="","-",'ORDENES'!$E59))</f>
        <v/>
      </c>
      <c r="K81" s="12">
        <f>IF('ORDENES'!$A59="","",IF('ORDENES'!$M59="",0,'ORDENES'!$M59))</f>
        <v/>
      </c>
      <c r="L81" s="3">
        <f>IF('ORDENES'!$A59="","",IF('ORDENES'!$N59="","-",'ORDENES'!$N59))</f>
        <v/>
      </c>
      <c r="M81" s="3">
        <f>IF('ORDENES'!$A59="","",'ORDENES'!$AA59)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IF('ORDENES'!$A60="","",IF('ORDENES'!$AC60="","-",'ORDENES'!$AC60))</f>
        <v/>
      </c>
      <c r="D82" s="3">
        <f>IF('ORDENES'!$A60="","",IF('ORDENES'!$V60="","-",'ORDENES'!$V60))</f>
        <v/>
      </c>
      <c r="E82" s="3">
        <f>IF('ORDENES'!$A60="","",IF('ORDENES'!$U60="","-",'ORDENES'!$U60))</f>
        <v/>
      </c>
      <c r="F82" s="3">
        <f>IF('ORDENES'!$A60="","",IF('ORDENES'!$W60="","-",'ORDENES'!$W60))</f>
        <v/>
      </c>
      <c r="G82" s="3">
        <f>IF('ORDENES'!$A60="","",IF('ORDENES'!$AB60="","-",'ORDENES'!$AB60))</f>
        <v/>
      </c>
      <c r="H82" s="3">
        <f>IF('ORDENES'!$A60="","",IF('ORDENES'!$AN60="","-",'ORDENES'!$AN60))</f>
        <v/>
      </c>
      <c r="I82" s="3">
        <f>IF('ORDENES'!$A60="","",IF('ORDENES'!$D60="","-",'ORDENES'!$D60))</f>
        <v/>
      </c>
      <c r="J82" s="3">
        <f>IF('ORDENES'!$A60="","",IF('ORDENES'!$E60="","-",'ORDENES'!$E60))</f>
        <v/>
      </c>
      <c r="K82" s="12">
        <f>IF('ORDENES'!$A60="","",IF('ORDENES'!$M60="",0,'ORDENES'!$M60))</f>
        <v/>
      </c>
      <c r="L82" s="3">
        <f>IF('ORDENES'!$A60="","",IF('ORDENES'!$N60="","-",'ORDENES'!$N60))</f>
        <v/>
      </c>
      <c r="M82" s="3">
        <f>IF('ORDENES'!$A60="","",'ORDENES'!$AA60)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IF('ORDENES'!$A61="","",IF('ORDENES'!$AC61="","-",'ORDENES'!$AC61))</f>
        <v/>
      </c>
      <c r="D83" s="3">
        <f>IF('ORDENES'!$A61="","",IF('ORDENES'!$V61="","-",'ORDENES'!$V61))</f>
        <v/>
      </c>
      <c r="E83" s="3">
        <f>IF('ORDENES'!$A61="","",IF('ORDENES'!$U61="","-",'ORDENES'!$U61))</f>
        <v/>
      </c>
      <c r="F83" s="3">
        <f>IF('ORDENES'!$A61="","",IF('ORDENES'!$W61="","-",'ORDENES'!$W61))</f>
        <v/>
      </c>
      <c r="G83" s="3">
        <f>IF('ORDENES'!$A61="","",IF('ORDENES'!$AB61="","-",'ORDENES'!$AB61))</f>
        <v/>
      </c>
      <c r="H83" s="3">
        <f>IF('ORDENES'!$A61="","",IF('ORDENES'!$AN61="","-",'ORDENES'!$AN61))</f>
        <v/>
      </c>
      <c r="I83" s="3">
        <f>IF('ORDENES'!$A61="","",IF('ORDENES'!$D61="","-",'ORDENES'!$D61))</f>
        <v/>
      </c>
      <c r="J83" s="3">
        <f>IF('ORDENES'!$A61="","",IF('ORDENES'!$E61="","-",'ORDENES'!$E61))</f>
        <v/>
      </c>
      <c r="K83" s="12">
        <f>IF('ORDENES'!$A61="","",IF('ORDENES'!$M61="",0,'ORDENES'!$M61))</f>
        <v/>
      </c>
      <c r="L83" s="3">
        <f>IF('ORDENES'!$A61="","",IF('ORDENES'!$N61="","-",'ORDENES'!$N61))</f>
        <v/>
      </c>
      <c r="M83" s="3">
        <f>IF('ORDENES'!$A61="","",'ORDENES'!$AA61)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IF('ORDENES'!$A62="","",IF('ORDENES'!$AC62="","-",'ORDENES'!$AC62))</f>
        <v/>
      </c>
      <c r="D84" s="3">
        <f>IF('ORDENES'!$A62="","",IF('ORDENES'!$V62="","-",'ORDENES'!$V62))</f>
        <v/>
      </c>
      <c r="E84" s="3">
        <f>IF('ORDENES'!$A62="","",IF('ORDENES'!$U62="","-",'ORDENES'!$U62))</f>
        <v/>
      </c>
      <c r="F84" s="3">
        <f>IF('ORDENES'!$A62="","",IF('ORDENES'!$W62="","-",'ORDENES'!$W62))</f>
        <v/>
      </c>
      <c r="G84" s="3">
        <f>IF('ORDENES'!$A62="","",IF('ORDENES'!$AB62="","-",'ORDENES'!$AB62))</f>
        <v/>
      </c>
      <c r="H84" s="3">
        <f>IF('ORDENES'!$A62="","",IF('ORDENES'!$AN62="","-",'ORDENES'!$AN62))</f>
        <v/>
      </c>
      <c r="I84" s="3">
        <f>IF('ORDENES'!$A62="","",IF('ORDENES'!$D62="","-",'ORDENES'!$D62))</f>
        <v/>
      </c>
      <c r="J84" s="3">
        <f>IF('ORDENES'!$A62="","",IF('ORDENES'!$E62="","-",'ORDENES'!$E62))</f>
        <v/>
      </c>
      <c r="K84" s="12">
        <f>IF('ORDENES'!$A62="","",IF('ORDENES'!$M62="",0,'ORDENES'!$M62))</f>
        <v/>
      </c>
      <c r="L84" s="3">
        <f>IF('ORDENES'!$A62="","",IF('ORDENES'!$N62="","-",'ORDENES'!$N62))</f>
        <v/>
      </c>
      <c r="M84" s="3">
        <f>IF('ORDENES'!$A62="","",'ORDENES'!$AA62)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IF('ORDENES'!$A63="","",IF('ORDENES'!$AC63="","-",'ORDENES'!$AC63))</f>
        <v/>
      </c>
      <c r="D85" s="3">
        <f>IF('ORDENES'!$A63="","",IF('ORDENES'!$V63="","-",'ORDENES'!$V63))</f>
        <v/>
      </c>
      <c r="E85" s="3">
        <f>IF('ORDENES'!$A63="","",IF('ORDENES'!$U63="","-",'ORDENES'!$U63))</f>
        <v/>
      </c>
      <c r="F85" s="3">
        <f>IF('ORDENES'!$A63="","",IF('ORDENES'!$W63="","-",'ORDENES'!$W63))</f>
        <v/>
      </c>
      <c r="G85" s="3">
        <f>IF('ORDENES'!$A63="","",IF('ORDENES'!$AB63="","-",'ORDENES'!$AB63))</f>
        <v/>
      </c>
      <c r="H85" s="3">
        <f>IF('ORDENES'!$A63="","",IF('ORDENES'!$AN63="","-",'ORDENES'!$AN63))</f>
        <v/>
      </c>
      <c r="I85" s="3">
        <f>IF('ORDENES'!$A63="","",IF('ORDENES'!$D63="","-",'ORDENES'!$D63))</f>
        <v/>
      </c>
      <c r="J85" s="3">
        <f>IF('ORDENES'!$A63="","",IF('ORDENES'!$E63="","-",'ORDENES'!$E63))</f>
        <v/>
      </c>
      <c r="K85" s="12">
        <f>IF('ORDENES'!$A63="","",IF('ORDENES'!$M63="",0,'ORDENES'!$M63))</f>
        <v/>
      </c>
      <c r="L85" s="3">
        <f>IF('ORDENES'!$A63="","",IF('ORDENES'!$N63="","-",'ORDENES'!$N63))</f>
        <v/>
      </c>
      <c r="M85" s="3">
        <f>IF('ORDENES'!$A63="","",'ORDENES'!$AA63)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IF('ORDENES'!$A64="","",IF('ORDENES'!$AC64="","-",'ORDENES'!$AC64))</f>
        <v/>
      </c>
      <c r="D86" s="3">
        <f>IF('ORDENES'!$A64="","",IF('ORDENES'!$V64="","-",'ORDENES'!$V64))</f>
        <v/>
      </c>
      <c r="E86" s="3">
        <f>IF('ORDENES'!$A64="","",IF('ORDENES'!$U64="","-",'ORDENES'!$U64))</f>
        <v/>
      </c>
      <c r="F86" s="3">
        <f>IF('ORDENES'!$A64="","",IF('ORDENES'!$W64="","-",'ORDENES'!$W64))</f>
        <v/>
      </c>
      <c r="G86" s="3">
        <f>IF('ORDENES'!$A64="","",IF('ORDENES'!$AB64="","-",'ORDENES'!$AB64))</f>
        <v/>
      </c>
      <c r="H86" s="3">
        <f>IF('ORDENES'!$A64="","",IF('ORDENES'!$AN64="","-",'ORDENES'!$AN64))</f>
        <v/>
      </c>
      <c r="I86" s="3">
        <f>IF('ORDENES'!$A64="","",IF('ORDENES'!$D64="","-",'ORDENES'!$D64))</f>
        <v/>
      </c>
      <c r="J86" s="3">
        <f>IF('ORDENES'!$A64="","",IF('ORDENES'!$E64="","-",'ORDENES'!$E64))</f>
        <v/>
      </c>
      <c r="K86" s="12">
        <f>IF('ORDENES'!$A64="","",IF('ORDENES'!$M64="",0,'ORDENES'!$M64))</f>
        <v/>
      </c>
      <c r="L86" s="3">
        <f>IF('ORDENES'!$A64="","",IF('ORDENES'!$N64="","-",'ORDENES'!$N64))</f>
        <v/>
      </c>
      <c r="M86" s="3">
        <f>IF('ORDENES'!$A64="","",'ORDENES'!$AA64)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IF('ORDENES'!$A65="","",IF('ORDENES'!$AC65="","-",'ORDENES'!$AC65))</f>
        <v/>
      </c>
      <c r="D87" s="3">
        <f>IF('ORDENES'!$A65="","",IF('ORDENES'!$V65="","-",'ORDENES'!$V65))</f>
        <v/>
      </c>
      <c r="E87" s="3">
        <f>IF('ORDENES'!$A65="","",IF('ORDENES'!$U65="","-",'ORDENES'!$U65))</f>
        <v/>
      </c>
      <c r="F87" s="3">
        <f>IF('ORDENES'!$A65="","",IF('ORDENES'!$W65="","-",'ORDENES'!$W65))</f>
        <v/>
      </c>
      <c r="G87" s="3">
        <f>IF('ORDENES'!$A65="","",IF('ORDENES'!$AB65="","-",'ORDENES'!$AB65))</f>
        <v/>
      </c>
      <c r="H87" s="3">
        <f>IF('ORDENES'!$A65="","",IF('ORDENES'!$AN65="","-",'ORDENES'!$AN65))</f>
        <v/>
      </c>
      <c r="I87" s="3">
        <f>IF('ORDENES'!$A65="","",IF('ORDENES'!$D65="","-",'ORDENES'!$D65))</f>
        <v/>
      </c>
      <c r="J87" s="3">
        <f>IF('ORDENES'!$A65="","",IF('ORDENES'!$E65="","-",'ORDENES'!$E65))</f>
        <v/>
      </c>
      <c r="K87" s="12">
        <f>IF('ORDENES'!$A65="","",IF('ORDENES'!$M65="",0,'ORDENES'!$M65))</f>
        <v/>
      </c>
      <c r="L87" s="3">
        <f>IF('ORDENES'!$A65="","",IF('ORDENES'!$N65="","-",'ORDENES'!$N65))</f>
        <v/>
      </c>
      <c r="M87" s="3">
        <f>IF('ORDENES'!$A65="","",'ORDENES'!$AA65)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IF('ORDENES'!$A66="","",IF('ORDENES'!$AC66="","-",'ORDENES'!$AC66))</f>
        <v/>
      </c>
      <c r="D88" s="3">
        <f>IF('ORDENES'!$A66="","",IF('ORDENES'!$V66="","-",'ORDENES'!$V66))</f>
        <v/>
      </c>
      <c r="E88" s="3">
        <f>IF('ORDENES'!$A66="","",IF('ORDENES'!$U66="","-",'ORDENES'!$U66))</f>
        <v/>
      </c>
      <c r="F88" s="3">
        <f>IF('ORDENES'!$A66="","",IF('ORDENES'!$W66="","-",'ORDENES'!$W66))</f>
        <v/>
      </c>
      <c r="G88" s="3">
        <f>IF('ORDENES'!$A66="","",IF('ORDENES'!$AB66="","-",'ORDENES'!$AB66))</f>
        <v/>
      </c>
      <c r="H88" s="3">
        <f>IF('ORDENES'!$A66="","",IF('ORDENES'!$AN66="","-",'ORDENES'!$AN66))</f>
        <v/>
      </c>
      <c r="I88" s="3">
        <f>IF('ORDENES'!$A66="","",IF('ORDENES'!$D66="","-",'ORDENES'!$D66))</f>
        <v/>
      </c>
      <c r="J88" s="3">
        <f>IF('ORDENES'!$A66="","",IF('ORDENES'!$E66="","-",'ORDENES'!$E66))</f>
        <v/>
      </c>
      <c r="K88" s="12">
        <f>IF('ORDENES'!$A66="","",IF('ORDENES'!$M66="",0,'ORDENES'!$M66))</f>
        <v/>
      </c>
      <c r="L88" s="3">
        <f>IF('ORDENES'!$A66="","",IF('ORDENES'!$N66="","-",'ORDENES'!$N66))</f>
        <v/>
      </c>
      <c r="M88" s="3">
        <f>IF('ORDENES'!$A66="","",'ORDENES'!$AA66)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IF('ORDENES'!$A67="","",IF('ORDENES'!$AC67="","-",'ORDENES'!$AC67))</f>
        <v/>
      </c>
      <c r="D89" s="3">
        <f>IF('ORDENES'!$A67="","",IF('ORDENES'!$V67="","-",'ORDENES'!$V67))</f>
        <v/>
      </c>
      <c r="E89" s="3">
        <f>IF('ORDENES'!$A67="","",IF('ORDENES'!$U67="","-",'ORDENES'!$U67))</f>
        <v/>
      </c>
      <c r="F89" s="3">
        <f>IF('ORDENES'!$A67="","",IF('ORDENES'!$W67="","-",'ORDENES'!$W67))</f>
        <v/>
      </c>
      <c r="G89" s="3">
        <f>IF('ORDENES'!$A67="","",IF('ORDENES'!$AB67="","-",'ORDENES'!$AB67))</f>
        <v/>
      </c>
      <c r="H89" s="3">
        <f>IF('ORDENES'!$A67="","",IF('ORDENES'!$AN67="","-",'ORDENES'!$AN67))</f>
        <v/>
      </c>
      <c r="I89" s="3">
        <f>IF('ORDENES'!$A67="","",IF('ORDENES'!$D67="","-",'ORDENES'!$D67))</f>
        <v/>
      </c>
      <c r="J89" s="3">
        <f>IF('ORDENES'!$A67="","",IF('ORDENES'!$E67="","-",'ORDENES'!$E67))</f>
        <v/>
      </c>
      <c r="K89" s="12">
        <f>IF('ORDENES'!$A67="","",IF('ORDENES'!$M67="",0,'ORDENES'!$M67))</f>
        <v/>
      </c>
      <c r="L89" s="3">
        <f>IF('ORDENES'!$A67="","",IF('ORDENES'!$N67="","-",'ORDENES'!$N67))</f>
        <v/>
      </c>
      <c r="M89" s="3">
        <f>IF('ORDENES'!$A67="","",'ORDENES'!$AA67)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IF('ORDENES'!$A68="","",IF('ORDENES'!$AC68="","-",'ORDENES'!$AC68))</f>
        <v/>
      </c>
      <c r="D90" s="3">
        <f>IF('ORDENES'!$A68="","",IF('ORDENES'!$V68="","-",'ORDENES'!$V68))</f>
        <v/>
      </c>
      <c r="E90" s="3">
        <f>IF('ORDENES'!$A68="","",IF('ORDENES'!$U68="","-",'ORDENES'!$U68))</f>
        <v/>
      </c>
      <c r="F90" s="3">
        <f>IF('ORDENES'!$A68="","",IF('ORDENES'!$W68="","-",'ORDENES'!$W68))</f>
        <v/>
      </c>
      <c r="G90" s="3">
        <f>IF('ORDENES'!$A68="","",IF('ORDENES'!$AB68="","-",'ORDENES'!$AB68))</f>
        <v/>
      </c>
      <c r="H90" s="3">
        <f>IF('ORDENES'!$A68="","",IF('ORDENES'!$AN68="","-",'ORDENES'!$AN68))</f>
        <v/>
      </c>
      <c r="I90" s="3">
        <f>IF('ORDENES'!$A68="","",IF('ORDENES'!$D68="","-",'ORDENES'!$D68))</f>
        <v/>
      </c>
      <c r="J90" s="3">
        <f>IF('ORDENES'!$A68="","",IF('ORDENES'!$E68="","-",'ORDENES'!$E68))</f>
        <v/>
      </c>
      <c r="K90" s="12">
        <f>IF('ORDENES'!$A68="","",IF('ORDENES'!$M68="",0,'ORDENES'!$M68))</f>
        <v/>
      </c>
      <c r="L90" s="3">
        <f>IF('ORDENES'!$A68="","",IF('ORDENES'!$N68="","-",'ORDENES'!$N68))</f>
        <v/>
      </c>
      <c r="M90" s="3">
        <f>IF('ORDENES'!$A68="","",'ORDENES'!$AA68)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IF('ORDENES'!$A69="","",IF('ORDENES'!$AC69="","-",'ORDENES'!$AC69))</f>
        <v/>
      </c>
      <c r="D91" s="3">
        <f>IF('ORDENES'!$A69="","",IF('ORDENES'!$V69="","-",'ORDENES'!$V69))</f>
        <v/>
      </c>
      <c r="E91" s="3">
        <f>IF('ORDENES'!$A69="","",IF('ORDENES'!$U69="","-",'ORDENES'!$U69))</f>
        <v/>
      </c>
      <c r="F91" s="3">
        <f>IF('ORDENES'!$A69="","",IF('ORDENES'!$W69="","-",'ORDENES'!$W69))</f>
        <v/>
      </c>
      <c r="G91" s="3">
        <f>IF('ORDENES'!$A69="","",IF('ORDENES'!$AB69="","-",'ORDENES'!$AB69))</f>
        <v/>
      </c>
      <c r="H91" s="3">
        <f>IF('ORDENES'!$A69="","",IF('ORDENES'!$AN69="","-",'ORDENES'!$AN69))</f>
        <v/>
      </c>
      <c r="I91" s="3">
        <f>IF('ORDENES'!$A69="","",IF('ORDENES'!$D69="","-",'ORDENES'!$D69))</f>
        <v/>
      </c>
      <c r="J91" s="3">
        <f>IF('ORDENES'!$A69="","",IF('ORDENES'!$E69="","-",'ORDENES'!$E69))</f>
        <v/>
      </c>
      <c r="K91" s="12">
        <f>IF('ORDENES'!$A69="","",IF('ORDENES'!$M69="",0,'ORDENES'!$M69))</f>
        <v/>
      </c>
      <c r="L91" s="3">
        <f>IF('ORDENES'!$A69="","",IF('ORDENES'!$N69="","-",'ORDENES'!$N69))</f>
        <v/>
      </c>
      <c r="M91" s="3">
        <f>IF('ORDENES'!$A69="","",'ORDENES'!$AA69)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IF('ORDENES'!$A70="","",IF('ORDENES'!$AC70="","-",'ORDENES'!$AC70))</f>
        <v/>
      </c>
      <c r="D92" s="3">
        <f>IF('ORDENES'!$A70="","",IF('ORDENES'!$V70="","-",'ORDENES'!$V70))</f>
        <v/>
      </c>
      <c r="E92" s="3">
        <f>IF('ORDENES'!$A70="","",IF('ORDENES'!$U70="","-",'ORDENES'!$U70))</f>
        <v/>
      </c>
      <c r="F92" s="3">
        <f>IF('ORDENES'!$A70="","",IF('ORDENES'!$W70="","-",'ORDENES'!$W70))</f>
        <v/>
      </c>
      <c r="G92" s="3">
        <f>IF('ORDENES'!$A70="","",IF('ORDENES'!$AB70="","-",'ORDENES'!$AB70))</f>
        <v/>
      </c>
      <c r="H92" s="3">
        <f>IF('ORDENES'!$A70="","",IF('ORDENES'!$AN70="","-",'ORDENES'!$AN70))</f>
        <v/>
      </c>
      <c r="I92" s="3">
        <f>IF('ORDENES'!$A70="","",IF('ORDENES'!$D70="","-",'ORDENES'!$D70))</f>
        <v/>
      </c>
      <c r="J92" s="3">
        <f>IF('ORDENES'!$A70="","",IF('ORDENES'!$E70="","-",'ORDENES'!$E70))</f>
        <v/>
      </c>
      <c r="K92" s="12">
        <f>IF('ORDENES'!$A70="","",IF('ORDENES'!$M70="",0,'ORDENES'!$M70))</f>
        <v/>
      </c>
      <c r="L92" s="3">
        <f>IF('ORDENES'!$A70="","",IF('ORDENES'!$N70="","-",'ORDENES'!$N70))</f>
        <v/>
      </c>
      <c r="M92" s="3">
        <f>IF('ORDENES'!$A70="","",'ORDENES'!$AA70)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IF('ORDENES'!$A71="","",IF('ORDENES'!$AC71="","-",'ORDENES'!$AC71))</f>
        <v/>
      </c>
      <c r="D93" s="3">
        <f>IF('ORDENES'!$A71="","",IF('ORDENES'!$V71="","-",'ORDENES'!$V71))</f>
        <v/>
      </c>
      <c r="E93" s="3">
        <f>IF('ORDENES'!$A71="","",IF('ORDENES'!$U71="","-",'ORDENES'!$U71))</f>
        <v/>
      </c>
      <c r="F93" s="3">
        <f>IF('ORDENES'!$A71="","",IF('ORDENES'!$W71="","-",'ORDENES'!$W71))</f>
        <v/>
      </c>
      <c r="G93" s="3">
        <f>IF('ORDENES'!$A71="","",IF('ORDENES'!$AB71="","-",'ORDENES'!$AB71))</f>
        <v/>
      </c>
      <c r="H93" s="3">
        <f>IF('ORDENES'!$A71="","",IF('ORDENES'!$AN71="","-",'ORDENES'!$AN71))</f>
        <v/>
      </c>
      <c r="I93" s="3">
        <f>IF('ORDENES'!$A71="","",IF('ORDENES'!$D71="","-",'ORDENES'!$D71))</f>
        <v/>
      </c>
      <c r="J93" s="3">
        <f>IF('ORDENES'!$A71="","",IF('ORDENES'!$E71="","-",'ORDENES'!$E71))</f>
        <v/>
      </c>
      <c r="K93" s="12">
        <f>IF('ORDENES'!$A71="","",IF('ORDENES'!$M71="",0,'ORDENES'!$M71))</f>
        <v/>
      </c>
      <c r="L93" s="3">
        <f>IF('ORDENES'!$A71="","",IF('ORDENES'!$N71="","-",'ORDENES'!$N71))</f>
        <v/>
      </c>
      <c r="M93" s="3">
        <f>IF('ORDENES'!$A71="","",'ORDENES'!$AA71)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IF('ORDENES'!$A72="","",IF('ORDENES'!$AC72="","-",'ORDENES'!$AC72))</f>
        <v/>
      </c>
      <c r="D94" s="3">
        <f>IF('ORDENES'!$A72="","",IF('ORDENES'!$V72="","-",'ORDENES'!$V72))</f>
        <v/>
      </c>
      <c r="E94" s="3">
        <f>IF('ORDENES'!$A72="","",IF('ORDENES'!$U72="","-",'ORDENES'!$U72))</f>
        <v/>
      </c>
      <c r="F94" s="3">
        <f>IF('ORDENES'!$A72="","",IF('ORDENES'!$W72="","-",'ORDENES'!$W72))</f>
        <v/>
      </c>
      <c r="G94" s="3">
        <f>IF('ORDENES'!$A72="","",IF('ORDENES'!$AB72="","-",'ORDENES'!$AB72))</f>
        <v/>
      </c>
      <c r="H94" s="3">
        <f>IF('ORDENES'!$A72="","",IF('ORDENES'!$AN72="","-",'ORDENES'!$AN72))</f>
        <v/>
      </c>
      <c r="I94" s="3">
        <f>IF('ORDENES'!$A72="","",IF('ORDENES'!$D72="","-",'ORDENES'!$D72))</f>
        <v/>
      </c>
      <c r="J94" s="3">
        <f>IF('ORDENES'!$A72="","",IF('ORDENES'!$E72="","-",'ORDENES'!$E72))</f>
        <v/>
      </c>
      <c r="K94" s="12">
        <f>IF('ORDENES'!$A72="","",IF('ORDENES'!$M72="",0,'ORDENES'!$M72))</f>
        <v/>
      </c>
      <c r="L94" s="3">
        <f>IF('ORDENES'!$A72="","",IF('ORDENES'!$N72="","-",'ORDENES'!$N72))</f>
        <v/>
      </c>
      <c r="M94" s="3">
        <f>IF('ORDENES'!$A72="","",'ORDENES'!$AA72)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IF('ORDENES'!$A73="","",IF('ORDENES'!$AC73="","-",'ORDENES'!$AC73))</f>
        <v/>
      </c>
      <c r="D95" s="3">
        <f>IF('ORDENES'!$A73="","",IF('ORDENES'!$V73="","-",'ORDENES'!$V73))</f>
        <v/>
      </c>
      <c r="E95" s="3">
        <f>IF('ORDENES'!$A73="","",IF('ORDENES'!$U73="","-",'ORDENES'!$U73))</f>
        <v/>
      </c>
      <c r="F95" s="3">
        <f>IF('ORDENES'!$A73="","",IF('ORDENES'!$W73="","-",'ORDENES'!$W73))</f>
        <v/>
      </c>
      <c r="G95" s="3">
        <f>IF('ORDENES'!$A73="","",IF('ORDENES'!$AB73="","-",'ORDENES'!$AB73))</f>
        <v/>
      </c>
      <c r="H95" s="3">
        <f>IF('ORDENES'!$A73="","",IF('ORDENES'!$AN73="","-",'ORDENES'!$AN73))</f>
        <v/>
      </c>
      <c r="I95" s="3">
        <f>IF('ORDENES'!$A73="","",IF('ORDENES'!$D73="","-",'ORDENES'!$D73))</f>
        <v/>
      </c>
      <c r="J95" s="3">
        <f>IF('ORDENES'!$A73="","",IF('ORDENES'!$E73="","-",'ORDENES'!$E73))</f>
        <v/>
      </c>
      <c r="K95" s="12">
        <f>IF('ORDENES'!$A73="","",IF('ORDENES'!$M73="",0,'ORDENES'!$M73))</f>
        <v/>
      </c>
      <c r="L95" s="3">
        <f>IF('ORDENES'!$A73="","",IF('ORDENES'!$N73="","-",'ORDENES'!$N73))</f>
        <v/>
      </c>
      <c r="M95" s="3">
        <f>IF('ORDENES'!$A73="","",'ORDENES'!$AA73)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IF('ORDENES'!$A74="","",IF('ORDENES'!$AC74="","-",'ORDENES'!$AC74))</f>
        <v/>
      </c>
      <c r="D96" s="3">
        <f>IF('ORDENES'!$A74="","",IF('ORDENES'!$V74="","-",'ORDENES'!$V74))</f>
        <v/>
      </c>
      <c r="E96" s="3">
        <f>IF('ORDENES'!$A74="","",IF('ORDENES'!$U74="","-",'ORDENES'!$U74))</f>
        <v/>
      </c>
      <c r="F96" s="3">
        <f>IF('ORDENES'!$A74="","",IF('ORDENES'!$W74="","-",'ORDENES'!$W74))</f>
        <v/>
      </c>
      <c r="G96" s="3">
        <f>IF('ORDENES'!$A74="","",IF('ORDENES'!$AB74="","-",'ORDENES'!$AB74))</f>
        <v/>
      </c>
      <c r="H96" s="3">
        <f>IF('ORDENES'!$A74="","",IF('ORDENES'!$AN74="","-",'ORDENES'!$AN74))</f>
        <v/>
      </c>
      <c r="I96" s="3">
        <f>IF('ORDENES'!$A74="","",IF('ORDENES'!$D74="","-",'ORDENES'!$D74))</f>
        <v/>
      </c>
      <c r="J96" s="3">
        <f>IF('ORDENES'!$A74="","",IF('ORDENES'!$E74="","-",'ORDENES'!$E74))</f>
        <v/>
      </c>
      <c r="K96" s="12">
        <f>IF('ORDENES'!$A74="","",IF('ORDENES'!$M74="",0,'ORDENES'!$M74))</f>
        <v/>
      </c>
      <c r="L96" s="3">
        <f>IF('ORDENES'!$A74="","",IF('ORDENES'!$N74="","-",'ORDENES'!$N74))</f>
        <v/>
      </c>
      <c r="M96" s="3">
        <f>IF('ORDENES'!$A74="","",'ORDENES'!$AA74)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IF('ORDENES'!$A75="","",IF('ORDENES'!$AC75="","-",'ORDENES'!$AC75))</f>
        <v/>
      </c>
      <c r="D97" s="3">
        <f>IF('ORDENES'!$A75="","",IF('ORDENES'!$V75="","-",'ORDENES'!$V75))</f>
        <v/>
      </c>
      <c r="E97" s="3">
        <f>IF('ORDENES'!$A75="","",IF('ORDENES'!$U75="","-",'ORDENES'!$U75))</f>
        <v/>
      </c>
      <c r="F97" s="3">
        <f>IF('ORDENES'!$A75="","",IF('ORDENES'!$W75="","-",'ORDENES'!$W75))</f>
        <v/>
      </c>
      <c r="G97" s="3">
        <f>IF('ORDENES'!$A75="","",IF('ORDENES'!$AB75="","-",'ORDENES'!$AB75))</f>
        <v/>
      </c>
      <c r="H97" s="3">
        <f>IF('ORDENES'!$A75="","",IF('ORDENES'!$AN75="","-",'ORDENES'!$AN75))</f>
        <v/>
      </c>
      <c r="I97" s="3">
        <f>IF('ORDENES'!$A75="","",IF('ORDENES'!$D75="","-",'ORDENES'!$D75))</f>
        <v/>
      </c>
      <c r="J97" s="3">
        <f>IF('ORDENES'!$A75="","",IF('ORDENES'!$E75="","-",'ORDENES'!$E75))</f>
        <v/>
      </c>
      <c r="K97" s="12">
        <f>IF('ORDENES'!$A75="","",IF('ORDENES'!$M75="",0,'ORDENES'!$M75))</f>
        <v/>
      </c>
      <c r="L97" s="3">
        <f>IF('ORDENES'!$A75="","",IF('ORDENES'!$N75="","-",'ORDENES'!$N75))</f>
        <v/>
      </c>
      <c r="M97" s="3">
        <f>IF('ORDENES'!$A75="","",'ORDENES'!$AA75)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IF('ORDENES'!$A76="","",IF('ORDENES'!$AC76="","-",'ORDENES'!$AC76))</f>
        <v/>
      </c>
      <c r="D98" s="3">
        <f>IF('ORDENES'!$A76="","",IF('ORDENES'!$V76="","-",'ORDENES'!$V76))</f>
        <v/>
      </c>
      <c r="E98" s="3">
        <f>IF('ORDENES'!$A76="","",IF('ORDENES'!$U76="","-",'ORDENES'!$U76))</f>
        <v/>
      </c>
      <c r="F98" s="3">
        <f>IF('ORDENES'!$A76="","",IF('ORDENES'!$W76="","-",'ORDENES'!$W76))</f>
        <v/>
      </c>
      <c r="G98" s="3">
        <f>IF('ORDENES'!$A76="","",IF('ORDENES'!$AB76="","-",'ORDENES'!$AB76))</f>
        <v/>
      </c>
      <c r="H98" s="3">
        <f>IF('ORDENES'!$A76="","",IF('ORDENES'!$AN76="","-",'ORDENES'!$AN76))</f>
        <v/>
      </c>
      <c r="I98" s="3">
        <f>IF('ORDENES'!$A76="","",IF('ORDENES'!$D76="","-",'ORDENES'!$D76))</f>
        <v/>
      </c>
      <c r="J98" s="3">
        <f>IF('ORDENES'!$A76="","",IF('ORDENES'!$E76="","-",'ORDENES'!$E76))</f>
        <v/>
      </c>
      <c r="K98" s="12">
        <f>IF('ORDENES'!$A76="","",IF('ORDENES'!$M76="",0,'ORDENES'!$M76))</f>
        <v/>
      </c>
      <c r="L98" s="3">
        <f>IF('ORDENES'!$A76="","",IF('ORDENES'!$N76="","-",'ORDENES'!$N76))</f>
        <v/>
      </c>
      <c r="M98" s="3">
        <f>IF('ORDENES'!$A76="","",'ORDENES'!$AA76)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IF('ORDENES'!$A77="","",IF('ORDENES'!$AC77="","-",'ORDENES'!$AC77))</f>
        <v/>
      </c>
      <c r="D99" s="3">
        <f>IF('ORDENES'!$A77="","",IF('ORDENES'!$V77="","-",'ORDENES'!$V77))</f>
        <v/>
      </c>
      <c r="E99" s="3">
        <f>IF('ORDENES'!$A77="","",IF('ORDENES'!$U77="","-",'ORDENES'!$U77))</f>
        <v/>
      </c>
      <c r="F99" s="3">
        <f>IF('ORDENES'!$A77="","",IF('ORDENES'!$W77="","-",'ORDENES'!$W77))</f>
        <v/>
      </c>
      <c r="G99" s="3">
        <f>IF('ORDENES'!$A77="","",IF('ORDENES'!$AB77="","-",'ORDENES'!$AB77))</f>
        <v/>
      </c>
      <c r="H99" s="3">
        <f>IF('ORDENES'!$A77="","",IF('ORDENES'!$AN77="","-",'ORDENES'!$AN77))</f>
        <v/>
      </c>
      <c r="I99" s="3">
        <f>IF('ORDENES'!$A77="","",IF('ORDENES'!$D77="","-",'ORDENES'!$D77))</f>
        <v/>
      </c>
      <c r="J99" s="3">
        <f>IF('ORDENES'!$A77="","",IF('ORDENES'!$E77="","-",'ORDENES'!$E77))</f>
        <v/>
      </c>
      <c r="K99" s="12">
        <f>IF('ORDENES'!$A77="","",IF('ORDENES'!$M77="",0,'ORDENES'!$M77))</f>
        <v/>
      </c>
      <c r="L99" s="3">
        <f>IF('ORDENES'!$A77="","",IF('ORDENES'!$N77="","-",'ORDENES'!$N77))</f>
        <v/>
      </c>
      <c r="M99" s="3">
        <f>IF('ORDENES'!$A77="","",'ORDENES'!$AA77)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IF('ORDENES'!$A78="","",IF('ORDENES'!$AC78="","-",'ORDENES'!$AC78))</f>
        <v/>
      </c>
      <c r="D100" s="3">
        <f>IF('ORDENES'!$A78="","",IF('ORDENES'!$V78="","-",'ORDENES'!$V78))</f>
        <v/>
      </c>
      <c r="E100" s="3">
        <f>IF('ORDENES'!$A78="","",IF('ORDENES'!$U78="","-",'ORDENES'!$U78))</f>
        <v/>
      </c>
      <c r="F100" s="3">
        <f>IF('ORDENES'!$A78="","",IF('ORDENES'!$W78="","-",'ORDENES'!$W78))</f>
        <v/>
      </c>
      <c r="G100" s="3">
        <f>IF('ORDENES'!$A78="","",IF('ORDENES'!$AB78="","-",'ORDENES'!$AB78))</f>
        <v/>
      </c>
      <c r="H100" s="3">
        <f>IF('ORDENES'!$A78="","",IF('ORDENES'!$AN78="","-",'ORDENES'!$AN78))</f>
        <v/>
      </c>
      <c r="I100" s="3">
        <f>IF('ORDENES'!$A78="","",IF('ORDENES'!$D78="","-",'ORDENES'!$D78))</f>
        <v/>
      </c>
      <c r="J100" s="3">
        <f>IF('ORDENES'!$A78="","",IF('ORDENES'!$E78="","-",'ORDENES'!$E78))</f>
        <v/>
      </c>
      <c r="K100" s="12">
        <f>IF('ORDENES'!$A78="","",IF('ORDENES'!$M78="",0,'ORDENES'!$M78))</f>
        <v/>
      </c>
      <c r="L100" s="3">
        <f>IF('ORDENES'!$A78="","",IF('ORDENES'!$N78="","-",'ORDENES'!$N78))</f>
        <v/>
      </c>
      <c r="M100" s="3">
        <f>IF('ORDENES'!$A78="","",'ORDENES'!$AA78)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IF('ORDENES'!$A79="","",IF('ORDENES'!$AC79="","-",'ORDENES'!$AC79))</f>
        <v/>
      </c>
      <c r="D101" s="3">
        <f>IF('ORDENES'!$A79="","",IF('ORDENES'!$V79="","-",'ORDENES'!$V79))</f>
        <v/>
      </c>
      <c r="E101" s="3">
        <f>IF('ORDENES'!$A79="","",IF('ORDENES'!$U79="","-",'ORDENES'!$U79))</f>
        <v/>
      </c>
      <c r="F101" s="3">
        <f>IF('ORDENES'!$A79="","",IF('ORDENES'!$W79="","-",'ORDENES'!$W79))</f>
        <v/>
      </c>
      <c r="G101" s="3">
        <f>IF('ORDENES'!$A79="","",IF('ORDENES'!$AB79="","-",'ORDENES'!$AB79))</f>
        <v/>
      </c>
      <c r="H101" s="3">
        <f>IF('ORDENES'!$A79="","",IF('ORDENES'!$AN79="","-",'ORDENES'!$AN79))</f>
        <v/>
      </c>
      <c r="I101" s="3">
        <f>IF('ORDENES'!$A79="","",IF('ORDENES'!$D79="","-",'ORDENES'!$D79))</f>
        <v/>
      </c>
      <c r="J101" s="3">
        <f>IF('ORDENES'!$A79="","",IF('ORDENES'!$E79="","-",'ORDENES'!$E79))</f>
        <v/>
      </c>
      <c r="K101" s="12">
        <f>IF('ORDENES'!$A79="","",IF('ORDENES'!$M79="",0,'ORDENES'!$M79))</f>
        <v/>
      </c>
      <c r="L101" s="3">
        <f>IF('ORDENES'!$A79="","",IF('ORDENES'!$N79="","-",'ORDENES'!$N79))</f>
        <v/>
      </c>
      <c r="M101" s="3">
        <f>IF('ORDENES'!$A79="","",'ORDENES'!$AA79)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IF('ORDENES'!$A80="","",IF('ORDENES'!$AC80="","-",'ORDENES'!$AC80))</f>
        <v/>
      </c>
      <c r="D102" s="3">
        <f>IF('ORDENES'!$A80="","",IF('ORDENES'!$V80="","-",'ORDENES'!$V80))</f>
        <v/>
      </c>
      <c r="E102" s="3">
        <f>IF('ORDENES'!$A80="","",IF('ORDENES'!$U80="","-",'ORDENES'!$U80))</f>
        <v/>
      </c>
      <c r="F102" s="3">
        <f>IF('ORDENES'!$A80="","",IF('ORDENES'!$W80="","-",'ORDENES'!$W80))</f>
        <v/>
      </c>
      <c r="G102" s="3">
        <f>IF('ORDENES'!$A80="","",IF('ORDENES'!$AB80="","-",'ORDENES'!$AB80))</f>
        <v/>
      </c>
      <c r="H102" s="3">
        <f>IF('ORDENES'!$A80="","",IF('ORDENES'!$AN80="","-",'ORDENES'!$AN80))</f>
        <v/>
      </c>
      <c r="I102" s="3">
        <f>IF('ORDENES'!$A80="","",IF('ORDENES'!$D80="","-",'ORDENES'!$D80))</f>
        <v/>
      </c>
      <c r="J102" s="3">
        <f>IF('ORDENES'!$A80="","",IF('ORDENES'!$E80="","-",'ORDENES'!$E80))</f>
        <v/>
      </c>
      <c r="K102" s="12">
        <f>IF('ORDENES'!$A80="","",IF('ORDENES'!$M80="",0,'ORDENES'!$M80))</f>
        <v/>
      </c>
      <c r="L102" s="3">
        <f>IF('ORDENES'!$A80="","",IF('ORDENES'!$N80="","-",'ORDENES'!$N80))</f>
        <v/>
      </c>
      <c r="M102" s="3">
        <f>IF('ORDENES'!$A80="","",'ORDENES'!$AA80)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IF('ORDENES'!$A81="","",IF('ORDENES'!$AC81="","-",'ORDENES'!$AC81))</f>
        <v/>
      </c>
      <c r="D103" s="3">
        <f>IF('ORDENES'!$A81="","",IF('ORDENES'!$V81="","-",'ORDENES'!$V81))</f>
        <v/>
      </c>
      <c r="E103" s="3">
        <f>IF('ORDENES'!$A81="","",IF('ORDENES'!$U81="","-",'ORDENES'!$U81))</f>
        <v/>
      </c>
      <c r="F103" s="3">
        <f>IF('ORDENES'!$A81="","",IF('ORDENES'!$W81="","-",'ORDENES'!$W81))</f>
        <v/>
      </c>
      <c r="G103" s="3">
        <f>IF('ORDENES'!$A81="","",IF('ORDENES'!$AB81="","-",'ORDENES'!$AB81))</f>
        <v/>
      </c>
      <c r="H103" s="3">
        <f>IF('ORDENES'!$A81="","",IF('ORDENES'!$AN81="","-",'ORDENES'!$AN81))</f>
        <v/>
      </c>
      <c r="I103" s="3">
        <f>IF('ORDENES'!$A81="","",IF('ORDENES'!$D81="","-",'ORDENES'!$D81))</f>
        <v/>
      </c>
      <c r="J103" s="3">
        <f>IF('ORDENES'!$A81="","",IF('ORDENES'!$E81="","-",'ORDENES'!$E81))</f>
        <v/>
      </c>
      <c r="K103" s="12">
        <f>IF('ORDENES'!$A81="","",IF('ORDENES'!$M81="",0,'ORDENES'!$M81))</f>
        <v/>
      </c>
      <c r="L103" s="3">
        <f>IF('ORDENES'!$A81="","",IF('ORDENES'!$N81="","-",'ORDENES'!$N81))</f>
        <v/>
      </c>
      <c r="M103" s="3">
        <f>IF('ORDENES'!$A81="","",'ORDENES'!$AA81)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IF('ORDENES'!$A82="","",IF('ORDENES'!$AC82="","-",'ORDENES'!$AC82))</f>
        <v/>
      </c>
      <c r="D104" s="3">
        <f>IF('ORDENES'!$A82="","",IF('ORDENES'!$V82="","-",'ORDENES'!$V82))</f>
        <v/>
      </c>
      <c r="E104" s="3">
        <f>IF('ORDENES'!$A82="","",IF('ORDENES'!$U82="","-",'ORDENES'!$U82))</f>
        <v/>
      </c>
      <c r="F104" s="3">
        <f>IF('ORDENES'!$A82="","",IF('ORDENES'!$W82="","-",'ORDENES'!$W82))</f>
        <v/>
      </c>
      <c r="G104" s="3">
        <f>IF('ORDENES'!$A82="","",IF('ORDENES'!$AB82="","-",'ORDENES'!$AB82))</f>
        <v/>
      </c>
      <c r="H104" s="3">
        <f>IF('ORDENES'!$A82="","",IF('ORDENES'!$AN82="","-",'ORDENES'!$AN82))</f>
        <v/>
      </c>
      <c r="I104" s="3">
        <f>IF('ORDENES'!$A82="","",IF('ORDENES'!$D82="","-",'ORDENES'!$D82))</f>
        <v/>
      </c>
      <c r="J104" s="3">
        <f>IF('ORDENES'!$A82="","",IF('ORDENES'!$E82="","-",'ORDENES'!$E82))</f>
        <v/>
      </c>
      <c r="K104" s="12">
        <f>IF('ORDENES'!$A82="","",IF('ORDENES'!$M82="",0,'ORDENES'!$M82))</f>
        <v/>
      </c>
      <c r="L104" s="3">
        <f>IF('ORDENES'!$A82="","",IF('ORDENES'!$N82="","-",'ORDENES'!$N82))</f>
        <v/>
      </c>
      <c r="M104" s="3">
        <f>IF('ORDENES'!$A82="","",'ORDENES'!$AA82)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IF('ORDENES'!$A83="","",IF('ORDENES'!$AC83="","-",'ORDENES'!$AC83))</f>
        <v/>
      </c>
      <c r="D105" s="3">
        <f>IF('ORDENES'!$A83="","",IF('ORDENES'!$V83="","-",'ORDENES'!$V83))</f>
        <v/>
      </c>
      <c r="E105" s="3">
        <f>IF('ORDENES'!$A83="","",IF('ORDENES'!$U83="","-",'ORDENES'!$U83))</f>
        <v/>
      </c>
      <c r="F105" s="3">
        <f>IF('ORDENES'!$A83="","",IF('ORDENES'!$W83="","-",'ORDENES'!$W83))</f>
        <v/>
      </c>
      <c r="G105" s="3">
        <f>IF('ORDENES'!$A83="","",IF('ORDENES'!$AB83="","-",'ORDENES'!$AB83))</f>
        <v/>
      </c>
      <c r="H105" s="3">
        <f>IF('ORDENES'!$A83="","",IF('ORDENES'!$AN83="","-",'ORDENES'!$AN83))</f>
        <v/>
      </c>
      <c r="I105" s="3">
        <f>IF('ORDENES'!$A83="","",IF('ORDENES'!$D83="","-",'ORDENES'!$D83))</f>
        <v/>
      </c>
      <c r="J105" s="3">
        <f>IF('ORDENES'!$A83="","",IF('ORDENES'!$E83="","-",'ORDENES'!$E83))</f>
        <v/>
      </c>
      <c r="K105" s="12">
        <f>IF('ORDENES'!$A83="","",IF('ORDENES'!$M83="",0,'ORDENES'!$M83))</f>
        <v/>
      </c>
      <c r="L105" s="3">
        <f>IF('ORDENES'!$A83="","",IF('ORDENES'!$N83="","-",'ORDENES'!$N83))</f>
        <v/>
      </c>
      <c r="M105" s="3">
        <f>IF('ORDENES'!$A83="","",'ORDENES'!$AA83)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IF('ORDENES'!$A84="","",IF('ORDENES'!$AC84="","-",'ORDENES'!$AC84))</f>
        <v/>
      </c>
      <c r="D106" s="3">
        <f>IF('ORDENES'!$A84="","",IF('ORDENES'!$V84="","-",'ORDENES'!$V84))</f>
        <v/>
      </c>
      <c r="E106" s="3">
        <f>IF('ORDENES'!$A84="","",IF('ORDENES'!$U84="","-",'ORDENES'!$U84))</f>
        <v/>
      </c>
      <c r="F106" s="3">
        <f>IF('ORDENES'!$A84="","",IF('ORDENES'!$W84="","-",'ORDENES'!$W84))</f>
        <v/>
      </c>
      <c r="G106" s="3">
        <f>IF('ORDENES'!$A84="","",IF('ORDENES'!$AB84="","-",'ORDENES'!$AB84))</f>
        <v/>
      </c>
      <c r="H106" s="3">
        <f>IF('ORDENES'!$A84="","",IF('ORDENES'!$AN84="","-",'ORDENES'!$AN84))</f>
        <v/>
      </c>
      <c r="I106" s="3">
        <f>IF('ORDENES'!$A84="","",IF('ORDENES'!$D84="","-",'ORDENES'!$D84))</f>
        <v/>
      </c>
      <c r="J106" s="3">
        <f>IF('ORDENES'!$A84="","",IF('ORDENES'!$E84="","-",'ORDENES'!$E84))</f>
        <v/>
      </c>
      <c r="K106" s="12">
        <f>IF('ORDENES'!$A84="","",IF('ORDENES'!$M84="",0,'ORDENES'!$M84))</f>
        <v/>
      </c>
      <c r="L106" s="3">
        <f>IF('ORDENES'!$A84="","",IF('ORDENES'!$N84="","-",'ORDENES'!$N84))</f>
        <v/>
      </c>
      <c r="M106" s="3">
        <f>IF('ORDENES'!$A84="","",'ORDENES'!$AA84)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IF('ORDENES'!$A85="","",IF('ORDENES'!$AC85="","-",'ORDENES'!$AC85))</f>
        <v/>
      </c>
      <c r="D107" s="3">
        <f>IF('ORDENES'!$A85="","",IF('ORDENES'!$V85="","-",'ORDENES'!$V85))</f>
        <v/>
      </c>
      <c r="E107" s="3">
        <f>IF('ORDENES'!$A85="","",IF('ORDENES'!$U85="","-",'ORDENES'!$U85))</f>
        <v/>
      </c>
      <c r="F107" s="3">
        <f>IF('ORDENES'!$A85="","",IF('ORDENES'!$W85="","-",'ORDENES'!$W85))</f>
        <v/>
      </c>
      <c r="G107" s="3">
        <f>IF('ORDENES'!$A85="","",IF('ORDENES'!$AB85="","-",'ORDENES'!$AB85))</f>
        <v/>
      </c>
      <c r="H107" s="3">
        <f>IF('ORDENES'!$A85="","",IF('ORDENES'!$AN85="","-",'ORDENES'!$AN85))</f>
        <v/>
      </c>
      <c r="I107" s="3">
        <f>IF('ORDENES'!$A85="","",IF('ORDENES'!$D85="","-",'ORDENES'!$D85))</f>
        <v/>
      </c>
      <c r="J107" s="3">
        <f>IF('ORDENES'!$A85="","",IF('ORDENES'!$E85="","-",'ORDENES'!$E85))</f>
        <v/>
      </c>
      <c r="K107" s="12">
        <f>IF('ORDENES'!$A85="","",IF('ORDENES'!$M85="",0,'ORDENES'!$M85))</f>
        <v/>
      </c>
      <c r="L107" s="3">
        <f>IF('ORDENES'!$A85="","",IF('ORDENES'!$N85="","-",'ORDENES'!$N85))</f>
        <v/>
      </c>
      <c r="M107" s="3">
        <f>IF('ORDENES'!$A85="","",'ORDENES'!$AA85)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IF('ORDENES'!$A86="","",IF('ORDENES'!$AC86="","-",'ORDENES'!$AC86))</f>
        <v/>
      </c>
      <c r="D108" s="3">
        <f>IF('ORDENES'!$A86="","",IF('ORDENES'!$V86="","-",'ORDENES'!$V86))</f>
        <v/>
      </c>
      <c r="E108" s="3">
        <f>IF('ORDENES'!$A86="","",IF('ORDENES'!$U86="","-",'ORDENES'!$U86))</f>
        <v/>
      </c>
      <c r="F108" s="3">
        <f>IF('ORDENES'!$A86="","",IF('ORDENES'!$W86="","-",'ORDENES'!$W86))</f>
        <v/>
      </c>
      <c r="G108" s="3">
        <f>IF('ORDENES'!$A86="","",IF('ORDENES'!$AB86="","-",'ORDENES'!$AB86))</f>
        <v/>
      </c>
      <c r="H108" s="3">
        <f>IF('ORDENES'!$A86="","",IF('ORDENES'!$AN86="","-",'ORDENES'!$AN86))</f>
        <v/>
      </c>
      <c r="I108" s="3">
        <f>IF('ORDENES'!$A86="","",IF('ORDENES'!$D86="","-",'ORDENES'!$D86))</f>
        <v/>
      </c>
      <c r="J108" s="3">
        <f>IF('ORDENES'!$A86="","",IF('ORDENES'!$E86="","-",'ORDENES'!$E86))</f>
        <v/>
      </c>
      <c r="K108" s="12">
        <f>IF('ORDENES'!$A86="","",IF('ORDENES'!$M86="",0,'ORDENES'!$M86))</f>
        <v/>
      </c>
      <c r="L108" s="3">
        <f>IF('ORDENES'!$A86="","",IF('ORDENES'!$N86="","-",'ORDENES'!$N86))</f>
        <v/>
      </c>
      <c r="M108" s="3">
        <f>IF('ORDENES'!$A86="","",'ORDENES'!$AA86)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IF('ORDENES'!$A87="","",IF('ORDENES'!$AC87="","-",'ORDENES'!$AC87))</f>
        <v/>
      </c>
      <c r="D109" s="3">
        <f>IF('ORDENES'!$A87="","",IF('ORDENES'!$V87="","-",'ORDENES'!$V87))</f>
        <v/>
      </c>
      <c r="E109" s="3">
        <f>IF('ORDENES'!$A87="","",IF('ORDENES'!$U87="","-",'ORDENES'!$U87))</f>
        <v/>
      </c>
      <c r="F109" s="3">
        <f>IF('ORDENES'!$A87="","",IF('ORDENES'!$W87="","-",'ORDENES'!$W87))</f>
        <v/>
      </c>
      <c r="G109" s="3">
        <f>IF('ORDENES'!$A87="","",IF('ORDENES'!$AB87="","-",'ORDENES'!$AB87))</f>
        <v/>
      </c>
      <c r="H109" s="3">
        <f>IF('ORDENES'!$A87="","",IF('ORDENES'!$AN87="","-",'ORDENES'!$AN87))</f>
        <v/>
      </c>
      <c r="I109" s="3">
        <f>IF('ORDENES'!$A87="","",IF('ORDENES'!$D87="","-",'ORDENES'!$D87))</f>
        <v/>
      </c>
      <c r="J109" s="3">
        <f>IF('ORDENES'!$A87="","",IF('ORDENES'!$E87="","-",'ORDENES'!$E87))</f>
        <v/>
      </c>
      <c r="K109" s="12">
        <f>IF('ORDENES'!$A87="","",IF('ORDENES'!$M87="",0,'ORDENES'!$M87))</f>
        <v/>
      </c>
      <c r="L109" s="3">
        <f>IF('ORDENES'!$A87="","",IF('ORDENES'!$N87="","-",'ORDENES'!$N87))</f>
        <v/>
      </c>
      <c r="M109" s="3">
        <f>IF('ORDENES'!$A87="","",'ORDENES'!$AA87)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IF('ORDENES'!$A88="","",IF('ORDENES'!$AC88="","-",'ORDENES'!$AC88))</f>
        <v/>
      </c>
      <c r="D110" s="3">
        <f>IF('ORDENES'!$A88="","",IF('ORDENES'!$V88="","-",'ORDENES'!$V88))</f>
        <v/>
      </c>
      <c r="E110" s="3">
        <f>IF('ORDENES'!$A88="","",IF('ORDENES'!$U88="","-",'ORDENES'!$U88))</f>
        <v/>
      </c>
      <c r="F110" s="3">
        <f>IF('ORDENES'!$A88="","",IF('ORDENES'!$W88="","-",'ORDENES'!$W88))</f>
        <v/>
      </c>
      <c r="G110" s="3">
        <f>IF('ORDENES'!$A88="","",IF('ORDENES'!$AB88="","-",'ORDENES'!$AB88))</f>
        <v/>
      </c>
      <c r="H110" s="3">
        <f>IF('ORDENES'!$A88="","",IF('ORDENES'!$AN88="","-",'ORDENES'!$AN88))</f>
        <v/>
      </c>
      <c r="I110" s="3">
        <f>IF('ORDENES'!$A88="","",IF('ORDENES'!$D88="","-",'ORDENES'!$D88))</f>
        <v/>
      </c>
      <c r="J110" s="3">
        <f>IF('ORDENES'!$A88="","",IF('ORDENES'!$E88="","-",'ORDENES'!$E88))</f>
        <v/>
      </c>
      <c r="K110" s="12">
        <f>IF('ORDENES'!$A88="","",IF('ORDENES'!$M88="",0,'ORDENES'!$M88))</f>
        <v/>
      </c>
      <c r="L110" s="3">
        <f>IF('ORDENES'!$A88="","",IF('ORDENES'!$N88="","-",'ORDENES'!$N88))</f>
        <v/>
      </c>
      <c r="M110" s="3">
        <f>IF('ORDENES'!$A88="","",'ORDENES'!$AA88)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IF('ORDENES'!$A89="","",IF('ORDENES'!$AC89="","-",'ORDENES'!$AC89))</f>
        <v/>
      </c>
      <c r="D111" s="3">
        <f>IF('ORDENES'!$A89="","",IF('ORDENES'!$V89="","-",'ORDENES'!$V89))</f>
        <v/>
      </c>
      <c r="E111" s="3">
        <f>IF('ORDENES'!$A89="","",IF('ORDENES'!$U89="","-",'ORDENES'!$U89))</f>
        <v/>
      </c>
      <c r="F111" s="3">
        <f>IF('ORDENES'!$A89="","",IF('ORDENES'!$W89="","-",'ORDENES'!$W89))</f>
        <v/>
      </c>
      <c r="G111" s="3">
        <f>IF('ORDENES'!$A89="","",IF('ORDENES'!$AB89="","-",'ORDENES'!$AB89))</f>
        <v/>
      </c>
      <c r="H111" s="3">
        <f>IF('ORDENES'!$A89="","",IF('ORDENES'!$AN89="","-",'ORDENES'!$AN89))</f>
        <v/>
      </c>
      <c r="I111" s="3">
        <f>IF('ORDENES'!$A89="","",IF('ORDENES'!$D89="","-",'ORDENES'!$D89))</f>
        <v/>
      </c>
      <c r="J111" s="3">
        <f>IF('ORDENES'!$A89="","",IF('ORDENES'!$E89="","-",'ORDENES'!$E89))</f>
        <v/>
      </c>
      <c r="K111" s="12">
        <f>IF('ORDENES'!$A89="","",IF('ORDENES'!$M89="",0,'ORDENES'!$M89))</f>
        <v/>
      </c>
      <c r="L111" s="3">
        <f>IF('ORDENES'!$A89="","",IF('ORDENES'!$N89="","-",'ORDENES'!$N89))</f>
        <v/>
      </c>
      <c r="M111" s="3">
        <f>IF('ORDENES'!$A89="","",'ORDENES'!$AA89)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IF('ORDENES'!$A90="","",IF('ORDENES'!$AC90="","-",'ORDENES'!$AC90))</f>
        <v/>
      </c>
      <c r="D112" s="3">
        <f>IF('ORDENES'!$A90="","",IF('ORDENES'!$V90="","-",'ORDENES'!$V90))</f>
        <v/>
      </c>
      <c r="E112" s="3">
        <f>IF('ORDENES'!$A90="","",IF('ORDENES'!$U90="","-",'ORDENES'!$U90))</f>
        <v/>
      </c>
      <c r="F112" s="3">
        <f>IF('ORDENES'!$A90="","",IF('ORDENES'!$W90="","-",'ORDENES'!$W90))</f>
        <v/>
      </c>
      <c r="G112" s="3">
        <f>IF('ORDENES'!$A90="","",IF('ORDENES'!$AB90="","-",'ORDENES'!$AB90))</f>
        <v/>
      </c>
      <c r="H112" s="3">
        <f>IF('ORDENES'!$A90="","",IF('ORDENES'!$AN90="","-",'ORDENES'!$AN90))</f>
        <v/>
      </c>
      <c r="I112" s="3">
        <f>IF('ORDENES'!$A90="","",IF('ORDENES'!$D90="","-",'ORDENES'!$D90))</f>
        <v/>
      </c>
      <c r="J112" s="3">
        <f>IF('ORDENES'!$A90="","",IF('ORDENES'!$E90="","-",'ORDENES'!$E90))</f>
        <v/>
      </c>
      <c r="K112" s="12">
        <f>IF('ORDENES'!$A90="","",IF('ORDENES'!$M90="",0,'ORDENES'!$M90))</f>
        <v/>
      </c>
      <c r="L112" s="3">
        <f>IF('ORDENES'!$A90="","",IF('ORDENES'!$N90="","-",'ORDENES'!$N90))</f>
        <v/>
      </c>
      <c r="M112" s="3">
        <f>IF('ORDENES'!$A90="","",'ORDENES'!$AA90)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IF('ORDENES'!$A91="","",IF('ORDENES'!$AC91="","-",'ORDENES'!$AC91))</f>
        <v/>
      </c>
      <c r="D113" s="3">
        <f>IF('ORDENES'!$A91="","",IF('ORDENES'!$V91="","-",'ORDENES'!$V91))</f>
        <v/>
      </c>
      <c r="E113" s="3">
        <f>IF('ORDENES'!$A91="","",IF('ORDENES'!$U91="","-",'ORDENES'!$U91))</f>
        <v/>
      </c>
      <c r="F113" s="3">
        <f>IF('ORDENES'!$A91="","",IF('ORDENES'!$W91="","-",'ORDENES'!$W91))</f>
        <v/>
      </c>
      <c r="G113" s="3">
        <f>IF('ORDENES'!$A91="","",IF('ORDENES'!$AB91="","-",'ORDENES'!$AB91))</f>
        <v/>
      </c>
      <c r="H113" s="3">
        <f>IF('ORDENES'!$A91="","",IF('ORDENES'!$AN91="","-",'ORDENES'!$AN91))</f>
        <v/>
      </c>
      <c r="I113" s="3">
        <f>IF('ORDENES'!$A91="","",IF('ORDENES'!$D91="","-",'ORDENES'!$D91))</f>
        <v/>
      </c>
      <c r="J113" s="3">
        <f>IF('ORDENES'!$A91="","",IF('ORDENES'!$E91="","-",'ORDENES'!$E91))</f>
        <v/>
      </c>
      <c r="K113" s="12">
        <f>IF('ORDENES'!$A91="","",IF('ORDENES'!$M91="",0,'ORDENES'!$M91))</f>
        <v/>
      </c>
      <c r="L113" s="3">
        <f>IF('ORDENES'!$A91="","",IF('ORDENES'!$N91="","-",'ORDENES'!$N91))</f>
        <v/>
      </c>
      <c r="M113" s="3">
        <f>IF('ORDENES'!$A91="","",'ORDENES'!$AA91)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IF('ORDENES'!$A92="","",IF('ORDENES'!$AC92="","-",'ORDENES'!$AC92))</f>
        <v/>
      </c>
      <c r="D114" s="3">
        <f>IF('ORDENES'!$A92="","",IF('ORDENES'!$V92="","-",'ORDENES'!$V92))</f>
        <v/>
      </c>
      <c r="E114" s="3">
        <f>IF('ORDENES'!$A92="","",IF('ORDENES'!$U92="","-",'ORDENES'!$U92))</f>
        <v/>
      </c>
      <c r="F114" s="3">
        <f>IF('ORDENES'!$A92="","",IF('ORDENES'!$W92="","-",'ORDENES'!$W92))</f>
        <v/>
      </c>
      <c r="G114" s="3">
        <f>IF('ORDENES'!$A92="","",IF('ORDENES'!$AB92="","-",'ORDENES'!$AB92))</f>
        <v/>
      </c>
      <c r="H114" s="3">
        <f>IF('ORDENES'!$A92="","",IF('ORDENES'!$AN92="","-",'ORDENES'!$AN92))</f>
        <v/>
      </c>
      <c r="I114" s="3">
        <f>IF('ORDENES'!$A92="","",IF('ORDENES'!$D92="","-",'ORDENES'!$D92))</f>
        <v/>
      </c>
      <c r="J114" s="3">
        <f>IF('ORDENES'!$A92="","",IF('ORDENES'!$E92="","-",'ORDENES'!$E92))</f>
        <v/>
      </c>
      <c r="K114" s="12">
        <f>IF('ORDENES'!$A92="","",IF('ORDENES'!$M92="",0,'ORDENES'!$M92))</f>
        <v/>
      </c>
      <c r="L114" s="3">
        <f>IF('ORDENES'!$A92="","",IF('ORDENES'!$N92="","-",'ORDENES'!$N92))</f>
        <v/>
      </c>
      <c r="M114" s="3">
        <f>IF('ORDENES'!$A92="","",'ORDENES'!$AA92)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IF('ORDENES'!$A93="","",IF('ORDENES'!$AC93="","-",'ORDENES'!$AC93))</f>
        <v/>
      </c>
      <c r="D115" s="3">
        <f>IF('ORDENES'!$A93="","",IF('ORDENES'!$V93="","-",'ORDENES'!$V93))</f>
        <v/>
      </c>
      <c r="E115" s="3">
        <f>IF('ORDENES'!$A93="","",IF('ORDENES'!$U93="","-",'ORDENES'!$U93))</f>
        <v/>
      </c>
      <c r="F115" s="3">
        <f>IF('ORDENES'!$A93="","",IF('ORDENES'!$W93="","-",'ORDENES'!$W93))</f>
        <v/>
      </c>
      <c r="G115" s="3">
        <f>IF('ORDENES'!$A93="","",IF('ORDENES'!$AB93="","-",'ORDENES'!$AB93))</f>
        <v/>
      </c>
      <c r="H115" s="3">
        <f>IF('ORDENES'!$A93="","",IF('ORDENES'!$AN93="","-",'ORDENES'!$AN93))</f>
        <v/>
      </c>
      <c r="I115" s="3">
        <f>IF('ORDENES'!$A93="","",IF('ORDENES'!$D93="","-",'ORDENES'!$D93))</f>
        <v/>
      </c>
      <c r="J115" s="3">
        <f>IF('ORDENES'!$A93="","",IF('ORDENES'!$E93="","-",'ORDENES'!$E93))</f>
        <v/>
      </c>
      <c r="K115" s="12">
        <f>IF('ORDENES'!$A93="","",IF('ORDENES'!$M93="",0,'ORDENES'!$M93))</f>
        <v/>
      </c>
      <c r="L115" s="3">
        <f>IF('ORDENES'!$A93="","",IF('ORDENES'!$N93="","-",'ORDENES'!$N93))</f>
        <v/>
      </c>
      <c r="M115" s="3">
        <f>IF('ORDENES'!$A93="","",'ORDENES'!$AA93)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IF('ORDENES'!$A94="","",IF('ORDENES'!$AC94="","-",'ORDENES'!$AC94))</f>
        <v/>
      </c>
      <c r="D116" s="3">
        <f>IF('ORDENES'!$A94="","",IF('ORDENES'!$V94="","-",'ORDENES'!$V94))</f>
        <v/>
      </c>
      <c r="E116" s="3">
        <f>IF('ORDENES'!$A94="","",IF('ORDENES'!$U94="","-",'ORDENES'!$U94))</f>
        <v/>
      </c>
      <c r="F116" s="3">
        <f>IF('ORDENES'!$A94="","",IF('ORDENES'!$W94="","-",'ORDENES'!$W94))</f>
        <v/>
      </c>
      <c r="G116" s="3">
        <f>IF('ORDENES'!$A94="","",IF('ORDENES'!$AB94="","-",'ORDENES'!$AB94))</f>
        <v/>
      </c>
      <c r="H116" s="3">
        <f>IF('ORDENES'!$A94="","",IF('ORDENES'!$AN94="","-",'ORDENES'!$AN94))</f>
        <v/>
      </c>
      <c r="I116" s="3">
        <f>IF('ORDENES'!$A94="","",IF('ORDENES'!$D94="","-",'ORDENES'!$D94))</f>
        <v/>
      </c>
      <c r="J116" s="3">
        <f>IF('ORDENES'!$A94="","",IF('ORDENES'!$E94="","-",'ORDENES'!$E94))</f>
        <v/>
      </c>
      <c r="K116" s="12">
        <f>IF('ORDENES'!$A94="","",IF('ORDENES'!$M94="",0,'ORDENES'!$M94))</f>
        <v/>
      </c>
      <c r="L116" s="3">
        <f>IF('ORDENES'!$A94="","",IF('ORDENES'!$N94="","-",'ORDENES'!$N94))</f>
        <v/>
      </c>
      <c r="M116" s="3">
        <f>IF('ORDENES'!$A94="","",'ORDENES'!$AA94)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IF('ORDENES'!$A95="","",IF('ORDENES'!$AC95="","-",'ORDENES'!$AC95))</f>
        <v/>
      </c>
      <c r="D117" s="3">
        <f>IF('ORDENES'!$A95="","",IF('ORDENES'!$V95="","-",'ORDENES'!$V95))</f>
        <v/>
      </c>
      <c r="E117" s="3">
        <f>IF('ORDENES'!$A95="","",IF('ORDENES'!$U95="","-",'ORDENES'!$U95))</f>
        <v/>
      </c>
      <c r="F117" s="3">
        <f>IF('ORDENES'!$A95="","",IF('ORDENES'!$W95="","-",'ORDENES'!$W95))</f>
        <v/>
      </c>
      <c r="G117" s="3">
        <f>IF('ORDENES'!$A95="","",IF('ORDENES'!$AB95="","-",'ORDENES'!$AB95))</f>
        <v/>
      </c>
      <c r="H117" s="3">
        <f>IF('ORDENES'!$A95="","",IF('ORDENES'!$AN95="","-",'ORDENES'!$AN95))</f>
        <v/>
      </c>
      <c r="I117" s="3">
        <f>IF('ORDENES'!$A95="","",IF('ORDENES'!$D95="","-",'ORDENES'!$D95))</f>
        <v/>
      </c>
      <c r="J117" s="3">
        <f>IF('ORDENES'!$A95="","",IF('ORDENES'!$E95="","-",'ORDENES'!$E95))</f>
        <v/>
      </c>
      <c r="K117" s="12">
        <f>IF('ORDENES'!$A95="","",IF('ORDENES'!$M95="",0,'ORDENES'!$M95))</f>
        <v/>
      </c>
      <c r="L117" s="3">
        <f>IF('ORDENES'!$A95="","",IF('ORDENES'!$N95="","-",'ORDENES'!$N95))</f>
        <v/>
      </c>
      <c r="M117" s="3">
        <f>IF('ORDENES'!$A95="","",'ORDENES'!$AA95)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IF('ORDENES'!$A96="","",IF('ORDENES'!$AC96="","-",'ORDENES'!$AC96))</f>
        <v/>
      </c>
      <c r="D118" s="3">
        <f>IF('ORDENES'!$A96="","",IF('ORDENES'!$V96="","-",'ORDENES'!$V96))</f>
        <v/>
      </c>
      <c r="E118" s="3">
        <f>IF('ORDENES'!$A96="","",IF('ORDENES'!$U96="","-",'ORDENES'!$U96))</f>
        <v/>
      </c>
      <c r="F118" s="3">
        <f>IF('ORDENES'!$A96="","",IF('ORDENES'!$W96="","-",'ORDENES'!$W96))</f>
        <v/>
      </c>
      <c r="G118" s="3">
        <f>IF('ORDENES'!$A96="","",IF('ORDENES'!$AB96="","-",'ORDENES'!$AB96))</f>
        <v/>
      </c>
      <c r="H118" s="3">
        <f>IF('ORDENES'!$A96="","",IF('ORDENES'!$AN96="","-",'ORDENES'!$AN96))</f>
        <v/>
      </c>
      <c r="I118" s="3">
        <f>IF('ORDENES'!$A96="","",IF('ORDENES'!$D96="","-",'ORDENES'!$D96))</f>
        <v/>
      </c>
      <c r="J118" s="3">
        <f>IF('ORDENES'!$A96="","",IF('ORDENES'!$E96="","-",'ORDENES'!$E96))</f>
        <v/>
      </c>
      <c r="K118" s="12">
        <f>IF('ORDENES'!$A96="","",IF('ORDENES'!$M96="",0,'ORDENES'!$M96))</f>
        <v/>
      </c>
      <c r="L118" s="3">
        <f>IF('ORDENES'!$A96="","",IF('ORDENES'!$N96="","-",'ORDENES'!$N96))</f>
        <v/>
      </c>
      <c r="M118" s="3">
        <f>IF('ORDENES'!$A96="","",'ORDENES'!$AA96)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IF('ORDENES'!$A97="","",IF('ORDENES'!$AC97="","-",'ORDENES'!$AC97))</f>
        <v/>
      </c>
      <c r="D119" s="3">
        <f>IF('ORDENES'!$A97="","",IF('ORDENES'!$V97="","-",'ORDENES'!$V97))</f>
        <v/>
      </c>
      <c r="E119" s="3">
        <f>IF('ORDENES'!$A97="","",IF('ORDENES'!$U97="","-",'ORDENES'!$U97))</f>
        <v/>
      </c>
      <c r="F119" s="3">
        <f>IF('ORDENES'!$A97="","",IF('ORDENES'!$W97="","-",'ORDENES'!$W97))</f>
        <v/>
      </c>
      <c r="G119" s="3">
        <f>IF('ORDENES'!$A97="","",IF('ORDENES'!$AB97="","-",'ORDENES'!$AB97))</f>
        <v/>
      </c>
      <c r="H119" s="3">
        <f>IF('ORDENES'!$A97="","",IF('ORDENES'!$AN97="","-",'ORDENES'!$AN97))</f>
        <v/>
      </c>
      <c r="I119" s="3">
        <f>IF('ORDENES'!$A97="","",IF('ORDENES'!$D97="","-",'ORDENES'!$D97))</f>
        <v/>
      </c>
      <c r="J119" s="3">
        <f>IF('ORDENES'!$A97="","",IF('ORDENES'!$E97="","-",'ORDENES'!$E97))</f>
        <v/>
      </c>
      <c r="K119" s="12">
        <f>IF('ORDENES'!$A97="","",IF('ORDENES'!$M97="",0,'ORDENES'!$M97))</f>
        <v/>
      </c>
      <c r="L119" s="3">
        <f>IF('ORDENES'!$A97="","",IF('ORDENES'!$N97="","-",'ORDENES'!$N97))</f>
        <v/>
      </c>
      <c r="M119" s="3">
        <f>IF('ORDENES'!$A97="","",'ORDENES'!$AA97)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IF('ORDENES'!$A98="","",IF('ORDENES'!$AC98="","-",'ORDENES'!$AC98))</f>
        <v/>
      </c>
      <c r="D120" s="3">
        <f>IF('ORDENES'!$A98="","",IF('ORDENES'!$V98="","-",'ORDENES'!$V98))</f>
        <v/>
      </c>
      <c r="E120" s="3">
        <f>IF('ORDENES'!$A98="","",IF('ORDENES'!$U98="","-",'ORDENES'!$U98))</f>
        <v/>
      </c>
      <c r="F120" s="3">
        <f>IF('ORDENES'!$A98="","",IF('ORDENES'!$W98="","-",'ORDENES'!$W98))</f>
        <v/>
      </c>
      <c r="G120" s="3">
        <f>IF('ORDENES'!$A98="","",IF('ORDENES'!$AB98="","-",'ORDENES'!$AB98))</f>
        <v/>
      </c>
      <c r="H120" s="3">
        <f>IF('ORDENES'!$A98="","",IF('ORDENES'!$AN98="","-",'ORDENES'!$AN98))</f>
        <v/>
      </c>
      <c r="I120" s="3">
        <f>IF('ORDENES'!$A98="","",IF('ORDENES'!$D98="","-",'ORDENES'!$D98))</f>
        <v/>
      </c>
      <c r="J120" s="3">
        <f>IF('ORDENES'!$A98="","",IF('ORDENES'!$E98="","-",'ORDENES'!$E98))</f>
        <v/>
      </c>
      <c r="K120" s="12">
        <f>IF('ORDENES'!$A98="","",IF('ORDENES'!$M98="",0,'ORDENES'!$M98))</f>
        <v/>
      </c>
      <c r="L120" s="3">
        <f>IF('ORDENES'!$A98="","",IF('ORDENES'!$N98="","-",'ORDENES'!$N98))</f>
        <v/>
      </c>
      <c r="M120" s="3">
        <f>IF('ORDENES'!$A98="","",'ORDENES'!$AA98)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IF('ORDENES'!$A99="","",IF('ORDENES'!$AC99="","-",'ORDENES'!$AC99))</f>
        <v/>
      </c>
      <c r="D121" s="3">
        <f>IF('ORDENES'!$A99="","",IF('ORDENES'!$V99="","-",'ORDENES'!$V99))</f>
        <v/>
      </c>
      <c r="E121" s="3">
        <f>IF('ORDENES'!$A99="","",IF('ORDENES'!$U99="","-",'ORDENES'!$U99))</f>
        <v/>
      </c>
      <c r="F121" s="3">
        <f>IF('ORDENES'!$A99="","",IF('ORDENES'!$W99="","-",'ORDENES'!$W99))</f>
        <v/>
      </c>
      <c r="G121" s="3">
        <f>IF('ORDENES'!$A99="","",IF('ORDENES'!$AB99="","-",'ORDENES'!$AB99))</f>
        <v/>
      </c>
      <c r="H121" s="3">
        <f>IF('ORDENES'!$A99="","",IF('ORDENES'!$AN99="","-",'ORDENES'!$AN99))</f>
        <v/>
      </c>
      <c r="I121" s="3">
        <f>IF('ORDENES'!$A99="","",IF('ORDENES'!$D99="","-",'ORDENES'!$D99))</f>
        <v/>
      </c>
      <c r="J121" s="3">
        <f>IF('ORDENES'!$A99="","",IF('ORDENES'!$E99="","-",'ORDENES'!$E99))</f>
        <v/>
      </c>
      <c r="K121" s="12">
        <f>IF('ORDENES'!$A99="","",IF('ORDENES'!$M99="",0,'ORDENES'!$M99))</f>
        <v/>
      </c>
      <c r="L121" s="3">
        <f>IF('ORDENES'!$A99="","",IF('ORDENES'!$N99="","-",'ORDENES'!$N99))</f>
        <v/>
      </c>
      <c r="M121" s="3">
        <f>IF('ORDENES'!$A99="","",'ORDENES'!$AA99)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IF('ORDENES'!$A100="","",IF('ORDENES'!$AC100="","-",'ORDENES'!$AC100))</f>
        <v/>
      </c>
      <c r="D122" s="3">
        <f>IF('ORDENES'!$A100="","",IF('ORDENES'!$V100="","-",'ORDENES'!$V100))</f>
        <v/>
      </c>
      <c r="E122" s="3">
        <f>IF('ORDENES'!$A100="","",IF('ORDENES'!$U100="","-",'ORDENES'!$U100))</f>
        <v/>
      </c>
      <c r="F122" s="3">
        <f>IF('ORDENES'!$A100="","",IF('ORDENES'!$W100="","-",'ORDENES'!$W100))</f>
        <v/>
      </c>
      <c r="G122" s="3">
        <f>IF('ORDENES'!$A100="","",IF('ORDENES'!$AB100="","-",'ORDENES'!$AB100))</f>
        <v/>
      </c>
      <c r="H122" s="3">
        <f>IF('ORDENES'!$A100="","",IF('ORDENES'!$AN100="","-",'ORDENES'!$AN100))</f>
        <v/>
      </c>
      <c r="I122" s="3">
        <f>IF('ORDENES'!$A100="","",IF('ORDENES'!$D100="","-",'ORDENES'!$D100))</f>
        <v/>
      </c>
      <c r="J122" s="3">
        <f>IF('ORDENES'!$A100="","",IF('ORDENES'!$E100="","-",'ORDENES'!$E100))</f>
        <v/>
      </c>
      <c r="K122" s="12">
        <f>IF('ORDENES'!$A100="","",IF('ORDENES'!$M100="",0,'ORDENES'!$M100))</f>
        <v/>
      </c>
      <c r="L122" s="3">
        <f>IF('ORDENES'!$A100="","",IF('ORDENES'!$N100="","-",'ORDENES'!$N100))</f>
        <v/>
      </c>
      <c r="M122" s="3">
        <f>IF('ORDENES'!$A100="","",'ORDENES'!$AA100)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IF('ORDENES'!$A101="","",IF('ORDENES'!$AC101="","-",'ORDENES'!$AC101))</f>
        <v/>
      </c>
      <c r="D123" s="3">
        <f>IF('ORDENES'!$A101="","",IF('ORDENES'!$V101="","-",'ORDENES'!$V101))</f>
        <v/>
      </c>
      <c r="E123" s="3">
        <f>IF('ORDENES'!$A101="","",IF('ORDENES'!$U101="","-",'ORDENES'!$U101))</f>
        <v/>
      </c>
      <c r="F123" s="3">
        <f>IF('ORDENES'!$A101="","",IF('ORDENES'!$W101="","-",'ORDENES'!$W101))</f>
        <v/>
      </c>
      <c r="G123" s="3">
        <f>IF('ORDENES'!$A101="","",IF('ORDENES'!$AB101="","-",'ORDENES'!$AB101))</f>
        <v/>
      </c>
      <c r="H123" s="3">
        <f>IF('ORDENES'!$A101="","",IF('ORDENES'!$AN101="","-",'ORDENES'!$AN101))</f>
        <v/>
      </c>
      <c r="I123" s="3">
        <f>IF('ORDENES'!$A101="","",IF('ORDENES'!$D101="","-",'ORDENES'!$D101))</f>
        <v/>
      </c>
      <c r="J123" s="3">
        <f>IF('ORDENES'!$A101="","",IF('ORDENES'!$E101="","-",'ORDENES'!$E101))</f>
        <v/>
      </c>
      <c r="K123" s="12">
        <f>IF('ORDENES'!$A101="","",IF('ORDENES'!$M101="",0,'ORDENES'!$M101))</f>
        <v/>
      </c>
      <c r="L123" s="3">
        <f>IF('ORDENES'!$A101="","",IF('ORDENES'!$N101="","-",'ORDENES'!$N101))</f>
        <v/>
      </c>
      <c r="M123" s="3">
        <f>IF('ORDENES'!$A101="","",'ORDENES'!$AA101)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IF('ORDENES'!$A102="","",IF('ORDENES'!$AC102="","-",'ORDENES'!$AC102))</f>
        <v/>
      </c>
      <c r="D124" s="3">
        <f>IF('ORDENES'!$A102="","",IF('ORDENES'!$V102="","-",'ORDENES'!$V102))</f>
        <v/>
      </c>
      <c r="E124" s="3">
        <f>IF('ORDENES'!$A102="","",IF('ORDENES'!$U102="","-",'ORDENES'!$U102))</f>
        <v/>
      </c>
      <c r="F124" s="3">
        <f>IF('ORDENES'!$A102="","",IF('ORDENES'!$W102="","-",'ORDENES'!$W102))</f>
        <v/>
      </c>
      <c r="G124" s="3">
        <f>IF('ORDENES'!$A102="","",IF('ORDENES'!$AB102="","-",'ORDENES'!$AB102))</f>
        <v/>
      </c>
      <c r="H124" s="3">
        <f>IF('ORDENES'!$A102="","",IF('ORDENES'!$AN102="","-",'ORDENES'!$AN102))</f>
        <v/>
      </c>
      <c r="I124" s="3">
        <f>IF('ORDENES'!$A102="","",IF('ORDENES'!$D102="","-",'ORDENES'!$D102))</f>
        <v/>
      </c>
      <c r="J124" s="3">
        <f>IF('ORDENES'!$A102="","",IF('ORDENES'!$E102="","-",'ORDENES'!$E102))</f>
        <v/>
      </c>
      <c r="K124" s="12">
        <f>IF('ORDENES'!$A102="","",IF('ORDENES'!$M102="",0,'ORDENES'!$M102))</f>
        <v/>
      </c>
      <c r="L124" s="3">
        <f>IF('ORDENES'!$A102="","",IF('ORDENES'!$N102="","-",'ORDENES'!$N102))</f>
        <v/>
      </c>
      <c r="M124" s="3">
        <f>IF('ORDENES'!$A102="","",'ORDENES'!$AA102)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IF('ORDENES'!$A103="","",IF('ORDENES'!$AC103="","-",'ORDENES'!$AC103))</f>
        <v/>
      </c>
      <c r="D125" s="3">
        <f>IF('ORDENES'!$A103="","",IF('ORDENES'!$V103="","-",'ORDENES'!$V103))</f>
        <v/>
      </c>
      <c r="E125" s="3">
        <f>IF('ORDENES'!$A103="","",IF('ORDENES'!$U103="","-",'ORDENES'!$U103))</f>
        <v/>
      </c>
      <c r="F125" s="3">
        <f>IF('ORDENES'!$A103="","",IF('ORDENES'!$W103="","-",'ORDENES'!$W103))</f>
        <v/>
      </c>
      <c r="G125" s="3">
        <f>IF('ORDENES'!$A103="","",IF('ORDENES'!$AB103="","-",'ORDENES'!$AB103))</f>
        <v/>
      </c>
      <c r="H125" s="3">
        <f>IF('ORDENES'!$A103="","",IF('ORDENES'!$AN103="","-",'ORDENES'!$AN103))</f>
        <v/>
      </c>
      <c r="I125" s="3">
        <f>IF('ORDENES'!$A103="","",IF('ORDENES'!$D103="","-",'ORDENES'!$D103))</f>
        <v/>
      </c>
      <c r="J125" s="3">
        <f>IF('ORDENES'!$A103="","",IF('ORDENES'!$E103="","-",'ORDENES'!$E103))</f>
        <v/>
      </c>
      <c r="K125" s="12">
        <f>IF('ORDENES'!$A103="","",IF('ORDENES'!$M103="",0,'ORDENES'!$M103))</f>
        <v/>
      </c>
      <c r="L125" s="3">
        <f>IF('ORDENES'!$A103="","",IF('ORDENES'!$N103="","-",'ORDENES'!$N103))</f>
        <v/>
      </c>
      <c r="M125" s="3">
        <f>IF('ORDENES'!$A103="","",'ORDENES'!$AA103)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IF('ORDENES'!$A104="","",IF('ORDENES'!$AC104="","-",'ORDENES'!$AC104))</f>
        <v/>
      </c>
      <c r="D126" s="3">
        <f>IF('ORDENES'!$A104="","",IF('ORDENES'!$V104="","-",'ORDENES'!$V104))</f>
        <v/>
      </c>
      <c r="E126" s="3">
        <f>IF('ORDENES'!$A104="","",IF('ORDENES'!$U104="","-",'ORDENES'!$U104))</f>
        <v/>
      </c>
      <c r="F126" s="3">
        <f>IF('ORDENES'!$A104="","",IF('ORDENES'!$W104="","-",'ORDENES'!$W104))</f>
        <v/>
      </c>
      <c r="G126" s="3">
        <f>IF('ORDENES'!$A104="","",IF('ORDENES'!$AB104="","-",'ORDENES'!$AB104))</f>
        <v/>
      </c>
      <c r="H126" s="3">
        <f>IF('ORDENES'!$A104="","",IF('ORDENES'!$AN104="","-",'ORDENES'!$AN104))</f>
        <v/>
      </c>
      <c r="I126" s="3">
        <f>IF('ORDENES'!$A104="","",IF('ORDENES'!$D104="","-",'ORDENES'!$D104))</f>
        <v/>
      </c>
      <c r="J126" s="3">
        <f>IF('ORDENES'!$A104="","",IF('ORDENES'!$E104="","-",'ORDENES'!$E104))</f>
        <v/>
      </c>
      <c r="K126" s="12">
        <f>IF('ORDENES'!$A104="","",IF('ORDENES'!$M104="",0,'ORDENES'!$M104))</f>
        <v/>
      </c>
      <c r="L126" s="3">
        <f>IF('ORDENES'!$A104="","",IF('ORDENES'!$N104="","-",'ORDENES'!$N104))</f>
        <v/>
      </c>
      <c r="M126" s="3">
        <f>IF('ORDENES'!$A104="","",'ORDENES'!$AA104)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IF('ORDENES'!$A105="","",IF('ORDENES'!$AC105="","-",'ORDENES'!$AC105))</f>
        <v/>
      </c>
      <c r="D127" s="3">
        <f>IF('ORDENES'!$A105="","",IF('ORDENES'!$V105="","-",'ORDENES'!$V105))</f>
        <v/>
      </c>
      <c r="E127" s="3">
        <f>IF('ORDENES'!$A105="","",IF('ORDENES'!$U105="","-",'ORDENES'!$U105))</f>
        <v/>
      </c>
      <c r="F127" s="3">
        <f>IF('ORDENES'!$A105="","",IF('ORDENES'!$W105="","-",'ORDENES'!$W105))</f>
        <v/>
      </c>
      <c r="G127" s="3">
        <f>IF('ORDENES'!$A105="","",IF('ORDENES'!$AB105="","-",'ORDENES'!$AB105))</f>
        <v/>
      </c>
      <c r="H127" s="3">
        <f>IF('ORDENES'!$A105="","",IF('ORDENES'!$AN105="","-",'ORDENES'!$AN105))</f>
        <v/>
      </c>
      <c r="I127" s="3">
        <f>IF('ORDENES'!$A105="","",IF('ORDENES'!$D105="","-",'ORDENES'!$D105))</f>
        <v/>
      </c>
      <c r="J127" s="3">
        <f>IF('ORDENES'!$A105="","",IF('ORDENES'!$E105="","-",'ORDENES'!$E105))</f>
        <v/>
      </c>
      <c r="K127" s="12">
        <f>IF('ORDENES'!$A105="","",IF('ORDENES'!$M105="",0,'ORDENES'!$M105))</f>
        <v/>
      </c>
      <c r="L127" s="3">
        <f>IF('ORDENES'!$A105="","",IF('ORDENES'!$N105="","-",'ORDENES'!$N105))</f>
        <v/>
      </c>
      <c r="M127" s="3">
        <f>IF('ORDENES'!$A105="","",'ORDENES'!$AA105)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IF('ORDENES'!$A106="","",IF('ORDENES'!$AC106="","-",'ORDENES'!$AC106))</f>
        <v/>
      </c>
      <c r="D128" s="3">
        <f>IF('ORDENES'!$A106="","",IF('ORDENES'!$V106="","-",'ORDENES'!$V106))</f>
        <v/>
      </c>
      <c r="E128" s="3">
        <f>IF('ORDENES'!$A106="","",IF('ORDENES'!$U106="","-",'ORDENES'!$U106))</f>
        <v/>
      </c>
      <c r="F128" s="3">
        <f>IF('ORDENES'!$A106="","",IF('ORDENES'!$W106="","-",'ORDENES'!$W106))</f>
        <v/>
      </c>
      <c r="G128" s="3">
        <f>IF('ORDENES'!$A106="","",IF('ORDENES'!$AB106="","-",'ORDENES'!$AB106))</f>
        <v/>
      </c>
      <c r="H128" s="3">
        <f>IF('ORDENES'!$A106="","",IF('ORDENES'!$AN106="","-",'ORDENES'!$AN106))</f>
        <v/>
      </c>
      <c r="I128" s="3">
        <f>IF('ORDENES'!$A106="","",IF('ORDENES'!$D106="","-",'ORDENES'!$D106))</f>
        <v/>
      </c>
      <c r="J128" s="3">
        <f>IF('ORDENES'!$A106="","",IF('ORDENES'!$E106="","-",'ORDENES'!$E106))</f>
        <v/>
      </c>
      <c r="K128" s="12">
        <f>IF('ORDENES'!$A106="","",IF('ORDENES'!$M106="",0,'ORDENES'!$M106))</f>
        <v/>
      </c>
      <c r="L128" s="3">
        <f>IF('ORDENES'!$A106="","",IF('ORDENES'!$N106="","-",'ORDENES'!$N106))</f>
        <v/>
      </c>
      <c r="M128" s="3">
        <f>IF('ORDENES'!$A106="","",'ORDENES'!$AA106)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IF('ORDENES'!$A107="","",IF('ORDENES'!$AC107="","-",'ORDENES'!$AC107))</f>
        <v/>
      </c>
      <c r="D129" s="3">
        <f>IF('ORDENES'!$A107="","",IF('ORDENES'!$V107="","-",'ORDENES'!$V107))</f>
        <v/>
      </c>
      <c r="E129" s="3">
        <f>IF('ORDENES'!$A107="","",IF('ORDENES'!$U107="","-",'ORDENES'!$U107))</f>
        <v/>
      </c>
      <c r="F129" s="3">
        <f>IF('ORDENES'!$A107="","",IF('ORDENES'!$W107="","-",'ORDENES'!$W107))</f>
        <v/>
      </c>
      <c r="G129" s="3">
        <f>IF('ORDENES'!$A107="","",IF('ORDENES'!$AB107="","-",'ORDENES'!$AB107))</f>
        <v/>
      </c>
      <c r="H129" s="3">
        <f>IF('ORDENES'!$A107="","",IF('ORDENES'!$AN107="","-",'ORDENES'!$AN107))</f>
        <v/>
      </c>
      <c r="I129" s="3">
        <f>IF('ORDENES'!$A107="","",IF('ORDENES'!$D107="","-",'ORDENES'!$D107))</f>
        <v/>
      </c>
      <c r="J129" s="3">
        <f>IF('ORDENES'!$A107="","",IF('ORDENES'!$E107="","-",'ORDENES'!$E107))</f>
        <v/>
      </c>
      <c r="K129" s="12">
        <f>IF('ORDENES'!$A107="","",IF('ORDENES'!$M107="",0,'ORDENES'!$M107))</f>
        <v/>
      </c>
      <c r="L129" s="3">
        <f>IF('ORDENES'!$A107="","",IF('ORDENES'!$N107="","-",'ORDENES'!$N107))</f>
        <v/>
      </c>
      <c r="M129" s="3">
        <f>IF('ORDENES'!$A107="","",'ORDENES'!$AA107)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IF('ORDENES'!$A108="","",IF('ORDENES'!$AC108="","-",'ORDENES'!$AC108))</f>
        <v/>
      </c>
      <c r="D130" s="3">
        <f>IF('ORDENES'!$A108="","",IF('ORDENES'!$V108="","-",'ORDENES'!$V108))</f>
        <v/>
      </c>
      <c r="E130" s="3">
        <f>IF('ORDENES'!$A108="","",IF('ORDENES'!$U108="","-",'ORDENES'!$U108))</f>
        <v/>
      </c>
      <c r="F130" s="3">
        <f>IF('ORDENES'!$A108="","",IF('ORDENES'!$W108="","-",'ORDENES'!$W108))</f>
        <v/>
      </c>
      <c r="G130" s="3">
        <f>IF('ORDENES'!$A108="","",IF('ORDENES'!$AB108="","-",'ORDENES'!$AB108))</f>
        <v/>
      </c>
      <c r="H130" s="3">
        <f>IF('ORDENES'!$A108="","",IF('ORDENES'!$AN108="","-",'ORDENES'!$AN108))</f>
        <v/>
      </c>
      <c r="I130" s="3">
        <f>IF('ORDENES'!$A108="","",IF('ORDENES'!$D108="","-",'ORDENES'!$D108))</f>
        <v/>
      </c>
      <c r="J130" s="3">
        <f>IF('ORDENES'!$A108="","",IF('ORDENES'!$E108="","-",'ORDENES'!$E108))</f>
        <v/>
      </c>
      <c r="K130" s="12">
        <f>IF('ORDENES'!$A108="","",IF('ORDENES'!$M108="",0,'ORDENES'!$M108))</f>
        <v/>
      </c>
      <c r="L130" s="3">
        <f>IF('ORDENES'!$A108="","",IF('ORDENES'!$N108="","-",'ORDENES'!$N108))</f>
        <v/>
      </c>
      <c r="M130" s="3">
        <f>IF('ORDENES'!$A108="","",'ORDENES'!$AA108)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IF('ORDENES'!$A109="","",IF('ORDENES'!$AC109="","-",'ORDENES'!$AC109))</f>
        <v/>
      </c>
      <c r="D131" s="3">
        <f>IF('ORDENES'!$A109="","",IF('ORDENES'!$V109="","-",'ORDENES'!$V109))</f>
        <v/>
      </c>
      <c r="E131" s="3">
        <f>IF('ORDENES'!$A109="","",IF('ORDENES'!$U109="","-",'ORDENES'!$U109))</f>
        <v/>
      </c>
      <c r="F131" s="3">
        <f>IF('ORDENES'!$A109="","",IF('ORDENES'!$W109="","-",'ORDENES'!$W109))</f>
        <v/>
      </c>
      <c r="G131" s="3">
        <f>IF('ORDENES'!$A109="","",IF('ORDENES'!$AB109="","-",'ORDENES'!$AB109))</f>
        <v/>
      </c>
      <c r="H131" s="3">
        <f>IF('ORDENES'!$A109="","",IF('ORDENES'!$AN109="","-",'ORDENES'!$AN109))</f>
        <v/>
      </c>
      <c r="I131" s="3">
        <f>IF('ORDENES'!$A109="","",IF('ORDENES'!$D109="","-",'ORDENES'!$D109))</f>
        <v/>
      </c>
      <c r="J131" s="3">
        <f>IF('ORDENES'!$A109="","",IF('ORDENES'!$E109="","-",'ORDENES'!$E109))</f>
        <v/>
      </c>
      <c r="K131" s="12">
        <f>IF('ORDENES'!$A109="","",IF('ORDENES'!$M109="",0,'ORDENES'!$M109))</f>
        <v/>
      </c>
      <c r="L131" s="3">
        <f>IF('ORDENES'!$A109="","",IF('ORDENES'!$N109="","-",'ORDENES'!$N109))</f>
        <v/>
      </c>
      <c r="M131" s="3">
        <f>IF('ORDENES'!$A109="","",'ORDENES'!$AA109)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IF('ORDENES'!$A110="","",IF('ORDENES'!$AC110="","-",'ORDENES'!$AC110))</f>
        <v/>
      </c>
      <c r="D132" s="3">
        <f>IF('ORDENES'!$A110="","",IF('ORDENES'!$V110="","-",'ORDENES'!$V110))</f>
        <v/>
      </c>
      <c r="E132" s="3">
        <f>IF('ORDENES'!$A110="","",IF('ORDENES'!$U110="","-",'ORDENES'!$U110))</f>
        <v/>
      </c>
      <c r="F132" s="3">
        <f>IF('ORDENES'!$A110="","",IF('ORDENES'!$W110="","-",'ORDENES'!$W110))</f>
        <v/>
      </c>
      <c r="G132" s="3">
        <f>IF('ORDENES'!$A110="","",IF('ORDENES'!$AB110="","-",'ORDENES'!$AB110))</f>
        <v/>
      </c>
      <c r="H132" s="3">
        <f>IF('ORDENES'!$A110="","",IF('ORDENES'!$AN110="","-",'ORDENES'!$AN110))</f>
        <v/>
      </c>
      <c r="I132" s="3">
        <f>IF('ORDENES'!$A110="","",IF('ORDENES'!$D110="","-",'ORDENES'!$D110))</f>
        <v/>
      </c>
      <c r="J132" s="3">
        <f>IF('ORDENES'!$A110="","",IF('ORDENES'!$E110="","-",'ORDENES'!$E110))</f>
        <v/>
      </c>
      <c r="K132" s="12">
        <f>IF('ORDENES'!$A110="","",IF('ORDENES'!$M110="",0,'ORDENES'!$M110))</f>
        <v/>
      </c>
      <c r="L132" s="3">
        <f>IF('ORDENES'!$A110="","",IF('ORDENES'!$N110="","-",'ORDENES'!$N110))</f>
        <v/>
      </c>
      <c r="M132" s="3">
        <f>IF('ORDENES'!$A110="","",'ORDENES'!$AA110)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IF('ORDENES'!$A111="","",IF('ORDENES'!$AC111="","-",'ORDENES'!$AC111))</f>
        <v/>
      </c>
      <c r="D133" s="3">
        <f>IF('ORDENES'!$A111="","",IF('ORDENES'!$V111="","-",'ORDENES'!$V111))</f>
        <v/>
      </c>
      <c r="E133" s="3">
        <f>IF('ORDENES'!$A111="","",IF('ORDENES'!$U111="","-",'ORDENES'!$U111))</f>
        <v/>
      </c>
      <c r="F133" s="3">
        <f>IF('ORDENES'!$A111="","",IF('ORDENES'!$W111="","-",'ORDENES'!$W111))</f>
        <v/>
      </c>
      <c r="G133" s="3">
        <f>IF('ORDENES'!$A111="","",IF('ORDENES'!$AB111="","-",'ORDENES'!$AB111))</f>
        <v/>
      </c>
      <c r="H133" s="3">
        <f>IF('ORDENES'!$A111="","",IF('ORDENES'!$AN111="","-",'ORDENES'!$AN111))</f>
        <v/>
      </c>
      <c r="I133" s="3">
        <f>IF('ORDENES'!$A111="","",IF('ORDENES'!$D111="","-",'ORDENES'!$D111))</f>
        <v/>
      </c>
      <c r="J133" s="3">
        <f>IF('ORDENES'!$A111="","",IF('ORDENES'!$E111="","-",'ORDENES'!$E111))</f>
        <v/>
      </c>
      <c r="K133" s="12">
        <f>IF('ORDENES'!$A111="","",IF('ORDENES'!$M111="",0,'ORDENES'!$M111))</f>
        <v/>
      </c>
      <c r="L133" s="3">
        <f>IF('ORDENES'!$A111="","",IF('ORDENES'!$N111="","-",'ORDENES'!$N111))</f>
        <v/>
      </c>
      <c r="M133" s="3">
        <f>IF('ORDENES'!$A111="","",'ORDENES'!$AA111)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IF('ORDENES'!$A112="","",IF('ORDENES'!$AC112="","-",'ORDENES'!$AC112))</f>
        <v/>
      </c>
      <c r="D134" s="3">
        <f>IF('ORDENES'!$A112="","",IF('ORDENES'!$V112="","-",'ORDENES'!$V112))</f>
        <v/>
      </c>
      <c r="E134" s="3">
        <f>IF('ORDENES'!$A112="","",IF('ORDENES'!$U112="","-",'ORDENES'!$U112))</f>
        <v/>
      </c>
      <c r="F134" s="3">
        <f>IF('ORDENES'!$A112="","",IF('ORDENES'!$W112="","-",'ORDENES'!$W112))</f>
        <v/>
      </c>
      <c r="G134" s="3">
        <f>IF('ORDENES'!$A112="","",IF('ORDENES'!$AB112="","-",'ORDENES'!$AB112))</f>
        <v/>
      </c>
      <c r="H134" s="3">
        <f>IF('ORDENES'!$A112="","",IF('ORDENES'!$AN112="","-",'ORDENES'!$AN112))</f>
        <v/>
      </c>
      <c r="I134" s="3">
        <f>IF('ORDENES'!$A112="","",IF('ORDENES'!$D112="","-",'ORDENES'!$D112))</f>
        <v/>
      </c>
      <c r="J134" s="3">
        <f>IF('ORDENES'!$A112="","",IF('ORDENES'!$E112="","-",'ORDENES'!$E112))</f>
        <v/>
      </c>
      <c r="K134" s="12">
        <f>IF('ORDENES'!$A112="","",IF('ORDENES'!$M112="",0,'ORDENES'!$M112))</f>
        <v/>
      </c>
      <c r="L134" s="3">
        <f>IF('ORDENES'!$A112="","",IF('ORDENES'!$N112="","-",'ORDENES'!$N112))</f>
        <v/>
      </c>
      <c r="M134" s="3">
        <f>IF('ORDENES'!$A112="","",'ORDENES'!$AA112)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IF('ORDENES'!$A113="","",IF('ORDENES'!$AC113="","-",'ORDENES'!$AC113))</f>
        <v/>
      </c>
      <c r="D135" s="3">
        <f>IF('ORDENES'!$A113="","",IF('ORDENES'!$V113="","-",'ORDENES'!$V113))</f>
        <v/>
      </c>
      <c r="E135" s="3">
        <f>IF('ORDENES'!$A113="","",IF('ORDENES'!$U113="","-",'ORDENES'!$U113))</f>
        <v/>
      </c>
      <c r="F135" s="3">
        <f>IF('ORDENES'!$A113="","",IF('ORDENES'!$W113="","-",'ORDENES'!$W113))</f>
        <v/>
      </c>
      <c r="G135" s="3">
        <f>IF('ORDENES'!$A113="","",IF('ORDENES'!$AB113="","-",'ORDENES'!$AB113))</f>
        <v/>
      </c>
      <c r="H135" s="3">
        <f>IF('ORDENES'!$A113="","",IF('ORDENES'!$AN113="","-",'ORDENES'!$AN113))</f>
        <v/>
      </c>
      <c r="I135" s="3">
        <f>IF('ORDENES'!$A113="","",IF('ORDENES'!$D113="","-",'ORDENES'!$D113))</f>
        <v/>
      </c>
      <c r="J135" s="3">
        <f>IF('ORDENES'!$A113="","",IF('ORDENES'!$E113="","-",'ORDENES'!$E113))</f>
        <v/>
      </c>
      <c r="K135" s="12">
        <f>IF('ORDENES'!$A113="","",IF('ORDENES'!$M113="",0,'ORDENES'!$M113))</f>
        <v/>
      </c>
      <c r="L135" s="3">
        <f>IF('ORDENES'!$A113="","",IF('ORDENES'!$N113="","-",'ORDENES'!$N113))</f>
        <v/>
      </c>
      <c r="M135" s="3">
        <f>IF('ORDENES'!$A113="","",'ORDENES'!$AA113)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IF('ORDENES'!$A114="","",IF('ORDENES'!$AC114="","-",'ORDENES'!$AC114))</f>
        <v/>
      </c>
      <c r="D136" s="3">
        <f>IF('ORDENES'!$A114="","",IF('ORDENES'!$V114="","-",'ORDENES'!$V114))</f>
        <v/>
      </c>
      <c r="E136" s="3">
        <f>IF('ORDENES'!$A114="","",IF('ORDENES'!$U114="","-",'ORDENES'!$U114))</f>
        <v/>
      </c>
      <c r="F136" s="3">
        <f>IF('ORDENES'!$A114="","",IF('ORDENES'!$W114="","-",'ORDENES'!$W114))</f>
        <v/>
      </c>
      <c r="G136" s="3">
        <f>IF('ORDENES'!$A114="","",IF('ORDENES'!$AB114="","-",'ORDENES'!$AB114))</f>
        <v/>
      </c>
      <c r="H136" s="3">
        <f>IF('ORDENES'!$A114="","",IF('ORDENES'!$AN114="","-",'ORDENES'!$AN114))</f>
        <v/>
      </c>
      <c r="I136" s="3">
        <f>IF('ORDENES'!$A114="","",IF('ORDENES'!$D114="","-",'ORDENES'!$D114))</f>
        <v/>
      </c>
      <c r="J136" s="3">
        <f>IF('ORDENES'!$A114="","",IF('ORDENES'!$E114="","-",'ORDENES'!$E114))</f>
        <v/>
      </c>
      <c r="K136" s="12">
        <f>IF('ORDENES'!$A114="","",IF('ORDENES'!$M114="",0,'ORDENES'!$M114))</f>
        <v/>
      </c>
      <c r="L136" s="3">
        <f>IF('ORDENES'!$A114="","",IF('ORDENES'!$N114="","-",'ORDENES'!$N114))</f>
        <v/>
      </c>
      <c r="M136" s="3">
        <f>IF('ORDENES'!$A114="","",'ORDENES'!$AA114)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IF('ORDENES'!$A115="","",IF('ORDENES'!$AC115="","-",'ORDENES'!$AC115))</f>
        <v/>
      </c>
      <c r="D137" s="3">
        <f>IF('ORDENES'!$A115="","",IF('ORDENES'!$V115="","-",'ORDENES'!$V115))</f>
        <v/>
      </c>
      <c r="E137" s="3">
        <f>IF('ORDENES'!$A115="","",IF('ORDENES'!$U115="","-",'ORDENES'!$U115))</f>
        <v/>
      </c>
      <c r="F137" s="3">
        <f>IF('ORDENES'!$A115="","",IF('ORDENES'!$W115="","-",'ORDENES'!$W115))</f>
        <v/>
      </c>
      <c r="G137" s="3">
        <f>IF('ORDENES'!$A115="","",IF('ORDENES'!$AB115="","-",'ORDENES'!$AB115))</f>
        <v/>
      </c>
      <c r="H137" s="3">
        <f>IF('ORDENES'!$A115="","",IF('ORDENES'!$AN115="","-",'ORDENES'!$AN115))</f>
        <v/>
      </c>
      <c r="I137" s="3">
        <f>IF('ORDENES'!$A115="","",IF('ORDENES'!$D115="","-",'ORDENES'!$D115))</f>
        <v/>
      </c>
      <c r="J137" s="3">
        <f>IF('ORDENES'!$A115="","",IF('ORDENES'!$E115="","-",'ORDENES'!$E115))</f>
        <v/>
      </c>
      <c r="K137" s="12">
        <f>IF('ORDENES'!$A115="","",IF('ORDENES'!$M115="",0,'ORDENES'!$M115))</f>
        <v/>
      </c>
      <c r="L137" s="3">
        <f>IF('ORDENES'!$A115="","",IF('ORDENES'!$N115="","-",'ORDENES'!$N115))</f>
        <v/>
      </c>
      <c r="M137" s="3">
        <f>IF('ORDENES'!$A115="","",'ORDENES'!$AA115)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IF('ORDENES'!$A116="","",IF('ORDENES'!$AC116="","-",'ORDENES'!$AC116))</f>
        <v/>
      </c>
      <c r="D138" s="3">
        <f>IF('ORDENES'!$A116="","",IF('ORDENES'!$V116="","-",'ORDENES'!$V116))</f>
        <v/>
      </c>
      <c r="E138" s="3">
        <f>IF('ORDENES'!$A116="","",IF('ORDENES'!$U116="","-",'ORDENES'!$U116))</f>
        <v/>
      </c>
      <c r="F138" s="3">
        <f>IF('ORDENES'!$A116="","",IF('ORDENES'!$W116="","-",'ORDENES'!$W116))</f>
        <v/>
      </c>
      <c r="G138" s="3">
        <f>IF('ORDENES'!$A116="","",IF('ORDENES'!$AB116="","-",'ORDENES'!$AB116))</f>
        <v/>
      </c>
      <c r="H138" s="3">
        <f>IF('ORDENES'!$A116="","",IF('ORDENES'!$AN116="","-",'ORDENES'!$AN116))</f>
        <v/>
      </c>
      <c r="I138" s="3">
        <f>IF('ORDENES'!$A116="","",IF('ORDENES'!$D116="","-",'ORDENES'!$D116))</f>
        <v/>
      </c>
      <c r="J138" s="3">
        <f>IF('ORDENES'!$A116="","",IF('ORDENES'!$E116="","-",'ORDENES'!$E116))</f>
        <v/>
      </c>
      <c r="K138" s="12">
        <f>IF('ORDENES'!$A116="","",IF('ORDENES'!$M116="",0,'ORDENES'!$M116))</f>
        <v/>
      </c>
      <c r="L138" s="3">
        <f>IF('ORDENES'!$A116="","",IF('ORDENES'!$N116="","-",'ORDENES'!$N116))</f>
        <v/>
      </c>
      <c r="M138" s="3">
        <f>IF('ORDENES'!$A116="","",'ORDENES'!$AA116)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IF('ORDENES'!$A117="","",IF('ORDENES'!$AC117="","-",'ORDENES'!$AC117))</f>
        <v/>
      </c>
      <c r="D139" s="3">
        <f>IF('ORDENES'!$A117="","",IF('ORDENES'!$V117="","-",'ORDENES'!$V117))</f>
        <v/>
      </c>
      <c r="E139" s="3">
        <f>IF('ORDENES'!$A117="","",IF('ORDENES'!$U117="","-",'ORDENES'!$U117))</f>
        <v/>
      </c>
      <c r="F139" s="3">
        <f>IF('ORDENES'!$A117="","",IF('ORDENES'!$W117="","-",'ORDENES'!$W117))</f>
        <v/>
      </c>
      <c r="G139" s="3">
        <f>IF('ORDENES'!$A117="","",IF('ORDENES'!$AB117="","-",'ORDENES'!$AB117))</f>
        <v/>
      </c>
      <c r="H139" s="3">
        <f>IF('ORDENES'!$A117="","",IF('ORDENES'!$AN117="","-",'ORDENES'!$AN117))</f>
        <v/>
      </c>
      <c r="I139" s="3">
        <f>IF('ORDENES'!$A117="","",IF('ORDENES'!$D117="","-",'ORDENES'!$D117))</f>
        <v/>
      </c>
      <c r="J139" s="3">
        <f>IF('ORDENES'!$A117="","",IF('ORDENES'!$E117="","-",'ORDENES'!$E117))</f>
        <v/>
      </c>
      <c r="K139" s="12">
        <f>IF('ORDENES'!$A117="","",IF('ORDENES'!$M117="",0,'ORDENES'!$M117))</f>
        <v/>
      </c>
      <c r="L139" s="3">
        <f>IF('ORDENES'!$A117="","",IF('ORDENES'!$N117="","-",'ORDENES'!$N117))</f>
        <v/>
      </c>
      <c r="M139" s="3">
        <f>IF('ORDENES'!$A117="","",'ORDENES'!$AA117)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IF('ORDENES'!$A118="","",IF('ORDENES'!$AC118="","-",'ORDENES'!$AC118))</f>
        <v/>
      </c>
      <c r="D140" s="3">
        <f>IF('ORDENES'!$A118="","",IF('ORDENES'!$V118="","-",'ORDENES'!$V118))</f>
        <v/>
      </c>
      <c r="E140" s="3">
        <f>IF('ORDENES'!$A118="","",IF('ORDENES'!$U118="","-",'ORDENES'!$U118))</f>
        <v/>
      </c>
      <c r="F140" s="3">
        <f>IF('ORDENES'!$A118="","",IF('ORDENES'!$W118="","-",'ORDENES'!$W118))</f>
        <v/>
      </c>
      <c r="G140" s="3">
        <f>IF('ORDENES'!$A118="","",IF('ORDENES'!$AB118="","-",'ORDENES'!$AB118))</f>
        <v/>
      </c>
      <c r="H140" s="3">
        <f>IF('ORDENES'!$A118="","",IF('ORDENES'!$AN118="","-",'ORDENES'!$AN118))</f>
        <v/>
      </c>
      <c r="I140" s="3">
        <f>IF('ORDENES'!$A118="","",IF('ORDENES'!$D118="","-",'ORDENES'!$D118))</f>
        <v/>
      </c>
      <c r="J140" s="3">
        <f>IF('ORDENES'!$A118="","",IF('ORDENES'!$E118="","-",'ORDENES'!$E118))</f>
        <v/>
      </c>
      <c r="K140" s="12">
        <f>IF('ORDENES'!$A118="","",IF('ORDENES'!$M118="",0,'ORDENES'!$M118))</f>
        <v/>
      </c>
      <c r="L140" s="3">
        <f>IF('ORDENES'!$A118="","",IF('ORDENES'!$N118="","-",'ORDENES'!$N118))</f>
        <v/>
      </c>
      <c r="M140" s="3">
        <f>IF('ORDENES'!$A118="","",'ORDENES'!$AA118)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IF('ORDENES'!$A119="","",IF('ORDENES'!$AC119="","-",'ORDENES'!$AC119))</f>
        <v/>
      </c>
      <c r="D141" s="3">
        <f>IF('ORDENES'!$A119="","",IF('ORDENES'!$V119="","-",'ORDENES'!$V119))</f>
        <v/>
      </c>
      <c r="E141" s="3">
        <f>IF('ORDENES'!$A119="","",IF('ORDENES'!$U119="","-",'ORDENES'!$U119))</f>
        <v/>
      </c>
      <c r="F141" s="3">
        <f>IF('ORDENES'!$A119="","",IF('ORDENES'!$W119="","-",'ORDENES'!$W119))</f>
        <v/>
      </c>
      <c r="G141" s="3">
        <f>IF('ORDENES'!$A119="","",IF('ORDENES'!$AB119="","-",'ORDENES'!$AB119))</f>
        <v/>
      </c>
      <c r="H141" s="3">
        <f>IF('ORDENES'!$A119="","",IF('ORDENES'!$AN119="","-",'ORDENES'!$AN119))</f>
        <v/>
      </c>
      <c r="I141" s="3">
        <f>IF('ORDENES'!$A119="","",IF('ORDENES'!$D119="","-",'ORDENES'!$D119))</f>
        <v/>
      </c>
      <c r="J141" s="3">
        <f>IF('ORDENES'!$A119="","",IF('ORDENES'!$E119="","-",'ORDENES'!$E119))</f>
        <v/>
      </c>
      <c r="K141" s="12">
        <f>IF('ORDENES'!$A119="","",IF('ORDENES'!$M119="",0,'ORDENES'!$M119))</f>
        <v/>
      </c>
      <c r="L141" s="3">
        <f>IF('ORDENES'!$A119="","",IF('ORDENES'!$N119="","-",'ORDENES'!$N119))</f>
        <v/>
      </c>
      <c r="M141" s="3">
        <f>IF('ORDENES'!$A119="","",'ORDENES'!$AA119)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IF('ORDENES'!$A120="","",IF('ORDENES'!$AC120="","-",'ORDENES'!$AC120))</f>
        <v/>
      </c>
      <c r="D142" s="3">
        <f>IF('ORDENES'!$A120="","",IF('ORDENES'!$V120="","-",'ORDENES'!$V120))</f>
        <v/>
      </c>
      <c r="E142" s="3">
        <f>IF('ORDENES'!$A120="","",IF('ORDENES'!$U120="","-",'ORDENES'!$U120))</f>
        <v/>
      </c>
      <c r="F142" s="3">
        <f>IF('ORDENES'!$A120="","",IF('ORDENES'!$W120="","-",'ORDENES'!$W120))</f>
        <v/>
      </c>
      <c r="G142" s="3">
        <f>IF('ORDENES'!$A120="","",IF('ORDENES'!$AB120="","-",'ORDENES'!$AB120))</f>
        <v/>
      </c>
      <c r="H142" s="3">
        <f>IF('ORDENES'!$A120="","",IF('ORDENES'!$AN120="","-",'ORDENES'!$AN120))</f>
        <v/>
      </c>
      <c r="I142" s="3">
        <f>IF('ORDENES'!$A120="","",IF('ORDENES'!$D120="","-",'ORDENES'!$D120))</f>
        <v/>
      </c>
      <c r="J142" s="3">
        <f>IF('ORDENES'!$A120="","",IF('ORDENES'!$E120="","-",'ORDENES'!$E120))</f>
        <v/>
      </c>
      <c r="K142" s="12">
        <f>IF('ORDENES'!$A120="","",IF('ORDENES'!$M120="",0,'ORDENES'!$M120))</f>
        <v/>
      </c>
      <c r="L142" s="3">
        <f>IF('ORDENES'!$A120="","",IF('ORDENES'!$N120="","-",'ORDENES'!$N120))</f>
        <v/>
      </c>
      <c r="M142" s="3">
        <f>IF('ORDENES'!$A120="","",'ORDENES'!$AA120)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IF('ORDENES'!$A121="","",IF('ORDENES'!$AC121="","-",'ORDENES'!$AC121))</f>
        <v/>
      </c>
      <c r="D143" s="3">
        <f>IF('ORDENES'!$A121="","",IF('ORDENES'!$V121="","-",'ORDENES'!$V121))</f>
        <v/>
      </c>
      <c r="E143" s="3">
        <f>IF('ORDENES'!$A121="","",IF('ORDENES'!$U121="","-",'ORDENES'!$U121))</f>
        <v/>
      </c>
      <c r="F143" s="3">
        <f>IF('ORDENES'!$A121="","",IF('ORDENES'!$W121="","-",'ORDENES'!$W121))</f>
        <v/>
      </c>
      <c r="G143" s="3">
        <f>IF('ORDENES'!$A121="","",IF('ORDENES'!$AB121="","-",'ORDENES'!$AB121))</f>
        <v/>
      </c>
      <c r="H143" s="3">
        <f>IF('ORDENES'!$A121="","",IF('ORDENES'!$AN121="","-",'ORDENES'!$AN121))</f>
        <v/>
      </c>
      <c r="I143" s="3">
        <f>IF('ORDENES'!$A121="","",IF('ORDENES'!$D121="","-",'ORDENES'!$D121))</f>
        <v/>
      </c>
      <c r="J143" s="3">
        <f>IF('ORDENES'!$A121="","",IF('ORDENES'!$E121="","-",'ORDENES'!$E121))</f>
        <v/>
      </c>
      <c r="K143" s="12">
        <f>IF('ORDENES'!$A121="","",IF('ORDENES'!$M121="",0,'ORDENES'!$M121))</f>
        <v/>
      </c>
      <c r="L143" s="3">
        <f>IF('ORDENES'!$A121="","",IF('ORDENES'!$N121="","-",'ORDENES'!$N121))</f>
        <v/>
      </c>
      <c r="M143" s="3">
        <f>IF('ORDENES'!$A121="","",'ORDENES'!$AA121)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IF('ORDENES'!$A122="","",IF('ORDENES'!$AC122="","-",'ORDENES'!$AC122))</f>
        <v/>
      </c>
      <c r="D144" s="3">
        <f>IF('ORDENES'!$A122="","",IF('ORDENES'!$V122="","-",'ORDENES'!$V122))</f>
        <v/>
      </c>
      <c r="E144" s="3">
        <f>IF('ORDENES'!$A122="","",IF('ORDENES'!$U122="","-",'ORDENES'!$U122))</f>
        <v/>
      </c>
      <c r="F144" s="3">
        <f>IF('ORDENES'!$A122="","",IF('ORDENES'!$W122="","-",'ORDENES'!$W122))</f>
        <v/>
      </c>
      <c r="G144" s="3">
        <f>IF('ORDENES'!$A122="","",IF('ORDENES'!$AB122="","-",'ORDENES'!$AB122))</f>
        <v/>
      </c>
      <c r="H144" s="3">
        <f>IF('ORDENES'!$A122="","",IF('ORDENES'!$AN122="","-",'ORDENES'!$AN122))</f>
        <v/>
      </c>
      <c r="I144" s="3">
        <f>IF('ORDENES'!$A122="","",IF('ORDENES'!$D122="","-",'ORDENES'!$D122))</f>
        <v/>
      </c>
      <c r="J144" s="3">
        <f>IF('ORDENES'!$A122="","",IF('ORDENES'!$E122="","-",'ORDENES'!$E122))</f>
        <v/>
      </c>
      <c r="K144" s="12">
        <f>IF('ORDENES'!$A122="","",IF('ORDENES'!$M122="",0,'ORDENES'!$M122))</f>
        <v/>
      </c>
      <c r="L144" s="3">
        <f>IF('ORDENES'!$A122="","",IF('ORDENES'!$N122="","-",'ORDENES'!$N122))</f>
        <v/>
      </c>
      <c r="M144" s="3">
        <f>IF('ORDENES'!$A122="","",'ORDENES'!$AA122)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IF('ORDENES'!$A123="","",IF('ORDENES'!$AC123="","-",'ORDENES'!$AC123))</f>
        <v/>
      </c>
      <c r="D145" s="3">
        <f>IF('ORDENES'!$A123="","",IF('ORDENES'!$V123="","-",'ORDENES'!$V123))</f>
        <v/>
      </c>
      <c r="E145" s="3">
        <f>IF('ORDENES'!$A123="","",IF('ORDENES'!$U123="","-",'ORDENES'!$U123))</f>
        <v/>
      </c>
      <c r="F145" s="3">
        <f>IF('ORDENES'!$A123="","",IF('ORDENES'!$W123="","-",'ORDENES'!$W123))</f>
        <v/>
      </c>
      <c r="G145" s="3">
        <f>IF('ORDENES'!$A123="","",IF('ORDENES'!$AB123="","-",'ORDENES'!$AB123))</f>
        <v/>
      </c>
      <c r="H145" s="3">
        <f>IF('ORDENES'!$A123="","",IF('ORDENES'!$AN123="","-",'ORDENES'!$AN123))</f>
        <v/>
      </c>
      <c r="I145" s="3">
        <f>IF('ORDENES'!$A123="","",IF('ORDENES'!$D123="","-",'ORDENES'!$D123))</f>
        <v/>
      </c>
      <c r="J145" s="3">
        <f>IF('ORDENES'!$A123="","",IF('ORDENES'!$E123="","-",'ORDENES'!$E123))</f>
        <v/>
      </c>
      <c r="K145" s="12">
        <f>IF('ORDENES'!$A123="","",IF('ORDENES'!$M123="",0,'ORDENES'!$M123))</f>
        <v/>
      </c>
      <c r="L145" s="3">
        <f>IF('ORDENES'!$A123="","",IF('ORDENES'!$N123="","-",'ORDENES'!$N123))</f>
        <v/>
      </c>
      <c r="M145" s="3">
        <f>IF('ORDENES'!$A123="","",'ORDENES'!$AA123)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IF('ORDENES'!$A124="","",IF('ORDENES'!$AC124="","-",'ORDENES'!$AC124))</f>
        <v/>
      </c>
      <c r="D146" s="3">
        <f>IF('ORDENES'!$A124="","",IF('ORDENES'!$V124="","-",'ORDENES'!$V124))</f>
        <v/>
      </c>
      <c r="E146" s="3">
        <f>IF('ORDENES'!$A124="","",IF('ORDENES'!$U124="","-",'ORDENES'!$U124))</f>
        <v/>
      </c>
      <c r="F146" s="3">
        <f>IF('ORDENES'!$A124="","",IF('ORDENES'!$W124="","-",'ORDENES'!$W124))</f>
        <v/>
      </c>
      <c r="G146" s="3">
        <f>IF('ORDENES'!$A124="","",IF('ORDENES'!$AB124="","-",'ORDENES'!$AB124))</f>
        <v/>
      </c>
      <c r="H146" s="3">
        <f>IF('ORDENES'!$A124="","",IF('ORDENES'!$AN124="","-",'ORDENES'!$AN124))</f>
        <v/>
      </c>
      <c r="I146" s="3">
        <f>IF('ORDENES'!$A124="","",IF('ORDENES'!$D124="","-",'ORDENES'!$D124))</f>
        <v/>
      </c>
      <c r="J146" s="3">
        <f>IF('ORDENES'!$A124="","",IF('ORDENES'!$E124="","-",'ORDENES'!$E124))</f>
        <v/>
      </c>
      <c r="K146" s="12">
        <f>IF('ORDENES'!$A124="","",IF('ORDENES'!$M124="",0,'ORDENES'!$M124))</f>
        <v/>
      </c>
      <c r="L146" s="3">
        <f>IF('ORDENES'!$A124="","",IF('ORDENES'!$N124="","-",'ORDENES'!$N124))</f>
        <v/>
      </c>
      <c r="M146" s="3">
        <f>IF('ORDENES'!$A124="","",'ORDENES'!$AA124)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IF('ORDENES'!$A125="","",IF('ORDENES'!$AC125="","-",'ORDENES'!$AC125))</f>
        <v/>
      </c>
      <c r="D147" s="3">
        <f>IF('ORDENES'!$A125="","",IF('ORDENES'!$V125="","-",'ORDENES'!$V125))</f>
        <v/>
      </c>
      <c r="E147" s="3">
        <f>IF('ORDENES'!$A125="","",IF('ORDENES'!$U125="","-",'ORDENES'!$U125))</f>
        <v/>
      </c>
      <c r="F147" s="3">
        <f>IF('ORDENES'!$A125="","",IF('ORDENES'!$W125="","-",'ORDENES'!$W125))</f>
        <v/>
      </c>
      <c r="G147" s="3">
        <f>IF('ORDENES'!$A125="","",IF('ORDENES'!$AB125="","-",'ORDENES'!$AB125))</f>
        <v/>
      </c>
      <c r="H147" s="3">
        <f>IF('ORDENES'!$A125="","",IF('ORDENES'!$AN125="","-",'ORDENES'!$AN125))</f>
        <v/>
      </c>
      <c r="I147" s="3">
        <f>IF('ORDENES'!$A125="","",IF('ORDENES'!$D125="","-",'ORDENES'!$D125))</f>
        <v/>
      </c>
      <c r="J147" s="3">
        <f>IF('ORDENES'!$A125="","",IF('ORDENES'!$E125="","-",'ORDENES'!$E125))</f>
        <v/>
      </c>
      <c r="K147" s="12">
        <f>IF('ORDENES'!$A125="","",IF('ORDENES'!$M125="",0,'ORDENES'!$M125))</f>
        <v/>
      </c>
      <c r="L147" s="3">
        <f>IF('ORDENES'!$A125="","",IF('ORDENES'!$N125="","-",'ORDENES'!$N125))</f>
        <v/>
      </c>
      <c r="M147" s="3">
        <f>IF('ORDENES'!$A125="","",'ORDENES'!$AA125)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IF('ORDENES'!$A126="","",IF('ORDENES'!$AC126="","-",'ORDENES'!$AC126))</f>
        <v/>
      </c>
      <c r="D148" s="3">
        <f>IF('ORDENES'!$A126="","",IF('ORDENES'!$V126="","-",'ORDENES'!$V126))</f>
        <v/>
      </c>
      <c r="E148" s="3">
        <f>IF('ORDENES'!$A126="","",IF('ORDENES'!$U126="","-",'ORDENES'!$U126))</f>
        <v/>
      </c>
      <c r="F148" s="3">
        <f>IF('ORDENES'!$A126="","",IF('ORDENES'!$W126="","-",'ORDENES'!$W126))</f>
        <v/>
      </c>
      <c r="G148" s="3">
        <f>IF('ORDENES'!$A126="","",IF('ORDENES'!$AB126="","-",'ORDENES'!$AB126))</f>
        <v/>
      </c>
      <c r="H148" s="3">
        <f>IF('ORDENES'!$A126="","",IF('ORDENES'!$AN126="","-",'ORDENES'!$AN126))</f>
        <v/>
      </c>
      <c r="I148" s="3">
        <f>IF('ORDENES'!$A126="","",IF('ORDENES'!$D126="","-",'ORDENES'!$D126))</f>
        <v/>
      </c>
      <c r="J148" s="3">
        <f>IF('ORDENES'!$A126="","",IF('ORDENES'!$E126="","-",'ORDENES'!$E126))</f>
        <v/>
      </c>
      <c r="K148" s="12">
        <f>IF('ORDENES'!$A126="","",IF('ORDENES'!$M126="",0,'ORDENES'!$M126))</f>
        <v/>
      </c>
      <c r="L148" s="3">
        <f>IF('ORDENES'!$A126="","",IF('ORDENES'!$N126="","-",'ORDENES'!$N126))</f>
        <v/>
      </c>
      <c r="M148" s="3">
        <f>IF('ORDENES'!$A126="","",'ORDENES'!$AA126)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IF('ORDENES'!$A127="","",IF('ORDENES'!$AC127="","-",'ORDENES'!$AC127))</f>
        <v/>
      </c>
      <c r="D149" s="3">
        <f>IF('ORDENES'!$A127="","",IF('ORDENES'!$V127="","-",'ORDENES'!$V127))</f>
        <v/>
      </c>
      <c r="E149" s="3">
        <f>IF('ORDENES'!$A127="","",IF('ORDENES'!$U127="","-",'ORDENES'!$U127))</f>
        <v/>
      </c>
      <c r="F149" s="3">
        <f>IF('ORDENES'!$A127="","",IF('ORDENES'!$W127="","-",'ORDENES'!$W127))</f>
        <v/>
      </c>
      <c r="G149" s="3">
        <f>IF('ORDENES'!$A127="","",IF('ORDENES'!$AB127="","-",'ORDENES'!$AB127))</f>
        <v/>
      </c>
      <c r="H149" s="3">
        <f>IF('ORDENES'!$A127="","",IF('ORDENES'!$AN127="","-",'ORDENES'!$AN127))</f>
        <v/>
      </c>
      <c r="I149" s="3">
        <f>IF('ORDENES'!$A127="","",IF('ORDENES'!$D127="","-",'ORDENES'!$D127))</f>
        <v/>
      </c>
      <c r="J149" s="3">
        <f>IF('ORDENES'!$A127="","",IF('ORDENES'!$E127="","-",'ORDENES'!$E127))</f>
        <v/>
      </c>
      <c r="K149" s="12">
        <f>IF('ORDENES'!$A127="","",IF('ORDENES'!$M127="",0,'ORDENES'!$M127))</f>
        <v/>
      </c>
      <c r="L149" s="3">
        <f>IF('ORDENES'!$A127="","",IF('ORDENES'!$N127="","-",'ORDENES'!$N127))</f>
        <v/>
      </c>
      <c r="M149" s="3">
        <f>IF('ORDENES'!$A127="","",'ORDENES'!$AA127)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IF('ORDENES'!$A128="","",IF('ORDENES'!$AC128="","-",'ORDENES'!$AC128))</f>
        <v/>
      </c>
      <c r="D150" s="3">
        <f>IF('ORDENES'!$A128="","",IF('ORDENES'!$V128="","-",'ORDENES'!$V128))</f>
        <v/>
      </c>
      <c r="E150" s="3">
        <f>IF('ORDENES'!$A128="","",IF('ORDENES'!$U128="","-",'ORDENES'!$U128))</f>
        <v/>
      </c>
      <c r="F150" s="3">
        <f>IF('ORDENES'!$A128="","",IF('ORDENES'!$W128="","-",'ORDENES'!$W128))</f>
        <v/>
      </c>
      <c r="G150" s="3">
        <f>IF('ORDENES'!$A128="","",IF('ORDENES'!$AB128="","-",'ORDENES'!$AB128))</f>
        <v/>
      </c>
      <c r="H150" s="3">
        <f>IF('ORDENES'!$A128="","",IF('ORDENES'!$AN128="","-",'ORDENES'!$AN128))</f>
        <v/>
      </c>
      <c r="I150" s="3">
        <f>IF('ORDENES'!$A128="","",IF('ORDENES'!$D128="","-",'ORDENES'!$D128))</f>
        <v/>
      </c>
      <c r="J150" s="3">
        <f>IF('ORDENES'!$A128="","",IF('ORDENES'!$E128="","-",'ORDENES'!$E128))</f>
        <v/>
      </c>
      <c r="K150" s="12">
        <f>IF('ORDENES'!$A128="","",IF('ORDENES'!$M128="",0,'ORDENES'!$M128))</f>
        <v/>
      </c>
      <c r="L150" s="3">
        <f>IF('ORDENES'!$A128="","",IF('ORDENES'!$N128="","-",'ORDENES'!$N128))</f>
        <v/>
      </c>
      <c r="M150" s="3">
        <f>IF('ORDENES'!$A128="","",'ORDENES'!$AA128)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IF('ORDENES'!$A129="","",IF('ORDENES'!$AC129="","-",'ORDENES'!$AC129))</f>
        <v/>
      </c>
      <c r="D151" s="3">
        <f>IF('ORDENES'!$A129="","",IF('ORDENES'!$V129="","-",'ORDENES'!$V129))</f>
        <v/>
      </c>
      <c r="E151" s="3">
        <f>IF('ORDENES'!$A129="","",IF('ORDENES'!$U129="","-",'ORDENES'!$U129))</f>
        <v/>
      </c>
      <c r="F151" s="3">
        <f>IF('ORDENES'!$A129="","",IF('ORDENES'!$W129="","-",'ORDENES'!$W129))</f>
        <v/>
      </c>
      <c r="G151" s="3">
        <f>IF('ORDENES'!$A129="","",IF('ORDENES'!$AB129="","-",'ORDENES'!$AB129))</f>
        <v/>
      </c>
      <c r="H151" s="3">
        <f>IF('ORDENES'!$A129="","",IF('ORDENES'!$AN129="","-",'ORDENES'!$AN129))</f>
        <v/>
      </c>
      <c r="I151" s="3">
        <f>IF('ORDENES'!$A129="","",IF('ORDENES'!$D129="","-",'ORDENES'!$D129))</f>
        <v/>
      </c>
      <c r="J151" s="3">
        <f>IF('ORDENES'!$A129="","",IF('ORDENES'!$E129="","-",'ORDENES'!$E129))</f>
        <v/>
      </c>
      <c r="K151" s="12">
        <f>IF('ORDENES'!$A129="","",IF('ORDENES'!$M129="",0,'ORDENES'!$M129))</f>
        <v/>
      </c>
      <c r="L151" s="3">
        <f>IF('ORDENES'!$A129="","",IF('ORDENES'!$N129="","-",'ORDENES'!$N129))</f>
        <v/>
      </c>
      <c r="M151" s="3">
        <f>IF('ORDENES'!$A129="","",'ORDENES'!$AA129)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IF('ORDENES'!$A130="","",IF('ORDENES'!$AC130="","-",'ORDENES'!$AC130))</f>
        <v/>
      </c>
      <c r="D152" s="3">
        <f>IF('ORDENES'!$A130="","",IF('ORDENES'!$V130="","-",'ORDENES'!$V130))</f>
        <v/>
      </c>
      <c r="E152" s="3">
        <f>IF('ORDENES'!$A130="","",IF('ORDENES'!$U130="","-",'ORDENES'!$U130))</f>
        <v/>
      </c>
      <c r="F152" s="3">
        <f>IF('ORDENES'!$A130="","",IF('ORDENES'!$W130="","-",'ORDENES'!$W130))</f>
        <v/>
      </c>
      <c r="G152" s="3">
        <f>IF('ORDENES'!$A130="","",IF('ORDENES'!$AB130="","-",'ORDENES'!$AB130))</f>
        <v/>
      </c>
      <c r="H152" s="3">
        <f>IF('ORDENES'!$A130="","",IF('ORDENES'!$AN130="","-",'ORDENES'!$AN130))</f>
        <v/>
      </c>
      <c r="I152" s="3">
        <f>IF('ORDENES'!$A130="","",IF('ORDENES'!$D130="","-",'ORDENES'!$D130))</f>
        <v/>
      </c>
      <c r="J152" s="3">
        <f>IF('ORDENES'!$A130="","",IF('ORDENES'!$E130="","-",'ORDENES'!$E130))</f>
        <v/>
      </c>
      <c r="K152" s="12">
        <f>IF('ORDENES'!$A130="","",IF('ORDENES'!$M130="",0,'ORDENES'!$M130))</f>
        <v/>
      </c>
      <c r="L152" s="3">
        <f>IF('ORDENES'!$A130="","",IF('ORDENES'!$N130="","-",'ORDENES'!$N130))</f>
        <v/>
      </c>
      <c r="M152" s="3">
        <f>IF('ORDENES'!$A130="","",'ORDENES'!$AA130)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IF('ORDENES'!$A131="","",IF('ORDENES'!$AC131="","-",'ORDENES'!$AC131))</f>
        <v/>
      </c>
      <c r="D153" s="3">
        <f>IF('ORDENES'!$A131="","",IF('ORDENES'!$V131="","-",'ORDENES'!$V131))</f>
        <v/>
      </c>
      <c r="E153" s="3">
        <f>IF('ORDENES'!$A131="","",IF('ORDENES'!$U131="","-",'ORDENES'!$U131))</f>
        <v/>
      </c>
      <c r="F153" s="3">
        <f>IF('ORDENES'!$A131="","",IF('ORDENES'!$W131="","-",'ORDENES'!$W131))</f>
        <v/>
      </c>
      <c r="G153" s="3">
        <f>IF('ORDENES'!$A131="","",IF('ORDENES'!$AB131="","-",'ORDENES'!$AB131))</f>
        <v/>
      </c>
      <c r="H153" s="3">
        <f>IF('ORDENES'!$A131="","",IF('ORDENES'!$AN131="","-",'ORDENES'!$AN131))</f>
        <v/>
      </c>
      <c r="I153" s="3">
        <f>IF('ORDENES'!$A131="","",IF('ORDENES'!$D131="","-",'ORDENES'!$D131))</f>
        <v/>
      </c>
      <c r="J153" s="3">
        <f>IF('ORDENES'!$A131="","",IF('ORDENES'!$E131="","-",'ORDENES'!$E131))</f>
        <v/>
      </c>
      <c r="K153" s="12">
        <f>IF('ORDENES'!$A131="","",IF('ORDENES'!$M131="",0,'ORDENES'!$M131))</f>
        <v/>
      </c>
      <c r="L153" s="3">
        <f>IF('ORDENES'!$A131="","",IF('ORDENES'!$N131="","-",'ORDENES'!$N131))</f>
        <v/>
      </c>
      <c r="M153" s="3">
        <f>IF('ORDENES'!$A131="","",'ORDENES'!$AA131)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IF('ORDENES'!$A132="","",IF('ORDENES'!$AC132="","-",'ORDENES'!$AC132))</f>
        <v/>
      </c>
      <c r="D154" s="3">
        <f>IF('ORDENES'!$A132="","",IF('ORDENES'!$V132="","-",'ORDENES'!$V132))</f>
        <v/>
      </c>
      <c r="E154" s="3">
        <f>IF('ORDENES'!$A132="","",IF('ORDENES'!$U132="","-",'ORDENES'!$U132))</f>
        <v/>
      </c>
      <c r="F154" s="3">
        <f>IF('ORDENES'!$A132="","",IF('ORDENES'!$W132="","-",'ORDENES'!$W132))</f>
        <v/>
      </c>
      <c r="G154" s="3">
        <f>IF('ORDENES'!$A132="","",IF('ORDENES'!$AB132="","-",'ORDENES'!$AB132))</f>
        <v/>
      </c>
      <c r="H154" s="3">
        <f>IF('ORDENES'!$A132="","",IF('ORDENES'!$AN132="","-",'ORDENES'!$AN132))</f>
        <v/>
      </c>
      <c r="I154" s="3">
        <f>IF('ORDENES'!$A132="","",IF('ORDENES'!$D132="","-",'ORDENES'!$D132))</f>
        <v/>
      </c>
      <c r="J154" s="3">
        <f>IF('ORDENES'!$A132="","",IF('ORDENES'!$E132="","-",'ORDENES'!$E132))</f>
        <v/>
      </c>
      <c r="K154" s="12">
        <f>IF('ORDENES'!$A132="","",IF('ORDENES'!$M132="",0,'ORDENES'!$M132))</f>
        <v/>
      </c>
      <c r="L154" s="3">
        <f>IF('ORDENES'!$A132="","",IF('ORDENES'!$N132="","-",'ORDENES'!$N132))</f>
        <v/>
      </c>
      <c r="M154" s="3">
        <f>IF('ORDENES'!$A132="","",'ORDENES'!$AA132)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IF('ORDENES'!$A133="","",IF('ORDENES'!$AC133="","-",'ORDENES'!$AC133))</f>
        <v/>
      </c>
      <c r="D155" s="3">
        <f>IF('ORDENES'!$A133="","",IF('ORDENES'!$V133="","-",'ORDENES'!$V133))</f>
        <v/>
      </c>
      <c r="E155" s="3">
        <f>IF('ORDENES'!$A133="","",IF('ORDENES'!$U133="","-",'ORDENES'!$U133))</f>
        <v/>
      </c>
      <c r="F155" s="3">
        <f>IF('ORDENES'!$A133="","",IF('ORDENES'!$W133="","-",'ORDENES'!$W133))</f>
        <v/>
      </c>
      <c r="G155" s="3">
        <f>IF('ORDENES'!$A133="","",IF('ORDENES'!$AB133="","-",'ORDENES'!$AB133))</f>
        <v/>
      </c>
      <c r="H155" s="3">
        <f>IF('ORDENES'!$A133="","",IF('ORDENES'!$AN133="","-",'ORDENES'!$AN133))</f>
        <v/>
      </c>
      <c r="I155" s="3">
        <f>IF('ORDENES'!$A133="","",IF('ORDENES'!$D133="","-",'ORDENES'!$D133))</f>
        <v/>
      </c>
      <c r="J155" s="3">
        <f>IF('ORDENES'!$A133="","",IF('ORDENES'!$E133="","-",'ORDENES'!$E133))</f>
        <v/>
      </c>
      <c r="K155" s="12">
        <f>IF('ORDENES'!$A133="","",IF('ORDENES'!$M133="",0,'ORDENES'!$M133))</f>
        <v/>
      </c>
      <c r="L155" s="3">
        <f>IF('ORDENES'!$A133="","",IF('ORDENES'!$N133="","-",'ORDENES'!$N133))</f>
        <v/>
      </c>
      <c r="M155" s="3">
        <f>IF('ORDENES'!$A133="","",'ORDENES'!$AA133)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IF('ORDENES'!$A134="","",IF('ORDENES'!$AC134="","-",'ORDENES'!$AC134))</f>
        <v/>
      </c>
      <c r="D156" s="3">
        <f>IF('ORDENES'!$A134="","",IF('ORDENES'!$V134="","-",'ORDENES'!$V134))</f>
        <v/>
      </c>
      <c r="E156" s="3">
        <f>IF('ORDENES'!$A134="","",IF('ORDENES'!$U134="","-",'ORDENES'!$U134))</f>
        <v/>
      </c>
      <c r="F156" s="3">
        <f>IF('ORDENES'!$A134="","",IF('ORDENES'!$W134="","-",'ORDENES'!$W134))</f>
        <v/>
      </c>
      <c r="G156" s="3">
        <f>IF('ORDENES'!$A134="","",IF('ORDENES'!$AB134="","-",'ORDENES'!$AB134))</f>
        <v/>
      </c>
      <c r="H156" s="3">
        <f>IF('ORDENES'!$A134="","",IF('ORDENES'!$AN134="","-",'ORDENES'!$AN134))</f>
        <v/>
      </c>
      <c r="I156" s="3">
        <f>IF('ORDENES'!$A134="","",IF('ORDENES'!$D134="","-",'ORDENES'!$D134))</f>
        <v/>
      </c>
      <c r="J156" s="3">
        <f>IF('ORDENES'!$A134="","",IF('ORDENES'!$E134="","-",'ORDENES'!$E134))</f>
        <v/>
      </c>
      <c r="K156" s="12">
        <f>IF('ORDENES'!$A134="","",IF('ORDENES'!$M134="",0,'ORDENES'!$M134))</f>
        <v/>
      </c>
      <c r="L156" s="3">
        <f>IF('ORDENES'!$A134="","",IF('ORDENES'!$N134="","-",'ORDENES'!$N134))</f>
        <v/>
      </c>
      <c r="M156" s="3">
        <f>IF('ORDENES'!$A134="","",'ORDENES'!$AA134)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IF('ORDENES'!$A135="","",IF('ORDENES'!$AC135="","-",'ORDENES'!$AC135))</f>
        <v/>
      </c>
      <c r="D157" s="3">
        <f>IF('ORDENES'!$A135="","",IF('ORDENES'!$V135="","-",'ORDENES'!$V135))</f>
        <v/>
      </c>
      <c r="E157" s="3">
        <f>IF('ORDENES'!$A135="","",IF('ORDENES'!$U135="","-",'ORDENES'!$U135))</f>
        <v/>
      </c>
      <c r="F157" s="3">
        <f>IF('ORDENES'!$A135="","",IF('ORDENES'!$W135="","-",'ORDENES'!$W135))</f>
        <v/>
      </c>
      <c r="G157" s="3">
        <f>IF('ORDENES'!$A135="","",IF('ORDENES'!$AB135="","-",'ORDENES'!$AB135))</f>
        <v/>
      </c>
      <c r="H157" s="3">
        <f>IF('ORDENES'!$A135="","",IF('ORDENES'!$AN135="","-",'ORDENES'!$AN135))</f>
        <v/>
      </c>
      <c r="I157" s="3">
        <f>IF('ORDENES'!$A135="","",IF('ORDENES'!$D135="","-",'ORDENES'!$D135))</f>
        <v/>
      </c>
      <c r="J157" s="3">
        <f>IF('ORDENES'!$A135="","",IF('ORDENES'!$E135="","-",'ORDENES'!$E135))</f>
        <v/>
      </c>
      <c r="K157" s="12">
        <f>IF('ORDENES'!$A135="","",IF('ORDENES'!$M135="",0,'ORDENES'!$M135))</f>
        <v/>
      </c>
      <c r="L157" s="3">
        <f>IF('ORDENES'!$A135="","",IF('ORDENES'!$N135="","-",'ORDENES'!$N135))</f>
        <v/>
      </c>
      <c r="M157" s="3">
        <f>IF('ORDENES'!$A135="","",'ORDENES'!$AA135)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IF('ORDENES'!$A136="","",IF('ORDENES'!$AC136="","-",'ORDENES'!$AC136))</f>
        <v/>
      </c>
      <c r="D158" s="3">
        <f>IF('ORDENES'!$A136="","",IF('ORDENES'!$V136="","-",'ORDENES'!$V136))</f>
        <v/>
      </c>
      <c r="E158" s="3">
        <f>IF('ORDENES'!$A136="","",IF('ORDENES'!$U136="","-",'ORDENES'!$U136))</f>
        <v/>
      </c>
      <c r="F158" s="3">
        <f>IF('ORDENES'!$A136="","",IF('ORDENES'!$W136="","-",'ORDENES'!$W136))</f>
        <v/>
      </c>
      <c r="G158" s="3">
        <f>IF('ORDENES'!$A136="","",IF('ORDENES'!$AB136="","-",'ORDENES'!$AB136))</f>
        <v/>
      </c>
      <c r="H158" s="3">
        <f>IF('ORDENES'!$A136="","",IF('ORDENES'!$AN136="","-",'ORDENES'!$AN136))</f>
        <v/>
      </c>
      <c r="I158" s="3">
        <f>IF('ORDENES'!$A136="","",IF('ORDENES'!$D136="","-",'ORDENES'!$D136))</f>
        <v/>
      </c>
      <c r="J158" s="3">
        <f>IF('ORDENES'!$A136="","",IF('ORDENES'!$E136="","-",'ORDENES'!$E136))</f>
        <v/>
      </c>
      <c r="K158" s="12">
        <f>IF('ORDENES'!$A136="","",IF('ORDENES'!$M136="",0,'ORDENES'!$M136))</f>
        <v/>
      </c>
      <c r="L158" s="3">
        <f>IF('ORDENES'!$A136="","",IF('ORDENES'!$N136="","-",'ORDENES'!$N136))</f>
        <v/>
      </c>
      <c r="M158" s="3">
        <f>IF('ORDENES'!$A136="","",'ORDENES'!$AA136)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IF('ORDENES'!$A137="","",IF('ORDENES'!$AC137="","-",'ORDENES'!$AC137))</f>
        <v/>
      </c>
      <c r="D159" s="3">
        <f>IF('ORDENES'!$A137="","",IF('ORDENES'!$V137="","-",'ORDENES'!$V137))</f>
        <v/>
      </c>
      <c r="E159" s="3">
        <f>IF('ORDENES'!$A137="","",IF('ORDENES'!$U137="","-",'ORDENES'!$U137))</f>
        <v/>
      </c>
      <c r="F159" s="3">
        <f>IF('ORDENES'!$A137="","",IF('ORDENES'!$W137="","-",'ORDENES'!$W137))</f>
        <v/>
      </c>
      <c r="G159" s="3">
        <f>IF('ORDENES'!$A137="","",IF('ORDENES'!$AB137="","-",'ORDENES'!$AB137))</f>
        <v/>
      </c>
      <c r="H159" s="3">
        <f>IF('ORDENES'!$A137="","",IF('ORDENES'!$AN137="","-",'ORDENES'!$AN137))</f>
        <v/>
      </c>
      <c r="I159" s="3">
        <f>IF('ORDENES'!$A137="","",IF('ORDENES'!$D137="","-",'ORDENES'!$D137))</f>
        <v/>
      </c>
      <c r="J159" s="3">
        <f>IF('ORDENES'!$A137="","",IF('ORDENES'!$E137="","-",'ORDENES'!$E137))</f>
        <v/>
      </c>
      <c r="K159" s="12">
        <f>IF('ORDENES'!$A137="","",IF('ORDENES'!$M137="",0,'ORDENES'!$M137))</f>
        <v/>
      </c>
      <c r="L159" s="3">
        <f>IF('ORDENES'!$A137="","",IF('ORDENES'!$N137="","-",'ORDENES'!$N137))</f>
        <v/>
      </c>
      <c r="M159" s="3">
        <f>IF('ORDENES'!$A137="","",'ORDENES'!$AA137)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IF('ORDENES'!$A138="","",IF('ORDENES'!$AC138="","-",'ORDENES'!$AC138))</f>
        <v/>
      </c>
      <c r="D160" s="3">
        <f>IF('ORDENES'!$A138="","",IF('ORDENES'!$V138="","-",'ORDENES'!$V138))</f>
        <v/>
      </c>
      <c r="E160" s="3">
        <f>IF('ORDENES'!$A138="","",IF('ORDENES'!$U138="","-",'ORDENES'!$U138))</f>
        <v/>
      </c>
      <c r="F160" s="3">
        <f>IF('ORDENES'!$A138="","",IF('ORDENES'!$W138="","-",'ORDENES'!$W138))</f>
        <v/>
      </c>
      <c r="G160" s="3">
        <f>IF('ORDENES'!$A138="","",IF('ORDENES'!$AB138="","-",'ORDENES'!$AB138))</f>
        <v/>
      </c>
      <c r="H160" s="3">
        <f>IF('ORDENES'!$A138="","",IF('ORDENES'!$AN138="","-",'ORDENES'!$AN138))</f>
        <v/>
      </c>
      <c r="I160" s="3">
        <f>IF('ORDENES'!$A138="","",IF('ORDENES'!$D138="","-",'ORDENES'!$D138))</f>
        <v/>
      </c>
      <c r="J160" s="3">
        <f>IF('ORDENES'!$A138="","",IF('ORDENES'!$E138="","-",'ORDENES'!$E138))</f>
        <v/>
      </c>
      <c r="K160" s="12">
        <f>IF('ORDENES'!$A138="","",IF('ORDENES'!$M138="",0,'ORDENES'!$M138))</f>
        <v/>
      </c>
      <c r="L160" s="3">
        <f>IF('ORDENES'!$A138="","",IF('ORDENES'!$N138="","-",'ORDENES'!$N138))</f>
        <v/>
      </c>
      <c r="M160" s="3">
        <f>IF('ORDENES'!$A138="","",'ORDENES'!$AA138)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IF('ORDENES'!$A139="","",IF('ORDENES'!$AC139="","-",'ORDENES'!$AC139))</f>
        <v/>
      </c>
      <c r="D161" s="3">
        <f>IF('ORDENES'!$A139="","",IF('ORDENES'!$V139="","-",'ORDENES'!$V139))</f>
        <v/>
      </c>
      <c r="E161" s="3">
        <f>IF('ORDENES'!$A139="","",IF('ORDENES'!$U139="","-",'ORDENES'!$U139))</f>
        <v/>
      </c>
      <c r="F161" s="3">
        <f>IF('ORDENES'!$A139="","",IF('ORDENES'!$W139="","-",'ORDENES'!$W139))</f>
        <v/>
      </c>
      <c r="G161" s="3">
        <f>IF('ORDENES'!$A139="","",IF('ORDENES'!$AB139="","-",'ORDENES'!$AB139))</f>
        <v/>
      </c>
      <c r="H161" s="3">
        <f>IF('ORDENES'!$A139="","",IF('ORDENES'!$AN139="","-",'ORDENES'!$AN139))</f>
        <v/>
      </c>
      <c r="I161" s="3">
        <f>IF('ORDENES'!$A139="","",IF('ORDENES'!$D139="","-",'ORDENES'!$D139))</f>
        <v/>
      </c>
      <c r="J161" s="3">
        <f>IF('ORDENES'!$A139="","",IF('ORDENES'!$E139="","-",'ORDENES'!$E139))</f>
        <v/>
      </c>
      <c r="K161" s="12">
        <f>IF('ORDENES'!$A139="","",IF('ORDENES'!$M139="",0,'ORDENES'!$M139))</f>
        <v/>
      </c>
      <c r="L161" s="3">
        <f>IF('ORDENES'!$A139="","",IF('ORDENES'!$N139="","-",'ORDENES'!$N139))</f>
        <v/>
      </c>
      <c r="M161" s="3">
        <f>IF('ORDENES'!$A139="","",'ORDENES'!$AA139)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IF('ORDENES'!$A140="","",IF('ORDENES'!$AC140="","-",'ORDENES'!$AC140))</f>
        <v/>
      </c>
      <c r="D162" s="3">
        <f>IF('ORDENES'!$A140="","",IF('ORDENES'!$V140="","-",'ORDENES'!$V140))</f>
        <v/>
      </c>
      <c r="E162" s="3">
        <f>IF('ORDENES'!$A140="","",IF('ORDENES'!$U140="","-",'ORDENES'!$U140))</f>
        <v/>
      </c>
      <c r="F162" s="3">
        <f>IF('ORDENES'!$A140="","",IF('ORDENES'!$W140="","-",'ORDENES'!$W140))</f>
        <v/>
      </c>
      <c r="G162" s="3">
        <f>IF('ORDENES'!$A140="","",IF('ORDENES'!$AB140="","-",'ORDENES'!$AB140))</f>
        <v/>
      </c>
      <c r="H162" s="3">
        <f>IF('ORDENES'!$A140="","",IF('ORDENES'!$AN140="","-",'ORDENES'!$AN140))</f>
        <v/>
      </c>
      <c r="I162" s="3">
        <f>IF('ORDENES'!$A140="","",IF('ORDENES'!$D140="","-",'ORDENES'!$D140))</f>
        <v/>
      </c>
      <c r="J162" s="3">
        <f>IF('ORDENES'!$A140="","",IF('ORDENES'!$E140="","-",'ORDENES'!$E140))</f>
        <v/>
      </c>
      <c r="K162" s="12">
        <f>IF('ORDENES'!$A140="","",IF('ORDENES'!$M140="",0,'ORDENES'!$M140))</f>
        <v/>
      </c>
      <c r="L162" s="3">
        <f>IF('ORDENES'!$A140="","",IF('ORDENES'!$N140="","-",'ORDENES'!$N140))</f>
        <v/>
      </c>
      <c r="M162" s="3">
        <f>IF('ORDENES'!$A140="","",'ORDENES'!$AA140)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IF('ORDENES'!$A141="","",IF('ORDENES'!$AC141="","-",'ORDENES'!$AC141))</f>
        <v/>
      </c>
      <c r="D163" s="3">
        <f>IF('ORDENES'!$A141="","",IF('ORDENES'!$V141="","-",'ORDENES'!$V141))</f>
        <v/>
      </c>
      <c r="E163" s="3">
        <f>IF('ORDENES'!$A141="","",IF('ORDENES'!$U141="","-",'ORDENES'!$U141))</f>
        <v/>
      </c>
      <c r="F163" s="3">
        <f>IF('ORDENES'!$A141="","",IF('ORDENES'!$W141="","-",'ORDENES'!$W141))</f>
        <v/>
      </c>
      <c r="G163" s="3">
        <f>IF('ORDENES'!$A141="","",IF('ORDENES'!$AB141="","-",'ORDENES'!$AB141))</f>
        <v/>
      </c>
      <c r="H163" s="3">
        <f>IF('ORDENES'!$A141="","",IF('ORDENES'!$AN141="","-",'ORDENES'!$AN141))</f>
        <v/>
      </c>
      <c r="I163" s="3">
        <f>IF('ORDENES'!$A141="","",IF('ORDENES'!$D141="","-",'ORDENES'!$D141))</f>
        <v/>
      </c>
      <c r="J163" s="3">
        <f>IF('ORDENES'!$A141="","",IF('ORDENES'!$E141="","-",'ORDENES'!$E141))</f>
        <v/>
      </c>
      <c r="K163" s="12">
        <f>IF('ORDENES'!$A141="","",IF('ORDENES'!$M141="",0,'ORDENES'!$M141))</f>
        <v/>
      </c>
      <c r="L163" s="3">
        <f>IF('ORDENES'!$A141="","",IF('ORDENES'!$N141="","-",'ORDENES'!$N141))</f>
        <v/>
      </c>
      <c r="M163" s="3">
        <f>IF('ORDENES'!$A141="","",'ORDENES'!$AA141)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IF('ORDENES'!$A142="","",IF('ORDENES'!$AC142="","-",'ORDENES'!$AC142))</f>
        <v/>
      </c>
      <c r="D164" s="3">
        <f>IF('ORDENES'!$A142="","",IF('ORDENES'!$V142="","-",'ORDENES'!$V142))</f>
        <v/>
      </c>
      <c r="E164" s="3">
        <f>IF('ORDENES'!$A142="","",IF('ORDENES'!$U142="","-",'ORDENES'!$U142))</f>
        <v/>
      </c>
      <c r="F164" s="3">
        <f>IF('ORDENES'!$A142="","",IF('ORDENES'!$W142="","-",'ORDENES'!$W142))</f>
        <v/>
      </c>
      <c r="G164" s="3">
        <f>IF('ORDENES'!$A142="","",IF('ORDENES'!$AB142="","-",'ORDENES'!$AB142))</f>
        <v/>
      </c>
      <c r="H164" s="3">
        <f>IF('ORDENES'!$A142="","",IF('ORDENES'!$AN142="","-",'ORDENES'!$AN142))</f>
        <v/>
      </c>
      <c r="I164" s="3">
        <f>IF('ORDENES'!$A142="","",IF('ORDENES'!$D142="","-",'ORDENES'!$D142))</f>
        <v/>
      </c>
      <c r="J164" s="3">
        <f>IF('ORDENES'!$A142="","",IF('ORDENES'!$E142="","-",'ORDENES'!$E142))</f>
        <v/>
      </c>
      <c r="K164" s="12">
        <f>IF('ORDENES'!$A142="","",IF('ORDENES'!$M142="",0,'ORDENES'!$M142))</f>
        <v/>
      </c>
      <c r="L164" s="3">
        <f>IF('ORDENES'!$A142="","",IF('ORDENES'!$N142="","-",'ORDENES'!$N142))</f>
        <v/>
      </c>
      <c r="M164" s="3">
        <f>IF('ORDENES'!$A142="","",'ORDENES'!$AA142)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IF('ORDENES'!$A143="","",IF('ORDENES'!$AC143="","-",'ORDENES'!$AC143))</f>
        <v/>
      </c>
      <c r="D165" s="3">
        <f>IF('ORDENES'!$A143="","",IF('ORDENES'!$V143="","-",'ORDENES'!$V143))</f>
        <v/>
      </c>
      <c r="E165" s="3">
        <f>IF('ORDENES'!$A143="","",IF('ORDENES'!$U143="","-",'ORDENES'!$U143))</f>
        <v/>
      </c>
      <c r="F165" s="3">
        <f>IF('ORDENES'!$A143="","",IF('ORDENES'!$W143="","-",'ORDENES'!$W143))</f>
        <v/>
      </c>
      <c r="G165" s="3">
        <f>IF('ORDENES'!$A143="","",IF('ORDENES'!$AB143="","-",'ORDENES'!$AB143))</f>
        <v/>
      </c>
      <c r="H165" s="3">
        <f>IF('ORDENES'!$A143="","",IF('ORDENES'!$AN143="","-",'ORDENES'!$AN143))</f>
        <v/>
      </c>
      <c r="I165" s="3">
        <f>IF('ORDENES'!$A143="","",IF('ORDENES'!$D143="","-",'ORDENES'!$D143))</f>
        <v/>
      </c>
      <c r="J165" s="3">
        <f>IF('ORDENES'!$A143="","",IF('ORDENES'!$E143="","-",'ORDENES'!$E143))</f>
        <v/>
      </c>
      <c r="K165" s="12">
        <f>IF('ORDENES'!$A143="","",IF('ORDENES'!$M143="",0,'ORDENES'!$M143))</f>
        <v/>
      </c>
      <c r="L165" s="3">
        <f>IF('ORDENES'!$A143="","",IF('ORDENES'!$N143="","-",'ORDENES'!$N143))</f>
        <v/>
      </c>
      <c r="M165" s="3">
        <f>IF('ORDENES'!$A143="","",'ORDENES'!$AA143)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IF('ORDENES'!$A144="","",IF('ORDENES'!$AC144="","-",'ORDENES'!$AC144))</f>
        <v/>
      </c>
      <c r="D166" s="3">
        <f>IF('ORDENES'!$A144="","",IF('ORDENES'!$V144="","-",'ORDENES'!$V144))</f>
        <v/>
      </c>
      <c r="E166" s="3">
        <f>IF('ORDENES'!$A144="","",IF('ORDENES'!$U144="","-",'ORDENES'!$U144))</f>
        <v/>
      </c>
      <c r="F166" s="3">
        <f>IF('ORDENES'!$A144="","",IF('ORDENES'!$W144="","-",'ORDENES'!$W144))</f>
        <v/>
      </c>
      <c r="G166" s="3">
        <f>IF('ORDENES'!$A144="","",IF('ORDENES'!$AB144="","-",'ORDENES'!$AB144))</f>
        <v/>
      </c>
      <c r="H166" s="3">
        <f>IF('ORDENES'!$A144="","",IF('ORDENES'!$AN144="","-",'ORDENES'!$AN144))</f>
        <v/>
      </c>
      <c r="I166" s="3">
        <f>IF('ORDENES'!$A144="","",IF('ORDENES'!$D144="","-",'ORDENES'!$D144))</f>
        <v/>
      </c>
      <c r="J166" s="3">
        <f>IF('ORDENES'!$A144="","",IF('ORDENES'!$E144="","-",'ORDENES'!$E144))</f>
        <v/>
      </c>
      <c r="K166" s="12">
        <f>IF('ORDENES'!$A144="","",IF('ORDENES'!$M144="",0,'ORDENES'!$M144))</f>
        <v/>
      </c>
      <c r="L166" s="3">
        <f>IF('ORDENES'!$A144="","",IF('ORDENES'!$N144="","-",'ORDENES'!$N144))</f>
        <v/>
      </c>
      <c r="M166" s="3">
        <f>IF('ORDENES'!$A144="","",'ORDENES'!$AA144)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IF('ORDENES'!$A145="","",IF('ORDENES'!$AC145="","-",'ORDENES'!$AC145))</f>
        <v/>
      </c>
      <c r="D167" s="3">
        <f>IF('ORDENES'!$A145="","",IF('ORDENES'!$V145="","-",'ORDENES'!$V145))</f>
        <v/>
      </c>
      <c r="E167" s="3">
        <f>IF('ORDENES'!$A145="","",IF('ORDENES'!$U145="","-",'ORDENES'!$U145))</f>
        <v/>
      </c>
      <c r="F167" s="3">
        <f>IF('ORDENES'!$A145="","",IF('ORDENES'!$W145="","-",'ORDENES'!$W145))</f>
        <v/>
      </c>
      <c r="G167" s="3">
        <f>IF('ORDENES'!$A145="","",IF('ORDENES'!$AB145="","-",'ORDENES'!$AB145))</f>
        <v/>
      </c>
      <c r="H167" s="3">
        <f>IF('ORDENES'!$A145="","",IF('ORDENES'!$AN145="","-",'ORDENES'!$AN145))</f>
        <v/>
      </c>
      <c r="I167" s="3">
        <f>IF('ORDENES'!$A145="","",IF('ORDENES'!$D145="","-",'ORDENES'!$D145))</f>
        <v/>
      </c>
      <c r="J167" s="3">
        <f>IF('ORDENES'!$A145="","",IF('ORDENES'!$E145="","-",'ORDENES'!$E145))</f>
        <v/>
      </c>
      <c r="K167" s="12">
        <f>IF('ORDENES'!$A145="","",IF('ORDENES'!$M145="",0,'ORDENES'!$M145))</f>
        <v/>
      </c>
      <c r="L167" s="3">
        <f>IF('ORDENES'!$A145="","",IF('ORDENES'!$N145="","-",'ORDENES'!$N145))</f>
        <v/>
      </c>
      <c r="M167" s="3">
        <f>IF('ORDENES'!$A145="","",'ORDENES'!$AA145)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IF('ORDENES'!$A146="","",IF('ORDENES'!$AC146="","-",'ORDENES'!$AC146))</f>
        <v/>
      </c>
      <c r="D168" s="3">
        <f>IF('ORDENES'!$A146="","",IF('ORDENES'!$V146="","-",'ORDENES'!$V146))</f>
        <v/>
      </c>
      <c r="E168" s="3">
        <f>IF('ORDENES'!$A146="","",IF('ORDENES'!$U146="","-",'ORDENES'!$U146))</f>
        <v/>
      </c>
      <c r="F168" s="3">
        <f>IF('ORDENES'!$A146="","",IF('ORDENES'!$W146="","-",'ORDENES'!$W146))</f>
        <v/>
      </c>
      <c r="G168" s="3">
        <f>IF('ORDENES'!$A146="","",IF('ORDENES'!$AB146="","-",'ORDENES'!$AB146))</f>
        <v/>
      </c>
      <c r="H168" s="3">
        <f>IF('ORDENES'!$A146="","",IF('ORDENES'!$AN146="","-",'ORDENES'!$AN146))</f>
        <v/>
      </c>
      <c r="I168" s="3">
        <f>IF('ORDENES'!$A146="","",IF('ORDENES'!$D146="","-",'ORDENES'!$D146))</f>
        <v/>
      </c>
      <c r="J168" s="3">
        <f>IF('ORDENES'!$A146="","",IF('ORDENES'!$E146="","-",'ORDENES'!$E146))</f>
        <v/>
      </c>
      <c r="K168" s="12">
        <f>IF('ORDENES'!$A146="","",IF('ORDENES'!$M146="",0,'ORDENES'!$M146))</f>
        <v/>
      </c>
      <c r="L168" s="3">
        <f>IF('ORDENES'!$A146="","",IF('ORDENES'!$N146="","-",'ORDENES'!$N146))</f>
        <v/>
      </c>
      <c r="M168" s="3">
        <f>IF('ORDENES'!$A146="","",'ORDENES'!$AA146)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IF('ORDENES'!$A147="","",IF('ORDENES'!$AC147="","-",'ORDENES'!$AC147))</f>
        <v/>
      </c>
      <c r="D169" s="3">
        <f>IF('ORDENES'!$A147="","",IF('ORDENES'!$V147="","-",'ORDENES'!$V147))</f>
        <v/>
      </c>
      <c r="E169" s="3">
        <f>IF('ORDENES'!$A147="","",IF('ORDENES'!$U147="","-",'ORDENES'!$U147))</f>
        <v/>
      </c>
      <c r="F169" s="3">
        <f>IF('ORDENES'!$A147="","",IF('ORDENES'!$W147="","-",'ORDENES'!$W147))</f>
        <v/>
      </c>
      <c r="G169" s="3">
        <f>IF('ORDENES'!$A147="","",IF('ORDENES'!$AB147="","-",'ORDENES'!$AB147))</f>
        <v/>
      </c>
      <c r="H169" s="3">
        <f>IF('ORDENES'!$A147="","",IF('ORDENES'!$AN147="","-",'ORDENES'!$AN147))</f>
        <v/>
      </c>
      <c r="I169" s="3">
        <f>IF('ORDENES'!$A147="","",IF('ORDENES'!$D147="","-",'ORDENES'!$D147))</f>
        <v/>
      </c>
      <c r="J169" s="3">
        <f>IF('ORDENES'!$A147="","",IF('ORDENES'!$E147="","-",'ORDENES'!$E147))</f>
        <v/>
      </c>
      <c r="K169" s="12">
        <f>IF('ORDENES'!$A147="","",IF('ORDENES'!$M147="",0,'ORDENES'!$M147))</f>
        <v/>
      </c>
      <c r="L169" s="3">
        <f>IF('ORDENES'!$A147="","",IF('ORDENES'!$N147="","-",'ORDENES'!$N147))</f>
        <v/>
      </c>
      <c r="M169" s="3">
        <f>IF('ORDENES'!$A147="","",'ORDENES'!$AA147)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IF('ORDENES'!$A148="","",IF('ORDENES'!$AC148="","-",'ORDENES'!$AC148))</f>
        <v/>
      </c>
      <c r="D170" s="3">
        <f>IF('ORDENES'!$A148="","",IF('ORDENES'!$V148="","-",'ORDENES'!$V148))</f>
        <v/>
      </c>
      <c r="E170" s="3">
        <f>IF('ORDENES'!$A148="","",IF('ORDENES'!$U148="","-",'ORDENES'!$U148))</f>
        <v/>
      </c>
      <c r="F170" s="3">
        <f>IF('ORDENES'!$A148="","",IF('ORDENES'!$W148="","-",'ORDENES'!$W148))</f>
        <v/>
      </c>
      <c r="G170" s="3">
        <f>IF('ORDENES'!$A148="","",IF('ORDENES'!$AB148="","-",'ORDENES'!$AB148))</f>
        <v/>
      </c>
      <c r="H170" s="3">
        <f>IF('ORDENES'!$A148="","",IF('ORDENES'!$AN148="","-",'ORDENES'!$AN148))</f>
        <v/>
      </c>
      <c r="I170" s="3">
        <f>IF('ORDENES'!$A148="","",IF('ORDENES'!$D148="","-",'ORDENES'!$D148))</f>
        <v/>
      </c>
      <c r="J170" s="3">
        <f>IF('ORDENES'!$A148="","",IF('ORDENES'!$E148="","-",'ORDENES'!$E148))</f>
        <v/>
      </c>
      <c r="K170" s="12">
        <f>IF('ORDENES'!$A148="","",IF('ORDENES'!$M148="",0,'ORDENES'!$M148))</f>
        <v/>
      </c>
      <c r="L170" s="3">
        <f>IF('ORDENES'!$A148="","",IF('ORDENES'!$N148="","-",'ORDENES'!$N148))</f>
        <v/>
      </c>
      <c r="M170" s="3">
        <f>IF('ORDENES'!$A148="","",'ORDENES'!$AA148)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IF('ORDENES'!$A149="","",IF('ORDENES'!$AC149="","-",'ORDENES'!$AC149))</f>
        <v/>
      </c>
      <c r="D171" s="3">
        <f>IF('ORDENES'!$A149="","",IF('ORDENES'!$V149="","-",'ORDENES'!$V149))</f>
        <v/>
      </c>
      <c r="E171" s="3">
        <f>IF('ORDENES'!$A149="","",IF('ORDENES'!$U149="","-",'ORDENES'!$U149))</f>
        <v/>
      </c>
      <c r="F171" s="3">
        <f>IF('ORDENES'!$A149="","",IF('ORDENES'!$W149="","-",'ORDENES'!$W149))</f>
        <v/>
      </c>
      <c r="G171" s="3">
        <f>IF('ORDENES'!$A149="","",IF('ORDENES'!$AB149="","-",'ORDENES'!$AB149))</f>
        <v/>
      </c>
      <c r="H171" s="3">
        <f>IF('ORDENES'!$A149="","",IF('ORDENES'!$AN149="","-",'ORDENES'!$AN149))</f>
        <v/>
      </c>
      <c r="I171" s="3">
        <f>IF('ORDENES'!$A149="","",IF('ORDENES'!$D149="","-",'ORDENES'!$D149))</f>
        <v/>
      </c>
      <c r="J171" s="3">
        <f>IF('ORDENES'!$A149="","",IF('ORDENES'!$E149="","-",'ORDENES'!$E149))</f>
        <v/>
      </c>
      <c r="K171" s="12">
        <f>IF('ORDENES'!$A149="","",IF('ORDENES'!$M149="",0,'ORDENES'!$M149))</f>
        <v/>
      </c>
      <c r="L171" s="3">
        <f>IF('ORDENES'!$A149="","",IF('ORDENES'!$N149="","-",'ORDENES'!$N149))</f>
        <v/>
      </c>
      <c r="M171" s="3">
        <f>IF('ORDENES'!$A149="","",'ORDENES'!$AA149)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IF('ORDENES'!$A150="","",IF('ORDENES'!$AC150="","-",'ORDENES'!$AC150))</f>
        <v/>
      </c>
      <c r="D172" s="3">
        <f>IF('ORDENES'!$A150="","",IF('ORDENES'!$V150="","-",'ORDENES'!$V150))</f>
        <v/>
      </c>
      <c r="E172" s="3">
        <f>IF('ORDENES'!$A150="","",IF('ORDENES'!$U150="","-",'ORDENES'!$U150))</f>
        <v/>
      </c>
      <c r="F172" s="3">
        <f>IF('ORDENES'!$A150="","",IF('ORDENES'!$W150="","-",'ORDENES'!$W150))</f>
        <v/>
      </c>
      <c r="G172" s="3">
        <f>IF('ORDENES'!$A150="","",IF('ORDENES'!$AB150="","-",'ORDENES'!$AB150))</f>
        <v/>
      </c>
      <c r="H172" s="3">
        <f>IF('ORDENES'!$A150="","",IF('ORDENES'!$AN150="","-",'ORDENES'!$AN150))</f>
        <v/>
      </c>
      <c r="I172" s="3">
        <f>IF('ORDENES'!$A150="","",IF('ORDENES'!$D150="","-",'ORDENES'!$D150))</f>
        <v/>
      </c>
      <c r="J172" s="3">
        <f>IF('ORDENES'!$A150="","",IF('ORDENES'!$E150="","-",'ORDENES'!$E150))</f>
        <v/>
      </c>
      <c r="K172" s="12">
        <f>IF('ORDENES'!$A150="","",IF('ORDENES'!$M150="",0,'ORDENES'!$M150))</f>
        <v/>
      </c>
      <c r="L172" s="3">
        <f>IF('ORDENES'!$A150="","",IF('ORDENES'!$N150="","-",'ORDENES'!$N150))</f>
        <v/>
      </c>
      <c r="M172" s="3">
        <f>IF('ORDENES'!$A150="","",'ORDENES'!$AA150)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IF('ORDENES'!$A151="","",IF('ORDENES'!$AC151="","-",'ORDENES'!$AC151))</f>
        <v/>
      </c>
      <c r="D173" s="3">
        <f>IF('ORDENES'!$A151="","",IF('ORDENES'!$V151="","-",'ORDENES'!$V151))</f>
        <v/>
      </c>
      <c r="E173" s="3">
        <f>IF('ORDENES'!$A151="","",IF('ORDENES'!$U151="","-",'ORDENES'!$U151))</f>
        <v/>
      </c>
      <c r="F173" s="3">
        <f>IF('ORDENES'!$A151="","",IF('ORDENES'!$W151="","-",'ORDENES'!$W151))</f>
        <v/>
      </c>
      <c r="G173" s="3">
        <f>IF('ORDENES'!$A151="","",IF('ORDENES'!$AB151="","-",'ORDENES'!$AB151))</f>
        <v/>
      </c>
      <c r="H173" s="3">
        <f>IF('ORDENES'!$A151="","",IF('ORDENES'!$AN151="","-",'ORDENES'!$AN151))</f>
        <v/>
      </c>
      <c r="I173" s="3">
        <f>IF('ORDENES'!$A151="","",IF('ORDENES'!$D151="","-",'ORDENES'!$D151))</f>
        <v/>
      </c>
      <c r="J173" s="3">
        <f>IF('ORDENES'!$A151="","",IF('ORDENES'!$E151="","-",'ORDENES'!$E151))</f>
        <v/>
      </c>
      <c r="K173" s="12">
        <f>IF('ORDENES'!$A151="","",IF('ORDENES'!$M151="",0,'ORDENES'!$M151))</f>
        <v/>
      </c>
      <c r="L173" s="3">
        <f>IF('ORDENES'!$A151="","",IF('ORDENES'!$N151="","-",'ORDENES'!$N151))</f>
        <v/>
      </c>
      <c r="M173" s="3">
        <f>IF('ORDENES'!$A151="","",'ORDENES'!$AA151)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IF('ORDENES'!$A152="","",IF('ORDENES'!$AC152="","-",'ORDENES'!$AC152))</f>
        <v/>
      </c>
      <c r="D174" s="3">
        <f>IF('ORDENES'!$A152="","",IF('ORDENES'!$V152="","-",'ORDENES'!$V152))</f>
        <v/>
      </c>
      <c r="E174" s="3">
        <f>IF('ORDENES'!$A152="","",IF('ORDENES'!$U152="","-",'ORDENES'!$U152))</f>
        <v/>
      </c>
      <c r="F174" s="3">
        <f>IF('ORDENES'!$A152="","",IF('ORDENES'!$W152="","-",'ORDENES'!$W152))</f>
        <v/>
      </c>
      <c r="G174" s="3">
        <f>IF('ORDENES'!$A152="","",IF('ORDENES'!$AB152="","-",'ORDENES'!$AB152))</f>
        <v/>
      </c>
      <c r="H174" s="3">
        <f>IF('ORDENES'!$A152="","",IF('ORDENES'!$AN152="","-",'ORDENES'!$AN152))</f>
        <v/>
      </c>
      <c r="I174" s="3">
        <f>IF('ORDENES'!$A152="","",IF('ORDENES'!$D152="","-",'ORDENES'!$D152))</f>
        <v/>
      </c>
      <c r="J174" s="3">
        <f>IF('ORDENES'!$A152="","",IF('ORDENES'!$E152="","-",'ORDENES'!$E152))</f>
        <v/>
      </c>
      <c r="K174" s="12">
        <f>IF('ORDENES'!$A152="","",IF('ORDENES'!$M152="",0,'ORDENES'!$M152))</f>
        <v/>
      </c>
      <c r="L174" s="3">
        <f>IF('ORDENES'!$A152="","",IF('ORDENES'!$N152="","-",'ORDENES'!$N152))</f>
        <v/>
      </c>
      <c r="M174" s="3">
        <f>IF('ORDENES'!$A152="","",'ORDENES'!$AA152)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IF('ORDENES'!$A153="","",IF('ORDENES'!$AC153="","-",'ORDENES'!$AC153))</f>
        <v/>
      </c>
      <c r="D175" s="3">
        <f>IF('ORDENES'!$A153="","",IF('ORDENES'!$V153="","-",'ORDENES'!$V153))</f>
        <v/>
      </c>
      <c r="E175" s="3">
        <f>IF('ORDENES'!$A153="","",IF('ORDENES'!$U153="","-",'ORDENES'!$U153))</f>
        <v/>
      </c>
      <c r="F175" s="3">
        <f>IF('ORDENES'!$A153="","",IF('ORDENES'!$W153="","-",'ORDENES'!$W153))</f>
        <v/>
      </c>
      <c r="G175" s="3">
        <f>IF('ORDENES'!$A153="","",IF('ORDENES'!$AB153="","-",'ORDENES'!$AB153))</f>
        <v/>
      </c>
      <c r="H175" s="3">
        <f>IF('ORDENES'!$A153="","",IF('ORDENES'!$AN153="","-",'ORDENES'!$AN153))</f>
        <v/>
      </c>
      <c r="I175" s="3">
        <f>IF('ORDENES'!$A153="","",IF('ORDENES'!$D153="","-",'ORDENES'!$D153))</f>
        <v/>
      </c>
      <c r="J175" s="3">
        <f>IF('ORDENES'!$A153="","",IF('ORDENES'!$E153="","-",'ORDENES'!$E153))</f>
        <v/>
      </c>
      <c r="K175" s="12">
        <f>IF('ORDENES'!$A153="","",IF('ORDENES'!$M153="",0,'ORDENES'!$M153))</f>
        <v/>
      </c>
      <c r="L175" s="3">
        <f>IF('ORDENES'!$A153="","",IF('ORDENES'!$N153="","-",'ORDENES'!$N153))</f>
        <v/>
      </c>
      <c r="M175" s="3">
        <f>IF('ORDENES'!$A153="","",'ORDENES'!$AA153)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IF('ORDENES'!$A154="","",IF('ORDENES'!$AC154="","-",'ORDENES'!$AC154))</f>
        <v/>
      </c>
      <c r="D176" s="3">
        <f>IF('ORDENES'!$A154="","",IF('ORDENES'!$V154="","-",'ORDENES'!$V154))</f>
        <v/>
      </c>
      <c r="E176" s="3">
        <f>IF('ORDENES'!$A154="","",IF('ORDENES'!$U154="","-",'ORDENES'!$U154))</f>
        <v/>
      </c>
      <c r="F176" s="3">
        <f>IF('ORDENES'!$A154="","",IF('ORDENES'!$W154="","-",'ORDENES'!$W154))</f>
        <v/>
      </c>
      <c r="G176" s="3">
        <f>IF('ORDENES'!$A154="","",IF('ORDENES'!$AB154="","-",'ORDENES'!$AB154))</f>
        <v/>
      </c>
      <c r="H176" s="3">
        <f>IF('ORDENES'!$A154="","",IF('ORDENES'!$AN154="","-",'ORDENES'!$AN154))</f>
        <v/>
      </c>
      <c r="I176" s="3">
        <f>IF('ORDENES'!$A154="","",IF('ORDENES'!$D154="","-",'ORDENES'!$D154))</f>
        <v/>
      </c>
      <c r="J176" s="3">
        <f>IF('ORDENES'!$A154="","",IF('ORDENES'!$E154="","-",'ORDENES'!$E154))</f>
        <v/>
      </c>
      <c r="K176" s="12">
        <f>IF('ORDENES'!$A154="","",IF('ORDENES'!$M154="",0,'ORDENES'!$M154))</f>
        <v/>
      </c>
      <c r="L176" s="3">
        <f>IF('ORDENES'!$A154="","",IF('ORDENES'!$N154="","-",'ORDENES'!$N154))</f>
        <v/>
      </c>
      <c r="M176" s="3">
        <f>IF('ORDENES'!$A154="","",'ORDENES'!$AA154)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IF('ORDENES'!$A155="","",IF('ORDENES'!$AC155="","-",'ORDENES'!$AC155))</f>
        <v/>
      </c>
      <c r="D177" s="3">
        <f>IF('ORDENES'!$A155="","",IF('ORDENES'!$V155="","-",'ORDENES'!$V155))</f>
        <v/>
      </c>
      <c r="E177" s="3">
        <f>IF('ORDENES'!$A155="","",IF('ORDENES'!$U155="","-",'ORDENES'!$U155))</f>
        <v/>
      </c>
      <c r="F177" s="3">
        <f>IF('ORDENES'!$A155="","",IF('ORDENES'!$W155="","-",'ORDENES'!$W155))</f>
        <v/>
      </c>
      <c r="G177" s="3">
        <f>IF('ORDENES'!$A155="","",IF('ORDENES'!$AB155="","-",'ORDENES'!$AB155))</f>
        <v/>
      </c>
      <c r="H177" s="3">
        <f>IF('ORDENES'!$A155="","",IF('ORDENES'!$AN155="","-",'ORDENES'!$AN155))</f>
        <v/>
      </c>
      <c r="I177" s="3">
        <f>IF('ORDENES'!$A155="","",IF('ORDENES'!$D155="","-",'ORDENES'!$D155))</f>
        <v/>
      </c>
      <c r="J177" s="3">
        <f>IF('ORDENES'!$A155="","",IF('ORDENES'!$E155="","-",'ORDENES'!$E155))</f>
        <v/>
      </c>
      <c r="K177" s="12">
        <f>IF('ORDENES'!$A155="","",IF('ORDENES'!$M155="",0,'ORDENES'!$M155))</f>
        <v/>
      </c>
      <c r="L177" s="3">
        <f>IF('ORDENES'!$A155="","",IF('ORDENES'!$N155="","-",'ORDENES'!$N155))</f>
        <v/>
      </c>
      <c r="M177" s="3">
        <f>IF('ORDENES'!$A155="","",'ORDENES'!$AA155)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IF('ORDENES'!$A156="","",IF('ORDENES'!$AC156="","-",'ORDENES'!$AC156))</f>
        <v/>
      </c>
      <c r="D178" s="3">
        <f>IF('ORDENES'!$A156="","",IF('ORDENES'!$V156="","-",'ORDENES'!$V156))</f>
        <v/>
      </c>
      <c r="E178" s="3">
        <f>IF('ORDENES'!$A156="","",IF('ORDENES'!$U156="","-",'ORDENES'!$U156))</f>
        <v/>
      </c>
      <c r="F178" s="3">
        <f>IF('ORDENES'!$A156="","",IF('ORDENES'!$W156="","-",'ORDENES'!$W156))</f>
        <v/>
      </c>
      <c r="G178" s="3">
        <f>IF('ORDENES'!$A156="","",IF('ORDENES'!$AB156="","-",'ORDENES'!$AB156))</f>
        <v/>
      </c>
      <c r="H178" s="3">
        <f>IF('ORDENES'!$A156="","",IF('ORDENES'!$AN156="","-",'ORDENES'!$AN156))</f>
        <v/>
      </c>
      <c r="I178" s="3">
        <f>IF('ORDENES'!$A156="","",IF('ORDENES'!$D156="","-",'ORDENES'!$D156))</f>
        <v/>
      </c>
      <c r="J178" s="3">
        <f>IF('ORDENES'!$A156="","",IF('ORDENES'!$E156="","-",'ORDENES'!$E156))</f>
        <v/>
      </c>
      <c r="K178" s="12">
        <f>IF('ORDENES'!$A156="","",IF('ORDENES'!$M156="",0,'ORDENES'!$M156))</f>
        <v/>
      </c>
      <c r="L178" s="3">
        <f>IF('ORDENES'!$A156="","",IF('ORDENES'!$N156="","-",'ORDENES'!$N156))</f>
        <v/>
      </c>
      <c r="M178" s="3">
        <f>IF('ORDENES'!$A156="","",'ORDENES'!$AA156)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IF('ORDENES'!$A157="","",IF('ORDENES'!$AC157="","-",'ORDENES'!$AC157))</f>
        <v/>
      </c>
      <c r="D179" s="3">
        <f>IF('ORDENES'!$A157="","",IF('ORDENES'!$V157="","-",'ORDENES'!$V157))</f>
        <v/>
      </c>
      <c r="E179" s="3">
        <f>IF('ORDENES'!$A157="","",IF('ORDENES'!$U157="","-",'ORDENES'!$U157))</f>
        <v/>
      </c>
      <c r="F179" s="3">
        <f>IF('ORDENES'!$A157="","",IF('ORDENES'!$W157="","-",'ORDENES'!$W157))</f>
        <v/>
      </c>
      <c r="G179" s="3">
        <f>IF('ORDENES'!$A157="","",IF('ORDENES'!$AB157="","-",'ORDENES'!$AB157))</f>
        <v/>
      </c>
      <c r="H179" s="3">
        <f>IF('ORDENES'!$A157="","",IF('ORDENES'!$AN157="","-",'ORDENES'!$AN157))</f>
        <v/>
      </c>
      <c r="I179" s="3">
        <f>IF('ORDENES'!$A157="","",IF('ORDENES'!$D157="","-",'ORDENES'!$D157))</f>
        <v/>
      </c>
      <c r="J179" s="3">
        <f>IF('ORDENES'!$A157="","",IF('ORDENES'!$E157="","-",'ORDENES'!$E157))</f>
        <v/>
      </c>
      <c r="K179" s="12">
        <f>IF('ORDENES'!$A157="","",IF('ORDENES'!$M157="",0,'ORDENES'!$M157))</f>
        <v/>
      </c>
      <c r="L179" s="3">
        <f>IF('ORDENES'!$A157="","",IF('ORDENES'!$N157="","-",'ORDENES'!$N157))</f>
        <v/>
      </c>
      <c r="M179" s="3">
        <f>IF('ORDENES'!$A157="","",'ORDENES'!$AA157)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IF('ORDENES'!$A158="","",IF('ORDENES'!$AC158="","-",'ORDENES'!$AC158))</f>
        <v/>
      </c>
      <c r="D180" s="3">
        <f>IF('ORDENES'!$A158="","",IF('ORDENES'!$V158="","-",'ORDENES'!$V158))</f>
        <v/>
      </c>
      <c r="E180" s="3">
        <f>IF('ORDENES'!$A158="","",IF('ORDENES'!$U158="","-",'ORDENES'!$U158))</f>
        <v/>
      </c>
      <c r="F180" s="3">
        <f>IF('ORDENES'!$A158="","",IF('ORDENES'!$W158="","-",'ORDENES'!$W158))</f>
        <v/>
      </c>
      <c r="G180" s="3">
        <f>IF('ORDENES'!$A158="","",IF('ORDENES'!$AB158="","-",'ORDENES'!$AB158))</f>
        <v/>
      </c>
      <c r="H180" s="3">
        <f>IF('ORDENES'!$A158="","",IF('ORDENES'!$AN158="","-",'ORDENES'!$AN158))</f>
        <v/>
      </c>
      <c r="I180" s="3">
        <f>IF('ORDENES'!$A158="","",IF('ORDENES'!$D158="","-",'ORDENES'!$D158))</f>
        <v/>
      </c>
      <c r="J180" s="3">
        <f>IF('ORDENES'!$A158="","",IF('ORDENES'!$E158="","-",'ORDENES'!$E158))</f>
        <v/>
      </c>
      <c r="K180" s="12">
        <f>IF('ORDENES'!$A158="","",IF('ORDENES'!$M158="",0,'ORDENES'!$M158))</f>
        <v/>
      </c>
      <c r="L180" s="3">
        <f>IF('ORDENES'!$A158="","",IF('ORDENES'!$N158="","-",'ORDENES'!$N158))</f>
        <v/>
      </c>
      <c r="M180" s="3">
        <f>IF('ORDENES'!$A158="","",'ORDENES'!$AA158)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IF('ORDENES'!$A159="","",IF('ORDENES'!$AC159="","-",'ORDENES'!$AC159))</f>
        <v/>
      </c>
      <c r="D181" s="3">
        <f>IF('ORDENES'!$A159="","",IF('ORDENES'!$V159="","-",'ORDENES'!$V159))</f>
        <v/>
      </c>
      <c r="E181" s="3">
        <f>IF('ORDENES'!$A159="","",IF('ORDENES'!$U159="","-",'ORDENES'!$U159))</f>
        <v/>
      </c>
      <c r="F181" s="3">
        <f>IF('ORDENES'!$A159="","",IF('ORDENES'!$W159="","-",'ORDENES'!$W159))</f>
        <v/>
      </c>
      <c r="G181" s="3">
        <f>IF('ORDENES'!$A159="","",IF('ORDENES'!$AB159="","-",'ORDENES'!$AB159))</f>
        <v/>
      </c>
      <c r="H181" s="3">
        <f>IF('ORDENES'!$A159="","",IF('ORDENES'!$AN159="","-",'ORDENES'!$AN159))</f>
        <v/>
      </c>
      <c r="I181" s="3">
        <f>IF('ORDENES'!$A159="","",IF('ORDENES'!$D159="","-",'ORDENES'!$D159))</f>
        <v/>
      </c>
      <c r="J181" s="3">
        <f>IF('ORDENES'!$A159="","",IF('ORDENES'!$E159="","-",'ORDENES'!$E159))</f>
        <v/>
      </c>
      <c r="K181" s="12">
        <f>IF('ORDENES'!$A159="","",IF('ORDENES'!$M159="",0,'ORDENES'!$M159))</f>
        <v/>
      </c>
      <c r="L181" s="3">
        <f>IF('ORDENES'!$A159="","",IF('ORDENES'!$N159="","-",'ORDENES'!$N159))</f>
        <v/>
      </c>
      <c r="M181" s="3">
        <f>IF('ORDENES'!$A159="","",'ORDENES'!$AA159)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IF('ORDENES'!$A160="","",IF('ORDENES'!$AC160="","-",'ORDENES'!$AC160))</f>
        <v/>
      </c>
      <c r="D182" s="3">
        <f>IF('ORDENES'!$A160="","",IF('ORDENES'!$V160="","-",'ORDENES'!$V160))</f>
        <v/>
      </c>
      <c r="E182" s="3">
        <f>IF('ORDENES'!$A160="","",IF('ORDENES'!$U160="","-",'ORDENES'!$U160))</f>
        <v/>
      </c>
      <c r="F182" s="3">
        <f>IF('ORDENES'!$A160="","",IF('ORDENES'!$W160="","-",'ORDENES'!$W160))</f>
        <v/>
      </c>
      <c r="G182" s="3">
        <f>IF('ORDENES'!$A160="","",IF('ORDENES'!$AB160="","-",'ORDENES'!$AB160))</f>
        <v/>
      </c>
      <c r="H182" s="3">
        <f>IF('ORDENES'!$A160="","",IF('ORDENES'!$AN160="","-",'ORDENES'!$AN160))</f>
        <v/>
      </c>
      <c r="I182" s="3">
        <f>IF('ORDENES'!$A160="","",IF('ORDENES'!$D160="","-",'ORDENES'!$D160))</f>
        <v/>
      </c>
      <c r="J182" s="3">
        <f>IF('ORDENES'!$A160="","",IF('ORDENES'!$E160="","-",'ORDENES'!$E160))</f>
        <v/>
      </c>
      <c r="K182" s="12">
        <f>IF('ORDENES'!$A160="","",IF('ORDENES'!$M160="",0,'ORDENES'!$M160))</f>
        <v/>
      </c>
      <c r="L182" s="3">
        <f>IF('ORDENES'!$A160="","",IF('ORDENES'!$N160="","-",'ORDENES'!$N160))</f>
        <v/>
      </c>
      <c r="M182" s="3">
        <f>IF('ORDENES'!$A160="","",'ORDENES'!$AA160)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IF('ORDENES'!$A161="","",IF('ORDENES'!$AC161="","-",'ORDENES'!$AC161))</f>
        <v/>
      </c>
      <c r="D183" s="3">
        <f>IF('ORDENES'!$A161="","",IF('ORDENES'!$V161="","-",'ORDENES'!$V161))</f>
        <v/>
      </c>
      <c r="E183" s="3">
        <f>IF('ORDENES'!$A161="","",IF('ORDENES'!$U161="","-",'ORDENES'!$U161))</f>
        <v/>
      </c>
      <c r="F183" s="3">
        <f>IF('ORDENES'!$A161="","",IF('ORDENES'!$W161="","-",'ORDENES'!$W161))</f>
        <v/>
      </c>
      <c r="G183" s="3">
        <f>IF('ORDENES'!$A161="","",IF('ORDENES'!$AB161="","-",'ORDENES'!$AB161))</f>
        <v/>
      </c>
      <c r="H183" s="3">
        <f>IF('ORDENES'!$A161="","",IF('ORDENES'!$AN161="","-",'ORDENES'!$AN161))</f>
        <v/>
      </c>
      <c r="I183" s="3">
        <f>IF('ORDENES'!$A161="","",IF('ORDENES'!$D161="","-",'ORDENES'!$D161))</f>
        <v/>
      </c>
      <c r="J183" s="3">
        <f>IF('ORDENES'!$A161="","",IF('ORDENES'!$E161="","-",'ORDENES'!$E161))</f>
        <v/>
      </c>
      <c r="K183" s="12">
        <f>IF('ORDENES'!$A161="","",IF('ORDENES'!$M161="",0,'ORDENES'!$M161))</f>
        <v/>
      </c>
      <c r="L183" s="3">
        <f>IF('ORDENES'!$A161="","",IF('ORDENES'!$N161="","-",'ORDENES'!$N161))</f>
        <v/>
      </c>
      <c r="M183" s="3">
        <f>IF('ORDENES'!$A161="","",'ORDENES'!$AA161)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IF('ORDENES'!$A162="","",IF('ORDENES'!$AC162="","-",'ORDENES'!$AC162))</f>
        <v/>
      </c>
      <c r="D184" s="3">
        <f>IF('ORDENES'!$A162="","",IF('ORDENES'!$V162="","-",'ORDENES'!$V162))</f>
        <v/>
      </c>
      <c r="E184" s="3">
        <f>IF('ORDENES'!$A162="","",IF('ORDENES'!$U162="","-",'ORDENES'!$U162))</f>
        <v/>
      </c>
      <c r="F184" s="3">
        <f>IF('ORDENES'!$A162="","",IF('ORDENES'!$W162="","-",'ORDENES'!$W162))</f>
        <v/>
      </c>
      <c r="G184" s="3">
        <f>IF('ORDENES'!$A162="","",IF('ORDENES'!$AB162="","-",'ORDENES'!$AB162))</f>
        <v/>
      </c>
      <c r="H184" s="3">
        <f>IF('ORDENES'!$A162="","",IF('ORDENES'!$AN162="","-",'ORDENES'!$AN162))</f>
        <v/>
      </c>
      <c r="I184" s="3">
        <f>IF('ORDENES'!$A162="","",IF('ORDENES'!$D162="","-",'ORDENES'!$D162))</f>
        <v/>
      </c>
      <c r="J184" s="3">
        <f>IF('ORDENES'!$A162="","",IF('ORDENES'!$E162="","-",'ORDENES'!$E162))</f>
        <v/>
      </c>
      <c r="K184" s="12">
        <f>IF('ORDENES'!$A162="","",IF('ORDENES'!$M162="",0,'ORDENES'!$M162))</f>
        <v/>
      </c>
      <c r="L184" s="3">
        <f>IF('ORDENES'!$A162="","",IF('ORDENES'!$N162="","-",'ORDENES'!$N162))</f>
        <v/>
      </c>
      <c r="M184" s="3">
        <f>IF('ORDENES'!$A162="","",'ORDENES'!$AA162)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IF('ORDENES'!$A163="","",IF('ORDENES'!$AC163="","-",'ORDENES'!$AC163))</f>
        <v/>
      </c>
      <c r="D185" s="3">
        <f>IF('ORDENES'!$A163="","",IF('ORDENES'!$V163="","-",'ORDENES'!$V163))</f>
        <v/>
      </c>
      <c r="E185" s="3">
        <f>IF('ORDENES'!$A163="","",IF('ORDENES'!$U163="","-",'ORDENES'!$U163))</f>
        <v/>
      </c>
      <c r="F185" s="3">
        <f>IF('ORDENES'!$A163="","",IF('ORDENES'!$W163="","-",'ORDENES'!$W163))</f>
        <v/>
      </c>
      <c r="G185" s="3">
        <f>IF('ORDENES'!$A163="","",IF('ORDENES'!$AB163="","-",'ORDENES'!$AB163))</f>
        <v/>
      </c>
      <c r="H185" s="3">
        <f>IF('ORDENES'!$A163="","",IF('ORDENES'!$AN163="","-",'ORDENES'!$AN163))</f>
        <v/>
      </c>
      <c r="I185" s="3">
        <f>IF('ORDENES'!$A163="","",IF('ORDENES'!$D163="","-",'ORDENES'!$D163))</f>
        <v/>
      </c>
      <c r="J185" s="3">
        <f>IF('ORDENES'!$A163="","",IF('ORDENES'!$E163="","-",'ORDENES'!$E163))</f>
        <v/>
      </c>
      <c r="K185" s="12">
        <f>IF('ORDENES'!$A163="","",IF('ORDENES'!$M163="",0,'ORDENES'!$M163))</f>
        <v/>
      </c>
      <c r="L185" s="3">
        <f>IF('ORDENES'!$A163="","",IF('ORDENES'!$N163="","-",'ORDENES'!$N163))</f>
        <v/>
      </c>
      <c r="M185" s="3">
        <f>IF('ORDENES'!$A163="","",'ORDENES'!$AA163)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IF('ORDENES'!$A164="","",IF('ORDENES'!$AC164="","-",'ORDENES'!$AC164))</f>
        <v/>
      </c>
      <c r="D186" s="3">
        <f>IF('ORDENES'!$A164="","",IF('ORDENES'!$V164="","-",'ORDENES'!$V164))</f>
        <v/>
      </c>
      <c r="E186" s="3">
        <f>IF('ORDENES'!$A164="","",IF('ORDENES'!$U164="","-",'ORDENES'!$U164))</f>
        <v/>
      </c>
      <c r="F186" s="3">
        <f>IF('ORDENES'!$A164="","",IF('ORDENES'!$W164="","-",'ORDENES'!$W164))</f>
        <v/>
      </c>
      <c r="G186" s="3">
        <f>IF('ORDENES'!$A164="","",IF('ORDENES'!$AB164="","-",'ORDENES'!$AB164))</f>
        <v/>
      </c>
      <c r="H186" s="3">
        <f>IF('ORDENES'!$A164="","",IF('ORDENES'!$AN164="","-",'ORDENES'!$AN164))</f>
        <v/>
      </c>
      <c r="I186" s="3">
        <f>IF('ORDENES'!$A164="","",IF('ORDENES'!$D164="","-",'ORDENES'!$D164))</f>
        <v/>
      </c>
      <c r="J186" s="3">
        <f>IF('ORDENES'!$A164="","",IF('ORDENES'!$E164="","-",'ORDENES'!$E164))</f>
        <v/>
      </c>
      <c r="K186" s="12">
        <f>IF('ORDENES'!$A164="","",IF('ORDENES'!$M164="",0,'ORDENES'!$M164))</f>
        <v/>
      </c>
      <c r="L186" s="3">
        <f>IF('ORDENES'!$A164="","",IF('ORDENES'!$N164="","-",'ORDENES'!$N164))</f>
        <v/>
      </c>
      <c r="M186" s="3">
        <f>IF('ORDENES'!$A164="","",'ORDENES'!$AA164)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IF('ORDENES'!$A165="","",IF('ORDENES'!$AC165="","-",'ORDENES'!$AC165))</f>
        <v/>
      </c>
      <c r="D187" s="3">
        <f>IF('ORDENES'!$A165="","",IF('ORDENES'!$V165="","-",'ORDENES'!$V165))</f>
        <v/>
      </c>
      <c r="E187" s="3">
        <f>IF('ORDENES'!$A165="","",IF('ORDENES'!$U165="","-",'ORDENES'!$U165))</f>
        <v/>
      </c>
      <c r="F187" s="3">
        <f>IF('ORDENES'!$A165="","",IF('ORDENES'!$W165="","-",'ORDENES'!$W165))</f>
        <v/>
      </c>
      <c r="G187" s="3">
        <f>IF('ORDENES'!$A165="","",IF('ORDENES'!$AB165="","-",'ORDENES'!$AB165))</f>
        <v/>
      </c>
      <c r="H187" s="3">
        <f>IF('ORDENES'!$A165="","",IF('ORDENES'!$AN165="","-",'ORDENES'!$AN165))</f>
        <v/>
      </c>
      <c r="I187" s="3">
        <f>IF('ORDENES'!$A165="","",IF('ORDENES'!$D165="","-",'ORDENES'!$D165))</f>
        <v/>
      </c>
      <c r="J187" s="3">
        <f>IF('ORDENES'!$A165="","",IF('ORDENES'!$E165="","-",'ORDENES'!$E165))</f>
        <v/>
      </c>
      <c r="K187" s="12">
        <f>IF('ORDENES'!$A165="","",IF('ORDENES'!$M165="",0,'ORDENES'!$M165))</f>
        <v/>
      </c>
      <c r="L187" s="3">
        <f>IF('ORDENES'!$A165="","",IF('ORDENES'!$N165="","-",'ORDENES'!$N165))</f>
        <v/>
      </c>
      <c r="M187" s="3">
        <f>IF('ORDENES'!$A165="","",'ORDENES'!$AA165)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IF('ORDENES'!$A166="","",IF('ORDENES'!$AC166="","-",'ORDENES'!$AC166))</f>
        <v/>
      </c>
      <c r="D188" s="3">
        <f>IF('ORDENES'!$A166="","",IF('ORDENES'!$V166="","-",'ORDENES'!$V166))</f>
        <v/>
      </c>
      <c r="E188" s="3">
        <f>IF('ORDENES'!$A166="","",IF('ORDENES'!$U166="","-",'ORDENES'!$U166))</f>
        <v/>
      </c>
      <c r="F188" s="3">
        <f>IF('ORDENES'!$A166="","",IF('ORDENES'!$W166="","-",'ORDENES'!$W166))</f>
        <v/>
      </c>
      <c r="G188" s="3">
        <f>IF('ORDENES'!$A166="","",IF('ORDENES'!$AB166="","-",'ORDENES'!$AB166))</f>
        <v/>
      </c>
      <c r="H188" s="3">
        <f>IF('ORDENES'!$A166="","",IF('ORDENES'!$AN166="","-",'ORDENES'!$AN166))</f>
        <v/>
      </c>
      <c r="I188" s="3">
        <f>IF('ORDENES'!$A166="","",IF('ORDENES'!$D166="","-",'ORDENES'!$D166))</f>
        <v/>
      </c>
      <c r="J188" s="3">
        <f>IF('ORDENES'!$A166="","",IF('ORDENES'!$E166="","-",'ORDENES'!$E166))</f>
        <v/>
      </c>
      <c r="K188" s="12">
        <f>IF('ORDENES'!$A166="","",IF('ORDENES'!$M166="",0,'ORDENES'!$M166))</f>
        <v/>
      </c>
      <c r="L188" s="3">
        <f>IF('ORDENES'!$A166="","",IF('ORDENES'!$N166="","-",'ORDENES'!$N166))</f>
        <v/>
      </c>
      <c r="M188" s="3">
        <f>IF('ORDENES'!$A166="","",'ORDENES'!$AA166)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IF('ORDENES'!$A167="","",IF('ORDENES'!$AC167="","-",'ORDENES'!$AC167))</f>
        <v/>
      </c>
      <c r="D189" s="3">
        <f>IF('ORDENES'!$A167="","",IF('ORDENES'!$V167="","-",'ORDENES'!$V167))</f>
        <v/>
      </c>
      <c r="E189" s="3">
        <f>IF('ORDENES'!$A167="","",IF('ORDENES'!$U167="","-",'ORDENES'!$U167))</f>
        <v/>
      </c>
      <c r="F189" s="3">
        <f>IF('ORDENES'!$A167="","",IF('ORDENES'!$W167="","-",'ORDENES'!$W167))</f>
        <v/>
      </c>
      <c r="G189" s="3">
        <f>IF('ORDENES'!$A167="","",IF('ORDENES'!$AB167="","-",'ORDENES'!$AB167))</f>
        <v/>
      </c>
      <c r="H189" s="3">
        <f>IF('ORDENES'!$A167="","",IF('ORDENES'!$AN167="","-",'ORDENES'!$AN167))</f>
        <v/>
      </c>
      <c r="I189" s="3">
        <f>IF('ORDENES'!$A167="","",IF('ORDENES'!$D167="","-",'ORDENES'!$D167))</f>
        <v/>
      </c>
      <c r="J189" s="3">
        <f>IF('ORDENES'!$A167="","",IF('ORDENES'!$E167="","-",'ORDENES'!$E167))</f>
        <v/>
      </c>
      <c r="K189" s="12">
        <f>IF('ORDENES'!$A167="","",IF('ORDENES'!$M167="",0,'ORDENES'!$M167))</f>
        <v/>
      </c>
      <c r="L189" s="3">
        <f>IF('ORDENES'!$A167="","",IF('ORDENES'!$N167="","-",'ORDENES'!$N167))</f>
        <v/>
      </c>
      <c r="M189" s="3">
        <f>IF('ORDENES'!$A167="","",'ORDENES'!$AA167)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IF('ORDENES'!$A168="","",IF('ORDENES'!$AC168="","-",'ORDENES'!$AC168))</f>
        <v/>
      </c>
      <c r="D190" s="3">
        <f>IF('ORDENES'!$A168="","",IF('ORDENES'!$V168="","-",'ORDENES'!$V168))</f>
        <v/>
      </c>
      <c r="E190" s="3">
        <f>IF('ORDENES'!$A168="","",IF('ORDENES'!$U168="","-",'ORDENES'!$U168))</f>
        <v/>
      </c>
      <c r="F190" s="3">
        <f>IF('ORDENES'!$A168="","",IF('ORDENES'!$W168="","-",'ORDENES'!$W168))</f>
        <v/>
      </c>
      <c r="G190" s="3">
        <f>IF('ORDENES'!$A168="","",IF('ORDENES'!$AB168="","-",'ORDENES'!$AB168))</f>
        <v/>
      </c>
      <c r="H190" s="3">
        <f>IF('ORDENES'!$A168="","",IF('ORDENES'!$AN168="","-",'ORDENES'!$AN168))</f>
        <v/>
      </c>
      <c r="I190" s="3">
        <f>IF('ORDENES'!$A168="","",IF('ORDENES'!$D168="","-",'ORDENES'!$D168))</f>
        <v/>
      </c>
      <c r="J190" s="3">
        <f>IF('ORDENES'!$A168="","",IF('ORDENES'!$E168="","-",'ORDENES'!$E168))</f>
        <v/>
      </c>
      <c r="K190" s="12">
        <f>IF('ORDENES'!$A168="","",IF('ORDENES'!$M168="",0,'ORDENES'!$M168))</f>
        <v/>
      </c>
      <c r="L190" s="3">
        <f>IF('ORDENES'!$A168="","",IF('ORDENES'!$N168="","-",'ORDENES'!$N168))</f>
        <v/>
      </c>
      <c r="M190" s="3">
        <f>IF('ORDENES'!$A168="","",'ORDENES'!$AA168)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IF('ORDENES'!$A169="","",IF('ORDENES'!$AC169="","-",'ORDENES'!$AC169))</f>
        <v/>
      </c>
      <c r="D191" s="3">
        <f>IF('ORDENES'!$A169="","",IF('ORDENES'!$V169="","-",'ORDENES'!$V169))</f>
        <v/>
      </c>
      <c r="E191" s="3">
        <f>IF('ORDENES'!$A169="","",IF('ORDENES'!$U169="","-",'ORDENES'!$U169))</f>
        <v/>
      </c>
      <c r="F191" s="3">
        <f>IF('ORDENES'!$A169="","",IF('ORDENES'!$W169="","-",'ORDENES'!$W169))</f>
        <v/>
      </c>
      <c r="G191" s="3">
        <f>IF('ORDENES'!$A169="","",IF('ORDENES'!$AB169="","-",'ORDENES'!$AB169))</f>
        <v/>
      </c>
      <c r="H191" s="3">
        <f>IF('ORDENES'!$A169="","",IF('ORDENES'!$AN169="","-",'ORDENES'!$AN169))</f>
        <v/>
      </c>
      <c r="I191" s="3">
        <f>IF('ORDENES'!$A169="","",IF('ORDENES'!$D169="","-",'ORDENES'!$D169))</f>
        <v/>
      </c>
      <c r="J191" s="3">
        <f>IF('ORDENES'!$A169="","",IF('ORDENES'!$E169="","-",'ORDENES'!$E169))</f>
        <v/>
      </c>
      <c r="K191" s="12">
        <f>IF('ORDENES'!$A169="","",IF('ORDENES'!$M169="",0,'ORDENES'!$M169))</f>
        <v/>
      </c>
      <c r="L191" s="3">
        <f>IF('ORDENES'!$A169="","",IF('ORDENES'!$N169="","-",'ORDENES'!$N169))</f>
        <v/>
      </c>
      <c r="M191" s="3">
        <f>IF('ORDENES'!$A169="","",'ORDENES'!$AA169)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IF('ORDENES'!$A170="","",IF('ORDENES'!$AC170="","-",'ORDENES'!$AC170))</f>
        <v/>
      </c>
      <c r="D192" s="3">
        <f>IF('ORDENES'!$A170="","",IF('ORDENES'!$V170="","-",'ORDENES'!$V170))</f>
        <v/>
      </c>
      <c r="E192" s="3">
        <f>IF('ORDENES'!$A170="","",IF('ORDENES'!$U170="","-",'ORDENES'!$U170))</f>
        <v/>
      </c>
      <c r="F192" s="3">
        <f>IF('ORDENES'!$A170="","",IF('ORDENES'!$W170="","-",'ORDENES'!$W170))</f>
        <v/>
      </c>
      <c r="G192" s="3">
        <f>IF('ORDENES'!$A170="","",IF('ORDENES'!$AB170="","-",'ORDENES'!$AB170))</f>
        <v/>
      </c>
      <c r="H192" s="3">
        <f>IF('ORDENES'!$A170="","",IF('ORDENES'!$AN170="","-",'ORDENES'!$AN170))</f>
        <v/>
      </c>
      <c r="I192" s="3">
        <f>IF('ORDENES'!$A170="","",IF('ORDENES'!$D170="","-",'ORDENES'!$D170))</f>
        <v/>
      </c>
      <c r="J192" s="3">
        <f>IF('ORDENES'!$A170="","",IF('ORDENES'!$E170="","-",'ORDENES'!$E170))</f>
        <v/>
      </c>
      <c r="K192" s="12">
        <f>IF('ORDENES'!$A170="","",IF('ORDENES'!$M170="",0,'ORDENES'!$M170))</f>
        <v/>
      </c>
      <c r="L192" s="3">
        <f>IF('ORDENES'!$A170="","",IF('ORDENES'!$N170="","-",'ORDENES'!$N170))</f>
        <v/>
      </c>
      <c r="M192" s="3">
        <f>IF('ORDENES'!$A170="","",'ORDENES'!$AA170)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IF('ORDENES'!$A171="","",IF('ORDENES'!$AC171="","-",'ORDENES'!$AC171))</f>
        <v/>
      </c>
      <c r="D193" s="3">
        <f>IF('ORDENES'!$A171="","",IF('ORDENES'!$V171="","-",'ORDENES'!$V171))</f>
        <v/>
      </c>
      <c r="E193" s="3">
        <f>IF('ORDENES'!$A171="","",IF('ORDENES'!$U171="","-",'ORDENES'!$U171))</f>
        <v/>
      </c>
      <c r="F193" s="3">
        <f>IF('ORDENES'!$A171="","",IF('ORDENES'!$W171="","-",'ORDENES'!$W171))</f>
        <v/>
      </c>
      <c r="G193" s="3">
        <f>IF('ORDENES'!$A171="","",IF('ORDENES'!$AB171="","-",'ORDENES'!$AB171))</f>
        <v/>
      </c>
      <c r="H193" s="3">
        <f>IF('ORDENES'!$A171="","",IF('ORDENES'!$AN171="","-",'ORDENES'!$AN171))</f>
        <v/>
      </c>
      <c r="I193" s="3">
        <f>IF('ORDENES'!$A171="","",IF('ORDENES'!$D171="","-",'ORDENES'!$D171))</f>
        <v/>
      </c>
      <c r="J193" s="3">
        <f>IF('ORDENES'!$A171="","",IF('ORDENES'!$E171="","-",'ORDENES'!$E171))</f>
        <v/>
      </c>
      <c r="K193" s="12">
        <f>IF('ORDENES'!$A171="","",IF('ORDENES'!$M171="",0,'ORDENES'!$M171))</f>
        <v/>
      </c>
      <c r="L193" s="3">
        <f>IF('ORDENES'!$A171="","",IF('ORDENES'!$N171="","-",'ORDENES'!$N171))</f>
        <v/>
      </c>
      <c r="M193" s="3">
        <f>IF('ORDENES'!$A171="","",'ORDENES'!$AA171)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IF('ORDENES'!$A172="","",IF('ORDENES'!$AC172="","-",'ORDENES'!$AC172))</f>
        <v/>
      </c>
      <c r="D194" s="3">
        <f>IF('ORDENES'!$A172="","",IF('ORDENES'!$V172="","-",'ORDENES'!$V172))</f>
        <v/>
      </c>
      <c r="E194" s="3">
        <f>IF('ORDENES'!$A172="","",IF('ORDENES'!$U172="","-",'ORDENES'!$U172))</f>
        <v/>
      </c>
      <c r="F194" s="3">
        <f>IF('ORDENES'!$A172="","",IF('ORDENES'!$W172="","-",'ORDENES'!$W172))</f>
        <v/>
      </c>
      <c r="G194" s="3">
        <f>IF('ORDENES'!$A172="","",IF('ORDENES'!$AB172="","-",'ORDENES'!$AB172))</f>
        <v/>
      </c>
      <c r="H194" s="3">
        <f>IF('ORDENES'!$A172="","",IF('ORDENES'!$AN172="","-",'ORDENES'!$AN172))</f>
        <v/>
      </c>
      <c r="I194" s="3">
        <f>IF('ORDENES'!$A172="","",IF('ORDENES'!$D172="","-",'ORDENES'!$D172))</f>
        <v/>
      </c>
      <c r="J194" s="3">
        <f>IF('ORDENES'!$A172="","",IF('ORDENES'!$E172="","-",'ORDENES'!$E172))</f>
        <v/>
      </c>
      <c r="K194" s="12">
        <f>IF('ORDENES'!$A172="","",IF('ORDENES'!$M172="",0,'ORDENES'!$M172))</f>
        <v/>
      </c>
      <c r="L194" s="3">
        <f>IF('ORDENES'!$A172="","",IF('ORDENES'!$N172="","-",'ORDENES'!$N172))</f>
        <v/>
      </c>
      <c r="M194" s="3">
        <f>IF('ORDENES'!$A172="","",'ORDENES'!$AA172)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IF('ORDENES'!$A173="","",IF('ORDENES'!$AC173="","-",'ORDENES'!$AC173))</f>
        <v/>
      </c>
      <c r="D195" s="3">
        <f>IF('ORDENES'!$A173="","",IF('ORDENES'!$V173="","-",'ORDENES'!$V173))</f>
        <v/>
      </c>
      <c r="E195" s="3">
        <f>IF('ORDENES'!$A173="","",IF('ORDENES'!$U173="","-",'ORDENES'!$U173))</f>
        <v/>
      </c>
      <c r="F195" s="3">
        <f>IF('ORDENES'!$A173="","",IF('ORDENES'!$W173="","-",'ORDENES'!$W173))</f>
        <v/>
      </c>
      <c r="G195" s="3">
        <f>IF('ORDENES'!$A173="","",IF('ORDENES'!$AB173="","-",'ORDENES'!$AB173))</f>
        <v/>
      </c>
      <c r="H195" s="3">
        <f>IF('ORDENES'!$A173="","",IF('ORDENES'!$AN173="","-",'ORDENES'!$AN173))</f>
        <v/>
      </c>
      <c r="I195" s="3">
        <f>IF('ORDENES'!$A173="","",IF('ORDENES'!$D173="","-",'ORDENES'!$D173))</f>
        <v/>
      </c>
      <c r="J195" s="3">
        <f>IF('ORDENES'!$A173="","",IF('ORDENES'!$E173="","-",'ORDENES'!$E173))</f>
        <v/>
      </c>
      <c r="K195" s="12">
        <f>IF('ORDENES'!$A173="","",IF('ORDENES'!$M173="",0,'ORDENES'!$M173))</f>
        <v/>
      </c>
      <c r="L195" s="3">
        <f>IF('ORDENES'!$A173="","",IF('ORDENES'!$N173="","-",'ORDENES'!$N173))</f>
        <v/>
      </c>
      <c r="M195" s="3">
        <f>IF('ORDENES'!$A173="","",'ORDENES'!$AA173)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IF('ORDENES'!$A174="","",IF('ORDENES'!$AC174="","-",'ORDENES'!$AC174))</f>
        <v/>
      </c>
      <c r="D196" s="3">
        <f>IF('ORDENES'!$A174="","",IF('ORDENES'!$V174="","-",'ORDENES'!$V174))</f>
        <v/>
      </c>
      <c r="E196" s="3">
        <f>IF('ORDENES'!$A174="","",IF('ORDENES'!$U174="","-",'ORDENES'!$U174))</f>
        <v/>
      </c>
      <c r="F196" s="3">
        <f>IF('ORDENES'!$A174="","",IF('ORDENES'!$W174="","-",'ORDENES'!$W174))</f>
        <v/>
      </c>
      <c r="G196" s="3">
        <f>IF('ORDENES'!$A174="","",IF('ORDENES'!$AB174="","-",'ORDENES'!$AB174))</f>
        <v/>
      </c>
      <c r="H196" s="3">
        <f>IF('ORDENES'!$A174="","",IF('ORDENES'!$AN174="","-",'ORDENES'!$AN174))</f>
        <v/>
      </c>
      <c r="I196" s="3">
        <f>IF('ORDENES'!$A174="","",IF('ORDENES'!$D174="","-",'ORDENES'!$D174))</f>
        <v/>
      </c>
      <c r="J196" s="3">
        <f>IF('ORDENES'!$A174="","",IF('ORDENES'!$E174="","-",'ORDENES'!$E174))</f>
        <v/>
      </c>
      <c r="K196" s="12">
        <f>IF('ORDENES'!$A174="","",IF('ORDENES'!$M174="",0,'ORDENES'!$M174))</f>
        <v/>
      </c>
      <c r="L196" s="3">
        <f>IF('ORDENES'!$A174="","",IF('ORDENES'!$N174="","-",'ORDENES'!$N174))</f>
        <v/>
      </c>
      <c r="M196" s="3">
        <f>IF('ORDENES'!$A174="","",'ORDENES'!$AA174)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IF('ORDENES'!$A175="","",IF('ORDENES'!$AC175="","-",'ORDENES'!$AC175))</f>
        <v/>
      </c>
      <c r="D197" s="3">
        <f>IF('ORDENES'!$A175="","",IF('ORDENES'!$V175="","-",'ORDENES'!$V175))</f>
        <v/>
      </c>
      <c r="E197" s="3">
        <f>IF('ORDENES'!$A175="","",IF('ORDENES'!$U175="","-",'ORDENES'!$U175))</f>
        <v/>
      </c>
      <c r="F197" s="3">
        <f>IF('ORDENES'!$A175="","",IF('ORDENES'!$W175="","-",'ORDENES'!$W175))</f>
        <v/>
      </c>
      <c r="G197" s="3">
        <f>IF('ORDENES'!$A175="","",IF('ORDENES'!$AB175="","-",'ORDENES'!$AB175))</f>
        <v/>
      </c>
      <c r="H197" s="3">
        <f>IF('ORDENES'!$A175="","",IF('ORDENES'!$AN175="","-",'ORDENES'!$AN175))</f>
        <v/>
      </c>
      <c r="I197" s="3">
        <f>IF('ORDENES'!$A175="","",IF('ORDENES'!$D175="","-",'ORDENES'!$D175))</f>
        <v/>
      </c>
      <c r="J197" s="3">
        <f>IF('ORDENES'!$A175="","",IF('ORDENES'!$E175="","-",'ORDENES'!$E175))</f>
        <v/>
      </c>
      <c r="K197" s="12">
        <f>IF('ORDENES'!$A175="","",IF('ORDENES'!$M175="",0,'ORDENES'!$M175))</f>
        <v/>
      </c>
      <c r="L197" s="3">
        <f>IF('ORDENES'!$A175="","",IF('ORDENES'!$N175="","-",'ORDENES'!$N175))</f>
        <v/>
      </c>
      <c r="M197" s="3">
        <f>IF('ORDENES'!$A175="","",'ORDENES'!$AA175)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IF('ORDENES'!$A176="","",IF('ORDENES'!$AC176="","-",'ORDENES'!$AC176))</f>
        <v/>
      </c>
      <c r="D198" s="3">
        <f>IF('ORDENES'!$A176="","",IF('ORDENES'!$V176="","-",'ORDENES'!$V176))</f>
        <v/>
      </c>
      <c r="E198" s="3">
        <f>IF('ORDENES'!$A176="","",IF('ORDENES'!$U176="","-",'ORDENES'!$U176))</f>
        <v/>
      </c>
      <c r="F198" s="3">
        <f>IF('ORDENES'!$A176="","",IF('ORDENES'!$W176="","-",'ORDENES'!$W176))</f>
        <v/>
      </c>
      <c r="G198" s="3">
        <f>IF('ORDENES'!$A176="","",IF('ORDENES'!$AB176="","-",'ORDENES'!$AB176))</f>
        <v/>
      </c>
      <c r="H198" s="3">
        <f>IF('ORDENES'!$A176="","",IF('ORDENES'!$AN176="","-",'ORDENES'!$AN176))</f>
        <v/>
      </c>
      <c r="I198" s="3">
        <f>IF('ORDENES'!$A176="","",IF('ORDENES'!$D176="","-",'ORDENES'!$D176))</f>
        <v/>
      </c>
      <c r="J198" s="3">
        <f>IF('ORDENES'!$A176="","",IF('ORDENES'!$E176="","-",'ORDENES'!$E176))</f>
        <v/>
      </c>
      <c r="K198" s="12">
        <f>IF('ORDENES'!$A176="","",IF('ORDENES'!$M176="",0,'ORDENES'!$M176))</f>
        <v/>
      </c>
      <c r="L198" s="3">
        <f>IF('ORDENES'!$A176="","",IF('ORDENES'!$N176="","-",'ORDENES'!$N176))</f>
        <v/>
      </c>
      <c r="M198" s="3">
        <f>IF('ORDENES'!$A176="","",'ORDENES'!$AA176)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IF('ORDENES'!$A177="","",IF('ORDENES'!$AC177="","-",'ORDENES'!$AC177))</f>
        <v/>
      </c>
      <c r="D199" s="3">
        <f>IF('ORDENES'!$A177="","",IF('ORDENES'!$V177="","-",'ORDENES'!$V177))</f>
        <v/>
      </c>
      <c r="E199" s="3">
        <f>IF('ORDENES'!$A177="","",IF('ORDENES'!$U177="","-",'ORDENES'!$U177))</f>
        <v/>
      </c>
      <c r="F199" s="3">
        <f>IF('ORDENES'!$A177="","",IF('ORDENES'!$W177="","-",'ORDENES'!$W177))</f>
        <v/>
      </c>
      <c r="G199" s="3">
        <f>IF('ORDENES'!$A177="","",IF('ORDENES'!$AB177="","-",'ORDENES'!$AB177))</f>
        <v/>
      </c>
      <c r="H199" s="3">
        <f>IF('ORDENES'!$A177="","",IF('ORDENES'!$AN177="","-",'ORDENES'!$AN177))</f>
        <v/>
      </c>
      <c r="I199" s="3">
        <f>IF('ORDENES'!$A177="","",IF('ORDENES'!$D177="","-",'ORDENES'!$D177))</f>
        <v/>
      </c>
      <c r="J199" s="3">
        <f>IF('ORDENES'!$A177="","",IF('ORDENES'!$E177="","-",'ORDENES'!$E177))</f>
        <v/>
      </c>
      <c r="K199" s="12">
        <f>IF('ORDENES'!$A177="","",IF('ORDENES'!$M177="",0,'ORDENES'!$M177))</f>
        <v/>
      </c>
      <c r="L199" s="3">
        <f>IF('ORDENES'!$A177="","",IF('ORDENES'!$N177="","-",'ORDENES'!$N177))</f>
        <v/>
      </c>
      <c r="M199" s="3">
        <f>IF('ORDENES'!$A177="","",'ORDENES'!$AA177)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IF('ORDENES'!$A178="","",IF('ORDENES'!$AC178="","-",'ORDENES'!$AC178))</f>
        <v/>
      </c>
      <c r="D200" s="3">
        <f>IF('ORDENES'!$A178="","",IF('ORDENES'!$V178="","-",'ORDENES'!$V178))</f>
        <v/>
      </c>
      <c r="E200" s="3">
        <f>IF('ORDENES'!$A178="","",IF('ORDENES'!$U178="","-",'ORDENES'!$U178))</f>
        <v/>
      </c>
      <c r="F200" s="3">
        <f>IF('ORDENES'!$A178="","",IF('ORDENES'!$W178="","-",'ORDENES'!$W178))</f>
        <v/>
      </c>
      <c r="G200" s="3">
        <f>IF('ORDENES'!$A178="","",IF('ORDENES'!$AB178="","-",'ORDENES'!$AB178))</f>
        <v/>
      </c>
      <c r="H200" s="3">
        <f>IF('ORDENES'!$A178="","",IF('ORDENES'!$AN178="","-",'ORDENES'!$AN178))</f>
        <v/>
      </c>
      <c r="I200" s="3">
        <f>IF('ORDENES'!$A178="","",IF('ORDENES'!$D178="","-",'ORDENES'!$D178))</f>
        <v/>
      </c>
      <c r="J200" s="3">
        <f>IF('ORDENES'!$A178="","",IF('ORDENES'!$E178="","-",'ORDENES'!$E178))</f>
        <v/>
      </c>
      <c r="K200" s="12">
        <f>IF('ORDENES'!$A178="","",IF('ORDENES'!$M178="",0,'ORDENES'!$M178))</f>
        <v/>
      </c>
      <c r="L200" s="3">
        <f>IF('ORDENES'!$A178="","",IF('ORDENES'!$N178="","-",'ORDENES'!$N178))</f>
        <v/>
      </c>
      <c r="M200" s="3">
        <f>IF('ORDENES'!$A178="","",'ORDENES'!$AA178)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IF('ORDENES'!$A179="","",IF('ORDENES'!$AC179="","-",'ORDENES'!$AC179))</f>
        <v/>
      </c>
      <c r="D201" s="3">
        <f>IF('ORDENES'!$A179="","",IF('ORDENES'!$V179="","-",'ORDENES'!$V179))</f>
        <v/>
      </c>
      <c r="E201" s="3">
        <f>IF('ORDENES'!$A179="","",IF('ORDENES'!$U179="","-",'ORDENES'!$U179))</f>
        <v/>
      </c>
      <c r="F201" s="3">
        <f>IF('ORDENES'!$A179="","",IF('ORDENES'!$W179="","-",'ORDENES'!$W179))</f>
        <v/>
      </c>
      <c r="G201" s="3">
        <f>IF('ORDENES'!$A179="","",IF('ORDENES'!$AB179="","-",'ORDENES'!$AB179))</f>
        <v/>
      </c>
      <c r="H201" s="3">
        <f>IF('ORDENES'!$A179="","",IF('ORDENES'!$AN179="","-",'ORDENES'!$AN179))</f>
        <v/>
      </c>
      <c r="I201" s="3">
        <f>IF('ORDENES'!$A179="","",IF('ORDENES'!$D179="","-",'ORDENES'!$D179))</f>
        <v/>
      </c>
      <c r="J201" s="3">
        <f>IF('ORDENES'!$A179="","",IF('ORDENES'!$E179="","-",'ORDENES'!$E179))</f>
        <v/>
      </c>
      <c r="K201" s="12">
        <f>IF('ORDENES'!$A179="","",IF('ORDENES'!$M179="",0,'ORDENES'!$M179))</f>
        <v/>
      </c>
      <c r="L201" s="3">
        <f>IF('ORDENES'!$A179="","",IF('ORDENES'!$N179="","-",'ORDENES'!$N179))</f>
        <v/>
      </c>
      <c r="M201" s="3">
        <f>IF('ORDENES'!$A179="","",'ORDENES'!$AA179)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IF('ORDENES'!$A180="","",IF('ORDENES'!$AC180="","-",'ORDENES'!$AC180))</f>
        <v/>
      </c>
      <c r="D202" s="3">
        <f>IF('ORDENES'!$A180="","",IF('ORDENES'!$V180="","-",'ORDENES'!$V180))</f>
        <v/>
      </c>
      <c r="E202" s="3">
        <f>IF('ORDENES'!$A180="","",IF('ORDENES'!$U180="","-",'ORDENES'!$U180))</f>
        <v/>
      </c>
      <c r="F202" s="3">
        <f>IF('ORDENES'!$A180="","",IF('ORDENES'!$W180="","-",'ORDENES'!$W180))</f>
        <v/>
      </c>
      <c r="G202" s="3">
        <f>IF('ORDENES'!$A180="","",IF('ORDENES'!$AB180="","-",'ORDENES'!$AB180))</f>
        <v/>
      </c>
      <c r="H202" s="3">
        <f>IF('ORDENES'!$A180="","",IF('ORDENES'!$AN180="","-",'ORDENES'!$AN180))</f>
        <v/>
      </c>
      <c r="I202" s="3">
        <f>IF('ORDENES'!$A180="","",IF('ORDENES'!$D180="","-",'ORDENES'!$D180))</f>
        <v/>
      </c>
      <c r="J202" s="3">
        <f>IF('ORDENES'!$A180="","",IF('ORDENES'!$E180="","-",'ORDENES'!$E180))</f>
        <v/>
      </c>
      <c r="K202" s="12">
        <f>IF('ORDENES'!$A180="","",IF('ORDENES'!$M180="",0,'ORDENES'!$M180))</f>
        <v/>
      </c>
      <c r="L202" s="3">
        <f>IF('ORDENES'!$A180="","",IF('ORDENES'!$N180="","-",'ORDENES'!$N180))</f>
        <v/>
      </c>
      <c r="M202" s="3">
        <f>IF('ORDENES'!$A180="","",'ORDENES'!$AA180)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IF('ORDENES'!$A181="","",IF('ORDENES'!$AC181="","-",'ORDENES'!$AC181))</f>
        <v/>
      </c>
      <c r="D203" s="3">
        <f>IF('ORDENES'!$A181="","",IF('ORDENES'!$V181="","-",'ORDENES'!$V181))</f>
        <v/>
      </c>
      <c r="E203" s="3">
        <f>IF('ORDENES'!$A181="","",IF('ORDENES'!$U181="","-",'ORDENES'!$U181))</f>
        <v/>
      </c>
      <c r="F203" s="3">
        <f>IF('ORDENES'!$A181="","",IF('ORDENES'!$W181="","-",'ORDENES'!$W181))</f>
        <v/>
      </c>
      <c r="G203" s="3">
        <f>IF('ORDENES'!$A181="","",IF('ORDENES'!$AB181="","-",'ORDENES'!$AB181))</f>
        <v/>
      </c>
      <c r="H203" s="3">
        <f>IF('ORDENES'!$A181="","",IF('ORDENES'!$AN181="","-",'ORDENES'!$AN181))</f>
        <v/>
      </c>
      <c r="I203" s="3">
        <f>IF('ORDENES'!$A181="","",IF('ORDENES'!$D181="","-",'ORDENES'!$D181))</f>
        <v/>
      </c>
      <c r="J203" s="3">
        <f>IF('ORDENES'!$A181="","",IF('ORDENES'!$E181="","-",'ORDENES'!$E181))</f>
        <v/>
      </c>
      <c r="K203" s="12">
        <f>IF('ORDENES'!$A181="","",IF('ORDENES'!$M181="",0,'ORDENES'!$M181))</f>
        <v/>
      </c>
      <c r="L203" s="3">
        <f>IF('ORDENES'!$A181="","",IF('ORDENES'!$N181="","-",'ORDENES'!$N181))</f>
        <v/>
      </c>
      <c r="M203" s="3">
        <f>IF('ORDENES'!$A181="","",'ORDENES'!$AA181)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IF('ORDENES'!$A182="","",IF('ORDENES'!$AC182="","-",'ORDENES'!$AC182))</f>
        <v/>
      </c>
      <c r="D204" s="3">
        <f>IF('ORDENES'!$A182="","",IF('ORDENES'!$V182="","-",'ORDENES'!$V182))</f>
        <v/>
      </c>
      <c r="E204" s="3">
        <f>IF('ORDENES'!$A182="","",IF('ORDENES'!$U182="","-",'ORDENES'!$U182))</f>
        <v/>
      </c>
      <c r="F204" s="3">
        <f>IF('ORDENES'!$A182="","",IF('ORDENES'!$W182="","-",'ORDENES'!$W182))</f>
        <v/>
      </c>
      <c r="G204" s="3">
        <f>IF('ORDENES'!$A182="","",IF('ORDENES'!$AB182="","-",'ORDENES'!$AB182))</f>
        <v/>
      </c>
      <c r="H204" s="3">
        <f>IF('ORDENES'!$A182="","",IF('ORDENES'!$AN182="","-",'ORDENES'!$AN182))</f>
        <v/>
      </c>
      <c r="I204" s="3">
        <f>IF('ORDENES'!$A182="","",IF('ORDENES'!$D182="","-",'ORDENES'!$D182))</f>
        <v/>
      </c>
      <c r="J204" s="3">
        <f>IF('ORDENES'!$A182="","",IF('ORDENES'!$E182="","-",'ORDENES'!$E182))</f>
        <v/>
      </c>
      <c r="K204" s="12">
        <f>IF('ORDENES'!$A182="","",IF('ORDENES'!$M182="",0,'ORDENES'!$M182))</f>
        <v/>
      </c>
      <c r="L204" s="3">
        <f>IF('ORDENES'!$A182="","",IF('ORDENES'!$N182="","-",'ORDENES'!$N182))</f>
        <v/>
      </c>
      <c r="M204" s="3">
        <f>IF('ORDENES'!$A182="","",'ORDENES'!$AA182)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IF('ORDENES'!$A183="","",IF('ORDENES'!$AC183="","-",'ORDENES'!$AC183))</f>
        <v/>
      </c>
      <c r="D205" s="3">
        <f>IF('ORDENES'!$A183="","",IF('ORDENES'!$V183="","-",'ORDENES'!$V183))</f>
        <v/>
      </c>
      <c r="E205" s="3">
        <f>IF('ORDENES'!$A183="","",IF('ORDENES'!$U183="","-",'ORDENES'!$U183))</f>
        <v/>
      </c>
      <c r="F205" s="3">
        <f>IF('ORDENES'!$A183="","",IF('ORDENES'!$W183="","-",'ORDENES'!$W183))</f>
        <v/>
      </c>
      <c r="G205" s="3">
        <f>IF('ORDENES'!$A183="","",IF('ORDENES'!$AB183="","-",'ORDENES'!$AB183))</f>
        <v/>
      </c>
      <c r="H205" s="3">
        <f>IF('ORDENES'!$A183="","",IF('ORDENES'!$AN183="","-",'ORDENES'!$AN183))</f>
        <v/>
      </c>
      <c r="I205" s="3">
        <f>IF('ORDENES'!$A183="","",IF('ORDENES'!$D183="","-",'ORDENES'!$D183))</f>
        <v/>
      </c>
      <c r="J205" s="3">
        <f>IF('ORDENES'!$A183="","",IF('ORDENES'!$E183="","-",'ORDENES'!$E183))</f>
        <v/>
      </c>
      <c r="K205" s="12">
        <f>IF('ORDENES'!$A183="","",IF('ORDENES'!$M183="",0,'ORDENES'!$M183))</f>
        <v/>
      </c>
      <c r="L205" s="3">
        <f>IF('ORDENES'!$A183="","",IF('ORDENES'!$N183="","-",'ORDENES'!$N183))</f>
        <v/>
      </c>
      <c r="M205" s="3">
        <f>IF('ORDENES'!$A183="","",'ORDENES'!$AA183)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IF('ORDENES'!$A184="","",IF('ORDENES'!$AC184="","-",'ORDENES'!$AC184))</f>
        <v/>
      </c>
      <c r="D206" s="3">
        <f>IF('ORDENES'!$A184="","",IF('ORDENES'!$V184="","-",'ORDENES'!$V184))</f>
        <v/>
      </c>
      <c r="E206" s="3">
        <f>IF('ORDENES'!$A184="","",IF('ORDENES'!$U184="","-",'ORDENES'!$U184))</f>
        <v/>
      </c>
      <c r="F206" s="3">
        <f>IF('ORDENES'!$A184="","",IF('ORDENES'!$W184="","-",'ORDENES'!$W184))</f>
        <v/>
      </c>
      <c r="G206" s="3">
        <f>IF('ORDENES'!$A184="","",IF('ORDENES'!$AB184="","-",'ORDENES'!$AB184))</f>
        <v/>
      </c>
      <c r="H206" s="3">
        <f>IF('ORDENES'!$A184="","",IF('ORDENES'!$AN184="","-",'ORDENES'!$AN184))</f>
        <v/>
      </c>
      <c r="I206" s="3">
        <f>IF('ORDENES'!$A184="","",IF('ORDENES'!$D184="","-",'ORDENES'!$D184))</f>
        <v/>
      </c>
      <c r="J206" s="3">
        <f>IF('ORDENES'!$A184="","",IF('ORDENES'!$E184="","-",'ORDENES'!$E184))</f>
        <v/>
      </c>
      <c r="K206" s="12">
        <f>IF('ORDENES'!$A184="","",IF('ORDENES'!$M184="",0,'ORDENES'!$M184))</f>
        <v/>
      </c>
      <c r="L206" s="3">
        <f>IF('ORDENES'!$A184="","",IF('ORDENES'!$N184="","-",'ORDENES'!$N184))</f>
        <v/>
      </c>
      <c r="M206" s="3">
        <f>IF('ORDENES'!$A184="","",'ORDENES'!$AA184)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IF('ORDENES'!$A185="","",IF('ORDENES'!$AC185="","-",'ORDENES'!$AC185))</f>
        <v/>
      </c>
      <c r="D207" s="3">
        <f>IF('ORDENES'!$A185="","",IF('ORDENES'!$V185="","-",'ORDENES'!$V185))</f>
        <v/>
      </c>
      <c r="E207" s="3">
        <f>IF('ORDENES'!$A185="","",IF('ORDENES'!$U185="","-",'ORDENES'!$U185))</f>
        <v/>
      </c>
      <c r="F207" s="3">
        <f>IF('ORDENES'!$A185="","",IF('ORDENES'!$W185="","-",'ORDENES'!$W185))</f>
        <v/>
      </c>
      <c r="G207" s="3">
        <f>IF('ORDENES'!$A185="","",IF('ORDENES'!$AB185="","-",'ORDENES'!$AB185))</f>
        <v/>
      </c>
      <c r="H207" s="3">
        <f>IF('ORDENES'!$A185="","",IF('ORDENES'!$AN185="","-",'ORDENES'!$AN185))</f>
        <v/>
      </c>
      <c r="I207" s="3">
        <f>IF('ORDENES'!$A185="","",IF('ORDENES'!$D185="","-",'ORDENES'!$D185))</f>
        <v/>
      </c>
      <c r="J207" s="3">
        <f>IF('ORDENES'!$A185="","",IF('ORDENES'!$E185="","-",'ORDENES'!$E185))</f>
        <v/>
      </c>
      <c r="K207" s="12">
        <f>IF('ORDENES'!$A185="","",IF('ORDENES'!$M185="",0,'ORDENES'!$M185))</f>
        <v/>
      </c>
      <c r="L207" s="3">
        <f>IF('ORDENES'!$A185="","",IF('ORDENES'!$N185="","-",'ORDENES'!$N185))</f>
        <v/>
      </c>
      <c r="M207" s="3">
        <f>IF('ORDENES'!$A185="","",'ORDENES'!$AA185)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IF('ORDENES'!$A186="","",IF('ORDENES'!$AC186="","-",'ORDENES'!$AC186))</f>
        <v/>
      </c>
      <c r="D208" s="3">
        <f>IF('ORDENES'!$A186="","",IF('ORDENES'!$V186="","-",'ORDENES'!$V186))</f>
        <v/>
      </c>
      <c r="E208" s="3">
        <f>IF('ORDENES'!$A186="","",IF('ORDENES'!$U186="","-",'ORDENES'!$U186))</f>
        <v/>
      </c>
      <c r="F208" s="3">
        <f>IF('ORDENES'!$A186="","",IF('ORDENES'!$W186="","-",'ORDENES'!$W186))</f>
        <v/>
      </c>
      <c r="G208" s="3">
        <f>IF('ORDENES'!$A186="","",IF('ORDENES'!$AB186="","-",'ORDENES'!$AB186))</f>
        <v/>
      </c>
      <c r="H208" s="3">
        <f>IF('ORDENES'!$A186="","",IF('ORDENES'!$AN186="","-",'ORDENES'!$AN186))</f>
        <v/>
      </c>
      <c r="I208" s="3">
        <f>IF('ORDENES'!$A186="","",IF('ORDENES'!$D186="","-",'ORDENES'!$D186))</f>
        <v/>
      </c>
      <c r="J208" s="3">
        <f>IF('ORDENES'!$A186="","",IF('ORDENES'!$E186="","-",'ORDENES'!$E186))</f>
        <v/>
      </c>
      <c r="K208" s="12">
        <f>IF('ORDENES'!$A186="","",IF('ORDENES'!$M186="",0,'ORDENES'!$M186))</f>
        <v/>
      </c>
      <c r="L208" s="3">
        <f>IF('ORDENES'!$A186="","",IF('ORDENES'!$N186="","-",'ORDENES'!$N186))</f>
        <v/>
      </c>
      <c r="M208" s="3">
        <f>IF('ORDENES'!$A186="","",'ORDENES'!$AA186)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IF('ORDENES'!$A187="","",IF('ORDENES'!$AC187="","-",'ORDENES'!$AC187))</f>
        <v/>
      </c>
      <c r="D209" s="3">
        <f>IF('ORDENES'!$A187="","",IF('ORDENES'!$V187="","-",'ORDENES'!$V187))</f>
        <v/>
      </c>
      <c r="E209" s="3">
        <f>IF('ORDENES'!$A187="","",IF('ORDENES'!$U187="","-",'ORDENES'!$U187))</f>
        <v/>
      </c>
      <c r="F209" s="3">
        <f>IF('ORDENES'!$A187="","",IF('ORDENES'!$W187="","-",'ORDENES'!$W187))</f>
        <v/>
      </c>
      <c r="G209" s="3">
        <f>IF('ORDENES'!$A187="","",IF('ORDENES'!$AB187="","-",'ORDENES'!$AB187))</f>
        <v/>
      </c>
      <c r="H209" s="3">
        <f>IF('ORDENES'!$A187="","",IF('ORDENES'!$AN187="","-",'ORDENES'!$AN187))</f>
        <v/>
      </c>
      <c r="I209" s="3">
        <f>IF('ORDENES'!$A187="","",IF('ORDENES'!$D187="","-",'ORDENES'!$D187))</f>
        <v/>
      </c>
      <c r="J209" s="3">
        <f>IF('ORDENES'!$A187="","",IF('ORDENES'!$E187="","-",'ORDENES'!$E187))</f>
        <v/>
      </c>
      <c r="K209" s="12">
        <f>IF('ORDENES'!$A187="","",IF('ORDENES'!$M187="",0,'ORDENES'!$M187))</f>
        <v/>
      </c>
      <c r="L209" s="3">
        <f>IF('ORDENES'!$A187="","",IF('ORDENES'!$N187="","-",'ORDENES'!$N187))</f>
        <v/>
      </c>
      <c r="M209" s="3">
        <f>IF('ORDENES'!$A187="","",'ORDENES'!$AA187)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IF('ORDENES'!$A188="","",IF('ORDENES'!$AC188="","-",'ORDENES'!$AC188))</f>
        <v/>
      </c>
      <c r="D210" s="3">
        <f>IF('ORDENES'!$A188="","",IF('ORDENES'!$V188="","-",'ORDENES'!$V188))</f>
        <v/>
      </c>
      <c r="E210" s="3">
        <f>IF('ORDENES'!$A188="","",IF('ORDENES'!$U188="","-",'ORDENES'!$U188))</f>
        <v/>
      </c>
      <c r="F210" s="3">
        <f>IF('ORDENES'!$A188="","",IF('ORDENES'!$W188="","-",'ORDENES'!$W188))</f>
        <v/>
      </c>
      <c r="G210" s="3">
        <f>IF('ORDENES'!$A188="","",IF('ORDENES'!$AB188="","-",'ORDENES'!$AB188))</f>
        <v/>
      </c>
      <c r="H210" s="3">
        <f>IF('ORDENES'!$A188="","",IF('ORDENES'!$AN188="","-",'ORDENES'!$AN188))</f>
        <v/>
      </c>
      <c r="I210" s="3">
        <f>IF('ORDENES'!$A188="","",IF('ORDENES'!$D188="","-",'ORDENES'!$D188))</f>
        <v/>
      </c>
      <c r="J210" s="3">
        <f>IF('ORDENES'!$A188="","",IF('ORDENES'!$E188="","-",'ORDENES'!$E188))</f>
        <v/>
      </c>
      <c r="K210" s="12">
        <f>IF('ORDENES'!$A188="","",IF('ORDENES'!$M188="",0,'ORDENES'!$M188))</f>
        <v/>
      </c>
      <c r="L210" s="3">
        <f>IF('ORDENES'!$A188="","",IF('ORDENES'!$N188="","-",'ORDENES'!$N188))</f>
        <v/>
      </c>
      <c r="M210" s="3">
        <f>IF('ORDENES'!$A188="","",'ORDENES'!$AA188)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IF('ORDENES'!$A189="","",IF('ORDENES'!$AC189="","-",'ORDENES'!$AC189))</f>
        <v/>
      </c>
      <c r="D211" s="3">
        <f>IF('ORDENES'!$A189="","",IF('ORDENES'!$V189="","-",'ORDENES'!$V189))</f>
        <v/>
      </c>
      <c r="E211" s="3">
        <f>IF('ORDENES'!$A189="","",IF('ORDENES'!$U189="","-",'ORDENES'!$U189))</f>
        <v/>
      </c>
      <c r="F211" s="3">
        <f>IF('ORDENES'!$A189="","",IF('ORDENES'!$W189="","-",'ORDENES'!$W189))</f>
        <v/>
      </c>
      <c r="G211" s="3">
        <f>IF('ORDENES'!$A189="","",IF('ORDENES'!$AB189="","-",'ORDENES'!$AB189))</f>
        <v/>
      </c>
      <c r="H211" s="3">
        <f>IF('ORDENES'!$A189="","",IF('ORDENES'!$AN189="","-",'ORDENES'!$AN189))</f>
        <v/>
      </c>
      <c r="I211" s="3">
        <f>IF('ORDENES'!$A189="","",IF('ORDENES'!$D189="","-",'ORDENES'!$D189))</f>
        <v/>
      </c>
      <c r="J211" s="3">
        <f>IF('ORDENES'!$A189="","",IF('ORDENES'!$E189="","-",'ORDENES'!$E189))</f>
        <v/>
      </c>
      <c r="K211" s="12">
        <f>IF('ORDENES'!$A189="","",IF('ORDENES'!$M189="",0,'ORDENES'!$M189))</f>
        <v/>
      </c>
      <c r="L211" s="3">
        <f>IF('ORDENES'!$A189="","",IF('ORDENES'!$N189="","-",'ORDENES'!$N189))</f>
        <v/>
      </c>
      <c r="M211" s="3">
        <f>IF('ORDENES'!$A189="","",'ORDENES'!$AA189)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IF('ORDENES'!$A190="","",IF('ORDENES'!$AC190="","-",'ORDENES'!$AC190))</f>
        <v/>
      </c>
      <c r="D212" s="3">
        <f>IF('ORDENES'!$A190="","",IF('ORDENES'!$V190="","-",'ORDENES'!$V190))</f>
        <v/>
      </c>
      <c r="E212" s="3">
        <f>IF('ORDENES'!$A190="","",IF('ORDENES'!$U190="","-",'ORDENES'!$U190))</f>
        <v/>
      </c>
      <c r="F212" s="3">
        <f>IF('ORDENES'!$A190="","",IF('ORDENES'!$W190="","-",'ORDENES'!$W190))</f>
        <v/>
      </c>
      <c r="G212" s="3">
        <f>IF('ORDENES'!$A190="","",IF('ORDENES'!$AB190="","-",'ORDENES'!$AB190))</f>
        <v/>
      </c>
      <c r="H212" s="3">
        <f>IF('ORDENES'!$A190="","",IF('ORDENES'!$AN190="","-",'ORDENES'!$AN190))</f>
        <v/>
      </c>
      <c r="I212" s="3">
        <f>IF('ORDENES'!$A190="","",IF('ORDENES'!$D190="","-",'ORDENES'!$D190))</f>
        <v/>
      </c>
      <c r="J212" s="3">
        <f>IF('ORDENES'!$A190="","",IF('ORDENES'!$E190="","-",'ORDENES'!$E190))</f>
        <v/>
      </c>
      <c r="K212" s="12">
        <f>IF('ORDENES'!$A190="","",IF('ORDENES'!$M190="",0,'ORDENES'!$M190))</f>
        <v/>
      </c>
      <c r="L212" s="3">
        <f>IF('ORDENES'!$A190="","",IF('ORDENES'!$N190="","-",'ORDENES'!$N190))</f>
        <v/>
      </c>
      <c r="M212" s="3">
        <f>IF('ORDENES'!$A190="","",'ORDENES'!$AA190)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IF('ORDENES'!$A191="","",IF('ORDENES'!$AC191="","-",'ORDENES'!$AC191))</f>
        <v/>
      </c>
      <c r="D213" s="3">
        <f>IF('ORDENES'!$A191="","",IF('ORDENES'!$V191="","-",'ORDENES'!$V191))</f>
        <v/>
      </c>
      <c r="E213" s="3">
        <f>IF('ORDENES'!$A191="","",IF('ORDENES'!$U191="","-",'ORDENES'!$U191))</f>
        <v/>
      </c>
      <c r="F213" s="3">
        <f>IF('ORDENES'!$A191="","",IF('ORDENES'!$W191="","-",'ORDENES'!$W191))</f>
        <v/>
      </c>
      <c r="G213" s="3">
        <f>IF('ORDENES'!$A191="","",IF('ORDENES'!$AB191="","-",'ORDENES'!$AB191))</f>
        <v/>
      </c>
      <c r="H213" s="3">
        <f>IF('ORDENES'!$A191="","",IF('ORDENES'!$AN191="","-",'ORDENES'!$AN191))</f>
        <v/>
      </c>
      <c r="I213" s="3">
        <f>IF('ORDENES'!$A191="","",IF('ORDENES'!$D191="","-",'ORDENES'!$D191))</f>
        <v/>
      </c>
      <c r="J213" s="3">
        <f>IF('ORDENES'!$A191="","",IF('ORDENES'!$E191="","-",'ORDENES'!$E191))</f>
        <v/>
      </c>
      <c r="K213" s="12">
        <f>IF('ORDENES'!$A191="","",IF('ORDENES'!$M191="",0,'ORDENES'!$M191))</f>
        <v/>
      </c>
      <c r="L213" s="3">
        <f>IF('ORDENES'!$A191="","",IF('ORDENES'!$N191="","-",'ORDENES'!$N191))</f>
        <v/>
      </c>
      <c r="M213" s="3">
        <f>IF('ORDENES'!$A191="","",'ORDENES'!$AA191)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IF('ORDENES'!$A192="","",IF('ORDENES'!$AC192="","-",'ORDENES'!$AC192))</f>
        <v/>
      </c>
      <c r="D214" s="3">
        <f>IF('ORDENES'!$A192="","",IF('ORDENES'!$V192="","-",'ORDENES'!$V192))</f>
        <v/>
      </c>
      <c r="E214" s="3">
        <f>IF('ORDENES'!$A192="","",IF('ORDENES'!$U192="","-",'ORDENES'!$U192))</f>
        <v/>
      </c>
      <c r="F214" s="3">
        <f>IF('ORDENES'!$A192="","",IF('ORDENES'!$W192="","-",'ORDENES'!$W192))</f>
        <v/>
      </c>
      <c r="G214" s="3">
        <f>IF('ORDENES'!$A192="","",IF('ORDENES'!$AB192="","-",'ORDENES'!$AB192))</f>
        <v/>
      </c>
      <c r="H214" s="3">
        <f>IF('ORDENES'!$A192="","",IF('ORDENES'!$AN192="","-",'ORDENES'!$AN192))</f>
        <v/>
      </c>
      <c r="I214" s="3">
        <f>IF('ORDENES'!$A192="","",IF('ORDENES'!$D192="","-",'ORDENES'!$D192))</f>
        <v/>
      </c>
      <c r="J214" s="3">
        <f>IF('ORDENES'!$A192="","",IF('ORDENES'!$E192="","-",'ORDENES'!$E192))</f>
        <v/>
      </c>
      <c r="K214" s="12">
        <f>IF('ORDENES'!$A192="","",IF('ORDENES'!$M192="",0,'ORDENES'!$M192))</f>
        <v/>
      </c>
      <c r="L214" s="3">
        <f>IF('ORDENES'!$A192="","",IF('ORDENES'!$N192="","-",'ORDENES'!$N192))</f>
        <v/>
      </c>
      <c r="M214" s="3">
        <f>IF('ORDENES'!$A192="","",'ORDENES'!$AA192)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IF('ORDENES'!$A193="","",IF('ORDENES'!$AC193="","-",'ORDENES'!$AC193))</f>
        <v/>
      </c>
      <c r="D215" s="3">
        <f>IF('ORDENES'!$A193="","",IF('ORDENES'!$V193="","-",'ORDENES'!$V193))</f>
        <v/>
      </c>
      <c r="E215" s="3">
        <f>IF('ORDENES'!$A193="","",IF('ORDENES'!$U193="","-",'ORDENES'!$U193))</f>
        <v/>
      </c>
      <c r="F215" s="3">
        <f>IF('ORDENES'!$A193="","",IF('ORDENES'!$W193="","-",'ORDENES'!$W193))</f>
        <v/>
      </c>
      <c r="G215" s="3">
        <f>IF('ORDENES'!$A193="","",IF('ORDENES'!$AB193="","-",'ORDENES'!$AB193))</f>
        <v/>
      </c>
      <c r="H215" s="3">
        <f>IF('ORDENES'!$A193="","",IF('ORDENES'!$AN193="","-",'ORDENES'!$AN193))</f>
        <v/>
      </c>
      <c r="I215" s="3">
        <f>IF('ORDENES'!$A193="","",IF('ORDENES'!$D193="","-",'ORDENES'!$D193))</f>
        <v/>
      </c>
      <c r="J215" s="3">
        <f>IF('ORDENES'!$A193="","",IF('ORDENES'!$E193="","-",'ORDENES'!$E193))</f>
        <v/>
      </c>
      <c r="K215" s="12">
        <f>IF('ORDENES'!$A193="","",IF('ORDENES'!$M193="",0,'ORDENES'!$M193))</f>
        <v/>
      </c>
      <c r="L215" s="3">
        <f>IF('ORDENES'!$A193="","",IF('ORDENES'!$N193="","-",'ORDENES'!$N193))</f>
        <v/>
      </c>
      <c r="M215" s="3">
        <f>IF('ORDENES'!$A193="","",'ORDENES'!$AA193)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IF('ORDENES'!$A194="","",IF('ORDENES'!$AC194="","-",'ORDENES'!$AC194))</f>
        <v/>
      </c>
      <c r="D216" s="3">
        <f>IF('ORDENES'!$A194="","",IF('ORDENES'!$V194="","-",'ORDENES'!$V194))</f>
        <v/>
      </c>
      <c r="E216" s="3">
        <f>IF('ORDENES'!$A194="","",IF('ORDENES'!$U194="","-",'ORDENES'!$U194))</f>
        <v/>
      </c>
      <c r="F216" s="3">
        <f>IF('ORDENES'!$A194="","",IF('ORDENES'!$W194="","-",'ORDENES'!$W194))</f>
        <v/>
      </c>
      <c r="G216" s="3">
        <f>IF('ORDENES'!$A194="","",IF('ORDENES'!$AB194="","-",'ORDENES'!$AB194))</f>
        <v/>
      </c>
      <c r="H216" s="3">
        <f>IF('ORDENES'!$A194="","",IF('ORDENES'!$AN194="","-",'ORDENES'!$AN194))</f>
        <v/>
      </c>
      <c r="I216" s="3">
        <f>IF('ORDENES'!$A194="","",IF('ORDENES'!$D194="","-",'ORDENES'!$D194))</f>
        <v/>
      </c>
      <c r="J216" s="3">
        <f>IF('ORDENES'!$A194="","",IF('ORDENES'!$E194="","-",'ORDENES'!$E194))</f>
        <v/>
      </c>
      <c r="K216" s="12">
        <f>IF('ORDENES'!$A194="","",IF('ORDENES'!$M194="",0,'ORDENES'!$M194))</f>
        <v/>
      </c>
      <c r="L216" s="3">
        <f>IF('ORDENES'!$A194="","",IF('ORDENES'!$N194="","-",'ORDENES'!$N194))</f>
        <v/>
      </c>
      <c r="M216" s="3">
        <f>IF('ORDENES'!$A194="","",'ORDENES'!$AA194)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IF('ORDENES'!$A195="","",IF('ORDENES'!$AC195="","-",'ORDENES'!$AC195))</f>
        <v/>
      </c>
      <c r="D217" s="3">
        <f>IF('ORDENES'!$A195="","",IF('ORDENES'!$V195="","-",'ORDENES'!$V195))</f>
        <v/>
      </c>
      <c r="E217" s="3">
        <f>IF('ORDENES'!$A195="","",IF('ORDENES'!$U195="","-",'ORDENES'!$U195))</f>
        <v/>
      </c>
      <c r="F217" s="3">
        <f>IF('ORDENES'!$A195="","",IF('ORDENES'!$W195="","-",'ORDENES'!$W195))</f>
        <v/>
      </c>
      <c r="G217" s="3">
        <f>IF('ORDENES'!$A195="","",IF('ORDENES'!$AB195="","-",'ORDENES'!$AB195))</f>
        <v/>
      </c>
      <c r="H217" s="3">
        <f>IF('ORDENES'!$A195="","",IF('ORDENES'!$AN195="","-",'ORDENES'!$AN195))</f>
        <v/>
      </c>
      <c r="I217" s="3">
        <f>IF('ORDENES'!$A195="","",IF('ORDENES'!$D195="","-",'ORDENES'!$D195))</f>
        <v/>
      </c>
      <c r="J217" s="3">
        <f>IF('ORDENES'!$A195="","",IF('ORDENES'!$E195="","-",'ORDENES'!$E195))</f>
        <v/>
      </c>
      <c r="K217" s="12">
        <f>IF('ORDENES'!$A195="","",IF('ORDENES'!$M195="",0,'ORDENES'!$M195))</f>
        <v/>
      </c>
      <c r="L217" s="3">
        <f>IF('ORDENES'!$A195="","",IF('ORDENES'!$N195="","-",'ORDENES'!$N195))</f>
        <v/>
      </c>
      <c r="M217" s="3">
        <f>IF('ORDENES'!$A195="","",'ORDENES'!$AA195)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IF('ORDENES'!$A196="","",IF('ORDENES'!$AC196="","-",'ORDENES'!$AC196))</f>
        <v/>
      </c>
      <c r="D218" s="3">
        <f>IF('ORDENES'!$A196="","",IF('ORDENES'!$V196="","-",'ORDENES'!$V196))</f>
        <v/>
      </c>
      <c r="E218" s="3">
        <f>IF('ORDENES'!$A196="","",IF('ORDENES'!$U196="","-",'ORDENES'!$U196))</f>
        <v/>
      </c>
      <c r="F218" s="3">
        <f>IF('ORDENES'!$A196="","",IF('ORDENES'!$W196="","-",'ORDENES'!$W196))</f>
        <v/>
      </c>
      <c r="G218" s="3">
        <f>IF('ORDENES'!$A196="","",IF('ORDENES'!$AB196="","-",'ORDENES'!$AB196))</f>
        <v/>
      </c>
      <c r="H218" s="3">
        <f>IF('ORDENES'!$A196="","",IF('ORDENES'!$AN196="","-",'ORDENES'!$AN196))</f>
        <v/>
      </c>
      <c r="I218" s="3">
        <f>IF('ORDENES'!$A196="","",IF('ORDENES'!$D196="","-",'ORDENES'!$D196))</f>
        <v/>
      </c>
      <c r="J218" s="3">
        <f>IF('ORDENES'!$A196="","",IF('ORDENES'!$E196="","-",'ORDENES'!$E196))</f>
        <v/>
      </c>
      <c r="K218" s="12">
        <f>IF('ORDENES'!$A196="","",IF('ORDENES'!$M196="",0,'ORDENES'!$M196))</f>
        <v/>
      </c>
      <c r="L218" s="3">
        <f>IF('ORDENES'!$A196="","",IF('ORDENES'!$N196="","-",'ORDENES'!$N196))</f>
        <v/>
      </c>
      <c r="M218" s="3">
        <f>IF('ORDENES'!$A196="","",'ORDENES'!$AA196)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IF('ORDENES'!$A197="","",IF('ORDENES'!$AC197="","-",'ORDENES'!$AC197))</f>
        <v/>
      </c>
      <c r="D219" s="3">
        <f>IF('ORDENES'!$A197="","",IF('ORDENES'!$V197="","-",'ORDENES'!$V197))</f>
        <v/>
      </c>
      <c r="E219" s="3">
        <f>IF('ORDENES'!$A197="","",IF('ORDENES'!$U197="","-",'ORDENES'!$U197))</f>
        <v/>
      </c>
      <c r="F219" s="3">
        <f>IF('ORDENES'!$A197="","",IF('ORDENES'!$W197="","-",'ORDENES'!$W197))</f>
        <v/>
      </c>
      <c r="G219" s="3">
        <f>IF('ORDENES'!$A197="","",IF('ORDENES'!$AB197="","-",'ORDENES'!$AB197))</f>
        <v/>
      </c>
      <c r="H219" s="3">
        <f>IF('ORDENES'!$A197="","",IF('ORDENES'!$AN197="","-",'ORDENES'!$AN197))</f>
        <v/>
      </c>
      <c r="I219" s="3">
        <f>IF('ORDENES'!$A197="","",IF('ORDENES'!$D197="","-",'ORDENES'!$D197))</f>
        <v/>
      </c>
      <c r="J219" s="3">
        <f>IF('ORDENES'!$A197="","",IF('ORDENES'!$E197="","-",'ORDENES'!$E197))</f>
        <v/>
      </c>
      <c r="K219" s="12">
        <f>IF('ORDENES'!$A197="","",IF('ORDENES'!$M197="",0,'ORDENES'!$M197))</f>
        <v/>
      </c>
      <c r="L219" s="3">
        <f>IF('ORDENES'!$A197="","",IF('ORDENES'!$N197="","-",'ORDENES'!$N197))</f>
        <v/>
      </c>
      <c r="M219" s="3">
        <f>IF('ORDENES'!$A197="","",'ORDENES'!$AA197)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IF('ORDENES'!$A198="","",IF('ORDENES'!$AC198="","-",'ORDENES'!$AC198))</f>
        <v/>
      </c>
      <c r="D220" s="3">
        <f>IF('ORDENES'!$A198="","",IF('ORDENES'!$V198="","-",'ORDENES'!$V198))</f>
        <v/>
      </c>
      <c r="E220" s="3">
        <f>IF('ORDENES'!$A198="","",IF('ORDENES'!$U198="","-",'ORDENES'!$U198))</f>
        <v/>
      </c>
      <c r="F220" s="3">
        <f>IF('ORDENES'!$A198="","",IF('ORDENES'!$W198="","-",'ORDENES'!$W198))</f>
        <v/>
      </c>
      <c r="G220" s="3">
        <f>IF('ORDENES'!$A198="","",IF('ORDENES'!$AB198="","-",'ORDENES'!$AB198))</f>
        <v/>
      </c>
      <c r="H220" s="3">
        <f>IF('ORDENES'!$A198="","",IF('ORDENES'!$AN198="","-",'ORDENES'!$AN198))</f>
        <v/>
      </c>
      <c r="I220" s="3">
        <f>IF('ORDENES'!$A198="","",IF('ORDENES'!$D198="","-",'ORDENES'!$D198))</f>
        <v/>
      </c>
      <c r="J220" s="3">
        <f>IF('ORDENES'!$A198="","",IF('ORDENES'!$E198="","-",'ORDENES'!$E198))</f>
        <v/>
      </c>
      <c r="K220" s="12">
        <f>IF('ORDENES'!$A198="","",IF('ORDENES'!$M198="",0,'ORDENES'!$M198))</f>
        <v/>
      </c>
      <c r="L220" s="3">
        <f>IF('ORDENES'!$A198="","",IF('ORDENES'!$N198="","-",'ORDENES'!$N198))</f>
        <v/>
      </c>
      <c r="M220" s="3">
        <f>IF('ORDENES'!$A198="","",'ORDENES'!$AA198)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IF('ORDENES'!$A199="","",IF('ORDENES'!$AC199="","-",'ORDENES'!$AC199))</f>
        <v/>
      </c>
      <c r="D221" s="3">
        <f>IF('ORDENES'!$A199="","",IF('ORDENES'!$V199="","-",'ORDENES'!$V199))</f>
        <v/>
      </c>
      <c r="E221" s="3">
        <f>IF('ORDENES'!$A199="","",IF('ORDENES'!$U199="","-",'ORDENES'!$U199))</f>
        <v/>
      </c>
      <c r="F221" s="3">
        <f>IF('ORDENES'!$A199="","",IF('ORDENES'!$W199="","-",'ORDENES'!$W199))</f>
        <v/>
      </c>
      <c r="G221" s="3">
        <f>IF('ORDENES'!$A199="","",IF('ORDENES'!$AB199="","-",'ORDENES'!$AB199))</f>
        <v/>
      </c>
      <c r="H221" s="3">
        <f>IF('ORDENES'!$A199="","",IF('ORDENES'!$AN199="","-",'ORDENES'!$AN199))</f>
        <v/>
      </c>
      <c r="I221" s="3">
        <f>IF('ORDENES'!$A199="","",IF('ORDENES'!$D199="","-",'ORDENES'!$D199))</f>
        <v/>
      </c>
      <c r="J221" s="3">
        <f>IF('ORDENES'!$A199="","",IF('ORDENES'!$E199="","-",'ORDENES'!$E199))</f>
        <v/>
      </c>
      <c r="K221" s="12">
        <f>IF('ORDENES'!$A199="","",IF('ORDENES'!$M199="",0,'ORDENES'!$M199))</f>
        <v/>
      </c>
      <c r="L221" s="3">
        <f>IF('ORDENES'!$A199="","",IF('ORDENES'!$N199="","-",'ORDENES'!$N199))</f>
        <v/>
      </c>
      <c r="M221" s="3">
        <f>IF('ORDENES'!$A199="","",'ORDENES'!$AA199)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IF('ORDENES'!$A200="","",IF('ORDENES'!$AC200="","-",'ORDENES'!$AC200))</f>
        <v/>
      </c>
      <c r="D222" s="3">
        <f>IF('ORDENES'!$A200="","",IF('ORDENES'!$V200="","-",'ORDENES'!$V200))</f>
        <v/>
      </c>
      <c r="E222" s="3">
        <f>IF('ORDENES'!$A200="","",IF('ORDENES'!$U200="","-",'ORDENES'!$U200))</f>
        <v/>
      </c>
      <c r="F222" s="3">
        <f>IF('ORDENES'!$A200="","",IF('ORDENES'!$W200="","-",'ORDENES'!$W200))</f>
        <v/>
      </c>
      <c r="G222" s="3">
        <f>IF('ORDENES'!$A200="","",IF('ORDENES'!$AB200="","-",'ORDENES'!$AB200))</f>
        <v/>
      </c>
      <c r="H222" s="3">
        <f>IF('ORDENES'!$A200="","",IF('ORDENES'!$AN200="","-",'ORDENES'!$AN200))</f>
        <v/>
      </c>
      <c r="I222" s="3">
        <f>IF('ORDENES'!$A200="","",IF('ORDENES'!$D200="","-",'ORDENES'!$D200))</f>
        <v/>
      </c>
      <c r="J222" s="3">
        <f>IF('ORDENES'!$A200="","",IF('ORDENES'!$E200="","-",'ORDENES'!$E200))</f>
        <v/>
      </c>
      <c r="K222" s="12">
        <f>IF('ORDENES'!$A200="","",IF('ORDENES'!$M200="",0,'ORDENES'!$M200))</f>
        <v/>
      </c>
      <c r="L222" s="3">
        <f>IF('ORDENES'!$A200="","",IF('ORDENES'!$N200="","-",'ORDENES'!$N200))</f>
        <v/>
      </c>
      <c r="M222" s="3">
        <f>IF('ORDENES'!$A200="","",'ORDENES'!$AA200)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IF('ORDENES'!$A201="","",IF('ORDENES'!$AC201="","-",'ORDENES'!$AC201))</f>
        <v/>
      </c>
      <c r="D223" s="3">
        <f>IF('ORDENES'!$A201="","",IF('ORDENES'!$V201="","-",'ORDENES'!$V201))</f>
        <v/>
      </c>
      <c r="E223" s="3">
        <f>IF('ORDENES'!$A201="","",IF('ORDENES'!$U201="","-",'ORDENES'!$U201))</f>
        <v/>
      </c>
      <c r="F223" s="3">
        <f>IF('ORDENES'!$A201="","",IF('ORDENES'!$W201="","-",'ORDENES'!$W201))</f>
        <v/>
      </c>
      <c r="G223" s="3">
        <f>IF('ORDENES'!$A201="","",IF('ORDENES'!$AB201="","-",'ORDENES'!$AB201))</f>
        <v/>
      </c>
      <c r="H223" s="3">
        <f>IF('ORDENES'!$A201="","",IF('ORDENES'!$AN201="","-",'ORDENES'!$AN201))</f>
        <v/>
      </c>
      <c r="I223" s="3">
        <f>IF('ORDENES'!$A201="","",IF('ORDENES'!$D201="","-",'ORDENES'!$D201))</f>
        <v/>
      </c>
      <c r="J223" s="3">
        <f>IF('ORDENES'!$A201="","",IF('ORDENES'!$E201="","-",'ORDENES'!$E201))</f>
        <v/>
      </c>
      <c r="K223" s="12">
        <f>IF('ORDENES'!$A201="","",IF('ORDENES'!$M201="",0,'ORDENES'!$M201))</f>
        <v/>
      </c>
      <c r="L223" s="3">
        <f>IF('ORDENES'!$A201="","",IF('ORDENES'!$N201="","-",'ORDENES'!$N201))</f>
        <v/>
      </c>
      <c r="M223" s="3">
        <f>IF('ORDENES'!$A201="","",'ORDENES'!$AA201)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IF('ORDENES'!$A202="","",IF('ORDENES'!$AC202="","-",'ORDENES'!$AC202))</f>
        <v/>
      </c>
      <c r="D224" s="3">
        <f>IF('ORDENES'!$A202="","",IF('ORDENES'!$V202="","-",'ORDENES'!$V202))</f>
        <v/>
      </c>
      <c r="E224" s="3">
        <f>IF('ORDENES'!$A202="","",IF('ORDENES'!$U202="","-",'ORDENES'!$U202))</f>
        <v/>
      </c>
      <c r="F224" s="3">
        <f>IF('ORDENES'!$A202="","",IF('ORDENES'!$W202="","-",'ORDENES'!$W202))</f>
        <v/>
      </c>
      <c r="G224" s="3">
        <f>IF('ORDENES'!$A202="","",IF('ORDENES'!$AB202="","-",'ORDENES'!$AB202))</f>
        <v/>
      </c>
      <c r="H224" s="3">
        <f>IF('ORDENES'!$A202="","",IF('ORDENES'!$AN202="","-",'ORDENES'!$AN202))</f>
        <v/>
      </c>
      <c r="I224" s="3">
        <f>IF('ORDENES'!$A202="","",IF('ORDENES'!$D202="","-",'ORDENES'!$D202))</f>
        <v/>
      </c>
      <c r="J224" s="3">
        <f>IF('ORDENES'!$A202="","",IF('ORDENES'!$E202="","-",'ORDENES'!$E202))</f>
        <v/>
      </c>
      <c r="K224" s="12">
        <f>IF('ORDENES'!$A202="","",IF('ORDENES'!$M202="",0,'ORDENES'!$M202))</f>
        <v/>
      </c>
      <c r="L224" s="3">
        <f>IF('ORDENES'!$A202="","",IF('ORDENES'!$N202="","-",'ORDENES'!$N202))</f>
        <v/>
      </c>
      <c r="M224" s="3">
        <f>IF('ORDENES'!$A202="","",'ORDENES'!$AA202)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IF('ORDENES'!$A203="","",IF('ORDENES'!$AC203="","-",'ORDENES'!$AC203))</f>
        <v/>
      </c>
      <c r="D225" s="3">
        <f>IF('ORDENES'!$A203="","",IF('ORDENES'!$V203="","-",'ORDENES'!$V203))</f>
        <v/>
      </c>
      <c r="E225" s="3">
        <f>IF('ORDENES'!$A203="","",IF('ORDENES'!$U203="","-",'ORDENES'!$U203))</f>
        <v/>
      </c>
      <c r="F225" s="3">
        <f>IF('ORDENES'!$A203="","",IF('ORDENES'!$W203="","-",'ORDENES'!$W203))</f>
        <v/>
      </c>
      <c r="G225" s="3">
        <f>IF('ORDENES'!$A203="","",IF('ORDENES'!$AB203="","-",'ORDENES'!$AB203))</f>
        <v/>
      </c>
      <c r="H225" s="3">
        <f>IF('ORDENES'!$A203="","",IF('ORDENES'!$AN203="","-",'ORDENES'!$AN203))</f>
        <v/>
      </c>
      <c r="I225" s="3">
        <f>IF('ORDENES'!$A203="","",IF('ORDENES'!$D203="","-",'ORDENES'!$D203))</f>
        <v/>
      </c>
      <c r="J225" s="3">
        <f>IF('ORDENES'!$A203="","",IF('ORDENES'!$E203="","-",'ORDENES'!$E203))</f>
        <v/>
      </c>
      <c r="K225" s="12">
        <f>IF('ORDENES'!$A203="","",IF('ORDENES'!$M203="",0,'ORDENES'!$M203))</f>
        <v/>
      </c>
      <c r="L225" s="3">
        <f>IF('ORDENES'!$A203="","",IF('ORDENES'!$N203="","-",'ORDENES'!$N203))</f>
        <v/>
      </c>
      <c r="M225" s="3">
        <f>IF('ORDENES'!$A203="","",'ORDENES'!$AA203)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IF('ORDENES'!$A204="","",IF('ORDENES'!$AC204="","-",'ORDENES'!$AC204))</f>
        <v/>
      </c>
      <c r="D226" s="3">
        <f>IF('ORDENES'!$A204="","",IF('ORDENES'!$V204="","-",'ORDENES'!$V204))</f>
        <v/>
      </c>
      <c r="E226" s="3">
        <f>IF('ORDENES'!$A204="","",IF('ORDENES'!$U204="","-",'ORDENES'!$U204))</f>
        <v/>
      </c>
      <c r="F226" s="3">
        <f>IF('ORDENES'!$A204="","",IF('ORDENES'!$W204="","-",'ORDENES'!$W204))</f>
        <v/>
      </c>
      <c r="G226" s="3">
        <f>IF('ORDENES'!$A204="","",IF('ORDENES'!$AB204="","-",'ORDENES'!$AB204))</f>
        <v/>
      </c>
      <c r="H226" s="3">
        <f>IF('ORDENES'!$A204="","",IF('ORDENES'!$AN204="","-",'ORDENES'!$AN204))</f>
        <v/>
      </c>
      <c r="I226" s="3">
        <f>IF('ORDENES'!$A204="","",IF('ORDENES'!$D204="","-",'ORDENES'!$D204))</f>
        <v/>
      </c>
      <c r="J226" s="3">
        <f>IF('ORDENES'!$A204="","",IF('ORDENES'!$E204="","-",'ORDENES'!$E204))</f>
        <v/>
      </c>
      <c r="K226" s="12">
        <f>IF('ORDENES'!$A204="","",IF('ORDENES'!$M204="",0,'ORDENES'!$M204))</f>
        <v/>
      </c>
      <c r="L226" s="3">
        <f>IF('ORDENES'!$A204="","",IF('ORDENES'!$N204="","-",'ORDENES'!$N204))</f>
        <v/>
      </c>
      <c r="M226" s="3">
        <f>IF('ORDENES'!$A204="","",'ORDENES'!$AA204)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IF('ORDENES'!$A205="","",IF('ORDENES'!$AC205="","-",'ORDENES'!$AC205))</f>
        <v/>
      </c>
      <c r="D227" s="3">
        <f>IF('ORDENES'!$A205="","",IF('ORDENES'!$V205="","-",'ORDENES'!$V205))</f>
        <v/>
      </c>
      <c r="E227" s="3">
        <f>IF('ORDENES'!$A205="","",IF('ORDENES'!$U205="","-",'ORDENES'!$U205))</f>
        <v/>
      </c>
      <c r="F227" s="3">
        <f>IF('ORDENES'!$A205="","",IF('ORDENES'!$W205="","-",'ORDENES'!$W205))</f>
        <v/>
      </c>
      <c r="G227" s="3">
        <f>IF('ORDENES'!$A205="","",IF('ORDENES'!$AB205="","-",'ORDENES'!$AB205))</f>
        <v/>
      </c>
      <c r="H227" s="3">
        <f>IF('ORDENES'!$A205="","",IF('ORDENES'!$AN205="","-",'ORDENES'!$AN205))</f>
        <v/>
      </c>
      <c r="I227" s="3">
        <f>IF('ORDENES'!$A205="","",IF('ORDENES'!$D205="","-",'ORDENES'!$D205))</f>
        <v/>
      </c>
      <c r="J227" s="3">
        <f>IF('ORDENES'!$A205="","",IF('ORDENES'!$E205="","-",'ORDENES'!$E205))</f>
        <v/>
      </c>
      <c r="K227" s="12">
        <f>IF('ORDENES'!$A205="","",IF('ORDENES'!$M205="",0,'ORDENES'!$M205))</f>
        <v/>
      </c>
      <c r="L227" s="3">
        <f>IF('ORDENES'!$A205="","",IF('ORDENES'!$N205="","-",'ORDENES'!$N205))</f>
        <v/>
      </c>
      <c r="M227" s="3">
        <f>IF('ORDENES'!$A205="","",'ORDENES'!$AA205)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IF('ORDENES'!$A206="","",IF('ORDENES'!$AC206="","-",'ORDENES'!$AC206))</f>
        <v/>
      </c>
      <c r="D228" s="3">
        <f>IF('ORDENES'!$A206="","",IF('ORDENES'!$V206="","-",'ORDENES'!$V206))</f>
        <v/>
      </c>
      <c r="E228" s="3">
        <f>IF('ORDENES'!$A206="","",IF('ORDENES'!$U206="","-",'ORDENES'!$U206))</f>
        <v/>
      </c>
      <c r="F228" s="3">
        <f>IF('ORDENES'!$A206="","",IF('ORDENES'!$W206="","-",'ORDENES'!$W206))</f>
        <v/>
      </c>
      <c r="G228" s="3">
        <f>IF('ORDENES'!$A206="","",IF('ORDENES'!$AB206="","-",'ORDENES'!$AB206))</f>
        <v/>
      </c>
      <c r="H228" s="3">
        <f>IF('ORDENES'!$A206="","",IF('ORDENES'!$AN206="","-",'ORDENES'!$AN206))</f>
        <v/>
      </c>
      <c r="I228" s="3">
        <f>IF('ORDENES'!$A206="","",IF('ORDENES'!$D206="","-",'ORDENES'!$D206))</f>
        <v/>
      </c>
      <c r="J228" s="3">
        <f>IF('ORDENES'!$A206="","",IF('ORDENES'!$E206="","-",'ORDENES'!$E206))</f>
        <v/>
      </c>
      <c r="K228" s="12">
        <f>IF('ORDENES'!$A206="","",IF('ORDENES'!$M206="",0,'ORDENES'!$M206))</f>
        <v/>
      </c>
      <c r="L228" s="3">
        <f>IF('ORDENES'!$A206="","",IF('ORDENES'!$N206="","-",'ORDENES'!$N206))</f>
        <v/>
      </c>
      <c r="M228" s="3">
        <f>IF('ORDENES'!$A206="","",'ORDENES'!$AA206)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IF('ORDENES'!$A207="","",IF('ORDENES'!$AC207="","-",'ORDENES'!$AC207))</f>
        <v/>
      </c>
      <c r="D229" s="3">
        <f>IF('ORDENES'!$A207="","",IF('ORDENES'!$V207="","-",'ORDENES'!$V207))</f>
        <v/>
      </c>
      <c r="E229" s="3">
        <f>IF('ORDENES'!$A207="","",IF('ORDENES'!$U207="","-",'ORDENES'!$U207))</f>
        <v/>
      </c>
      <c r="F229" s="3">
        <f>IF('ORDENES'!$A207="","",IF('ORDENES'!$W207="","-",'ORDENES'!$W207))</f>
        <v/>
      </c>
      <c r="G229" s="3">
        <f>IF('ORDENES'!$A207="","",IF('ORDENES'!$AB207="","-",'ORDENES'!$AB207))</f>
        <v/>
      </c>
      <c r="H229" s="3">
        <f>IF('ORDENES'!$A207="","",IF('ORDENES'!$AN207="","-",'ORDENES'!$AN207))</f>
        <v/>
      </c>
      <c r="I229" s="3">
        <f>IF('ORDENES'!$A207="","",IF('ORDENES'!$D207="","-",'ORDENES'!$D207))</f>
        <v/>
      </c>
      <c r="J229" s="3">
        <f>IF('ORDENES'!$A207="","",IF('ORDENES'!$E207="","-",'ORDENES'!$E207))</f>
        <v/>
      </c>
      <c r="K229" s="12">
        <f>IF('ORDENES'!$A207="","",IF('ORDENES'!$M207="",0,'ORDENES'!$M207))</f>
        <v/>
      </c>
      <c r="L229" s="3">
        <f>IF('ORDENES'!$A207="","",IF('ORDENES'!$N207="","-",'ORDENES'!$N207))</f>
        <v/>
      </c>
      <c r="M229" s="3">
        <f>IF('ORDENES'!$A207="","",'ORDENES'!$AA207)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IF('ORDENES'!$A208="","",IF('ORDENES'!$AC208="","-",'ORDENES'!$AC208))</f>
        <v/>
      </c>
      <c r="D230" s="3">
        <f>IF('ORDENES'!$A208="","",IF('ORDENES'!$V208="","-",'ORDENES'!$V208))</f>
        <v/>
      </c>
      <c r="E230" s="3">
        <f>IF('ORDENES'!$A208="","",IF('ORDENES'!$U208="","-",'ORDENES'!$U208))</f>
        <v/>
      </c>
      <c r="F230" s="3">
        <f>IF('ORDENES'!$A208="","",IF('ORDENES'!$W208="","-",'ORDENES'!$W208))</f>
        <v/>
      </c>
      <c r="G230" s="3">
        <f>IF('ORDENES'!$A208="","",IF('ORDENES'!$AB208="","-",'ORDENES'!$AB208))</f>
        <v/>
      </c>
      <c r="H230" s="3">
        <f>IF('ORDENES'!$A208="","",IF('ORDENES'!$AN208="","-",'ORDENES'!$AN208))</f>
        <v/>
      </c>
      <c r="I230" s="3">
        <f>IF('ORDENES'!$A208="","",IF('ORDENES'!$D208="","-",'ORDENES'!$D208))</f>
        <v/>
      </c>
      <c r="J230" s="3">
        <f>IF('ORDENES'!$A208="","",IF('ORDENES'!$E208="","-",'ORDENES'!$E208))</f>
        <v/>
      </c>
      <c r="K230" s="12">
        <f>IF('ORDENES'!$A208="","",IF('ORDENES'!$M208="",0,'ORDENES'!$M208))</f>
        <v/>
      </c>
      <c r="L230" s="3">
        <f>IF('ORDENES'!$A208="","",IF('ORDENES'!$N208="","-",'ORDENES'!$N208))</f>
        <v/>
      </c>
      <c r="M230" s="3">
        <f>IF('ORDENES'!$A208="","",'ORDENES'!$AA208)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IF('ORDENES'!$A209="","",IF('ORDENES'!$AC209="","-",'ORDENES'!$AC209))</f>
        <v/>
      </c>
      <c r="D231" s="3">
        <f>IF('ORDENES'!$A209="","",IF('ORDENES'!$V209="","-",'ORDENES'!$V209))</f>
        <v/>
      </c>
      <c r="E231" s="3">
        <f>IF('ORDENES'!$A209="","",IF('ORDENES'!$U209="","-",'ORDENES'!$U209))</f>
        <v/>
      </c>
      <c r="F231" s="3">
        <f>IF('ORDENES'!$A209="","",IF('ORDENES'!$W209="","-",'ORDENES'!$W209))</f>
        <v/>
      </c>
      <c r="G231" s="3">
        <f>IF('ORDENES'!$A209="","",IF('ORDENES'!$AB209="","-",'ORDENES'!$AB209))</f>
        <v/>
      </c>
      <c r="H231" s="3">
        <f>IF('ORDENES'!$A209="","",IF('ORDENES'!$AN209="","-",'ORDENES'!$AN209))</f>
        <v/>
      </c>
      <c r="I231" s="3">
        <f>IF('ORDENES'!$A209="","",IF('ORDENES'!$D209="","-",'ORDENES'!$D209))</f>
        <v/>
      </c>
      <c r="J231" s="3">
        <f>IF('ORDENES'!$A209="","",IF('ORDENES'!$E209="","-",'ORDENES'!$E209))</f>
        <v/>
      </c>
      <c r="K231" s="12">
        <f>IF('ORDENES'!$A209="","",IF('ORDENES'!$M209="",0,'ORDENES'!$M209))</f>
        <v/>
      </c>
      <c r="L231" s="3">
        <f>IF('ORDENES'!$A209="","",IF('ORDENES'!$N209="","-",'ORDENES'!$N209))</f>
        <v/>
      </c>
      <c r="M231" s="3">
        <f>IF('ORDENES'!$A209="","",'ORDENES'!$AA209)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IF('ORDENES'!$A210="","",IF('ORDENES'!$AC210="","-",'ORDENES'!$AC210))</f>
        <v/>
      </c>
      <c r="D232" s="3">
        <f>IF('ORDENES'!$A210="","",IF('ORDENES'!$V210="","-",'ORDENES'!$V210))</f>
        <v/>
      </c>
      <c r="E232" s="3">
        <f>IF('ORDENES'!$A210="","",IF('ORDENES'!$U210="","-",'ORDENES'!$U210))</f>
        <v/>
      </c>
      <c r="F232" s="3">
        <f>IF('ORDENES'!$A210="","",IF('ORDENES'!$W210="","-",'ORDENES'!$W210))</f>
        <v/>
      </c>
      <c r="G232" s="3">
        <f>IF('ORDENES'!$A210="","",IF('ORDENES'!$AB210="","-",'ORDENES'!$AB210))</f>
        <v/>
      </c>
      <c r="H232" s="3">
        <f>IF('ORDENES'!$A210="","",IF('ORDENES'!$AN210="","-",'ORDENES'!$AN210))</f>
        <v/>
      </c>
      <c r="I232" s="3">
        <f>IF('ORDENES'!$A210="","",IF('ORDENES'!$D210="","-",'ORDENES'!$D210))</f>
        <v/>
      </c>
      <c r="J232" s="3">
        <f>IF('ORDENES'!$A210="","",IF('ORDENES'!$E210="","-",'ORDENES'!$E210))</f>
        <v/>
      </c>
      <c r="K232" s="12">
        <f>IF('ORDENES'!$A210="","",IF('ORDENES'!$M210="",0,'ORDENES'!$M210))</f>
        <v/>
      </c>
      <c r="L232" s="3">
        <f>IF('ORDENES'!$A210="","",IF('ORDENES'!$N210="","-",'ORDENES'!$N210))</f>
        <v/>
      </c>
      <c r="M232" s="3">
        <f>IF('ORDENES'!$A210="","",'ORDENES'!$AA210)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IF('ORDENES'!$A211="","",IF('ORDENES'!$AC211="","-",'ORDENES'!$AC211))</f>
        <v/>
      </c>
      <c r="D233" s="3">
        <f>IF('ORDENES'!$A211="","",IF('ORDENES'!$V211="","-",'ORDENES'!$V211))</f>
        <v/>
      </c>
      <c r="E233" s="3">
        <f>IF('ORDENES'!$A211="","",IF('ORDENES'!$U211="","-",'ORDENES'!$U211))</f>
        <v/>
      </c>
      <c r="F233" s="3">
        <f>IF('ORDENES'!$A211="","",IF('ORDENES'!$W211="","-",'ORDENES'!$W211))</f>
        <v/>
      </c>
      <c r="G233" s="3">
        <f>IF('ORDENES'!$A211="","",IF('ORDENES'!$AB211="","-",'ORDENES'!$AB211))</f>
        <v/>
      </c>
      <c r="H233" s="3">
        <f>IF('ORDENES'!$A211="","",IF('ORDENES'!$AN211="","-",'ORDENES'!$AN211))</f>
        <v/>
      </c>
      <c r="I233" s="3">
        <f>IF('ORDENES'!$A211="","",IF('ORDENES'!$D211="","-",'ORDENES'!$D211))</f>
        <v/>
      </c>
      <c r="J233" s="3">
        <f>IF('ORDENES'!$A211="","",IF('ORDENES'!$E211="","-",'ORDENES'!$E211))</f>
        <v/>
      </c>
      <c r="K233" s="12">
        <f>IF('ORDENES'!$A211="","",IF('ORDENES'!$M211="",0,'ORDENES'!$M211))</f>
        <v/>
      </c>
      <c r="L233" s="3">
        <f>IF('ORDENES'!$A211="","",IF('ORDENES'!$N211="","-",'ORDENES'!$N211))</f>
        <v/>
      </c>
      <c r="M233" s="3">
        <f>IF('ORDENES'!$A211="","",'ORDENES'!$AA211)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IF('ORDENES'!$A212="","",IF('ORDENES'!$AC212="","-",'ORDENES'!$AC212))</f>
        <v/>
      </c>
      <c r="D234" s="3">
        <f>IF('ORDENES'!$A212="","",IF('ORDENES'!$V212="","-",'ORDENES'!$V212))</f>
        <v/>
      </c>
      <c r="E234" s="3">
        <f>IF('ORDENES'!$A212="","",IF('ORDENES'!$U212="","-",'ORDENES'!$U212))</f>
        <v/>
      </c>
      <c r="F234" s="3">
        <f>IF('ORDENES'!$A212="","",IF('ORDENES'!$W212="","-",'ORDENES'!$W212))</f>
        <v/>
      </c>
      <c r="G234" s="3">
        <f>IF('ORDENES'!$A212="","",IF('ORDENES'!$AB212="","-",'ORDENES'!$AB212))</f>
        <v/>
      </c>
      <c r="H234" s="3">
        <f>IF('ORDENES'!$A212="","",IF('ORDENES'!$AN212="","-",'ORDENES'!$AN212))</f>
        <v/>
      </c>
      <c r="I234" s="3">
        <f>IF('ORDENES'!$A212="","",IF('ORDENES'!$D212="","-",'ORDENES'!$D212))</f>
        <v/>
      </c>
      <c r="J234" s="3">
        <f>IF('ORDENES'!$A212="","",IF('ORDENES'!$E212="","-",'ORDENES'!$E212))</f>
        <v/>
      </c>
      <c r="K234" s="12">
        <f>IF('ORDENES'!$A212="","",IF('ORDENES'!$M212="",0,'ORDENES'!$M212))</f>
        <v/>
      </c>
      <c r="L234" s="3">
        <f>IF('ORDENES'!$A212="","",IF('ORDENES'!$N212="","-",'ORDENES'!$N212))</f>
        <v/>
      </c>
      <c r="M234" s="3">
        <f>IF('ORDENES'!$A212="","",'ORDENES'!$AA212)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IF('ORDENES'!$A213="","",IF('ORDENES'!$AC213="","-",'ORDENES'!$AC213))</f>
        <v/>
      </c>
      <c r="D235" s="3">
        <f>IF('ORDENES'!$A213="","",IF('ORDENES'!$V213="","-",'ORDENES'!$V213))</f>
        <v/>
      </c>
      <c r="E235" s="3">
        <f>IF('ORDENES'!$A213="","",IF('ORDENES'!$U213="","-",'ORDENES'!$U213))</f>
        <v/>
      </c>
      <c r="F235" s="3">
        <f>IF('ORDENES'!$A213="","",IF('ORDENES'!$W213="","-",'ORDENES'!$W213))</f>
        <v/>
      </c>
      <c r="G235" s="3">
        <f>IF('ORDENES'!$A213="","",IF('ORDENES'!$AB213="","-",'ORDENES'!$AB213))</f>
        <v/>
      </c>
      <c r="H235" s="3">
        <f>IF('ORDENES'!$A213="","",IF('ORDENES'!$AN213="","-",'ORDENES'!$AN213))</f>
        <v/>
      </c>
      <c r="I235" s="3">
        <f>IF('ORDENES'!$A213="","",IF('ORDENES'!$D213="","-",'ORDENES'!$D213))</f>
        <v/>
      </c>
      <c r="J235" s="3">
        <f>IF('ORDENES'!$A213="","",IF('ORDENES'!$E213="","-",'ORDENES'!$E213))</f>
        <v/>
      </c>
      <c r="K235" s="12">
        <f>IF('ORDENES'!$A213="","",IF('ORDENES'!$M213="",0,'ORDENES'!$M213))</f>
        <v/>
      </c>
      <c r="L235" s="3">
        <f>IF('ORDENES'!$A213="","",IF('ORDENES'!$N213="","-",'ORDENES'!$N213))</f>
        <v/>
      </c>
      <c r="M235" s="3">
        <f>IF('ORDENES'!$A213="","",'ORDENES'!$AA213)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IF('ORDENES'!$A214="","",IF('ORDENES'!$AC214="","-",'ORDENES'!$AC214))</f>
        <v/>
      </c>
      <c r="D236" s="3">
        <f>IF('ORDENES'!$A214="","",IF('ORDENES'!$V214="","-",'ORDENES'!$V214))</f>
        <v/>
      </c>
      <c r="E236" s="3">
        <f>IF('ORDENES'!$A214="","",IF('ORDENES'!$U214="","-",'ORDENES'!$U214))</f>
        <v/>
      </c>
      <c r="F236" s="3">
        <f>IF('ORDENES'!$A214="","",IF('ORDENES'!$W214="","-",'ORDENES'!$W214))</f>
        <v/>
      </c>
      <c r="G236" s="3">
        <f>IF('ORDENES'!$A214="","",IF('ORDENES'!$AB214="","-",'ORDENES'!$AB214))</f>
        <v/>
      </c>
      <c r="H236" s="3">
        <f>IF('ORDENES'!$A214="","",IF('ORDENES'!$AN214="","-",'ORDENES'!$AN214))</f>
        <v/>
      </c>
      <c r="I236" s="3">
        <f>IF('ORDENES'!$A214="","",IF('ORDENES'!$D214="","-",'ORDENES'!$D214))</f>
        <v/>
      </c>
      <c r="J236" s="3">
        <f>IF('ORDENES'!$A214="","",IF('ORDENES'!$E214="","-",'ORDENES'!$E214))</f>
        <v/>
      </c>
      <c r="K236" s="12">
        <f>IF('ORDENES'!$A214="","",IF('ORDENES'!$M214="",0,'ORDENES'!$M214))</f>
        <v/>
      </c>
      <c r="L236" s="3">
        <f>IF('ORDENES'!$A214="","",IF('ORDENES'!$N214="","-",'ORDENES'!$N214))</f>
        <v/>
      </c>
      <c r="M236" s="3">
        <f>IF('ORDENES'!$A214="","",'ORDENES'!$AA214)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IF('ORDENES'!$A215="","",IF('ORDENES'!$AC215="","-",'ORDENES'!$AC215))</f>
        <v/>
      </c>
      <c r="D237" s="3">
        <f>IF('ORDENES'!$A215="","",IF('ORDENES'!$V215="","-",'ORDENES'!$V215))</f>
        <v/>
      </c>
      <c r="E237" s="3">
        <f>IF('ORDENES'!$A215="","",IF('ORDENES'!$U215="","-",'ORDENES'!$U215))</f>
        <v/>
      </c>
      <c r="F237" s="3">
        <f>IF('ORDENES'!$A215="","",IF('ORDENES'!$W215="","-",'ORDENES'!$W215))</f>
        <v/>
      </c>
      <c r="G237" s="3">
        <f>IF('ORDENES'!$A215="","",IF('ORDENES'!$AB215="","-",'ORDENES'!$AB215))</f>
        <v/>
      </c>
      <c r="H237" s="3">
        <f>IF('ORDENES'!$A215="","",IF('ORDENES'!$AN215="","-",'ORDENES'!$AN215))</f>
        <v/>
      </c>
      <c r="I237" s="3">
        <f>IF('ORDENES'!$A215="","",IF('ORDENES'!$D215="","-",'ORDENES'!$D215))</f>
        <v/>
      </c>
      <c r="J237" s="3">
        <f>IF('ORDENES'!$A215="","",IF('ORDENES'!$E215="","-",'ORDENES'!$E215))</f>
        <v/>
      </c>
      <c r="K237" s="12">
        <f>IF('ORDENES'!$A215="","",IF('ORDENES'!$M215="",0,'ORDENES'!$M215))</f>
        <v/>
      </c>
      <c r="L237" s="3">
        <f>IF('ORDENES'!$A215="","",IF('ORDENES'!$N215="","-",'ORDENES'!$N215))</f>
        <v/>
      </c>
      <c r="M237" s="3">
        <f>IF('ORDENES'!$A215="","",'ORDENES'!$AA215)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IF('ORDENES'!$A216="","",IF('ORDENES'!$AC216="","-",'ORDENES'!$AC216))</f>
        <v/>
      </c>
      <c r="D238" s="3">
        <f>IF('ORDENES'!$A216="","",IF('ORDENES'!$V216="","-",'ORDENES'!$V216))</f>
        <v/>
      </c>
      <c r="E238" s="3">
        <f>IF('ORDENES'!$A216="","",IF('ORDENES'!$U216="","-",'ORDENES'!$U216))</f>
        <v/>
      </c>
      <c r="F238" s="3">
        <f>IF('ORDENES'!$A216="","",IF('ORDENES'!$W216="","-",'ORDENES'!$W216))</f>
        <v/>
      </c>
      <c r="G238" s="3">
        <f>IF('ORDENES'!$A216="","",IF('ORDENES'!$AB216="","-",'ORDENES'!$AB216))</f>
        <v/>
      </c>
      <c r="H238" s="3">
        <f>IF('ORDENES'!$A216="","",IF('ORDENES'!$AN216="","-",'ORDENES'!$AN216))</f>
        <v/>
      </c>
      <c r="I238" s="3">
        <f>IF('ORDENES'!$A216="","",IF('ORDENES'!$D216="","-",'ORDENES'!$D216))</f>
        <v/>
      </c>
      <c r="J238" s="3">
        <f>IF('ORDENES'!$A216="","",IF('ORDENES'!$E216="","-",'ORDENES'!$E216))</f>
        <v/>
      </c>
      <c r="K238" s="12">
        <f>IF('ORDENES'!$A216="","",IF('ORDENES'!$M216="",0,'ORDENES'!$M216))</f>
        <v/>
      </c>
      <c r="L238" s="3">
        <f>IF('ORDENES'!$A216="","",IF('ORDENES'!$N216="","-",'ORDENES'!$N216))</f>
        <v/>
      </c>
      <c r="M238" s="3">
        <f>IF('ORDENES'!$A216="","",'ORDENES'!$AA216)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IF('ORDENES'!$A217="","",IF('ORDENES'!$AC217="","-",'ORDENES'!$AC217))</f>
        <v/>
      </c>
      <c r="D239" s="3">
        <f>IF('ORDENES'!$A217="","",IF('ORDENES'!$V217="","-",'ORDENES'!$V217))</f>
        <v/>
      </c>
      <c r="E239" s="3">
        <f>IF('ORDENES'!$A217="","",IF('ORDENES'!$U217="","-",'ORDENES'!$U217))</f>
        <v/>
      </c>
      <c r="F239" s="3">
        <f>IF('ORDENES'!$A217="","",IF('ORDENES'!$W217="","-",'ORDENES'!$W217))</f>
        <v/>
      </c>
      <c r="G239" s="3">
        <f>IF('ORDENES'!$A217="","",IF('ORDENES'!$AB217="","-",'ORDENES'!$AB217))</f>
        <v/>
      </c>
      <c r="H239" s="3">
        <f>IF('ORDENES'!$A217="","",IF('ORDENES'!$AN217="","-",'ORDENES'!$AN217))</f>
        <v/>
      </c>
      <c r="I239" s="3">
        <f>IF('ORDENES'!$A217="","",IF('ORDENES'!$D217="","-",'ORDENES'!$D217))</f>
        <v/>
      </c>
      <c r="J239" s="3">
        <f>IF('ORDENES'!$A217="","",IF('ORDENES'!$E217="","-",'ORDENES'!$E217))</f>
        <v/>
      </c>
      <c r="K239" s="12">
        <f>IF('ORDENES'!$A217="","",IF('ORDENES'!$M217="",0,'ORDENES'!$M217))</f>
        <v/>
      </c>
      <c r="L239" s="3">
        <f>IF('ORDENES'!$A217="","",IF('ORDENES'!$N217="","-",'ORDENES'!$N217))</f>
        <v/>
      </c>
      <c r="M239" s="3">
        <f>IF('ORDENES'!$A217="","",'ORDENES'!$AA217)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IF('ORDENES'!$A218="","",IF('ORDENES'!$AC218="","-",'ORDENES'!$AC218))</f>
        <v/>
      </c>
      <c r="D240" s="3">
        <f>IF('ORDENES'!$A218="","",IF('ORDENES'!$V218="","-",'ORDENES'!$V218))</f>
        <v/>
      </c>
      <c r="E240" s="3">
        <f>IF('ORDENES'!$A218="","",IF('ORDENES'!$U218="","-",'ORDENES'!$U218))</f>
        <v/>
      </c>
      <c r="F240" s="3">
        <f>IF('ORDENES'!$A218="","",IF('ORDENES'!$W218="","-",'ORDENES'!$W218))</f>
        <v/>
      </c>
      <c r="G240" s="3">
        <f>IF('ORDENES'!$A218="","",IF('ORDENES'!$AB218="","-",'ORDENES'!$AB218))</f>
        <v/>
      </c>
      <c r="H240" s="3">
        <f>IF('ORDENES'!$A218="","",IF('ORDENES'!$AN218="","-",'ORDENES'!$AN218))</f>
        <v/>
      </c>
      <c r="I240" s="3">
        <f>IF('ORDENES'!$A218="","",IF('ORDENES'!$D218="","-",'ORDENES'!$D218))</f>
        <v/>
      </c>
      <c r="J240" s="3">
        <f>IF('ORDENES'!$A218="","",IF('ORDENES'!$E218="","-",'ORDENES'!$E218))</f>
        <v/>
      </c>
      <c r="K240" s="12">
        <f>IF('ORDENES'!$A218="","",IF('ORDENES'!$M218="",0,'ORDENES'!$M218))</f>
        <v/>
      </c>
      <c r="L240" s="3">
        <f>IF('ORDENES'!$A218="","",IF('ORDENES'!$N218="","-",'ORDENES'!$N218))</f>
        <v/>
      </c>
      <c r="M240" s="3">
        <f>IF('ORDENES'!$A218="","",'ORDENES'!$AA218)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IF('ORDENES'!$A219="","",IF('ORDENES'!$AC219="","-",'ORDENES'!$AC219))</f>
        <v/>
      </c>
      <c r="D241" s="3">
        <f>IF('ORDENES'!$A219="","",IF('ORDENES'!$V219="","-",'ORDENES'!$V219))</f>
        <v/>
      </c>
      <c r="E241" s="3">
        <f>IF('ORDENES'!$A219="","",IF('ORDENES'!$U219="","-",'ORDENES'!$U219))</f>
        <v/>
      </c>
      <c r="F241" s="3">
        <f>IF('ORDENES'!$A219="","",IF('ORDENES'!$W219="","-",'ORDENES'!$W219))</f>
        <v/>
      </c>
      <c r="G241" s="3">
        <f>IF('ORDENES'!$A219="","",IF('ORDENES'!$AB219="","-",'ORDENES'!$AB219))</f>
        <v/>
      </c>
      <c r="H241" s="3">
        <f>IF('ORDENES'!$A219="","",IF('ORDENES'!$AN219="","-",'ORDENES'!$AN219))</f>
        <v/>
      </c>
      <c r="I241" s="3">
        <f>IF('ORDENES'!$A219="","",IF('ORDENES'!$D219="","-",'ORDENES'!$D219))</f>
        <v/>
      </c>
      <c r="J241" s="3">
        <f>IF('ORDENES'!$A219="","",IF('ORDENES'!$E219="","-",'ORDENES'!$E219))</f>
        <v/>
      </c>
      <c r="K241" s="12">
        <f>IF('ORDENES'!$A219="","",IF('ORDENES'!$M219="",0,'ORDENES'!$M219))</f>
        <v/>
      </c>
      <c r="L241" s="3">
        <f>IF('ORDENES'!$A219="","",IF('ORDENES'!$N219="","-",'ORDENES'!$N219))</f>
        <v/>
      </c>
      <c r="M241" s="3">
        <f>IF('ORDENES'!$A219="","",'ORDENES'!$AA219)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IF('ORDENES'!$A220="","",IF('ORDENES'!$AC220="","-",'ORDENES'!$AC220))</f>
        <v/>
      </c>
      <c r="D242" s="3">
        <f>IF('ORDENES'!$A220="","",IF('ORDENES'!$V220="","-",'ORDENES'!$V220))</f>
        <v/>
      </c>
      <c r="E242" s="3">
        <f>IF('ORDENES'!$A220="","",IF('ORDENES'!$U220="","-",'ORDENES'!$U220))</f>
        <v/>
      </c>
      <c r="F242" s="3">
        <f>IF('ORDENES'!$A220="","",IF('ORDENES'!$W220="","-",'ORDENES'!$W220))</f>
        <v/>
      </c>
      <c r="G242" s="3">
        <f>IF('ORDENES'!$A220="","",IF('ORDENES'!$AB220="","-",'ORDENES'!$AB220))</f>
        <v/>
      </c>
      <c r="H242" s="3">
        <f>IF('ORDENES'!$A220="","",IF('ORDENES'!$AN220="","-",'ORDENES'!$AN220))</f>
        <v/>
      </c>
      <c r="I242" s="3">
        <f>IF('ORDENES'!$A220="","",IF('ORDENES'!$D220="","-",'ORDENES'!$D220))</f>
        <v/>
      </c>
      <c r="J242" s="3">
        <f>IF('ORDENES'!$A220="","",IF('ORDENES'!$E220="","-",'ORDENES'!$E220))</f>
        <v/>
      </c>
      <c r="K242" s="12">
        <f>IF('ORDENES'!$A220="","",IF('ORDENES'!$M220="",0,'ORDENES'!$M220))</f>
        <v/>
      </c>
      <c r="L242" s="3">
        <f>IF('ORDENES'!$A220="","",IF('ORDENES'!$N220="","-",'ORDENES'!$N220))</f>
        <v/>
      </c>
      <c r="M242" s="3">
        <f>IF('ORDENES'!$A220="","",'ORDENES'!$AA220)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IF('ORDENES'!$A221="","",IF('ORDENES'!$AC221="","-",'ORDENES'!$AC221))</f>
        <v/>
      </c>
      <c r="D243" s="3">
        <f>IF('ORDENES'!$A221="","",IF('ORDENES'!$V221="","-",'ORDENES'!$V221))</f>
        <v/>
      </c>
      <c r="E243" s="3">
        <f>IF('ORDENES'!$A221="","",IF('ORDENES'!$U221="","-",'ORDENES'!$U221))</f>
        <v/>
      </c>
      <c r="F243" s="3">
        <f>IF('ORDENES'!$A221="","",IF('ORDENES'!$W221="","-",'ORDENES'!$W221))</f>
        <v/>
      </c>
      <c r="G243" s="3">
        <f>IF('ORDENES'!$A221="","",IF('ORDENES'!$AB221="","-",'ORDENES'!$AB221))</f>
        <v/>
      </c>
      <c r="H243" s="3">
        <f>IF('ORDENES'!$A221="","",IF('ORDENES'!$AN221="","-",'ORDENES'!$AN221))</f>
        <v/>
      </c>
      <c r="I243" s="3">
        <f>IF('ORDENES'!$A221="","",IF('ORDENES'!$D221="","-",'ORDENES'!$D221))</f>
        <v/>
      </c>
      <c r="J243" s="3">
        <f>IF('ORDENES'!$A221="","",IF('ORDENES'!$E221="","-",'ORDENES'!$E221))</f>
        <v/>
      </c>
      <c r="K243" s="12">
        <f>IF('ORDENES'!$A221="","",IF('ORDENES'!$M221="",0,'ORDENES'!$M221))</f>
        <v/>
      </c>
      <c r="L243" s="3">
        <f>IF('ORDENES'!$A221="","",IF('ORDENES'!$N221="","-",'ORDENES'!$N221))</f>
        <v/>
      </c>
      <c r="M243" s="3">
        <f>IF('ORDENES'!$A221="","",'ORDENES'!$AA221)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IF('ORDENES'!$A222="","",IF('ORDENES'!$AC222="","-",'ORDENES'!$AC222))</f>
        <v/>
      </c>
      <c r="D244" s="3">
        <f>IF('ORDENES'!$A222="","",IF('ORDENES'!$V222="","-",'ORDENES'!$V222))</f>
        <v/>
      </c>
      <c r="E244" s="3">
        <f>IF('ORDENES'!$A222="","",IF('ORDENES'!$U222="","-",'ORDENES'!$U222))</f>
        <v/>
      </c>
      <c r="F244" s="3">
        <f>IF('ORDENES'!$A222="","",IF('ORDENES'!$W222="","-",'ORDENES'!$W222))</f>
        <v/>
      </c>
      <c r="G244" s="3">
        <f>IF('ORDENES'!$A222="","",IF('ORDENES'!$AB222="","-",'ORDENES'!$AB222))</f>
        <v/>
      </c>
      <c r="H244" s="3">
        <f>IF('ORDENES'!$A222="","",IF('ORDENES'!$AN222="","-",'ORDENES'!$AN222))</f>
        <v/>
      </c>
      <c r="I244" s="3">
        <f>IF('ORDENES'!$A222="","",IF('ORDENES'!$D222="","-",'ORDENES'!$D222))</f>
        <v/>
      </c>
      <c r="J244" s="3">
        <f>IF('ORDENES'!$A222="","",IF('ORDENES'!$E222="","-",'ORDENES'!$E222))</f>
        <v/>
      </c>
      <c r="K244" s="12">
        <f>IF('ORDENES'!$A222="","",IF('ORDENES'!$M222="",0,'ORDENES'!$M222))</f>
        <v/>
      </c>
      <c r="L244" s="3">
        <f>IF('ORDENES'!$A222="","",IF('ORDENES'!$N222="","-",'ORDENES'!$N222))</f>
        <v/>
      </c>
      <c r="M244" s="3">
        <f>IF('ORDENES'!$A222="","",'ORDENES'!$AA222)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IF('ORDENES'!$A223="","",IF('ORDENES'!$AC223="","-",'ORDENES'!$AC223))</f>
        <v/>
      </c>
      <c r="D245" s="3">
        <f>IF('ORDENES'!$A223="","",IF('ORDENES'!$V223="","-",'ORDENES'!$V223))</f>
        <v/>
      </c>
      <c r="E245" s="3">
        <f>IF('ORDENES'!$A223="","",IF('ORDENES'!$U223="","-",'ORDENES'!$U223))</f>
        <v/>
      </c>
      <c r="F245" s="3">
        <f>IF('ORDENES'!$A223="","",IF('ORDENES'!$W223="","-",'ORDENES'!$W223))</f>
        <v/>
      </c>
      <c r="G245" s="3">
        <f>IF('ORDENES'!$A223="","",IF('ORDENES'!$AB223="","-",'ORDENES'!$AB223))</f>
        <v/>
      </c>
      <c r="H245" s="3">
        <f>IF('ORDENES'!$A223="","",IF('ORDENES'!$AN223="","-",'ORDENES'!$AN223))</f>
        <v/>
      </c>
      <c r="I245" s="3">
        <f>IF('ORDENES'!$A223="","",IF('ORDENES'!$D223="","-",'ORDENES'!$D223))</f>
        <v/>
      </c>
      <c r="J245" s="3">
        <f>IF('ORDENES'!$A223="","",IF('ORDENES'!$E223="","-",'ORDENES'!$E223))</f>
        <v/>
      </c>
      <c r="K245" s="12">
        <f>IF('ORDENES'!$A223="","",IF('ORDENES'!$M223="",0,'ORDENES'!$M223))</f>
        <v/>
      </c>
      <c r="L245" s="3">
        <f>IF('ORDENES'!$A223="","",IF('ORDENES'!$N223="","-",'ORDENES'!$N223))</f>
        <v/>
      </c>
      <c r="M245" s="3">
        <f>IF('ORDENES'!$A223="","",'ORDENES'!$AA223)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IF('ORDENES'!$A224="","",IF('ORDENES'!$AC224="","-",'ORDENES'!$AC224))</f>
        <v/>
      </c>
      <c r="D246" s="3">
        <f>IF('ORDENES'!$A224="","",IF('ORDENES'!$V224="","-",'ORDENES'!$V224))</f>
        <v/>
      </c>
      <c r="E246" s="3">
        <f>IF('ORDENES'!$A224="","",IF('ORDENES'!$U224="","-",'ORDENES'!$U224))</f>
        <v/>
      </c>
      <c r="F246" s="3">
        <f>IF('ORDENES'!$A224="","",IF('ORDENES'!$W224="","-",'ORDENES'!$W224))</f>
        <v/>
      </c>
      <c r="G246" s="3">
        <f>IF('ORDENES'!$A224="","",IF('ORDENES'!$AB224="","-",'ORDENES'!$AB224))</f>
        <v/>
      </c>
      <c r="H246" s="3">
        <f>IF('ORDENES'!$A224="","",IF('ORDENES'!$AN224="","-",'ORDENES'!$AN224))</f>
        <v/>
      </c>
      <c r="I246" s="3">
        <f>IF('ORDENES'!$A224="","",IF('ORDENES'!$D224="","-",'ORDENES'!$D224))</f>
        <v/>
      </c>
      <c r="J246" s="3">
        <f>IF('ORDENES'!$A224="","",IF('ORDENES'!$E224="","-",'ORDENES'!$E224))</f>
        <v/>
      </c>
      <c r="K246" s="12">
        <f>IF('ORDENES'!$A224="","",IF('ORDENES'!$M224="",0,'ORDENES'!$M224))</f>
        <v/>
      </c>
      <c r="L246" s="3">
        <f>IF('ORDENES'!$A224="","",IF('ORDENES'!$N224="","-",'ORDENES'!$N224))</f>
        <v/>
      </c>
      <c r="M246" s="3">
        <f>IF('ORDENES'!$A224="","",'ORDENES'!$AA224)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IF('ORDENES'!$A225="","",IF('ORDENES'!$AC225="","-",'ORDENES'!$AC225))</f>
        <v/>
      </c>
      <c r="D247" s="3">
        <f>IF('ORDENES'!$A225="","",IF('ORDENES'!$V225="","-",'ORDENES'!$V225))</f>
        <v/>
      </c>
      <c r="E247" s="3">
        <f>IF('ORDENES'!$A225="","",IF('ORDENES'!$U225="","-",'ORDENES'!$U225))</f>
        <v/>
      </c>
      <c r="F247" s="3">
        <f>IF('ORDENES'!$A225="","",IF('ORDENES'!$W225="","-",'ORDENES'!$W225))</f>
        <v/>
      </c>
      <c r="G247" s="3">
        <f>IF('ORDENES'!$A225="","",IF('ORDENES'!$AB225="","-",'ORDENES'!$AB225))</f>
        <v/>
      </c>
      <c r="H247" s="3">
        <f>IF('ORDENES'!$A225="","",IF('ORDENES'!$AN225="","-",'ORDENES'!$AN225))</f>
        <v/>
      </c>
      <c r="I247" s="3">
        <f>IF('ORDENES'!$A225="","",IF('ORDENES'!$D225="","-",'ORDENES'!$D225))</f>
        <v/>
      </c>
      <c r="J247" s="3">
        <f>IF('ORDENES'!$A225="","",IF('ORDENES'!$E225="","-",'ORDENES'!$E225))</f>
        <v/>
      </c>
      <c r="K247" s="12">
        <f>IF('ORDENES'!$A225="","",IF('ORDENES'!$M225="",0,'ORDENES'!$M225))</f>
        <v/>
      </c>
      <c r="L247" s="3">
        <f>IF('ORDENES'!$A225="","",IF('ORDENES'!$N225="","-",'ORDENES'!$N225))</f>
        <v/>
      </c>
      <c r="M247" s="3">
        <f>IF('ORDENES'!$A225="","",'ORDENES'!$AA225)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IF('ORDENES'!$A226="","",IF('ORDENES'!$AC226="","-",'ORDENES'!$AC226))</f>
        <v/>
      </c>
      <c r="D248" s="3">
        <f>IF('ORDENES'!$A226="","",IF('ORDENES'!$V226="","-",'ORDENES'!$V226))</f>
        <v/>
      </c>
      <c r="E248" s="3">
        <f>IF('ORDENES'!$A226="","",IF('ORDENES'!$U226="","-",'ORDENES'!$U226))</f>
        <v/>
      </c>
      <c r="F248" s="3">
        <f>IF('ORDENES'!$A226="","",IF('ORDENES'!$W226="","-",'ORDENES'!$W226))</f>
        <v/>
      </c>
      <c r="G248" s="3">
        <f>IF('ORDENES'!$A226="","",IF('ORDENES'!$AB226="","-",'ORDENES'!$AB226))</f>
        <v/>
      </c>
      <c r="H248" s="3">
        <f>IF('ORDENES'!$A226="","",IF('ORDENES'!$AN226="","-",'ORDENES'!$AN226))</f>
        <v/>
      </c>
      <c r="I248" s="3">
        <f>IF('ORDENES'!$A226="","",IF('ORDENES'!$D226="","-",'ORDENES'!$D226))</f>
        <v/>
      </c>
      <c r="J248" s="3">
        <f>IF('ORDENES'!$A226="","",IF('ORDENES'!$E226="","-",'ORDENES'!$E226))</f>
        <v/>
      </c>
      <c r="K248" s="12">
        <f>IF('ORDENES'!$A226="","",IF('ORDENES'!$M226="",0,'ORDENES'!$M226))</f>
        <v/>
      </c>
      <c r="L248" s="3">
        <f>IF('ORDENES'!$A226="","",IF('ORDENES'!$N226="","-",'ORDENES'!$N226))</f>
        <v/>
      </c>
      <c r="M248" s="3">
        <f>IF('ORDENES'!$A226="","",'ORDENES'!$AA226)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IF('ORDENES'!$A227="","",IF('ORDENES'!$AC227="","-",'ORDENES'!$AC227))</f>
        <v/>
      </c>
      <c r="D249" s="3">
        <f>IF('ORDENES'!$A227="","",IF('ORDENES'!$V227="","-",'ORDENES'!$V227))</f>
        <v/>
      </c>
      <c r="E249" s="3">
        <f>IF('ORDENES'!$A227="","",IF('ORDENES'!$U227="","-",'ORDENES'!$U227))</f>
        <v/>
      </c>
      <c r="F249" s="3">
        <f>IF('ORDENES'!$A227="","",IF('ORDENES'!$W227="","-",'ORDENES'!$W227))</f>
        <v/>
      </c>
      <c r="G249" s="3">
        <f>IF('ORDENES'!$A227="","",IF('ORDENES'!$AB227="","-",'ORDENES'!$AB227))</f>
        <v/>
      </c>
      <c r="H249" s="3">
        <f>IF('ORDENES'!$A227="","",IF('ORDENES'!$AN227="","-",'ORDENES'!$AN227))</f>
        <v/>
      </c>
      <c r="I249" s="3">
        <f>IF('ORDENES'!$A227="","",IF('ORDENES'!$D227="","-",'ORDENES'!$D227))</f>
        <v/>
      </c>
      <c r="J249" s="3">
        <f>IF('ORDENES'!$A227="","",IF('ORDENES'!$E227="","-",'ORDENES'!$E227))</f>
        <v/>
      </c>
      <c r="K249" s="12">
        <f>IF('ORDENES'!$A227="","",IF('ORDENES'!$M227="",0,'ORDENES'!$M227))</f>
        <v/>
      </c>
      <c r="L249" s="3">
        <f>IF('ORDENES'!$A227="","",IF('ORDENES'!$N227="","-",'ORDENES'!$N227))</f>
        <v/>
      </c>
      <c r="M249" s="3">
        <f>IF('ORDENES'!$A227="","",'ORDENES'!$AA227)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IF('ORDENES'!$A228="","",IF('ORDENES'!$AC228="","-",'ORDENES'!$AC228))</f>
        <v/>
      </c>
      <c r="D250" s="3">
        <f>IF('ORDENES'!$A228="","",IF('ORDENES'!$V228="","-",'ORDENES'!$V228))</f>
        <v/>
      </c>
      <c r="E250" s="3">
        <f>IF('ORDENES'!$A228="","",IF('ORDENES'!$U228="","-",'ORDENES'!$U228))</f>
        <v/>
      </c>
      <c r="F250" s="3">
        <f>IF('ORDENES'!$A228="","",IF('ORDENES'!$W228="","-",'ORDENES'!$W228))</f>
        <v/>
      </c>
      <c r="G250" s="3">
        <f>IF('ORDENES'!$A228="","",IF('ORDENES'!$AB228="","-",'ORDENES'!$AB228))</f>
        <v/>
      </c>
      <c r="H250" s="3">
        <f>IF('ORDENES'!$A228="","",IF('ORDENES'!$AN228="","-",'ORDENES'!$AN228))</f>
        <v/>
      </c>
      <c r="I250" s="3">
        <f>IF('ORDENES'!$A228="","",IF('ORDENES'!$D228="","-",'ORDENES'!$D228))</f>
        <v/>
      </c>
      <c r="J250" s="3">
        <f>IF('ORDENES'!$A228="","",IF('ORDENES'!$E228="","-",'ORDENES'!$E228))</f>
        <v/>
      </c>
      <c r="K250" s="12">
        <f>IF('ORDENES'!$A228="","",IF('ORDENES'!$M228="",0,'ORDENES'!$M228))</f>
        <v/>
      </c>
      <c r="L250" s="3">
        <f>IF('ORDENES'!$A228="","",IF('ORDENES'!$N228="","-",'ORDENES'!$N228))</f>
        <v/>
      </c>
      <c r="M250" s="3">
        <f>IF('ORDENES'!$A228="","",'ORDENES'!$AA228)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IF('ORDENES'!$A229="","",IF('ORDENES'!$AC229="","-",'ORDENES'!$AC229))</f>
        <v/>
      </c>
      <c r="D251" s="3">
        <f>IF('ORDENES'!$A229="","",IF('ORDENES'!$V229="","-",'ORDENES'!$V229))</f>
        <v/>
      </c>
      <c r="E251" s="3">
        <f>IF('ORDENES'!$A229="","",IF('ORDENES'!$U229="","-",'ORDENES'!$U229))</f>
        <v/>
      </c>
      <c r="F251" s="3">
        <f>IF('ORDENES'!$A229="","",IF('ORDENES'!$W229="","-",'ORDENES'!$W229))</f>
        <v/>
      </c>
      <c r="G251" s="3">
        <f>IF('ORDENES'!$A229="","",IF('ORDENES'!$AB229="","-",'ORDENES'!$AB229))</f>
        <v/>
      </c>
      <c r="H251" s="3">
        <f>IF('ORDENES'!$A229="","",IF('ORDENES'!$AN229="","-",'ORDENES'!$AN229))</f>
        <v/>
      </c>
      <c r="I251" s="3">
        <f>IF('ORDENES'!$A229="","",IF('ORDENES'!$D229="","-",'ORDENES'!$D229))</f>
        <v/>
      </c>
      <c r="J251" s="3">
        <f>IF('ORDENES'!$A229="","",IF('ORDENES'!$E229="","-",'ORDENES'!$E229))</f>
        <v/>
      </c>
      <c r="K251" s="12">
        <f>IF('ORDENES'!$A229="","",IF('ORDENES'!$M229="",0,'ORDENES'!$M229))</f>
        <v/>
      </c>
      <c r="L251" s="3">
        <f>IF('ORDENES'!$A229="","",IF('ORDENES'!$N229="","-",'ORDENES'!$N229))</f>
        <v/>
      </c>
      <c r="M251" s="3">
        <f>IF('ORDENES'!$A229="","",'ORDENES'!$AA229)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IF('ORDENES'!$A230="","",IF('ORDENES'!$AC230="","-",'ORDENES'!$AC230))</f>
        <v/>
      </c>
      <c r="D252" s="3">
        <f>IF('ORDENES'!$A230="","",IF('ORDENES'!$V230="","-",'ORDENES'!$V230))</f>
        <v/>
      </c>
      <c r="E252" s="3">
        <f>IF('ORDENES'!$A230="","",IF('ORDENES'!$U230="","-",'ORDENES'!$U230))</f>
        <v/>
      </c>
      <c r="F252" s="3">
        <f>IF('ORDENES'!$A230="","",IF('ORDENES'!$W230="","-",'ORDENES'!$W230))</f>
        <v/>
      </c>
      <c r="G252" s="3">
        <f>IF('ORDENES'!$A230="","",IF('ORDENES'!$AB230="","-",'ORDENES'!$AB230))</f>
        <v/>
      </c>
      <c r="H252" s="3">
        <f>IF('ORDENES'!$A230="","",IF('ORDENES'!$AN230="","-",'ORDENES'!$AN230))</f>
        <v/>
      </c>
      <c r="I252" s="3">
        <f>IF('ORDENES'!$A230="","",IF('ORDENES'!$D230="","-",'ORDENES'!$D230))</f>
        <v/>
      </c>
      <c r="J252" s="3">
        <f>IF('ORDENES'!$A230="","",IF('ORDENES'!$E230="","-",'ORDENES'!$E230))</f>
        <v/>
      </c>
      <c r="K252" s="12">
        <f>IF('ORDENES'!$A230="","",IF('ORDENES'!$M230="",0,'ORDENES'!$M230))</f>
        <v/>
      </c>
      <c r="L252" s="3">
        <f>IF('ORDENES'!$A230="","",IF('ORDENES'!$N230="","-",'ORDENES'!$N230))</f>
        <v/>
      </c>
      <c r="M252" s="3">
        <f>IF('ORDENES'!$A230="","",'ORDENES'!$AA230)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IF('ORDENES'!$A231="","",IF('ORDENES'!$AC231="","-",'ORDENES'!$AC231))</f>
        <v/>
      </c>
      <c r="D253" s="3">
        <f>IF('ORDENES'!$A231="","",IF('ORDENES'!$V231="","-",'ORDENES'!$V231))</f>
        <v/>
      </c>
      <c r="E253" s="3">
        <f>IF('ORDENES'!$A231="","",IF('ORDENES'!$U231="","-",'ORDENES'!$U231))</f>
        <v/>
      </c>
      <c r="F253" s="3">
        <f>IF('ORDENES'!$A231="","",IF('ORDENES'!$W231="","-",'ORDENES'!$W231))</f>
        <v/>
      </c>
      <c r="G253" s="3">
        <f>IF('ORDENES'!$A231="","",IF('ORDENES'!$AB231="","-",'ORDENES'!$AB231))</f>
        <v/>
      </c>
      <c r="H253" s="3">
        <f>IF('ORDENES'!$A231="","",IF('ORDENES'!$AN231="","-",'ORDENES'!$AN231))</f>
        <v/>
      </c>
      <c r="I253" s="3">
        <f>IF('ORDENES'!$A231="","",IF('ORDENES'!$D231="","-",'ORDENES'!$D231))</f>
        <v/>
      </c>
      <c r="J253" s="3">
        <f>IF('ORDENES'!$A231="","",IF('ORDENES'!$E231="","-",'ORDENES'!$E231))</f>
        <v/>
      </c>
      <c r="K253" s="12">
        <f>IF('ORDENES'!$A231="","",IF('ORDENES'!$M231="",0,'ORDENES'!$M231))</f>
        <v/>
      </c>
      <c r="L253" s="3">
        <f>IF('ORDENES'!$A231="","",IF('ORDENES'!$N231="","-",'ORDENES'!$N231))</f>
        <v/>
      </c>
      <c r="M253" s="3">
        <f>IF('ORDENES'!$A231="","",'ORDENES'!$AA231)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IF('ORDENES'!$A232="","",IF('ORDENES'!$AC232="","-",'ORDENES'!$AC232))</f>
        <v/>
      </c>
      <c r="D254" s="3">
        <f>IF('ORDENES'!$A232="","",IF('ORDENES'!$V232="","-",'ORDENES'!$V232))</f>
        <v/>
      </c>
      <c r="E254" s="3">
        <f>IF('ORDENES'!$A232="","",IF('ORDENES'!$U232="","-",'ORDENES'!$U232))</f>
        <v/>
      </c>
      <c r="F254" s="3">
        <f>IF('ORDENES'!$A232="","",IF('ORDENES'!$W232="","-",'ORDENES'!$W232))</f>
        <v/>
      </c>
      <c r="G254" s="3">
        <f>IF('ORDENES'!$A232="","",IF('ORDENES'!$AB232="","-",'ORDENES'!$AB232))</f>
        <v/>
      </c>
      <c r="H254" s="3">
        <f>IF('ORDENES'!$A232="","",IF('ORDENES'!$AN232="","-",'ORDENES'!$AN232))</f>
        <v/>
      </c>
      <c r="I254" s="3">
        <f>IF('ORDENES'!$A232="","",IF('ORDENES'!$D232="","-",'ORDENES'!$D232))</f>
        <v/>
      </c>
      <c r="J254" s="3">
        <f>IF('ORDENES'!$A232="","",IF('ORDENES'!$E232="","-",'ORDENES'!$E232))</f>
        <v/>
      </c>
      <c r="K254" s="12">
        <f>IF('ORDENES'!$A232="","",IF('ORDENES'!$M232="",0,'ORDENES'!$M232))</f>
        <v/>
      </c>
      <c r="L254" s="3">
        <f>IF('ORDENES'!$A232="","",IF('ORDENES'!$N232="","-",'ORDENES'!$N232))</f>
        <v/>
      </c>
      <c r="M254" s="3">
        <f>IF('ORDENES'!$A232="","",'ORDENES'!$AA232)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IF('ORDENES'!$A233="","",IF('ORDENES'!$AC233="","-",'ORDENES'!$AC233))</f>
        <v/>
      </c>
      <c r="D255" s="3">
        <f>IF('ORDENES'!$A233="","",IF('ORDENES'!$V233="","-",'ORDENES'!$V233))</f>
        <v/>
      </c>
      <c r="E255" s="3">
        <f>IF('ORDENES'!$A233="","",IF('ORDENES'!$U233="","-",'ORDENES'!$U233))</f>
        <v/>
      </c>
      <c r="F255" s="3">
        <f>IF('ORDENES'!$A233="","",IF('ORDENES'!$W233="","-",'ORDENES'!$W233))</f>
        <v/>
      </c>
      <c r="G255" s="3">
        <f>IF('ORDENES'!$A233="","",IF('ORDENES'!$AB233="","-",'ORDENES'!$AB233))</f>
        <v/>
      </c>
      <c r="H255" s="3">
        <f>IF('ORDENES'!$A233="","",IF('ORDENES'!$AN233="","-",'ORDENES'!$AN233))</f>
        <v/>
      </c>
      <c r="I255" s="3">
        <f>IF('ORDENES'!$A233="","",IF('ORDENES'!$D233="","-",'ORDENES'!$D233))</f>
        <v/>
      </c>
      <c r="J255" s="3">
        <f>IF('ORDENES'!$A233="","",IF('ORDENES'!$E233="","-",'ORDENES'!$E233))</f>
        <v/>
      </c>
      <c r="K255" s="12">
        <f>IF('ORDENES'!$A233="","",IF('ORDENES'!$M233="",0,'ORDENES'!$M233))</f>
        <v/>
      </c>
      <c r="L255" s="3">
        <f>IF('ORDENES'!$A233="","",IF('ORDENES'!$N233="","-",'ORDENES'!$N233))</f>
        <v/>
      </c>
      <c r="M255" s="3">
        <f>IF('ORDENES'!$A233="","",'ORDENES'!$AA233)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IF('ORDENES'!$A234="","",IF('ORDENES'!$AC234="","-",'ORDENES'!$AC234))</f>
        <v/>
      </c>
      <c r="D256" s="3">
        <f>IF('ORDENES'!$A234="","",IF('ORDENES'!$V234="","-",'ORDENES'!$V234))</f>
        <v/>
      </c>
      <c r="E256" s="3">
        <f>IF('ORDENES'!$A234="","",IF('ORDENES'!$U234="","-",'ORDENES'!$U234))</f>
        <v/>
      </c>
      <c r="F256" s="3">
        <f>IF('ORDENES'!$A234="","",IF('ORDENES'!$W234="","-",'ORDENES'!$W234))</f>
        <v/>
      </c>
      <c r="G256" s="3">
        <f>IF('ORDENES'!$A234="","",IF('ORDENES'!$AB234="","-",'ORDENES'!$AB234))</f>
        <v/>
      </c>
      <c r="H256" s="3">
        <f>IF('ORDENES'!$A234="","",IF('ORDENES'!$AN234="","-",'ORDENES'!$AN234))</f>
        <v/>
      </c>
      <c r="I256" s="3">
        <f>IF('ORDENES'!$A234="","",IF('ORDENES'!$D234="","-",'ORDENES'!$D234))</f>
        <v/>
      </c>
      <c r="J256" s="3">
        <f>IF('ORDENES'!$A234="","",IF('ORDENES'!$E234="","-",'ORDENES'!$E234))</f>
        <v/>
      </c>
      <c r="K256" s="12">
        <f>IF('ORDENES'!$A234="","",IF('ORDENES'!$M234="",0,'ORDENES'!$M234))</f>
        <v/>
      </c>
      <c r="L256" s="3">
        <f>IF('ORDENES'!$A234="","",IF('ORDENES'!$N234="","-",'ORDENES'!$N234))</f>
        <v/>
      </c>
      <c r="M256" s="3">
        <f>IF('ORDENES'!$A234="","",'ORDENES'!$AA234)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IF('ORDENES'!$A235="","",IF('ORDENES'!$AC235="","-",'ORDENES'!$AC235))</f>
        <v/>
      </c>
      <c r="D257" s="3">
        <f>IF('ORDENES'!$A235="","",IF('ORDENES'!$V235="","-",'ORDENES'!$V235))</f>
        <v/>
      </c>
      <c r="E257" s="3">
        <f>IF('ORDENES'!$A235="","",IF('ORDENES'!$U235="","-",'ORDENES'!$U235))</f>
        <v/>
      </c>
      <c r="F257" s="3">
        <f>IF('ORDENES'!$A235="","",IF('ORDENES'!$W235="","-",'ORDENES'!$W235))</f>
        <v/>
      </c>
      <c r="G257" s="3">
        <f>IF('ORDENES'!$A235="","",IF('ORDENES'!$AB235="","-",'ORDENES'!$AB235))</f>
        <v/>
      </c>
      <c r="H257" s="3">
        <f>IF('ORDENES'!$A235="","",IF('ORDENES'!$AN235="","-",'ORDENES'!$AN235))</f>
        <v/>
      </c>
      <c r="I257" s="3">
        <f>IF('ORDENES'!$A235="","",IF('ORDENES'!$D235="","-",'ORDENES'!$D235))</f>
        <v/>
      </c>
      <c r="J257" s="3">
        <f>IF('ORDENES'!$A235="","",IF('ORDENES'!$E235="","-",'ORDENES'!$E235))</f>
        <v/>
      </c>
      <c r="K257" s="12">
        <f>IF('ORDENES'!$A235="","",IF('ORDENES'!$M235="",0,'ORDENES'!$M235))</f>
        <v/>
      </c>
      <c r="L257" s="3">
        <f>IF('ORDENES'!$A235="","",IF('ORDENES'!$N235="","-",'ORDENES'!$N235))</f>
        <v/>
      </c>
      <c r="M257" s="3">
        <f>IF('ORDENES'!$A235="","",'ORDENES'!$AA235)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IF('ORDENES'!$A236="","",IF('ORDENES'!$AC236="","-",'ORDENES'!$AC236))</f>
        <v/>
      </c>
      <c r="D258" s="3">
        <f>IF('ORDENES'!$A236="","",IF('ORDENES'!$V236="","-",'ORDENES'!$V236))</f>
        <v/>
      </c>
      <c r="E258" s="3">
        <f>IF('ORDENES'!$A236="","",IF('ORDENES'!$U236="","-",'ORDENES'!$U236))</f>
        <v/>
      </c>
      <c r="F258" s="3">
        <f>IF('ORDENES'!$A236="","",IF('ORDENES'!$W236="","-",'ORDENES'!$W236))</f>
        <v/>
      </c>
      <c r="G258" s="3">
        <f>IF('ORDENES'!$A236="","",IF('ORDENES'!$AB236="","-",'ORDENES'!$AB236))</f>
        <v/>
      </c>
      <c r="H258" s="3">
        <f>IF('ORDENES'!$A236="","",IF('ORDENES'!$AN236="","-",'ORDENES'!$AN236))</f>
        <v/>
      </c>
      <c r="I258" s="3">
        <f>IF('ORDENES'!$A236="","",IF('ORDENES'!$D236="","-",'ORDENES'!$D236))</f>
        <v/>
      </c>
      <c r="J258" s="3">
        <f>IF('ORDENES'!$A236="","",IF('ORDENES'!$E236="","-",'ORDENES'!$E236))</f>
        <v/>
      </c>
      <c r="K258" s="12">
        <f>IF('ORDENES'!$A236="","",IF('ORDENES'!$M236="",0,'ORDENES'!$M236))</f>
        <v/>
      </c>
      <c r="L258" s="3">
        <f>IF('ORDENES'!$A236="","",IF('ORDENES'!$N236="","-",'ORDENES'!$N236))</f>
        <v/>
      </c>
      <c r="M258" s="3">
        <f>IF('ORDENES'!$A236="","",'ORDENES'!$AA236)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IF('ORDENES'!$A237="","",IF('ORDENES'!$AC237="","-",'ORDENES'!$AC237))</f>
        <v/>
      </c>
      <c r="D259" s="3">
        <f>IF('ORDENES'!$A237="","",IF('ORDENES'!$V237="","-",'ORDENES'!$V237))</f>
        <v/>
      </c>
      <c r="E259" s="3">
        <f>IF('ORDENES'!$A237="","",IF('ORDENES'!$U237="","-",'ORDENES'!$U237))</f>
        <v/>
      </c>
      <c r="F259" s="3">
        <f>IF('ORDENES'!$A237="","",IF('ORDENES'!$W237="","-",'ORDENES'!$W237))</f>
        <v/>
      </c>
      <c r="G259" s="3">
        <f>IF('ORDENES'!$A237="","",IF('ORDENES'!$AB237="","-",'ORDENES'!$AB237))</f>
        <v/>
      </c>
      <c r="H259" s="3">
        <f>IF('ORDENES'!$A237="","",IF('ORDENES'!$AN237="","-",'ORDENES'!$AN237))</f>
        <v/>
      </c>
      <c r="I259" s="3">
        <f>IF('ORDENES'!$A237="","",IF('ORDENES'!$D237="","-",'ORDENES'!$D237))</f>
        <v/>
      </c>
      <c r="J259" s="3">
        <f>IF('ORDENES'!$A237="","",IF('ORDENES'!$E237="","-",'ORDENES'!$E237))</f>
        <v/>
      </c>
      <c r="K259" s="12">
        <f>IF('ORDENES'!$A237="","",IF('ORDENES'!$M237="",0,'ORDENES'!$M237))</f>
        <v/>
      </c>
      <c r="L259" s="3">
        <f>IF('ORDENES'!$A237="","",IF('ORDENES'!$N237="","-",'ORDENES'!$N237))</f>
        <v/>
      </c>
      <c r="M259" s="3">
        <f>IF('ORDENES'!$A237="","",'ORDENES'!$AA237)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IF('ORDENES'!$A238="","",IF('ORDENES'!$AC238="","-",'ORDENES'!$AC238))</f>
        <v/>
      </c>
      <c r="D260" s="3">
        <f>IF('ORDENES'!$A238="","",IF('ORDENES'!$V238="","-",'ORDENES'!$V238))</f>
        <v/>
      </c>
      <c r="E260" s="3">
        <f>IF('ORDENES'!$A238="","",IF('ORDENES'!$U238="","-",'ORDENES'!$U238))</f>
        <v/>
      </c>
      <c r="F260" s="3">
        <f>IF('ORDENES'!$A238="","",IF('ORDENES'!$W238="","-",'ORDENES'!$W238))</f>
        <v/>
      </c>
      <c r="G260" s="3">
        <f>IF('ORDENES'!$A238="","",IF('ORDENES'!$AB238="","-",'ORDENES'!$AB238))</f>
        <v/>
      </c>
      <c r="H260" s="3">
        <f>IF('ORDENES'!$A238="","",IF('ORDENES'!$AN238="","-",'ORDENES'!$AN238))</f>
        <v/>
      </c>
      <c r="I260" s="3">
        <f>IF('ORDENES'!$A238="","",IF('ORDENES'!$D238="","-",'ORDENES'!$D238))</f>
        <v/>
      </c>
      <c r="J260" s="3">
        <f>IF('ORDENES'!$A238="","",IF('ORDENES'!$E238="","-",'ORDENES'!$E238))</f>
        <v/>
      </c>
      <c r="K260" s="12">
        <f>IF('ORDENES'!$A238="","",IF('ORDENES'!$M238="",0,'ORDENES'!$M238))</f>
        <v/>
      </c>
      <c r="L260" s="3">
        <f>IF('ORDENES'!$A238="","",IF('ORDENES'!$N238="","-",'ORDENES'!$N238))</f>
        <v/>
      </c>
      <c r="M260" s="3">
        <f>IF('ORDENES'!$A238="","",'ORDENES'!$AA238)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IF('ORDENES'!$A239="","",IF('ORDENES'!$AC239="","-",'ORDENES'!$AC239))</f>
        <v/>
      </c>
      <c r="D261" s="3">
        <f>IF('ORDENES'!$A239="","",IF('ORDENES'!$V239="","-",'ORDENES'!$V239))</f>
        <v/>
      </c>
      <c r="E261" s="3">
        <f>IF('ORDENES'!$A239="","",IF('ORDENES'!$U239="","-",'ORDENES'!$U239))</f>
        <v/>
      </c>
      <c r="F261" s="3">
        <f>IF('ORDENES'!$A239="","",IF('ORDENES'!$W239="","-",'ORDENES'!$W239))</f>
        <v/>
      </c>
      <c r="G261" s="3">
        <f>IF('ORDENES'!$A239="","",IF('ORDENES'!$AB239="","-",'ORDENES'!$AB239))</f>
        <v/>
      </c>
      <c r="H261" s="3">
        <f>IF('ORDENES'!$A239="","",IF('ORDENES'!$AN239="","-",'ORDENES'!$AN239))</f>
        <v/>
      </c>
      <c r="I261" s="3">
        <f>IF('ORDENES'!$A239="","",IF('ORDENES'!$D239="","-",'ORDENES'!$D239))</f>
        <v/>
      </c>
      <c r="J261" s="3">
        <f>IF('ORDENES'!$A239="","",IF('ORDENES'!$E239="","-",'ORDENES'!$E239))</f>
        <v/>
      </c>
      <c r="K261" s="12">
        <f>IF('ORDENES'!$A239="","",IF('ORDENES'!$M239="",0,'ORDENES'!$M239))</f>
        <v/>
      </c>
      <c r="L261" s="3">
        <f>IF('ORDENES'!$A239="","",IF('ORDENES'!$N239="","-",'ORDENES'!$N239))</f>
        <v/>
      </c>
      <c r="M261" s="3">
        <f>IF('ORDENES'!$A239="","",'ORDENES'!$AA239)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IF('ORDENES'!$A240="","",IF('ORDENES'!$AC240="","-",'ORDENES'!$AC240))</f>
        <v/>
      </c>
      <c r="D262" s="3">
        <f>IF('ORDENES'!$A240="","",IF('ORDENES'!$V240="","-",'ORDENES'!$V240))</f>
        <v/>
      </c>
      <c r="E262" s="3">
        <f>IF('ORDENES'!$A240="","",IF('ORDENES'!$U240="","-",'ORDENES'!$U240))</f>
        <v/>
      </c>
      <c r="F262" s="3">
        <f>IF('ORDENES'!$A240="","",IF('ORDENES'!$W240="","-",'ORDENES'!$W240))</f>
        <v/>
      </c>
      <c r="G262" s="3">
        <f>IF('ORDENES'!$A240="","",IF('ORDENES'!$AB240="","-",'ORDENES'!$AB240))</f>
        <v/>
      </c>
      <c r="H262" s="3">
        <f>IF('ORDENES'!$A240="","",IF('ORDENES'!$AN240="","-",'ORDENES'!$AN240))</f>
        <v/>
      </c>
      <c r="I262" s="3">
        <f>IF('ORDENES'!$A240="","",IF('ORDENES'!$D240="","-",'ORDENES'!$D240))</f>
        <v/>
      </c>
      <c r="J262" s="3">
        <f>IF('ORDENES'!$A240="","",IF('ORDENES'!$E240="","-",'ORDENES'!$E240))</f>
        <v/>
      </c>
      <c r="K262" s="12">
        <f>IF('ORDENES'!$A240="","",IF('ORDENES'!$M240="",0,'ORDENES'!$M240))</f>
        <v/>
      </c>
      <c r="L262" s="3">
        <f>IF('ORDENES'!$A240="","",IF('ORDENES'!$N240="","-",'ORDENES'!$N240))</f>
        <v/>
      </c>
      <c r="M262" s="3">
        <f>IF('ORDENES'!$A240="","",'ORDENES'!$AA240)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IF('ORDENES'!$A241="","",IF('ORDENES'!$AC241="","-",'ORDENES'!$AC241))</f>
        <v/>
      </c>
      <c r="D263" s="3">
        <f>IF('ORDENES'!$A241="","",IF('ORDENES'!$V241="","-",'ORDENES'!$V241))</f>
        <v/>
      </c>
      <c r="E263" s="3">
        <f>IF('ORDENES'!$A241="","",IF('ORDENES'!$U241="","-",'ORDENES'!$U241))</f>
        <v/>
      </c>
      <c r="F263" s="3">
        <f>IF('ORDENES'!$A241="","",IF('ORDENES'!$W241="","-",'ORDENES'!$W241))</f>
        <v/>
      </c>
      <c r="G263" s="3">
        <f>IF('ORDENES'!$A241="","",IF('ORDENES'!$AB241="","-",'ORDENES'!$AB241))</f>
        <v/>
      </c>
      <c r="H263" s="3">
        <f>IF('ORDENES'!$A241="","",IF('ORDENES'!$AN241="","-",'ORDENES'!$AN241))</f>
        <v/>
      </c>
      <c r="I263" s="3">
        <f>IF('ORDENES'!$A241="","",IF('ORDENES'!$D241="","-",'ORDENES'!$D241))</f>
        <v/>
      </c>
      <c r="J263" s="3">
        <f>IF('ORDENES'!$A241="","",IF('ORDENES'!$E241="","-",'ORDENES'!$E241))</f>
        <v/>
      </c>
      <c r="K263" s="12">
        <f>IF('ORDENES'!$A241="","",IF('ORDENES'!$M241="",0,'ORDENES'!$M241))</f>
        <v/>
      </c>
      <c r="L263" s="3">
        <f>IF('ORDENES'!$A241="","",IF('ORDENES'!$N241="","-",'ORDENES'!$N241))</f>
        <v/>
      </c>
      <c r="M263" s="3">
        <f>IF('ORDENES'!$A241="","",'ORDENES'!$AA241)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IF('ORDENES'!$A242="","",IF('ORDENES'!$AC242="","-",'ORDENES'!$AC242))</f>
        <v/>
      </c>
      <c r="D264" s="3">
        <f>IF('ORDENES'!$A242="","",IF('ORDENES'!$V242="","-",'ORDENES'!$V242))</f>
        <v/>
      </c>
      <c r="E264" s="3">
        <f>IF('ORDENES'!$A242="","",IF('ORDENES'!$U242="","-",'ORDENES'!$U242))</f>
        <v/>
      </c>
      <c r="F264" s="3">
        <f>IF('ORDENES'!$A242="","",IF('ORDENES'!$W242="","-",'ORDENES'!$W242))</f>
        <v/>
      </c>
      <c r="G264" s="3">
        <f>IF('ORDENES'!$A242="","",IF('ORDENES'!$AB242="","-",'ORDENES'!$AB242))</f>
        <v/>
      </c>
      <c r="H264" s="3">
        <f>IF('ORDENES'!$A242="","",IF('ORDENES'!$AN242="","-",'ORDENES'!$AN242))</f>
        <v/>
      </c>
      <c r="I264" s="3">
        <f>IF('ORDENES'!$A242="","",IF('ORDENES'!$D242="","-",'ORDENES'!$D242))</f>
        <v/>
      </c>
      <c r="J264" s="3">
        <f>IF('ORDENES'!$A242="","",IF('ORDENES'!$E242="","-",'ORDENES'!$E242))</f>
        <v/>
      </c>
      <c r="K264" s="12">
        <f>IF('ORDENES'!$A242="","",IF('ORDENES'!$M242="",0,'ORDENES'!$M242))</f>
        <v/>
      </c>
      <c r="L264" s="3">
        <f>IF('ORDENES'!$A242="","",IF('ORDENES'!$N242="","-",'ORDENES'!$N242))</f>
        <v/>
      </c>
      <c r="M264" s="3">
        <f>IF('ORDENES'!$A242="","",'ORDENES'!$AA242)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IF('ORDENES'!$A243="","",IF('ORDENES'!$AC243="","-",'ORDENES'!$AC243))</f>
        <v/>
      </c>
      <c r="D265" s="3">
        <f>IF('ORDENES'!$A243="","",IF('ORDENES'!$V243="","-",'ORDENES'!$V243))</f>
        <v/>
      </c>
      <c r="E265" s="3">
        <f>IF('ORDENES'!$A243="","",IF('ORDENES'!$U243="","-",'ORDENES'!$U243))</f>
        <v/>
      </c>
      <c r="F265" s="3">
        <f>IF('ORDENES'!$A243="","",IF('ORDENES'!$W243="","-",'ORDENES'!$W243))</f>
        <v/>
      </c>
      <c r="G265" s="3">
        <f>IF('ORDENES'!$A243="","",IF('ORDENES'!$AB243="","-",'ORDENES'!$AB243))</f>
        <v/>
      </c>
      <c r="H265" s="3">
        <f>IF('ORDENES'!$A243="","",IF('ORDENES'!$AN243="","-",'ORDENES'!$AN243))</f>
        <v/>
      </c>
      <c r="I265" s="3">
        <f>IF('ORDENES'!$A243="","",IF('ORDENES'!$D243="","-",'ORDENES'!$D243))</f>
        <v/>
      </c>
      <c r="J265" s="3">
        <f>IF('ORDENES'!$A243="","",IF('ORDENES'!$E243="","-",'ORDENES'!$E243))</f>
        <v/>
      </c>
      <c r="K265" s="12">
        <f>IF('ORDENES'!$A243="","",IF('ORDENES'!$M243="",0,'ORDENES'!$M243))</f>
        <v/>
      </c>
      <c r="L265" s="3">
        <f>IF('ORDENES'!$A243="","",IF('ORDENES'!$N243="","-",'ORDENES'!$N243))</f>
        <v/>
      </c>
      <c r="M265" s="3">
        <f>IF('ORDENES'!$A243="","",'ORDENES'!$AA243)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IF('ORDENES'!$A244="","",IF('ORDENES'!$AC244="","-",'ORDENES'!$AC244))</f>
        <v/>
      </c>
      <c r="D266" s="3">
        <f>IF('ORDENES'!$A244="","",IF('ORDENES'!$V244="","-",'ORDENES'!$V244))</f>
        <v/>
      </c>
      <c r="E266" s="3">
        <f>IF('ORDENES'!$A244="","",IF('ORDENES'!$U244="","-",'ORDENES'!$U244))</f>
        <v/>
      </c>
      <c r="F266" s="3">
        <f>IF('ORDENES'!$A244="","",IF('ORDENES'!$W244="","-",'ORDENES'!$W244))</f>
        <v/>
      </c>
      <c r="G266" s="3">
        <f>IF('ORDENES'!$A244="","",IF('ORDENES'!$AB244="","-",'ORDENES'!$AB244))</f>
        <v/>
      </c>
      <c r="H266" s="3">
        <f>IF('ORDENES'!$A244="","",IF('ORDENES'!$AN244="","-",'ORDENES'!$AN244))</f>
        <v/>
      </c>
      <c r="I266" s="3">
        <f>IF('ORDENES'!$A244="","",IF('ORDENES'!$D244="","-",'ORDENES'!$D244))</f>
        <v/>
      </c>
      <c r="J266" s="3">
        <f>IF('ORDENES'!$A244="","",IF('ORDENES'!$E244="","-",'ORDENES'!$E244))</f>
        <v/>
      </c>
      <c r="K266" s="12">
        <f>IF('ORDENES'!$A244="","",IF('ORDENES'!$M244="",0,'ORDENES'!$M244))</f>
        <v/>
      </c>
      <c r="L266" s="3">
        <f>IF('ORDENES'!$A244="","",IF('ORDENES'!$N244="","-",'ORDENES'!$N244))</f>
        <v/>
      </c>
      <c r="M266" s="3">
        <f>IF('ORDENES'!$A244="","",'ORDENES'!$AA244)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IF('ORDENES'!$A245="","",IF('ORDENES'!$AC245="","-",'ORDENES'!$AC245))</f>
        <v/>
      </c>
      <c r="D267" s="3">
        <f>IF('ORDENES'!$A245="","",IF('ORDENES'!$V245="","-",'ORDENES'!$V245))</f>
        <v/>
      </c>
      <c r="E267" s="3">
        <f>IF('ORDENES'!$A245="","",IF('ORDENES'!$U245="","-",'ORDENES'!$U245))</f>
        <v/>
      </c>
      <c r="F267" s="3">
        <f>IF('ORDENES'!$A245="","",IF('ORDENES'!$W245="","-",'ORDENES'!$W245))</f>
        <v/>
      </c>
      <c r="G267" s="3">
        <f>IF('ORDENES'!$A245="","",IF('ORDENES'!$AB245="","-",'ORDENES'!$AB245))</f>
        <v/>
      </c>
      <c r="H267" s="3">
        <f>IF('ORDENES'!$A245="","",IF('ORDENES'!$AN245="","-",'ORDENES'!$AN245))</f>
        <v/>
      </c>
      <c r="I267" s="3">
        <f>IF('ORDENES'!$A245="","",IF('ORDENES'!$D245="","-",'ORDENES'!$D245))</f>
        <v/>
      </c>
      <c r="J267" s="3">
        <f>IF('ORDENES'!$A245="","",IF('ORDENES'!$E245="","-",'ORDENES'!$E245))</f>
        <v/>
      </c>
      <c r="K267" s="12">
        <f>IF('ORDENES'!$A245="","",IF('ORDENES'!$M245="",0,'ORDENES'!$M245))</f>
        <v/>
      </c>
      <c r="L267" s="3">
        <f>IF('ORDENES'!$A245="","",IF('ORDENES'!$N245="","-",'ORDENES'!$N245))</f>
        <v/>
      </c>
      <c r="M267" s="3">
        <f>IF('ORDENES'!$A245="","",'ORDENES'!$AA245)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IF('ORDENES'!$A246="","",IF('ORDENES'!$AC246="","-",'ORDENES'!$AC246))</f>
        <v/>
      </c>
      <c r="D268" s="3">
        <f>IF('ORDENES'!$A246="","",IF('ORDENES'!$V246="","-",'ORDENES'!$V246))</f>
        <v/>
      </c>
      <c r="E268" s="3">
        <f>IF('ORDENES'!$A246="","",IF('ORDENES'!$U246="","-",'ORDENES'!$U246))</f>
        <v/>
      </c>
      <c r="F268" s="3">
        <f>IF('ORDENES'!$A246="","",IF('ORDENES'!$W246="","-",'ORDENES'!$W246))</f>
        <v/>
      </c>
      <c r="G268" s="3">
        <f>IF('ORDENES'!$A246="","",IF('ORDENES'!$AB246="","-",'ORDENES'!$AB246))</f>
        <v/>
      </c>
      <c r="H268" s="3">
        <f>IF('ORDENES'!$A246="","",IF('ORDENES'!$AN246="","-",'ORDENES'!$AN246))</f>
        <v/>
      </c>
      <c r="I268" s="3">
        <f>IF('ORDENES'!$A246="","",IF('ORDENES'!$D246="","-",'ORDENES'!$D246))</f>
        <v/>
      </c>
      <c r="J268" s="3">
        <f>IF('ORDENES'!$A246="","",IF('ORDENES'!$E246="","-",'ORDENES'!$E246))</f>
        <v/>
      </c>
      <c r="K268" s="12">
        <f>IF('ORDENES'!$A246="","",IF('ORDENES'!$M246="",0,'ORDENES'!$M246))</f>
        <v/>
      </c>
      <c r="L268" s="3">
        <f>IF('ORDENES'!$A246="","",IF('ORDENES'!$N246="","-",'ORDENES'!$N246))</f>
        <v/>
      </c>
      <c r="M268" s="3">
        <f>IF('ORDENES'!$A246="","",'ORDENES'!$AA246)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IF('ORDENES'!$A247="","",IF('ORDENES'!$AC247="","-",'ORDENES'!$AC247))</f>
        <v/>
      </c>
      <c r="D269" s="3">
        <f>IF('ORDENES'!$A247="","",IF('ORDENES'!$V247="","-",'ORDENES'!$V247))</f>
        <v/>
      </c>
      <c r="E269" s="3">
        <f>IF('ORDENES'!$A247="","",IF('ORDENES'!$U247="","-",'ORDENES'!$U247))</f>
        <v/>
      </c>
      <c r="F269" s="3">
        <f>IF('ORDENES'!$A247="","",IF('ORDENES'!$W247="","-",'ORDENES'!$W247))</f>
        <v/>
      </c>
      <c r="G269" s="3">
        <f>IF('ORDENES'!$A247="","",IF('ORDENES'!$AB247="","-",'ORDENES'!$AB247))</f>
        <v/>
      </c>
      <c r="H269" s="3">
        <f>IF('ORDENES'!$A247="","",IF('ORDENES'!$AN247="","-",'ORDENES'!$AN247))</f>
        <v/>
      </c>
      <c r="I269" s="3">
        <f>IF('ORDENES'!$A247="","",IF('ORDENES'!$D247="","-",'ORDENES'!$D247))</f>
        <v/>
      </c>
      <c r="J269" s="3">
        <f>IF('ORDENES'!$A247="","",IF('ORDENES'!$E247="","-",'ORDENES'!$E247))</f>
        <v/>
      </c>
      <c r="K269" s="12">
        <f>IF('ORDENES'!$A247="","",IF('ORDENES'!$M247="",0,'ORDENES'!$M247))</f>
        <v/>
      </c>
      <c r="L269" s="3">
        <f>IF('ORDENES'!$A247="","",IF('ORDENES'!$N247="","-",'ORDENES'!$N247))</f>
        <v/>
      </c>
      <c r="M269" s="3">
        <f>IF('ORDENES'!$A247="","",'ORDENES'!$AA247)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IF('ORDENES'!$A248="","",IF('ORDENES'!$AC248="","-",'ORDENES'!$AC248))</f>
        <v/>
      </c>
      <c r="D270" s="3">
        <f>IF('ORDENES'!$A248="","",IF('ORDENES'!$V248="","-",'ORDENES'!$V248))</f>
        <v/>
      </c>
      <c r="E270" s="3">
        <f>IF('ORDENES'!$A248="","",IF('ORDENES'!$U248="","-",'ORDENES'!$U248))</f>
        <v/>
      </c>
      <c r="F270" s="3">
        <f>IF('ORDENES'!$A248="","",IF('ORDENES'!$W248="","-",'ORDENES'!$W248))</f>
        <v/>
      </c>
      <c r="G270" s="3">
        <f>IF('ORDENES'!$A248="","",IF('ORDENES'!$AB248="","-",'ORDENES'!$AB248))</f>
        <v/>
      </c>
      <c r="H270" s="3">
        <f>IF('ORDENES'!$A248="","",IF('ORDENES'!$AN248="","-",'ORDENES'!$AN248))</f>
        <v/>
      </c>
      <c r="I270" s="3">
        <f>IF('ORDENES'!$A248="","",IF('ORDENES'!$D248="","-",'ORDENES'!$D248))</f>
        <v/>
      </c>
      <c r="J270" s="3">
        <f>IF('ORDENES'!$A248="","",IF('ORDENES'!$E248="","-",'ORDENES'!$E248))</f>
        <v/>
      </c>
      <c r="K270" s="12">
        <f>IF('ORDENES'!$A248="","",IF('ORDENES'!$M248="",0,'ORDENES'!$M248))</f>
        <v/>
      </c>
      <c r="L270" s="3">
        <f>IF('ORDENES'!$A248="","",IF('ORDENES'!$N248="","-",'ORDENES'!$N248))</f>
        <v/>
      </c>
      <c r="M270" s="3">
        <f>IF('ORDENES'!$A248="","",'ORDENES'!$AA248)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IF('ORDENES'!$A249="","",IF('ORDENES'!$AC249="","-",'ORDENES'!$AC249))</f>
        <v/>
      </c>
      <c r="D271" s="3">
        <f>IF('ORDENES'!$A249="","",IF('ORDENES'!$V249="","-",'ORDENES'!$V249))</f>
        <v/>
      </c>
      <c r="E271" s="3">
        <f>IF('ORDENES'!$A249="","",IF('ORDENES'!$U249="","-",'ORDENES'!$U249))</f>
        <v/>
      </c>
      <c r="F271" s="3">
        <f>IF('ORDENES'!$A249="","",IF('ORDENES'!$W249="","-",'ORDENES'!$W249))</f>
        <v/>
      </c>
      <c r="G271" s="3">
        <f>IF('ORDENES'!$A249="","",IF('ORDENES'!$AB249="","-",'ORDENES'!$AB249))</f>
        <v/>
      </c>
      <c r="H271" s="3">
        <f>IF('ORDENES'!$A249="","",IF('ORDENES'!$AN249="","-",'ORDENES'!$AN249))</f>
        <v/>
      </c>
      <c r="I271" s="3">
        <f>IF('ORDENES'!$A249="","",IF('ORDENES'!$D249="","-",'ORDENES'!$D249))</f>
        <v/>
      </c>
      <c r="J271" s="3">
        <f>IF('ORDENES'!$A249="","",IF('ORDENES'!$E249="","-",'ORDENES'!$E249))</f>
        <v/>
      </c>
      <c r="K271" s="12">
        <f>IF('ORDENES'!$A249="","",IF('ORDENES'!$M249="",0,'ORDENES'!$M249))</f>
        <v/>
      </c>
      <c r="L271" s="3">
        <f>IF('ORDENES'!$A249="","",IF('ORDENES'!$N249="","-",'ORDENES'!$N249))</f>
        <v/>
      </c>
      <c r="M271" s="3">
        <f>IF('ORDENES'!$A249="","",'ORDENES'!$AA249)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IF('ORDENES'!$A250="","",IF('ORDENES'!$AC250="","-",'ORDENES'!$AC250))</f>
        <v/>
      </c>
      <c r="D272" s="3">
        <f>IF('ORDENES'!$A250="","",IF('ORDENES'!$V250="","-",'ORDENES'!$V250))</f>
        <v/>
      </c>
      <c r="E272" s="3">
        <f>IF('ORDENES'!$A250="","",IF('ORDENES'!$U250="","-",'ORDENES'!$U250))</f>
        <v/>
      </c>
      <c r="F272" s="3">
        <f>IF('ORDENES'!$A250="","",IF('ORDENES'!$W250="","-",'ORDENES'!$W250))</f>
        <v/>
      </c>
      <c r="G272" s="3">
        <f>IF('ORDENES'!$A250="","",IF('ORDENES'!$AB250="","-",'ORDENES'!$AB250))</f>
        <v/>
      </c>
      <c r="H272" s="3">
        <f>IF('ORDENES'!$A250="","",IF('ORDENES'!$AN250="","-",'ORDENES'!$AN250))</f>
        <v/>
      </c>
      <c r="I272" s="3">
        <f>IF('ORDENES'!$A250="","",IF('ORDENES'!$D250="","-",'ORDENES'!$D250))</f>
        <v/>
      </c>
      <c r="J272" s="3">
        <f>IF('ORDENES'!$A250="","",IF('ORDENES'!$E250="","-",'ORDENES'!$E250))</f>
        <v/>
      </c>
      <c r="K272" s="12">
        <f>IF('ORDENES'!$A250="","",IF('ORDENES'!$M250="",0,'ORDENES'!$M250))</f>
        <v/>
      </c>
      <c r="L272" s="3">
        <f>IF('ORDENES'!$A250="","",IF('ORDENES'!$N250="","-",'ORDENES'!$N250))</f>
        <v/>
      </c>
      <c r="M272" s="3">
        <f>IF('ORDENES'!$A250="","",'ORDENES'!$AA250)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IF('ORDENES'!$A251="","",IF('ORDENES'!$AC251="","-",'ORDENES'!$AC251))</f>
        <v/>
      </c>
      <c r="D273" s="3">
        <f>IF('ORDENES'!$A251="","",IF('ORDENES'!$V251="","-",'ORDENES'!$V251))</f>
        <v/>
      </c>
      <c r="E273" s="3">
        <f>IF('ORDENES'!$A251="","",IF('ORDENES'!$U251="","-",'ORDENES'!$U251))</f>
        <v/>
      </c>
      <c r="F273" s="3">
        <f>IF('ORDENES'!$A251="","",IF('ORDENES'!$W251="","-",'ORDENES'!$W251))</f>
        <v/>
      </c>
      <c r="G273" s="3">
        <f>IF('ORDENES'!$A251="","",IF('ORDENES'!$AB251="","-",'ORDENES'!$AB251))</f>
        <v/>
      </c>
      <c r="H273" s="3">
        <f>IF('ORDENES'!$A251="","",IF('ORDENES'!$AN251="","-",'ORDENES'!$AN251))</f>
        <v/>
      </c>
      <c r="I273" s="3">
        <f>IF('ORDENES'!$A251="","",IF('ORDENES'!$D251="","-",'ORDENES'!$D251))</f>
        <v/>
      </c>
      <c r="J273" s="3">
        <f>IF('ORDENES'!$A251="","",IF('ORDENES'!$E251="","-",'ORDENES'!$E251))</f>
        <v/>
      </c>
      <c r="K273" s="12">
        <f>IF('ORDENES'!$A251="","",IF('ORDENES'!$M251="",0,'ORDENES'!$M251))</f>
        <v/>
      </c>
      <c r="L273" s="3">
        <f>IF('ORDENES'!$A251="","",IF('ORDENES'!$N251="","-",'ORDENES'!$N251))</f>
        <v/>
      </c>
      <c r="M273" s="3">
        <f>IF('ORDENES'!$A251="","",'ORDENES'!$AA251)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IF('ORDENES'!$A252="","",IF('ORDENES'!$AC252="","-",'ORDENES'!$AC252))</f>
        <v/>
      </c>
      <c r="D274" s="3">
        <f>IF('ORDENES'!$A252="","",IF('ORDENES'!$V252="","-",'ORDENES'!$V252))</f>
        <v/>
      </c>
      <c r="E274" s="3">
        <f>IF('ORDENES'!$A252="","",IF('ORDENES'!$U252="","-",'ORDENES'!$U252))</f>
        <v/>
      </c>
      <c r="F274" s="3">
        <f>IF('ORDENES'!$A252="","",IF('ORDENES'!$W252="","-",'ORDENES'!$W252))</f>
        <v/>
      </c>
      <c r="G274" s="3">
        <f>IF('ORDENES'!$A252="","",IF('ORDENES'!$AB252="","-",'ORDENES'!$AB252))</f>
        <v/>
      </c>
      <c r="H274" s="3">
        <f>IF('ORDENES'!$A252="","",IF('ORDENES'!$AN252="","-",'ORDENES'!$AN252))</f>
        <v/>
      </c>
      <c r="I274" s="3">
        <f>IF('ORDENES'!$A252="","",IF('ORDENES'!$D252="","-",'ORDENES'!$D252))</f>
        <v/>
      </c>
      <c r="J274" s="3">
        <f>IF('ORDENES'!$A252="","",IF('ORDENES'!$E252="","-",'ORDENES'!$E252))</f>
        <v/>
      </c>
      <c r="K274" s="12">
        <f>IF('ORDENES'!$A252="","",IF('ORDENES'!$M252="",0,'ORDENES'!$M252))</f>
        <v/>
      </c>
      <c r="L274" s="3">
        <f>IF('ORDENES'!$A252="","",IF('ORDENES'!$N252="","-",'ORDENES'!$N252))</f>
        <v/>
      </c>
      <c r="M274" s="3">
        <f>IF('ORDENES'!$A252="","",'ORDENES'!$AA252)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IF('ORDENES'!$A253="","",IF('ORDENES'!$AC253="","-",'ORDENES'!$AC253))</f>
        <v/>
      </c>
      <c r="D275" s="3">
        <f>IF('ORDENES'!$A253="","",IF('ORDENES'!$V253="","-",'ORDENES'!$V253))</f>
        <v/>
      </c>
      <c r="E275" s="3">
        <f>IF('ORDENES'!$A253="","",IF('ORDENES'!$U253="","-",'ORDENES'!$U253))</f>
        <v/>
      </c>
      <c r="F275" s="3">
        <f>IF('ORDENES'!$A253="","",IF('ORDENES'!$W253="","-",'ORDENES'!$W253))</f>
        <v/>
      </c>
      <c r="G275" s="3">
        <f>IF('ORDENES'!$A253="","",IF('ORDENES'!$AB253="","-",'ORDENES'!$AB253))</f>
        <v/>
      </c>
      <c r="H275" s="3">
        <f>IF('ORDENES'!$A253="","",IF('ORDENES'!$AN253="","-",'ORDENES'!$AN253))</f>
        <v/>
      </c>
      <c r="I275" s="3">
        <f>IF('ORDENES'!$A253="","",IF('ORDENES'!$D253="","-",'ORDENES'!$D253))</f>
        <v/>
      </c>
      <c r="J275" s="3">
        <f>IF('ORDENES'!$A253="","",IF('ORDENES'!$E253="","-",'ORDENES'!$E253))</f>
        <v/>
      </c>
      <c r="K275" s="12">
        <f>IF('ORDENES'!$A253="","",IF('ORDENES'!$M253="",0,'ORDENES'!$M253))</f>
        <v/>
      </c>
      <c r="L275" s="3">
        <f>IF('ORDENES'!$A253="","",IF('ORDENES'!$N253="","-",'ORDENES'!$N253))</f>
        <v/>
      </c>
      <c r="M275" s="3">
        <f>IF('ORDENES'!$A253="","",'ORDENES'!$AA253)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IF('ORDENES'!$A254="","",IF('ORDENES'!$AC254="","-",'ORDENES'!$AC254))</f>
        <v/>
      </c>
      <c r="D276" s="3">
        <f>IF('ORDENES'!$A254="","",IF('ORDENES'!$V254="","-",'ORDENES'!$V254))</f>
        <v/>
      </c>
      <c r="E276" s="3">
        <f>IF('ORDENES'!$A254="","",IF('ORDENES'!$U254="","-",'ORDENES'!$U254))</f>
        <v/>
      </c>
      <c r="F276" s="3">
        <f>IF('ORDENES'!$A254="","",IF('ORDENES'!$W254="","-",'ORDENES'!$W254))</f>
        <v/>
      </c>
      <c r="G276" s="3">
        <f>IF('ORDENES'!$A254="","",IF('ORDENES'!$AB254="","-",'ORDENES'!$AB254))</f>
        <v/>
      </c>
      <c r="H276" s="3">
        <f>IF('ORDENES'!$A254="","",IF('ORDENES'!$AN254="","-",'ORDENES'!$AN254))</f>
        <v/>
      </c>
      <c r="I276" s="3">
        <f>IF('ORDENES'!$A254="","",IF('ORDENES'!$D254="","-",'ORDENES'!$D254))</f>
        <v/>
      </c>
      <c r="J276" s="3">
        <f>IF('ORDENES'!$A254="","",IF('ORDENES'!$E254="","-",'ORDENES'!$E254))</f>
        <v/>
      </c>
      <c r="K276" s="12">
        <f>IF('ORDENES'!$A254="","",IF('ORDENES'!$M254="",0,'ORDENES'!$M254))</f>
        <v/>
      </c>
      <c r="L276" s="3">
        <f>IF('ORDENES'!$A254="","",IF('ORDENES'!$N254="","-",'ORDENES'!$N254))</f>
        <v/>
      </c>
      <c r="M276" s="3">
        <f>IF('ORDENES'!$A254="","",'ORDENES'!$AA254)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IF('ORDENES'!$A255="","",IF('ORDENES'!$AC255="","-",'ORDENES'!$AC255))</f>
        <v/>
      </c>
      <c r="D277" s="3">
        <f>IF('ORDENES'!$A255="","",IF('ORDENES'!$V255="","-",'ORDENES'!$V255))</f>
        <v/>
      </c>
      <c r="E277" s="3">
        <f>IF('ORDENES'!$A255="","",IF('ORDENES'!$U255="","-",'ORDENES'!$U255))</f>
        <v/>
      </c>
      <c r="F277" s="3">
        <f>IF('ORDENES'!$A255="","",IF('ORDENES'!$W255="","-",'ORDENES'!$W255))</f>
        <v/>
      </c>
      <c r="G277" s="3">
        <f>IF('ORDENES'!$A255="","",IF('ORDENES'!$AB255="","-",'ORDENES'!$AB255))</f>
        <v/>
      </c>
      <c r="H277" s="3">
        <f>IF('ORDENES'!$A255="","",IF('ORDENES'!$AN255="","-",'ORDENES'!$AN255))</f>
        <v/>
      </c>
      <c r="I277" s="3">
        <f>IF('ORDENES'!$A255="","",IF('ORDENES'!$D255="","-",'ORDENES'!$D255))</f>
        <v/>
      </c>
      <c r="J277" s="3">
        <f>IF('ORDENES'!$A255="","",IF('ORDENES'!$E255="","-",'ORDENES'!$E255))</f>
        <v/>
      </c>
      <c r="K277" s="12">
        <f>IF('ORDENES'!$A255="","",IF('ORDENES'!$M255="",0,'ORDENES'!$M255))</f>
        <v/>
      </c>
      <c r="L277" s="3">
        <f>IF('ORDENES'!$A255="","",IF('ORDENES'!$N255="","-",'ORDENES'!$N255))</f>
        <v/>
      </c>
      <c r="M277" s="3">
        <f>IF('ORDENES'!$A255="","",'ORDENES'!$AA255)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IF('ORDENES'!$A256="","",IF('ORDENES'!$AC256="","-",'ORDENES'!$AC256))</f>
        <v/>
      </c>
      <c r="D278" s="3">
        <f>IF('ORDENES'!$A256="","",IF('ORDENES'!$V256="","-",'ORDENES'!$V256))</f>
        <v/>
      </c>
      <c r="E278" s="3">
        <f>IF('ORDENES'!$A256="","",IF('ORDENES'!$U256="","-",'ORDENES'!$U256))</f>
        <v/>
      </c>
      <c r="F278" s="3">
        <f>IF('ORDENES'!$A256="","",IF('ORDENES'!$W256="","-",'ORDENES'!$W256))</f>
        <v/>
      </c>
      <c r="G278" s="3">
        <f>IF('ORDENES'!$A256="","",IF('ORDENES'!$AB256="","-",'ORDENES'!$AB256))</f>
        <v/>
      </c>
      <c r="H278" s="3">
        <f>IF('ORDENES'!$A256="","",IF('ORDENES'!$AN256="","-",'ORDENES'!$AN256))</f>
        <v/>
      </c>
      <c r="I278" s="3">
        <f>IF('ORDENES'!$A256="","",IF('ORDENES'!$D256="","-",'ORDENES'!$D256))</f>
        <v/>
      </c>
      <c r="J278" s="3">
        <f>IF('ORDENES'!$A256="","",IF('ORDENES'!$E256="","-",'ORDENES'!$E256))</f>
        <v/>
      </c>
      <c r="K278" s="12">
        <f>IF('ORDENES'!$A256="","",IF('ORDENES'!$M256="",0,'ORDENES'!$M256))</f>
        <v/>
      </c>
      <c r="L278" s="3">
        <f>IF('ORDENES'!$A256="","",IF('ORDENES'!$N256="","-",'ORDENES'!$N256))</f>
        <v/>
      </c>
      <c r="M278" s="3">
        <f>IF('ORDENES'!$A256="","",'ORDENES'!$AA256)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IF('ORDENES'!$A257="","",IF('ORDENES'!$AC257="","-",'ORDENES'!$AC257))</f>
        <v/>
      </c>
      <c r="D279" s="3">
        <f>IF('ORDENES'!$A257="","",IF('ORDENES'!$V257="","-",'ORDENES'!$V257))</f>
        <v/>
      </c>
      <c r="E279" s="3">
        <f>IF('ORDENES'!$A257="","",IF('ORDENES'!$U257="","-",'ORDENES'!$U257))</f>
        <v/>
      </c>
      <c r="F279" s="3">
        <f>IF('ORDENES'!$A257="","",IF('ORDENES'!$W257="","-",'ORDENES'!$W257))</f>
        <v/>
      </c>
      <c r="G279" s="3">
        <f>IF('ORDENES'!$A257="","",IF('ORDENES'!$AB257="","-",'ORDENES'!$AB257))</f>
        <v/>
      </c>
      <c r="H279" s="3">
        <f>IF('ORDENES'!$A257="","",IF('ORDENES'!$AN257="","-",'ORDENES'!$AN257))</f>
        <v/>
      </c>
      <c r="I279" s="3">
        <f>IF('ORDENES'!$A257="","",IF('ORDENES'!$D257="","-",'ORDENES'!$D257))</f>
        <v/>
      </c>
      <c r="J279" s="3">
        <f>IF('ORDENES'!$A257="","",IF('ORDENES'!$E257="","-",'ORDENES'!$E257))</f>
        <v/>
      </c>
      <c r="K279" s="12">
        <f>IF('ORDENES'!$A257="","",IF('ORDENES'!$M257="",0,'ORDENES'!$M257))</f>
        <v/>
      </c>
      <c r="L279" s="3">
        <f>IF('ORDENES'!$A257="","",IF('ORDENES'!$N257="","-",'ORDENES'!$N257))</f>
        <v/>
      </c>
      <c r="M279" s="3">
        <f>IF('ORDENES'!$A257="","",'ORDENES'!$AA257)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IF('ORDENES'!$A258="","",IF('ORDENES'!$AC258="","-",'ORDENES'!$AC258))</f>
        <v/>
      </c>
      <c r="D280" s="3">
        <f>IF('ORDENES'!$A258="","",IF('ORDENES'!$V258="","-",'ORDENES'!$V258))</f>
        <v/>
      </c>
      <c r="E280" s="3">
        <f>IF('ORDENES'!$A258="","",IF('ORDENES'!$U258="","-",'ORDENES'!$U258))</f>
        <v/>
      </c>
      <c r="F280" s="3">
        <f>IF('ORDENES'!$A258="","",IF('ORDENES'!$W258="","-",'ORDENES'!$W258))</f>
        <v/>
      </c>
      <c r="G280" s="3">
        <f>IF('ORDENES'!$A258="","",IF('ORDENES'!$AB258="","-",'ORDENES'!$AB258))</f>
        <v/>
      </c>
      <c r="H280" s="3">
        <f>IF('ORDENES'!$A258="","",IF('ORDENES'!$AN258="","-",'ORDENES'!$AN258))</f>
        <v/>
      </c>
      <c r="I280" s="3">
        <f>IF('ORDENES'!$A258="","",IF('ORDENES'!$D258="","-",'ORDENES'!$D258))</f>
        <v/>
      </c>
      <c r="J280" s="3">
        <f>IF('ORDENES'!$A258="","",IF('ORDENES'!$E258="","-",'ORDENES'!$E258))</f>
        <v/>
      </c>
      <c r="K280" s="12">
        <f>IF('ORDENES'!$A258="","",IF('ORDENES'!$M258="",0,'ORDENES'!$M258))</f>
        <v/>
      </c>
      <c r="L280" s="3">
        <f>IF('ORDENES'!$A258="","",IF('ORDENES'!$N258="","-",'ORDENES'!$N258))</f>
        <v/>
      </c>
      <c r="M280" s="3">
        <f>IF('ORDENES'!$A258="","",'ORDENES'!$AA258)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IF('ORDENES'!$A259="","",IF('ORDENES'!$AC259="","-",'ORDENES'!$AC259))</f>
        <v/>
      </c>
      <c r="D281" s="3">
        <f>IF('ORDENES'!$A259="","",IF('ORDENES'!$V259="","-",'ORDENES'!$V259))</f>
        <v/>
      </c>
      <c r="E281" s="3">
        <f>IF('ORDENES'!$A259="","",IF('ORDENES'!$U259="","-",'ORDENES'!$U259))</f>
        <v/>
      </c>
      <c r="F281" s="3">
        <f>IF('ORDENES'!$A259="","",IF('ORDENES'!$W259="","-",'ORDENES'!$W259))</f>
        <v/>
      </c>
      <c r="G281" s="3">
        <f>IF('ORDENES'!$A259="","",IF('ORDENES'!$AB259="","-",'ORDENES'!$AB259))</f>
        <v/>
      </c>
      <c r="H281" s="3">
        <f>IF('ORDENES'!$A259="","",IF('ORDENES'!$AN259="","-",'ORDENES'!$AN259))</f>
        <v/>
      </c>
      <c r="I281" s="3">
        <f>IF('ORDENES'!$A259="","",IF('ORDENES'!$D259="","-",'ORDENES'!$D259))</f>
        <v/>
      </c>
      <c r="J281" s="3">
        <f>IF('ORDENES'!$A259="","",IF('ORDENES'!$E259="","-",'ORDENES'!$E259))</f>
        <v/>
      </c>
      <c r="K281" s="12">
        <f>IF('ORDENES'!$A259="","",IF('ORDENES'!$M259="",0,'ORDENES'!$M259))</f>
        <v/>
      </c>
      <c r="L281" s="3">
        <f>IF('ORDENES'!$A259="","",IF('ORDENES'!$N259="","-",'ORDENES'!$N259))</f>
        <v/>
      </c>
      <c r="M281" s="3">
        <f>IF('ORDENES'!$A259="","",'ORDENES'!$AA259)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IF('ORDENES'!$A260="","",IF('ORDENES'!$AC260="","-",'ORDENES'!$AC260))</f>
        <v/>
      </c>
      <c r="D282" s="3">
        <f>IF('ORDENES'!$A260="","",IF('ORDENES'!$V260="","-",'ORDENES'!$V260))</f>
        <v/>
      </c>
      <c r="E282" s="3">
        <f>IF('ORDENES'!$A260="","",IF('ORDENES'!$U260="","-",'ORDENES'!$U260))</f>
        <v/>
      </c>
      <c r="F282" s="3">
        <f>IF('ORDENES'!$A260="","",IF('ORDENES'!$W260="","-",'ORDENES'!$W260))</f>
        <v/>
      </c>
      <c r="G282" s="3">
        <f>IF('ORDENES'!$A260="","",IF('ORDENES'!$AB260="","-",'ORDENES'!$AB260))</f>
        <v/>
      </c>
      <c r="H282" s="3">
        <f>IF('ORDENES'!$A260="","",IF('ORDENES'!$AN260="","-",'ORDENES'!$AN260))</f>
        <v/>
      </c>
      <c r="I282" s="3">
        <f>IF('ORDENES'!$A260="","",IF('ORDENES'!$D260="","-",'ORDENES'!$D260))</f>
        <v/>
      </c>
      <c r="J282" s="3">
        <f>IF('ORDENES'!$A260="","",IF('ORDENES'!$E260="","-",'ORDENES'!$E260))</f>
        <v/>
      </c>
      <c r="K282" s="12">
        <f>IF('ORDENES'!$A260="","",IF('ORDENES'!$M260="",0,'ORDENES'!$M260))</f>
        <v/>
      </c>
      <c r="L282" s="3">
        <f>IF('ORDENES'!$A260="","",IF('ORDENES'!$N260="","-",'ORDENES'!$N260))</f>
        <v/>
      </c>
      <c r="M282" s="3">
        <f>IF('ORDENES'!$A260="","",'ORDENES'!$AA260)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IF('ORDENES'!$A261="","",IF('ORDENES'!$AC261="","-",'ORDENES'!$AC261))</f>
        <v/>
      </c>
      <c r="D283" s="3">
        <f>IF('ORDENES'!$A261="","",IF('ORDENES'!$V261="","-",'ORDENES'!$V261))</f>
        <v/>
      </c>
      <c r="E283" s="3">
        <f>IF('ORDENES'!$A261="","",IF('ORDENES'!$U261="","-",'ORDENES'!$U261))</f>
        <v/>
      </c>
      <c r="F283" s="3">
        <f>IF('ORDENES'!$A261="","",IF('ORDENES'!$W261="","-",'ORDENES'!$W261))</f>
        <v/>
      </c>
      <c r="G283" s="3">
        <f>IF('ORDENES'!$A261="","",IF('ORDENES'!$AB261="","-",'ORDENES'!$AB261))</f>
        <v/>
      </c>
      <c r="H283" s="3">
        <f>IF('ORDENES'!$A261="","",IF('ORDENES'!$AN261="","-",'ORDENES'!$AN261))</f>
        <v/>
      </c>
      <c r="I283" s="3">
        <f>IF('ORDENES'!$A261="","",IF('ORDENES'!$D261="","-",'ORDENES'!$D261))</f>
        <v/>
      </c>
      <c r="J283" s="3">
        <f>IF('ORDENES'!$A261="","",IF('ORDENES'!$E261="","-",'ORDENES'!$E261))</f>
        <v/>
      </c>
      <c r="K283" s="12">
        <f>IF('ORDENES'!$A261="","",IF('ORDENES'!$M261="",0,'ORDENES'!$M261))</f>
        <v/>
      </c>
      <c r="L283" s="3">
        <f>IF('ORDENES'!$A261="","",IF('ORDENES'!$N261="","-",'ORDENES'!$N261))</f>
        <v/>
      </c>
      <c r="M283" s="3">
        <f>IF('ORDENES'!$A261="","",'ORDENES'!$AA261)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IF('ORDENES'!$A262="","",IF('ORDENES'!$AC262="","-",'ORDENES'!$AC262))</f>
        <v/>
      </c>
      <c r="D284" s="3">
        <f>IF('ORDENES'!$A262="","",IF('ORDENES'!$V262="","-",'ORDENES'!$V262))</f>
        <v/>
      </c>
      <c r="E284" s="3">
        <f>IF('ORDENES'!$A262="","",IF('ORDENES'!$U262="","-",'ORDENES'!$U262))</f>
        <v/>
      </c>
      <c r="F284" s="3">
        <f>IF('ORDENES'!$A262="","",IF('ORDENES'!$W262="","-",'ORDENES'!$W262))</f>
        <v/>
      </c>
      <c r="G284" s="3">
        <f>IF('ORDENES'!$A262="","",IF('ORDENES'!$AB262="","-",'ORDENES'!$AB262))</f>
        <v/>
      </c>
      <c r="H284" s="3">
        <f>IF('ORDENES'!$A262="","",IF('ORDENES'!$AN262="","-",'ORDENES'!$AN262))</f>
        <v/>
      </c>
      <c r="I284" s="3">
        <f>IF('ORDENES'!$A262="","",IF('ORDENES'!$D262="","-",'ORDENES'!$D262))</f>
        <v/>
      </c>
      <c r="J284" s="3">
        <f>IF('ORDENES'!$A262="","",IF('ORDENES'!$E262="","-",'ORDENES'!$E262))</f>
        <v/>
      </c>
      <c r="K284" s="12">
        <f>IF('ORDENES'!$A262="","",IF('ORDENES'!$M262="",0,'ORDENES'!$M262))</f>
        <v/>
      </c>
      <c r="L284" s="3">
        <f>IF('ORDENES'!$A262="","",IF('ORDENES'!$N262="","-",'ORDENES'!$N262))</f>
        <v/>
      </c>
      <c r="M284" s="3">
        <f>IF('ORDENES'!$A262="","",'ORDENES'!$AA262)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IF('ORDENES'!$A263="","",IF('ORDENES'!$AC263="","-",'ORDENES'!$AC263))</f>
        <v/>
      </c>
      <c r="D285" s="3">
        <f>IF('ORDENES'!$A263="","",IF('ORDENES'!$V263="","-",'ORDENES'!$V263))</f>
        <v/>
      </c>
      <c r="E285" s="3">
        <f>IF('ORDENES'!$A263="","",IF('ORDENES'!$U263="","-",'ORDENES'!$U263))</f>
        <v/>
      </c>
      <c r="F285" s="3">
        <f>IF('ORDENES'!$A263="","",IF('ORDENES'!$W263="","-",'ORDENES'!$W263))</f>
        <v/>
      </c>
      <c r="G285" s="3">
        <f>IF('ORDENES'!$A263="","",IF('ORDENES'!$AB263="","-",'ORDENES'!$AB263))</f>
        <v/>
      </c>
      <c r="H285" s="3">
        <f>IF('ORDENES'!$A263="","",IF('ORDENES'!$AN263="","-",'ORDENES'!$AN263))</f>
        <v/>
      </c>
      <c r="I285" s="3">
        <f>IF('ORDENES'!$A263="","",IF('ORDENES'!$D263="","-",'ORDENES'!$D263))</f>
        <v/>
      </c>
      <c r="J285" s="3">
        <f>IF('ORDENES'!$A263="","",IF('ORDENES'!$E263="","-",'ORDENES'!$E263))</f>
        <v/>
      </c>
      <c r="K285" s="12">
        <f>IF('ORDENES'!$A263="","",IF('ORDENES'!$M263="",0,'ORDENES'!$M263))</f>
        <v/>
      </c>
      <c r="L285" s="3">
        <f>IF('ORDENES'!$A263="","",IF('ORDENES'!$N263="","-",'ORDENES'!$N263))</f>
        <v/>
      </c>
      <c r="M285" s="3">
        <f>IF('ORDENES'!$A263="","",'ORDENES'!$AA263)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IF('ORDENES'!$A264="","",IF('ORDENES'!$AC264="","-",'ORDENES'!$AC264))</f>
        <v/>
      </c>
      <c r="D286" s="3">
        <f>IF('ORDENES'!$A264="","",IF('ORDENES'!$V264="","-",'ORDENES'!$V264))</f>
        <v/>
      </c>
      <c r="E286" s="3">
        <f>IF('ORDENES'!$A264="","",IF('ORDENES'!$U264="","-",'ORDENES'!$U264))</f>
        <v/>
      </c>
      <c r="F286" s="3">
        <f>IF('ORDENES'!$A264="","",IF('ORDENES'!$W264="","-",'ORDENES'!$W264))</f>
        <v/>
      </c>
      <c r="G286" s="3">
        <f>IF('ORDENES'!$A264="","",IF('ORDENES'!$AB264="","-",'ORDENES'!$AB264))</f>
        <v/>
      </c>
      <c r="H286" s="3">
        <f>IF('ORDENES'!$A264="","",IF('ORDENES'!$AN264="","-",'ORDENES'!$AN264))</f>
        <v/>
      </c>
      <c r="I286" s="3">
        <f>IF('ORDENES'!$A264="","",IF('ORDENES'!$D264="","-",'ORDENES'!$D264))</f>
        <v/>
      </c>
      <c r="J286" s="3">
        <f>IF('ORDENES'!$A264="","",IF('ORDENES'!$E264="","-",'ORDENES'!$E264))</f>
        <v/>
      </c>
      <c r="K286" s="12">
        <f>IF('ORDENES'!$A264="","",IF('ORDENES'!$M264="",0,'ORDENES'!$M264))</f>
        <v/>
      </c>
      <c r="L286" s="3">
        <f>IF('ORDENES'!$A264="","",IF('ORDENES'!$N264="","-",'ORDENES'!$N264))</f>
        <v/>
      </c>
      <c r="M286" s="3">
        <f>IF('ORDENES'!$A264="","",'ORDENES'!$AA264)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IF('ORDENES'!$A265="","",IF('ORDENES'!$AC265="","-",'ORDENES'!$AC265))</f>
        <v/>
      </c>
      <c r="D287" s="3">
        <f>IF('ORDENES'!$A265="","",IF('ORDENES'!$V265="","-",'ORDENES'!$V265))</f>
        <v/>
      </c>
      <c r="E287" s="3">
        <f>IF('ORDENES'!$A265="","",IF('ORDENES'!$U265="","-",'ORDENES'!$U265))</f>
        <v/>
      </c>
      <c r="F287" s="3">
        <f>IF('ORDENES'!$A265="","",IF('ORDENES'!$W265="","-",'ORDENES'!$W265))</f>
        <v/>
      </c>
      <c r="G287" s="3">
        <f>IF('ORDENES'!$A265="","",IF('ORDENES'!$AB265="","-",'ORDENES'!$AB265))</f>
        <v/>
      </c>
      <c r="H287" s="3">
        <f>IF('ORDENES'!$A265="","",IF('ORDENES'!$AN265="","-",'ORDENES'!$AN265))</f>
        <v/>
      </c>
      <c r="I287" s="3">
        <f>IF('ORDENES'!$A265="","",IF('ORDENES'!$D265="","-",'ORDENES'!$D265))</f>
        <v/>
      </c>
      <c r="J287" s="3">
        <f>IF('ORDENES'!$A265="","",IF('ORDENES'!$E265="","-",'ORDENES'!$E265))</f>
        <v/>
      </c>
      <c r="K287" s="12">
        <f>IF('ORDENES'!$A265="","",IF('ORDENES'!$M265="",0,'ORDENES'!$M265))</f>
        <v/>
      </c>
      <c r="L287" s="3">
        <f>IF('ORDENES'!$A265="","",IF('ORDENES'!$N265="","-",'ORDENES'!$N265))</f>
        <v/>
      </c>
      <c r="M287" s="3">
        <f>IF('ORDENES'!$A265="","",'ORDENES'!$AA265)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IF('ORDENES'!$A266="","",IF('ORDENES'!$AC266="","-",'ORDENES'!$AC266))</f>
        <v/>
      </c>
      <c r="D288" s="3">
        <f>IF('ORDENES'!$A266="","",IF('ORDENES'!$V266="","-",'ORDENES'!$V266))</f>
        <v/>
      </c>
      <c r="E288" s="3">
        <f>IF('ORDENES'!$A266="","",IF('ORDENES'!$U266="","-",'ORDENES'!$U266))</f>
        <v/>
      </c>
      <c r="F288" s="3">
        <f>IF('ORDENES'!$A266="","",IF('ORDENES'!$W266="","-",'ORDENES'!$W266))</f>
        <v/>
      </c>
      <c r="G288" s="3">
        <f>IF('ORDENES'!$A266="","",IF('ORDENES'!$AB266="","-",'ORDENES'!$AB266))</f>
        <v/>
      </c>
      <c r="H288" s="3">
        <f>IF('ORDENES'!$A266="","",IF('ORDENES'!$AN266="","-",'ORDENES'!$AN266))</f>
        <v/>
      </c>
      <c r="I288" s="3">
        <f>IF('ORDENES'!$A266="","",IF('ORDENES'!$D266="","-",'ORDENES'!$D266))</f>
        <v/>
      </c>
      <c r="J288" s="3">
        <f>IF('ORDENES'!$A266="","",IF('ORDENES'!$E266="","-",'ORDENES'!$E266))</f>
        <v/>
      </c>
      <c r="K288" s="12">
        <f>IF('ORDENES'!$A266="","",IF('ORDENES'!$M266="",0,'ORDENES'!$M266))</f>
        <v/>
      </c>
      <c r="L288" s="3">
        <f>IF('ORDENES'!$A266="","",IF('ORDENES'!$N266="","-",'ORDENES'!$N266))</f>
        <v/>
      </c>
      <c r="M288" s="3">
        <f>IF('ORDENES'!$A266="","",'ORDENES'!$AA266)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IF('ORDENES'!$A267="","",IF('ORDENES'!$AC267="","-",'ORDENES'!$AC267))</f>
        <v/>
      </c>
      <c r="D289" s="3">
        <f>IF('ORDENES'!$A267="","",IF('ORDENES'!$V267="","-",'ORDENES'!$V267))</f>
        <v/>
      </c>
      <c r="E289" s="3">
        <f>IF('ORDENES'!$A267="","",IF('ORDENES'!$U267="","-",'ORDENES'!$U267))</f>
        <v/>
      </c>
      <c r="F289" s="3">
        <f>IF('ORDENES'!$A267="","",IF('ORDENES'!$W267="","-",'ORDENES'!$W267))</f>
        <v/>
      </c>
      <c r="G289" s="3">
        <f>IF('ORDENES'!$A267="","",IF('ORDENES'!$AB267="","-",'ORDENES'!$AB267))</f>
        <v/>
      </c>
      <c r="H289" s="3">
        <f>IF('ORDENES'!$A267="","",IF('ORDENES'!$AN267="","-",'ORDENES'!$AN267))</f>
        <v/>
      </c>
      <c r="I289" s="3">
        <f>IF('ORDENES'!$A267="","",IF('ORDENES'!$D267="","-",'ORDENES'!$D267))</f>
        <v/>
      </c>
      <c r="J289" s="3">
        <f>IF('ORDENES'!$A267="","",IF('ORDENES'!$E267="","-",'ORDENES'!$E267))</f>
        <v/>
      </c>
      <c r="K289" s="12">
        <f>IF('ORDENES'!$A267="","",IF('ORDENES'!$M267="",0,'ORDENES'!$M267))</f>
        <v/>
      </c>
      <c r="L289" s="3">
        <f>IF('ORDENES'!$A267="","",IF('ORDENES'!$N267="","-",'ORDENES'!$N267))</f>
        <v/>
      </c>
      <c r="M289" s="3">
        <f>IF('ORDENES'!$A267="","",'ORDENES'!$AA267)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IF('ORDENES'!$A268="","",IF('ORDENES'!$AC268="","-",'ORDENES'!$AC268))</f>
        <v/>
      </c>
      <c r="D290" s="3">
        <f>IF('ORDENES'!$A268="","",IF('ORDENES'!$V268="","-",'ORDENES'!$V268))</f>
        <v/>
      </c>
      <c r="E290" s="3">
        <f>IF('ORDENES'!$A268="","",IF('ORDENES'!$U268="","-",'ORDENES'!$U268))</f>
        <v/>
      </c>
      <c r="F290" s="3">
        <f>IF('ORDENES'!$A268="","",IF('ORDENES'!$W268="","-",'ORDENES'!$W268))</f>
        <v/>
      </c>
      <c r="G290" s="3">
        <f>IF('ORDENES'!$A268="","",IF('ORDENES'!$AB268="","-",'ORDENES'!$AB268))</f>
        <v/>
      </c>
      <c r="H290" s="3">
        <f>IF('ORDENES'!$A268="","",IF('ORDENES'!$AN268="","-",'ORDENES'!$AN268))</f>
        <v/>
      </c>
      <c r="I290" s="3">
        <f>IF('ORDENES'!$A268="","",IF('ORDENES'!$D268="","-",'ORDENES'!$D268))</f>
        <v/>
      </c>
      <c r="J290" s="3">
        <f>IF('ORDENES'!$A268="","",IF('ORDENES'!$E268="","-",'ORDENES'!$E268))</f>
        <v/>
      </c>
      <c r="K290" s="12">
        <f>IF('ORDENES'!$A268="","",IF('ORDENES'!$M268="",0,'ORDENES'!$M268))</f>
        <v/>
      </c>
      <c r="L290" s="3">
        <f>IF('ORDENES'!$A268="","",IF('ORDENES'!$N268="","-",'ORDENES'!$N268))</f>
        <v/>
      </c>
      <c r="M290" s="3">
        <f>IF('ORDENES'!$A268="","",'ORDENES'!$AA268)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IF('ORDENES'!$A269="","",IF('ORDENES'!$AC269="","-",'ORDENES'!$AC269))</f>
        <v/>
      </c>
      <c r="D291" s="3">
        <f>IF('ORDENES'!$A269="","",IF('ORDENES'!$V269="","-",'ORDENES'!$V269))</f>
        <v/>
      </c>
      <c r="E291" s="3">
        <f>IF('ORDENES'!$A269="","",IF('ORDENES'!$U269="","-",'ORDENES'!$U269))</f>
        <v/>
      </c>
      <c r="F291" s="3">
        <f>IF('ORDENES'!$A269="","",IF('ORDENES'!$W269="","-",'ORDENES'!$W269))</f>
        <v/>
      </c>
      <c r="G291" s="3">
        <f>IF('ORDENES'!$A269="","",IF('ORDENES'!$AB269="","-",'ORDENES'!$AB269))</f>
        <v/>
      </c>
      <c r="H291" s="3">
        <f>IF('ORDENES'!$A269="","",IF('ORDENES'!$AN269="","-",'ORDENES'!$AN269))</f>
        <v/>
      </c>
      <c r="I291" s="3">
        <f>IF('ORDENES'!$A269="","",IF('ORDENES'!$D269="","-",'ORDENES'!$D269))</f>
        <v/>
      </c>
      <c r="J291" s="3">
        <f>IF('ORDENES'!$A269="","",IF('ORDENES'!$E269="","-",'ORDENES'!$E269))</f>
        <v/>
      </c>
      <c r="K291" s="12">
        <f>IF('ORDENES'!$A269="","",IF('ORDENES'!$M269="",0,'ORDENES'!$M269))</f>
        <v/>
      </c>
      <c r="L291" s="3">
        <f>IF('ORDENES'!$A269="","",IF('ORDENES'!$N269="","-",'ORDENES'!$N269))</f>
        <v/>
      </c>
      <c r="M291" s="3">
        <f>IF('ORDENES'!$A269="","",'ORDENES'!$AA269)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IF('ORDENES'!$A270="","",IF('ORDENES'!$AC270="","-",'ORDENES'!$AC270))</f>
        <v/>
      </c>
      <c r="D292" s="3">
        <f>IF('ORDENES'!$A270="","",IF('ORDENES'!$V270="","-",'ORDENES'!$V270))</f>
        <v/>
      </c>
      <c r="E292" s="3">
        <f>IF('ORDENES'!$A270="","",IF('ORDENES'!$U270="","-",'ORDENES'!$U270))</f>
        <v/>
      </c>
      <c r="F292" s="3">
        <f>IF('ORDENES'!$A270="","",IF('ORDENES'!$W270="","-",'ORDENES'!$W270))</f>
        <v/>
      </c>
      <c r="G292" s="3">
        <f>IF('ORDENES'!$A270="","",IF('ORDENES'!$AB270="","-",'ORDENES'!$AB270))</f>
        <v/>
      </c>
      <c r="H292" s="3">
        <f>IF('ORDENES'!$A270="","",IF('ORDENES'!$AN270="","-",'ORDENES'!$AN270))</f>
        <v/>
      </c>
      <c r="I292" s="3">
        <f>IF('ORDENES'!$A270="","",IF('ORDENES'!$D270="","-",'ORDENES'!$D270))</f>
        <v/>
      </c>
      <c r="J292" s="3">
        <f>IF('ORDENES'!$A270="","",IF('ORDENES'!$E270="","-",'ORDENES'!$E270))</f>
        <v/>
      </c>
      <c r="K292" s="12">
        <f>IF('ORDENES'!$A270="","",IF('ORDENES'!$M270="",0,'ORDENES'!$M270))</f>
        <v/>
      </c>
      <c r="L292" s="3">
        <f>IF('ORDENES'!$A270="","",IF('ORDENES'!$N270="","-",'ORDENES'!$N270))</f>
        <v/>
      </c>
      <c r="M292" s="3">
        <f>IF('ORDENES'!$A270="","",'ORDENES'!$AA270)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IF('ORDENES'!$A271="","",IF('ORDENES'!$AC271="","-",'ORDENES'!$AC271))</f>
        <v/>
      </c>
      <c r="D293" s="3">
        <f>IF('ORDENES'!$A271="","",IF('ORDENES'!$V271="","-",'ORDENES'!$V271))</f>
        <v/>
      </c>
      <c r="E293" s="3">
        <f>IF('ORDENES'!$A271="","",IF('ORDENES'!$U271="","-",'ORDENES'!$U271))</f>
        <v/>
      </c>
      <c r="F293" s="3">
        <f>IF('ORDENES'!$A271="","",IF('ORDENES'!$W271="","-",'ORDENES'!$W271))</f>
        <v/>
      </c>
      <c r="G293" s="3">
        <f>IF('ORDENES'!$A271="","",IF('ORDENES'!$AB271="","-",'ORDENES'!$AB271))</f>
        <v/>
      </c>
      <c r="H293" s="3">
        <f>IF('ORDENES'!$A271="","",IF('ORDENES'!$AN271="","-",'ORDENES'!$AN271))</f>
        <v/>
      </c>
      <c r="I293" s="3">
        <f>IF('ORDENES'!$A271="","",IF('ORDENES'!$D271="","-",'ORDENES'!$D271))</f>
        <v/>
      </c>
      <c r="J293" s="3">
        <f>IF('ORDENES'!$A271="","",IF('ORDENES'!$E271="","-",'ORDENES'!$E271))</f>
        <v/>
      </c>
      <c r="K293" s="12">
        <f>IF('ORDENES'!$A271="","",IF('ORDENES'!$M271="",0,'ORDENES'!$M271))</f>
        <v/>
      </c>
      <c r="L293" s="3">
        <f>IF('ORDENES'!$A271="","",IF('ORDENES'!$N271="","-",'ORDENES'!$N271))</f>
        <v/>
      </c>
      <c r="M293" s="3">
        <f>IF('ORDENES'!$A271="","",'ORDENES'!$AA271)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IF('ORDENES'!$A272="","",IF('ORDENES'!$AC272="","-",'ORDENES'!$AC272))</f>
        <v/>
      </c>
      <c r="D294" s="3">
        <f>IF('ORDENES'!$A272="","",IF('ORDENES'!$V272="","-",'ORDENES'!$V272))</f>
        <v/>
      </c>
      <c r="E294" s="3">
        <f>IF('ORDENES'!$A272="","",IF('ORDENES'!$U272="","-",'ORDENES'!$U272))</f>
        <v/>
      </c>
      <c r="F294" s="3">
        <f>IF('ORDENES'!$A272="","",IF('ORDENES'!$W272="","-",'ORDENES'!$W272))</f>
        <v/>
      </c>
      <c r="G294" s="3">
        <f>IF('ORDENES'!$A272="","",IF('ORDENES'!$AB272="","-",'ORDENES'!$AB272))</f>
        <v/>
      </c>
      <c r="H294" s="3">
        <f>IF('ORDENES'!$A272="","",IF('ORDENES'!$AN272="","-",'ORDENES'!$AN272))</f>
        <v/>
      </c>
      <c r="I294" s="3">
        <f>IF('ORDENES'!$A272="","",IF('ORDENES'!$D272="","-",'ORDENES'!$D272))</f>
        <v/>
      </c>
      <c r="J294" s="3">
        <f>IF('ORDENES'!$A272="","",IF('ORDENES'!$E272="","-",'ORDENES'!$E272))</f>
        <v/>
      </c>
      <c r="K294" s="12">
        <f>IF('ORDENES'!$A272="","",IF('ORDENES'!$M272="",0,'ORDENES'!$M272))</f>
        <v/>
      </c>
      <c r="L294" s="3">
        <f>IF('ORDENES'!$A272="","",IF('ORDENES'!$N272="","-",'ORDENES'!$N272))</f>
        <v/>
      </c>
      <c r="M294" s="3">
        <f>IF('ORDENES'!$A272="","",'ORDENES'!$AA272)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IF('ORDENES'!$A273="","",IF('ORDENES'!$AC273="","-",'ORDENES'!$AC273))</f>
        <v/>
      </c>
      <c r="D295" s="3">
        <f>IF('ORDENES'!$A273="","",IF('ORDENES'!$V273="","-",'ORDENES'!$V273))</f>
        <v/>
      </c>
      <c r="E295" s="3">
        <f>IF('ORDENES'!$A273="","",IF('ORDENES'!$U273="","-",'ORDENES'!$U273))</f>
        <v/>
      </c>
      <c r="F295" s="3">
        <f>IF('ORDENES'!$A273="","",IF('ORDENES'!$W273="","-",'ORDENES'!$W273))</f>
        <v/>
      </c>
      <c r="G295" s="3">
        <f>IF('ORDENES'!$A273="","",IF('ORDENES'!$AB273="","-",'ORDENES'!$AB273))</f>
        <v/>
      </c>
      <c r="H295" s="3">
        <f>IF('ORDENES'!$A273="","",IF('ORDENES'!$AN273="","-",'ORDENES'!$AN273))</f>
        <v/>
      </c>
      <c r="I295" s="3">
        <f>IF('ORDENES'!$A273="","",IF('ORDENES'!$D273="","-",'ORDENES'!$D273))</f>
        <v/>
      </c>
      <c r="J295" s="3">
        <f>IF('ORDENES'!$A273="","",IF('ORDENES'!$E273="","-",'ORDENES'!$E273))</f>
        <v/>
      </c>
      <c r="K295" s="12">
        <f>IF('ORDENES'!$A273="","",IF('ORDENES'!$M273="",0,'ORDENES'!$M273))</f>
        <v/>
      </c>
      <c r="L295" s="3">
        <f>IF('ORDENES'!$A273="","",IF('ORDENES'!$N273="","-",'ORDENES'!$N273))</f>
        <v/>
      </c>
      <c r="M295" s="3">
        <f>IF('ORDENES'!$A273="","",'ORDENES'!$AA273)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IF('ORDENES'!$A274="","",IF('ORDENES'!$AC274="","-",'ORDENES'!$AC274))</f>
        <v/>
      </c>
      <c r="D296" s="3">
        <f>IF('ORDENES'!$A274="","",IF('ORDENES'!$V274="","-",'ORDENES'!$V274))</f>
        <v/>
      </c>
      <c r="E296" s="3">
        <f>IF('ORDENES'!$A274="","",IF('ORDENES'!$U274="","-",'ORDENES'!$U274))</f>
        <v/>
      </c>
      <c r="F296" s="3">
        <f>IF('ORDENES'!$A274="","",IF('ORDENES'!$W274="","-",'ORDENES'!$W274))</f>
        <v/>
      </c>
      <c r="G296" s="3">
        <f>IF('ORDENES'!$A274="","",IF('ORDENES'!$AB274="","-",'ORDENES'!$AB274))</f>
        <v/>
      </c>
      <c r="H296" s="3">
        <f>IF('ORDENES'!$A274="","",IF('ORDENES'!$AN274="","-",'ORDENES'!$AN274))</f>
        <v/>
      </c>
      <c r="I296" s="3">
        <f>IF('ORDENES'!$A274="","",IF('ORDENES'!$D274="","-",'ORDENES'!$D274))</f>
        <v/>
      </c>
      <c r="J296" s="3">
        <f>IF('ORDENES'!$A274="","",IF('ORDENES'!$E274="","-",'ORDENES'!$E274))</f>
        <v/>
      </c>
      <c r="K296" s="12">
        <f>IF('ORDENES'!$A274="","",IF('ORDENES'!$M274="",0,'ORDENES'!$M274))</f>
        <v/>
      </c>
      <c r="L296" s="3">
        <f>IF('ORDENES'!$A274="","",IF('ORDENES'!$N274="","-",'ORDENES'!$N274))</f>
        <v/>
      </c>
      <c r="M296" s="3">
        <f>IF('ORDENES'!$A274="","",'ORDENES'!$AA274)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IF('ORDENES'!$A275="","",IF('ORDENES'!$AC275="","-",'ORDENES'!$AC275))</f>
        <v/>
      </c>
      <c r="D297" s="3">
        <f>IF('ORDENES'!$A275="","",IF('ORDENES'!$V275="","-",'ORDENES'!$V275))</f>
        <v/>
      </c>
      <c r="E297" s="3">
        <f>IF('ORDENES'!$A275="","",IF('ORDENES'!$U275="","-",'ORDENES'!$U275))</f>
        <v/>
      </c>
      <c r="F297" s="3">
        <f>IF('ORDENES'!$A275="","",IF('ORDENES'!$W275="","-",'ORDENES'!$W275))</f>
        <v/>
      </c>
      <c r="G297" s="3">
        <f>IF('ORDENES'!$A275="","",IF('ORDENES'!$AB275="","-",'ORDENES'!$AB275))</f>
        <v/>
      </c>
      <c r="H297" s="3">
        <f>IF('ORDENES'!$A275="","",IF('ORDENES'!$AN275="","-",'ORDENES'!$AN275))</f>
        <v/>
      </c>
      <c r="I297" s="3">
        <f>IF('ORDENES'!$A275="","",IF('ORDENES'!$D275="","-",'ORDENES'!$D275))</f>
        <v/>
      </c>
      <c r="J297" s="3">
        <f>IF('ORDENES'!$A275="","",IF('ORDENES'!$E275="","-",'ORDENES'!$E275))</f>
        <v/>
      </c>
      <c r="K297" s="12">
        <f>IF('ORDENES'!$A275="","",IF('ORDENES'!$M275="",0,'ORDENES'!$M275))</f>
        <v/>
      </c>
      <c r="L297" s="3">
        <f>IF('ORDENES'!$A275="","",IF('ORDENES'!$N275="","-",'ORDENES'!$N275))</f>
        <v/>
      </c>
      <c r="M297" s="3">
        <f>IF('ORDENES'!$A275="","",'ORDENES'!$AA275)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IF('ORDENES'!$A276="","",IF('ORDENES'!$AC276="","-",'ORDENES'!$AC276))</f>
        <v/>
      </c>
      <c r="D298" s="3">
        <f>IF('ORDENES'!$A276="","",IF('ORDENES'!$V276="","-",'ORDENES'!$V276))</f>
        <v/>
      </c>
      <c r="E298" s="3">
        <f>IF('ORDENES'!$A276="","",IF('ORDENES'!$U276="","-",'ORDENES'!$U276))</f>
        <v/>
      </c>
      <c r="F298" s="3">
        <f>IF('ORDENES'!$A276="","",IF('ORDENES'!$W276="","-",'ORDENES'!$W276))</f>
        <v/>
      </c>
      <c r="G298" s="3">
        <f>IF('ORDENES'!$A276="","",IF('ORDENES'!$AB276="","-",'ORDENES'!$AB276))</f>
        <v/>
      </c>
      <c r="H298" s="3">
        <f>IF('ORDENES'!$A276="","",IF('ORDENES'!$AN276="","-",'ORDENES'!$AN276))</f>
        <v/>
      </c>
      <c r="I298" s="3">
        <f>IF('ORDENES'!$A276="","",IF('ORDENES'!$D276="","-",'ORDENES'!$D276))</f>
        <v/>
      </c>
      <c r="J298" s="3">
        <f>IF('ORDENES'!$A276="","",IF('ORDENES'!$E276="","-",'ORDENES'!$E276))</f>
        <v/>
      </c>
      <c r="K298" s="12">
        <f>IF('ORDENES'!$A276="","",IF('ORDENES'!$M276="",0,'ORDENES'!$M276))</f>
        <v/>
      </c>
      <c r="L298" s="3">
        <f>IF('ORDENES'!$A276="","",IF('ORDENES'!$N276="","-",'ORDENES'!$N276))</f>
        <v/>
      </c>
      <c r="M298" s="3">
        <f>IF('ORDENES'!$A276="","",'ORDENES'!$AA276)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IF('ORDENES'!$A277="","",IF('ORDENES'!$AC277="","-",'ORDENES'!$AC277))</f>
        <v/>
      </c>
      <c r="D299" s="3">
        <f>IF('ORDENES'!$A277="","",IF('ORDENES'!$V277="","-",'ORDENES'!$V277))</f>
        <v/>
      </c>
      <c r="E299" s="3">
        <f>IF('ORDENES'!$A277="","",IF('ORDENES'!$U277="","-",'ORDENES'!$U277))</f>
        <v/>
      </c>
      <c r="F299" s="3">
        <f>IF('ORDENES'!$A277="","",IF('ORDENES'!$W277="","-",'ORDENES'!$W277))</f>
        <v/>
      </c>
      <c r="G299" s="3">
        <f>IF('ORDENES'!$A277="","",IF('ORDENES'!$AB277="","-",'ORDENES'!$AB277))</f>
        <v/>
      </c>
      <c r="H299" s="3">
        <f>IF('ORDENES'!$A277="","",IF('ORDENES'!$AN277="","-",'ORDENES'!$AN277))</f>
        <v/>
      </c>
      <c r="I299" s="3">
        <f>IF('ORDENES'!$A277="","",IF('ORDENES'!$D277="","-",'ORDENES'!$D277))</f>
        <v/>
      </c>
      <c r="J299" s="3">
        <f>IF('ORDENES'!$A277="","",IF('ORDENES'!$E277="","-",'ORDENES'!$E277))</f>
        <v/>
      </c>
      <c r="K299" s="12">
        <f>IF('ORDENES'!$A277="","",IF('ORDENES'!$M277="",0,'ORDENES'!$M277))</f>
        <v/>
      </c>
      <c r="L299" s="3">
        <f>IF('ORDENES'!$A277="","",IF('ORDENES'!$N277="","-",'ORDENES'!$N277))</f>
        <v/>
      </c>
      <c r="M299" s="3">
        <f>IF('ORDENES'!$A277="","",'ORDENES'!$AA277)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IF('ORDENES'!$A278="","",IF('ORDENES'!$AC278="","-",'ORDENES'!$AC278))</f>
        <v/>
      </c>
      <c r="D300" s="3">
        <f>IF('ORDENES'!$A278="","",IF('ORDENES'!$V278="","-",'ORDENES'!$V278))</f>
        <v/>
      </c>
      <c r="E300" s="3">
        <f>IF('ORDENES'!$A278="","",IF('ORDENES'!$U278="","-",'ORDENES'!$U278))</f>
        <v/>
      </c>
      <c r="F300" s="3">
        <f>IF('ORDENES'!$A278="","",IF('ORDENES'!$W278="","-",'ORDENES'!$W278))</f>
        <v/>
      </c>
      <c r="G300" s="3">
        <f>IF('ORDENES'!$A278="","",IF('ORDENES'!$AB278="","-",'ORDENES'!$AB278))</f>
        <v/>
      </c>
      <c r="H300" s="3">
        <f>IF('ORDENES'!$A278="","",IF('ORDENES'!$AN278="","-",'ORDENES'!$AN278))</f>
        <v/>
      </c>
      <c r="I300" s="3">
        <f>IF('ORDENES'!$A278="","",IF('ORDENES'!$D278="","-",'ORDENES'!$D278))</f>
        <v/>
      </c>
      <c r="J300" s="3">
        <f>IF('ORDENES'!$A278="","",IF('ORDENES'!$E278="","-",'ORDENES'!$E278))</f>
        <v/>
      </c>
      <c r="K300" s="12">
        <f>IF('ORDENES'!$A278="","",IF('ORDENES'!$M278="",0,'ORDENES'!$M278))</f>
        <v/>
      </c>
      <c r="L300" s="3">
        <f>IF('ORDENES'!$A278="","",IF('ORDENES'!$N278="","-",'ORDENES'!$N278))</f>
        <v/>
      </c>
      <c r="M300" s="3">
        <f>IF('ORDENES'!$A278="","",'ORDENES'!$AA278)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IF('ORDENES'!$A279="","",IF('ORDENES'!$AC279="","-",'ORDENES'!$AC279))</f>
        <v/>
      </c>
      <c r="D301" s="3">
        <f>IF('ORDENES'!$A279="","",IF('ORDENES'!$V279="","-",'ORDENES'!$V279))</f>
        <v/>
      </c>
      <c r="E301" s="3">
        <f>IF('ORDENES'!$A279="","",IF('ORDENES'!$U279="","-",'ORDENES'!$U279))</f>
        <v/>
      </c>
      <c r="F301" s="3">
        <f>IF('ORDENES'!$A279="","",IF('ORDENES'!$W279="","-",'ORDENES'!$W279))</f>
        <v/>
      </c>
      <c r="G301" s="3">
        <f>IF('ORDENES'!$A279="","",IF('ORDENES'!$AB279="","-",'ORDENES'!$AB279))</f>
        <v/>
      </c>
      <c r="H301" s="3">
        <f>IF('ORDENES'!$A279="","",IF('ORDENES'!$AN279="","-",'ORDENES'!$AN279))</f>
        <v/>
      </c>
      <c r="I301" s="3">
        <f>IF('ORDENES'!$A279="","",IF('ORDENES'!$D279="","-",'ORDENES'!$D279))</f>
        <v/>
      </c>
      <c r="J301" s="3">
        <f>IF('ORDENES'!$A279="","",IF('ORDENES'!$E279="","-",'ORDENES'!$E279))</f>
        <v/>
      </c>
      <c r="K301" s="12">
        <f>IF('ORDENES'!$A279="","",IF('ORDENES'!$M279="",0,'ORDENES'!$M279))</f>
        <v/>
      </c>
      <c r="L301" s="3">
        <f>IF('ORDENES'!$A279="","",IF('ORDENES'!$N279="","-",'ORDENES'!$N279))</f>
        <v/>
      </c>
      <c r="M301" s="3">
        <f>IF('ORDENES'!$A279="","",'ORDENES'!$AA279)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IF('ORDENES'!$A280="","",IF('ORDENES'!$AC280="","-",'ORDENES'!$AC280))</f>
        <v/>
      </c>
      <c r="D302" s="3">
        <f>IF('ORDENES'!$A280="","",IF('ORDENES'!$V280="","-",'ORDENES'!$V280))</f>
        <v/>
      </c>
      <c r="E302" s="3">
        <f>IF('ORDENES'!$A280="","",IF('ORDENES'!$U280="","-",'ORDENES'!$U280))</f>
        <v/>
      </c>
      <c r="F302" s="3">
        <f>IF('ORDENES'!$A280="","",IF('ORDENES'!$W280="","-",'ORDENES'!$W280))</f>
        <v/>
      </c>
      <c r="G302" s="3">
        <f>IF('ORDENES'!$A280="","",IF('ORDENES'!$AB280="","-",'ORDENES'!$AB280))</f>
        <v/>
      </c>
      <c r="H302" s="3">
        <f>IF('ORDENES'!$A280="","",IF('ORDENES'!$AN280="","-",'ORDENES'!$AN280))</f>
        <v/>
      </c>
      <c r="I302" s="3">
        <f>IF('ORDENES'!$A280="","",IF('ORDENES'!$D280="","-",'ORDENES'!$D280))</f>
        <v/>
      </c>
      <c r="J302" s="3">
        <f>IF('ORDENES'!$A280="","",IF('ORDENES'!$E280="","-",'ORDENES'!$E280))</f>
        <v/>
      </c>
      <c r="K302" s="12">
        <f>IF('ORDENES'!$A280="","",IF('ORDENES'!$M280="",0,'ORDENES'!$M280))</f>
        <v/>
      </c>
      <c r="L302" s="3">
        <f>IF('ORDENES'!$A280="","",IF('ORDENES'!$N280="","-",'ORDENES'!$N280))</f>
        <v/>
      </c>
      <c r="M302" s="3">
        <f>IF('ORDENES'!$A280="","",'ORDENES'!$AA280)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IF('ORDENES'!$A281="","",IF('ORDENES'!$AC281="","-",'ORDENES'!$AC281))</f>
        <v/>
      </c>
      <c r="D303" s="3">
        <f>IF('ORDENES'!$A281="","",IF('ORDENES'!$V281="","-",'ORDENES'!$V281))</f>
        <v/>
      </c>
      <c r="E303" s="3">
        <f>IF('ORDENES'!$A281="","",IF('ORDENES'!$U281="","-",'ORDENES'!$U281))</f>
        <v/>
      </c>
      <c r="F303" s="3">
        <f>IF('ORDENES'!$A281="","",IF('ORDENES'!$W281="","-",'ORDENES'!$W281))</f>
        <v/>
      </c>
      <c r="G303" s="3">
        <f>IF('ORDENES'!$A281="","",IF('ORDENES'!$AB281="","-",'ORDENES'!$AB281))</f>
        <v/>
      </c>
      <c r="H303" s="3">
        <f>IF('ORDENES'!$A281="","",IF('ORDENES'!$AN281="","-",'ORDENES'!$AN281))</f>
        <v/>
      </c>
      <c r="I303" s="3">
        <f>IF('ORDENES'!$A281="","",IF('ORDENES'!$D281="","-",'ORDENES'!$D281))</f>
        <v/>
      </c>
      <c r="J303" s="3">
        <f>IF('ORDENES'!$A281="","",IF('ORDENES'!$E281="","-",'ORDENES'!$E281))</f>
        <v/>
      </c>
      <c r="K303" s="12">
        <f>IF('ORDENES'!$A281="","",IF('ORDENES'!$M281="",0,'ORDENES'!$M281))</f>
        <v/>
      </c>
      <c r="L303" s="3">
        <f>IF('ORDENES'!$A281="","",IF('ORDENES'!$N281="","-",'ORDENES'!$N281))</f>
        <v/>
      </c>
      <c r="M303" s="3">
        <f>IF('ORDENES'!$A281="","",'ORDENES'!$AA281)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IF('ORDENES'!$A282="","",IF('ORDENES'!$AC282="","-",'ORDENES'!$AC282))</f>
        <v/>
      </c>
      <c r="D304" s="3">
        <f>IF('ORDENES'!$A282="","",IF('ORDENES'!$V282="","-",'ORDENES'!$V282))</f>
        <v/>
      </c>
      <c r="E304" s="3">
        <f>IF('ORDENES'!$A282="","",IF('ORDENES'!$U282="","-",'ORDENES'!$U282))</f>
        <v/>
      </c>
      <c r="F304" s="3">
        <f>IF('ORDENES'!$A282="","",IF('ORDENES'!$W282="","-",'ORDENES'!$W282))</f>
        <v/>
      </c>
      <c r="G304" s="3">
        <f>IF('ORDENES'!$A282="","",IF('ORDENES'!$AB282="","-",'ORDENES'!$AB282))</f>
        <v/>
      </c>
      <c r="H304" s="3">
        <f>IF('ORDENES'!$A282="","",IF('ORDENES'!$AN282="","-",'ORDENES'!$AN282))</f>
        <v/>
      </c>
      <c r="I304" s="3">
        <f>IF('ORDENES'!$A282="","",IF('ORDENES'!$D282="","-",'ORDENES'!$D282))</f>
        <v/>
      </c>
      <c r="J304" s="3">
        <f>IF('ORDENES'!$A282="","",IF('ORDENES'!$E282="","-",'ORDENES'!$E282))</f>
        <v/>
      </c>
      <c r="K304" s="12">
        <f>IF('ORDENES'!$A282="","",IF('ORDENES'!$M282="",0,'ORDENES'!$M282))</f>
        <v/>
      </c>
      <c r="L304" s="3">
        <f>IF('ORDENES'!$A282="","",IF('ORDENES'!$N282="","-",'ORDENES'!$N282))</f>
        <v/>
      </c>
      <c r="M304" s="3">
        <f>IF('ORDENES'!$A282="","",'ORDENES'!$AA282)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IF('ORDENES'!$A283="","",IF('ORDENES'!$AC283="","-",'ORDENES'!$AC283))</f>
        <v/>
      </c>
      <c r="D305" s="3">
        <f>IF('ORDENES'!$A283="","",IF('ORDENES'!$V283="","-",'ORDENES'!$V283))</f>
        <v/>
      </c>
      <c r="E305" s="3">
        <f>IF('ORDENES'!$A283="","",IF('ORDENES'!$U283="","-",'ORDENES'!$U283))</f>
        <v/>
      </c>
      <c r="F305" s="3">
        <f>IF('ORDENES'!$A283="","",IF('ORDENES'!$W283="","-",'ORDENES'!$W283))</f>
        <v/>
      </c>
      <c r="G305" s="3">
        <f>IF('ORDENES'!$A283="","",IF('ORDENES'!$AB283="","-",'ORDENES'!$AB283))</f>
        <v/>
      </c>
      <c r="H305" s="3">
        <f>IF('ORDENES'!$A283="","",IF('ORDENES'!$AN283="","-",'ORDENES'!$AN283))</f>
        <v/>
      </c>
      <c r="I305" s="3">
        <f>IF('ORDENES'!$A283="","",IF('ORDENES'!$D283="","-",'ORDENES'!$D283))</f>
        <v/>
      </c>
      <c r="J305" s="3">
        <f>IF('ORDENES'!$A283="","",IF('ORDENES'!$E283="","-",'ORDENES'!$E283))</f>
        <v/>
      </c>
      <c r="K305" s="12">
        <f>IF('ORDENES'!$A283="","",IF('ORDENES'!$M283="",0,'ORDENES'!$M283))</f>
        <v/>
      </c>
      <c r="L305" s="3">
        <f>IF('ORDENES'!$A283="","",IF('ORDENES'!$N283="","-",'ORDENES'!$N283))</f>
        <v/>
      </c>
      <c r="M305" s="3">
        <f>IF('ORDENES'!$A283="","",'ORDENES'!$AA283)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IF('ORDENES'!$A284="","",IF('ORDENES'!$AC284="","-",'ORDENES'!$AC284))</f>
        <v/>
      </c>
      <c r="D306" s="3">
        <f>IF('ORDENES'!$A284="","",IF('ORDENES'!$V284="","-",'ORDENES'!$V284))</f>
        <v/>
      </c>
      <c r="E306" s="3">
        <f>IF('ORDENES'!$A284="","",IF('ORDENES'!$U284="","-",'ORDENES'!$U284))</f>
        <v/>
      </c>
      <c r="F306" s="3">
        <f>IF('ORDENES'!$A284="","",IF('ORDENES'!$W284="","-",'ORDENES'!$W284))</f>
        <v/>
      </c>
      <c r="G306" s="3">
        <f>IF('ORDENES'!$A284="","",IF('ORDENES'!$AB284="","-",'ORDENES'!$AB284))</f>
        <v/>
      </c>
      <c r="H306" s="3">
        <f>IF('ORDENES'!$A284="","",IF('ORDENES'!$AN284="","-",'ORDENES'!$AN284))</f>
        <v/>
      </c>
      <c r="I306" s="3">
        <f>IF('ORDENES'!$A284="","",IF('ORDENES'!$D284="","-",'ORDENES'!$D284))</f>
        <v/>
      </c>
      <c r="J306" s="3">
        <f>IF('ORDENES'!$A284="","",IF('ORDENES'!$E284="","-",'ORDENES'!$E284))</f>
        <v/>
      </c>
      <c r="K306" s="12">
        <f>IF('ORDENES'!$A284="","",IF('ORDENES'!$M284="",0,'ORDENES'!$M284))</f>
        <v/>
      </c>
      <c r="L306" s="3">
        <f>IF('ORDENES'!$A284="","",IF('ORDENES'!$N284="","-",'ORDENES'!$N284))</f>
        <v/>
      </c>
      <c r="M306" s="3">
        <f>IF('ORDENES'!$A284="","",'ORDENES'!$AA284)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IF('ORDENES'!$A285="","",IF('ORDENES'!$AC285="","-",'ORDENES'!$AC285))</f>
        <v/>
      </c>
      <c r="D307" s="3">
        <f>IF('ORDENES'!$A285="","",IF('ORDENES'!$V285="","-",'ORDENES'!$V285))</f>
        <v/>
      </c>
      <c r="E307" s="3">
        <f>IF('ORDENES'!$A285="","",IF('ORDENES'!$U285="","-",'ORDENES'!$U285))</f>
        <v/>
      </c>
      <c r="F307" s="3">
        <f>IF('ORDENES'!$A285="","",IF('ORDENES'!$W285="","-",'ORDENES'!$W285))</f>
        <v/>
      </c>
      <c r="G307" s="3">
        <f>IF('ORDENES'!$A285="","",IF('ORDENES'!$AB285="","-",'ORDENES'!$AB285))</f>
        <v/>
      </c>
      <c r="H307" s="3">
        <f>IF('ORDENES'!$A285="","",IF('ORDENES'!$AN285="","-",'ORDENES'!$AN285))</f>
        <v/>
      </c>
      <c r="I307" s="3">
        <f>IF('ORDENES'!$A285="","",IF('ORDENES'!$D285="","-",'ORDENES'!$D285))</f>
        <v/>
      </c>
      <c r="J307" s="3">
        <f>IF('ORDENES'!$A285="","",IF('ORDENES'!$E285="","-",'ORDENES'!$E285))</f>
        <v/>
      </c>
      <c r="K307" s="12">
        <f>IF('ORDENES'!$A285="","",IF('ORDENES'!$M285="",0,'ORDENES'!$M285))</f>
        <v/>
      </c>
      <c r="L307" s="3">
        <f>IF('ORDENES'!$A285="","",IF('ORDENES'!$N285="","-",'ORDENES'!$N285))</f>
        <v/>
      </c>
      <c r="M307" s="3">
        <f>IF('ORDENES'!$A285="","",'ORDENES'!$AA285)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IF('ORDENES'!$A286="","",IF('ORDENES'!$AC286="","-",'ORDENES'!$AC286))</f>
        <v/>
      </c>
      <c r="D308" s="3">
        <f>IF('ORDENES'!$A286="","",IF('ORDENES'!$V286="","-",'ORDENES'!$V286))</f>
        <v/>
      </c>
      <c r="E308" s="3">
        <f>IF('ORDENES'!$A286="","",IF('ORDENES'!$U286="","-",'ORDENES'!$U286))</f>
        <v/>
      </c>
      <c r="F308" s="3">
        <f>IF('ORDENES'!$A286="","",IF('ORDENES'!$W286="","-",'ORDENES'!$W286))</f>
        <v/>
      </c>
      <c r="G308" s="3">
        <f>IF('ORDENES'!$A286="","",IF('ORDENES'!$AB286="","-",'ORDENES'!$AB286))</f>
        <v/>
      </c>
      <c r="H308" s="3">
        <f>IF('ORDENES'!$A286="","",IF('ORDENES'!$AN286="","-",'ORDENES'!$AN286))</f>
        <v/>
      </c>
      <c r="I308" s="3">
        <f>IF('ORDENES'!$A286="","",IF('ORDENES'!$D286="","-",'ORDENES'!$D286))</f>
        <v/>
      </c>
      <c r="J308" s="3">
        <f>IF('ORDENES'!$A286="","",IF('ORDENES'!$E286="","-",'ORDENES'!$E286))</f>
        <v/>
      </c>
      <c r="K308" s="12">
        <f>IF('ORDENES'!$A286="","",IF('ORDENES'!$M286="",0,'ORDENES'!$M286))</f>
        <v/>
      </c>
      <c r="L308" s="3">
        <f>IF('ORDENES'!$A286="","",IF('ORDENES'!$N286="","-",'ORDENES'!$N286))</f>
        <v/>
      </c>
      <c r="M308" s="3">
        <f>IF('ORDENES'!$A286="","",'ORDENES'!$AA286)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IF('ORDENES'!$A287="","",IF('ORDENES'!$AC287="","-",'ORDENES'!$AC287))</f>
        <v/>
      </c>
      <c r="D309" s="3">
        <f>IF('ORDENES'!$A287="","",IF('ORDENES'!$V287="","-",'ORDENES'!$V287))</f>
        <v/>
      </c>
      <c r="E309" s="3">
        <f>IF('ORDENES'!$A287="","",IF('ORDENES'!$U287="","-",'ORDENES'!$U287))</f>
        <v/>
      </c>
      <c r="F309" s="3">
        <f>IF('ORDENES'!$A287="","",IF('ORDENES'!$W287="","-",'ORDENES'!$W287))</f>
        <v/>
      </c>
      <c r="G309" s="3">
        <f>IF('ORDENES'!$A287="","",IF('ORDENES'!$AB287="","-",'ORDENES'!$AB287))</f>
        <v/>
      </c>
      <c r="H309" s="3">
        <f>IF('ORDENES'!$A287="","",IF('ORDENES'!$AN287="","-",'ORDENES'!$AN287))</f>
        <v/>
      </c>
      <c r="I309" s="3">
        <f>IF('ORDENES'!$A287="","",IF('ORDENES'!$D287="","-",'ORDENES'!$D287))</f>
        <v/>
      </c>
      <c r="J309" s="3">
        <f>IF('ORDENES'!$A287="","",IF('ORDENES'!$E287="","-",'ORDENES'!$E287))</f>
        <v/>
      </c>
      <c r="K309" s="12">
        <f>IF('ORDENES'!$A287="","",IF('ORDENES'!$M287="",0,'ORDENES'!$M287))</f>
        <v/>
      </c>
      <c r="L309" s="3">
        <f>IF('ORDENES'!$A287="","",IF('ORDENES'!$N287="","-",'ORDENES'!$N287))</f>
        <v/>
      </c>
      <c r="M309" s="3">
        <f>IF('ORDENES'!$A287="","",'ORDENES'!$AA287)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IF('ORDENES'!$A288="","",IF('ORDENES'!$AC288="","-",'ORDENES'!$AC288))</f>
        <v/>
      </c>
      <c r="D310" s="3">
        <f>IF('ORDENES'!$A288="","",IF('ORDENES'!$V288="","-",'ORDENES'!$V288))</f>
        <v/>
      </c>
      <c r="E310" s="3">
        <f>IF('ORDENES'!$A288="","",IF('ORDENES'!$U288="","-",'ORDENES'!$U288))</f>
        <v/>
      </c>
      <c r="F310" s="3">
        <f>IF('ORDENES'!$A288="","",IF('ORDENES'!$W288="","-",'ORDENES'!$W288))</f>
        <v/>
      </c>
      <c r="G310" s="3">
        <f>IF('ORDENES'!$A288="","",IF('ORDENES'!$AB288="","-",'ORDENES'!$AB288))</f>
        <v/>
      </c>
      <c r="H310" s="3">
        <f>IF('ORDENES'!$A288="","",IF('ORDENES'!$AN288="","-",'ORDENES'!$AN288))</f>
        <v/>
      </c>
      <c r="I310" s="3">
        <f>IF('ORDENES'!$A288="","",IF('ORDENES'!$D288="","-",'ORDENES'!$D288))</f>
        <v/>
      </c>
      <c r="J310" s="3">
        <f>IF('ORDENES'!$A288="","",IF('ORDENES'!$E288="","-",'ORDENES'!$E288))</f>
        <v/>
      </c>
      <c r="K310" s="12">
        <f>IF('ORDENES'!$A288="","",IF('ORDENES'!$M288="",0,'ORDENES'!$M288))</f>
        <v/>
      </c>
      <c r="L310" s="3">
        <f>IF('ORDENES'!$A288="","",IF('ORDENES'!$N288="","-",'ORDENES'!$N288))</f>
        <v/>
      </c>
      <c r="M310" s="3">
        <f>IF('ORDENES'!$A288="","",'ORDENES'!$AA288)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IF('ORDENES'!$A289="","",IF('ORDENES'!$AC289="","-",'ORDENES'!$AC289))</f>
        <v/>
      </c>
      <c r="D311" s="3">
        <f>IF('ORDENES'!$A289="","",IF('ORDENES'!$V289="","-",'ORDENES'!$V289))</f>
        <v/>
      </c>
      <c r="E311" s="3">
        <f>IF('ORDENES'!$A289="","",IF('ORDENES'!$U289="","-",'ORDENES'!$U289))</f>
        <v/>
      </c>
      <c r="F311" s="3">
        <f>IF('ORDENES'!$A289="","",IF('ORDENES'!$W289="","-",'ORDENES'!$W289))</f>
        <v/>
      </c>
      <c r="G311" s="3">
        <f>IF('ORDENES'!$A289="","",IF('ORDENES'!$AB289="","-",'ORDENES'!$AB289))</f>
        <v/>
      </c>
      <c r="H311" s="3">
        <f>IF('ORDENES'!$A289="","",IF('ORDENES'!$AN289="","-",'ORDENES'!$AN289))</f>
        <v/>
      </c>
      <c r="I311" s="3">
        <f>IF('ORDENES'!$A289="","",IF('ORDENES'!$D289="","-",'ORDENES'!$D289))</f>
        <v/>
      </c>
      <c r="J311" s="3">
        <f>IF('ORDENES'!$A289="","",IF('ORDENES'!$E289="","-",'ORDENES'!$E289))</f>
        <v/>
      </c>
      <c r="K311" s="12">
        <f>IF('ORDENES'!$A289="","",IF('ORDENES'!$M289="",0,'ORDENES'!$M289))</f>
        <v/>
      </c>
      <c r="L311" s="3">
        <f>IF('ORDENES'!$A289="","",IF('ORDENES'!$N289="","-",'ORDENES'!$N289))</f>
        <v/>
      </c>
      <c r="M311" s="3">
        <f>IF('ORDENES'!$A289="","",'ORDENES'!$AA289)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IF('ORDENES'!$A290="","",IF('ORDENES'!$AC290="","-",'ORDENES'!$AC290))</f>
        <v/>
      </c>
      <c r="D312" s="3">
        <f>IF('ORDENES'!$A290="","",IF('ORDENES'!$V290="","-",'ORDENES'!$V290))</f>
        <v/>
      </c>
      <c r="E312" s="3">
        <f>IF('ORDENES'!$A290="","",IF('ORDENES'!$U290="","-",'ORDENES'!$U290))</f>
        <v/>
      </c>
      <c r="F312" s="3">
        <f>IF('ORDENES'!$A290="","",IF('ORDENES'!$W290="","-",'ORDENES'!$W290))</f>
        <v/>
      </c>
      <c r="G312" s="3">
        <f>IF('ORDENES'!$A290="","",IF('ORDENES'!$AB290="","-",'ORDENES'!$AB290))</f>
        <v/>
      </c>
      <c r="H312" s="3">
        <f>IF('ORDENES'!$A290="","",IF('ORDENES'!$AN290="","-",'ORDENES'!$AN290))</f>
        <v/>
      </c>
      <c r="I312" s="3">
        <f>IF('ORDENES'!$A290="","",IF('ORDENES'!$D290="","-",'ORDENES'!$D290))</f>
        <v/>
      </c>
      <c r="J312" s="3">
        <f>IF('ORDENES'!$A290="","",IF('ORDENES'!$E290="","-",'ORDENES'!$E290))</f>
        <v/>
      </c>
      <c r="K312" s="12">
        <f>IF('ORDENES'!$A290="","",IF('ORDENES'!$M290="",0,'ORDENES'!$M290))</f>
        <v/>
      </c>
      <c r="L312" s="3">
        <f>IF('ORDENES'!$A290="","",IF('ORDENES'!$N290="","-",'ORDENES'!$N290))</f>
        <v/>
      </c>
      <c r="M312" s="3">
        <f>IF('ORDENES'!$A290="","",'ORDENES'!$AA290)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IF('ORDENES'!$A291="","",IF('ORDENES'!$AC291="","-",'ORDENES'!$AC291))</f>
        <v/>
      </c>
      <c r="D313" s="3">
        <f>IF('ORDENES'!$A291="","",IF('ORDENES'!$V291="","-",'ORDENES'!$V291))</f>
        <v/>
      </c>
      <c r="E313" s="3">
        <f>IF('ORDENES'!$A291="","",IF('ORDENES'!$U291="","-",'ORDENES'!$U291))</f>
        <v/>
      </c>
      <c r="F313" s="3">
        <f>IF('ORDENES'!$A291="","",IF('ORDENES'!$W291="","-",'ORDENES'!$W291))</f>
        <v/>
      </c>
      <c r="G313" s="3">
        <f>IF('ORDENES'!$A291="","",IF('ORDENES'!$AB291="","-",'ORDENES'!$AB291))</f>
        <v/>
      </c>
      <c r="H313" s="3">
        <f>IF('ORDENES'!$A291="","",IF('ORDENES'!$AN291="","-",'ORDENES'!$AN291))</f>
        <v/>
      </c>
      <c r="I313" s="3">
        <f>IF('ORDENES'!$A291="","",IF('ORDENES'!$D291="","-",'ORDENES'!$D291))</f>
        <v/>
      </c>
      <c r="J313" s="3">
        <f>IF('ORDENES'!$A291="","",IF('ORDENES'!$E291="","-",'ORDENES'!$E291))</f>
        <v/>
      </c>
      <c r="K313" s="12">
        <f>IF('ORDENES'!$A291="","",IF('ORDENES'!$M291="",0,'ORDENES'!$M291))</f>
        <v/>
      </c>
      <c r="L313" s="3">
        <f>IF('ORDENES'!$A291="","",IF('ORDENES'!$N291="","-",'ORDENES'!$N291))</f>
        <v/>
      </c>
      <c r="M313" s="3">
        <f>IF('ORDENES'!$A291="","",'ORDENES'!$AA291)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IF('ORDENES'!$A292="","",IF('ORDENES'!$AC292="","-",'ORDENES'!$AC292))</f>
        <v/>
      </c>
      <c r="D314" s="3">
        <f>IF('ORDENES'!$A292="","",IF('ORDENES'!$V292="","-",'ORDENES'!$V292))</f>
        <v/>
      </c>
      <c r="E314" s="3">
        <f>IF('ORDENES'!$A292="","",IF('ORDENES'!$U292="","-",'ORDENES'!$U292))</f>
        <v/>
      </c>
      <c r="F314" s="3">
        <f>IF('ORDENES'!$A292="","",IF('ORDENES'!$W292="","-",'ORDENES'!$W292))</f>
        <v/>
      </c>
      <c r="G314" s="3">
        <f>IF('ORDENES'!$A292="","",IF('ORDENES'!$AB292="","-",'ORDENES'!$AB292))</f>
        <v/>
      </c>
      <c r="H314" s="3">
        <f>IF('ORDENES'!$A292="","",IF('ORDENES'!$AN292="","-",'ORDENES'!$AN292))</f>
        <v/>
      </c>
      <c r="I314" s="3">
        <f>IF('ORDENES'!$A292="","",IF('ORDENES'!$D292="","-",'ORDENES'!$D292))</f>
        <v/>
      </c>
      <c r="J314" s="3">
        <f>IF('ORDENES'!$A292="","",IF('ORDENES'!$E292="","-",'ORDENES'!$E292))</f>
        <v/>
      </c>
      <c r="K314" s="12">
        <f>IF('ORDENES'!$A292="","",IF('ORDENES'!$M292="",0,'ORDENES'!$M292))</f>
        <v/>
      </c>
      <c r="L314" s="3">
        <f>IF('ORDENES'!$A292="","",IF('ORDENES'!$N292="","-",'ORDENES'!$N292))</f>
        <v/>
      </c>
      <c r="M314" s="3">
        <f>IF('ORDENES'!$A292="","",'ORDENES'!$AA292)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IF('ORDENES'!$A293="","",IF('ORDENES'!$AC293="","-",'ORDENES'!$AC293))</f>
        <v/>
      </c>
      <c r="D315" s="3">
        <f>IF('ORDENES'!$A293="","",IF('ORDENES'!$V293="","-",'ORDENES'!$V293))</f>
        <v/>
      </c>
      <c r="E315" s="3">
        <f>IF('ORDENES'!$A293="","",IF('ORDENES'!$U293="","-",'ORDENES'!$U293))</f>
        <v/>
      </c>
      <c r="F315" s="3">
        <f>IF('ORDENES'!$A293="","",IF('ORDENES'!$W293="","-",'ORDENES'!$W293))</f>
        <v/>
      </c>
      <c r="G315" s="3">
        <f>IF('ORDENES'!$A293="","",IF('ORDENES'!$AB293="","-",'ORDENES'!$AB293))</f>
        <v/>
      </c>
      <c r="H315" s="3">
        <f>IF('ORDENES'!$A293="","",IF('ORDENES'!$AN293="","-",'ORDENES'!$AN293))</f>
        <v/>
      </c>
      <c r="I315" s="3">
        <f>IF('ORDENES'!$A293="","",IF('ORDENES'!$D293="","-",'ORDENES'!$D293))</f>
        <v/>
      </c>
      <c r="J315" s="3">
        <f>IF('ORDENES'!$A293="","",IF('ORDENES'!$E293="","-",'ORDENES'!$E293))</f>
        <v/>
      </c>
      <c r="K315" s="12">
        <f>IF('ORDENES'!$A293="","",IF('ORDENES'!$M293="",0,'ORDENES'!$M293))</f>
        <v/>
      </c>
      <c r="L315" s="3">
        <f>IF('ORDENES'!$A293="","",IF('ORDENES'!$N293="","-",'ORDENES'!$N293))</f>
        <v/>
      </c>
      <c r="M315" s="3">
        <f>IF('ORDENES'!$A293="","",'ORDENES'!$AA293)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IF('ORDENES'!$A294="","",IF('ORDENES'!$AC294="","-",'ORDENES'!$AC294))</f>
        <v/>
      </c>
      <c r="D316" s="3">
        <f>IF('ORDENES'!$A294="","",IF('ORDENES'!$V294="","-",'ORDENES'!$V294))</f>
        <v/>
      </c>
      <c r="E316" s="3">
        <f>IF('ORDENES'!$A294="","",IF('ORDENES'!$U294="","-",'ORDENES'!$U294))</f>
        <v/>
      </c>
      <c r="F316" s="3">
        <f>IF('ORDENES'!$A294="","",IF('ORDENES'!$W294="","-",'ORDENES'!$W294))</f>
        <v/>
      </c>
      <c r="G316" s="3">
        <f>IF('ORDENES'!$A294="","",IF('ORDENES'!$AB294="","-",'ORDENES'!$AB294))</f>
        <v/>
      </c>
      <c r="H316" s="3">
        <f>IF('ORDENES'!$A294="","",IF('ORDENES'!$AN294="","-",'ORDENES'!$AN294))</f>
        <v/>
      </c>
      <c r="I316" s="3">
        <f>IF('ORDENES'!$A294="","",IF('ORDENES'!$D294="","-",'ORDENES'!$D294))</f>
        <v/>
      </c>
      <c r="J316" s="3">
        <f>IF('ORDENES'!$A294="","",IF('ORDENES'!$E294="","-",'ORDENES'!$E294))</f>
        <v/>
      </c>
      <c r="K316" s="12">
        <f>IF('ORDENES'!$A294="","",IF('ORDENES'!$M294="",0,'ORDENES'!$M294))</f>
        <v/>
      </c>
      <c r="L316" s="3">
        <f>IF('ORDENES'!$A294="","",IF('ORDENES'!$N294="","-",'ORDENES'!$N294))</f>
        <v/>
      </c>
      <c r="M316" s="3">
        <f>IF('ORDENES'!$A294="","",'ORDENES'!$AA294)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IF('ORDENES'!$A295="","",IF('ORDENES'!$AC295="","-",'ORDENES'!$AC295))</f>
        <v/>
      </c>
      <c r="D317" s="3">
        <f>IF('ORDENES'!$A295="","",IF('ORDENES'!$V295="","-",'ORDENES'!$V295))</f>
        <v/>
      </c>
      <c r="E317" s="3">
        <f>IF('ORDENES'!$A295="","",IF('ORDENES'!$U295="","-",'ORDENES'!$U295))</f>
        <v/>
      </c>
      <c r="F317" s="3">
        <f>IF('ORDENES'!$A295="","",IF('ORDENES'!$W295="","-",'ORDENES'!$W295))</f>
        <v/>
      </c>
      <c r="G317" s="3">
        <f>IF('ORDENES'!$A295="","",IF('ORDENES'!$AB295="","-",'ORDENES'!$AB295))</f>
        <v/>
      </c>
      <c r="H317" s="3">
        <f>IF('ORDENES'!$A295="","",IF('ORDENES'!$AN295="","-",'ORDENES'!$AN295))</f>
        <v/>
      </c>
      <c r="I317" s="3">
        <f>IF('ORDENES'!$A295="","",IF('ORDENES'!$D295="","-",'ORDENES'!$D295))</f>
        <v/>
      </c>
      <c r="J317" s="3">
        <f>IF('ORDENES'!$A295="","",IF('ORDENES'!$E295="","-",'ORDENES'!$E295))</f>
        <v/>
      </c>
      <c r="K317" s="12">
        <f>IF('ORDENES'!$A295="","",IF('ORDENES'!$M295="",0,'ORDENES'!$M295))</f>
        <v/>
      </c>
      <c r="L317" s="3">
        <f>IF('ORDENES'!$A295="","",IF('ORDENES'!$N295="","-",'ORDENES'!$N295))</f>
        <v/>
      </c>
      <c r="M317" s="3">
        <f>IF('ORDENES'!$A295="","",'ORDENES'!$AA295)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IF('ORDENES'!$A296="","",IF('ORDENES'!$AC296="","-",'ORDENES'!$AC296))</f>
        <v/>
      </c>
      <c r="D318" s="3">
        <f>IF('ORDENES'!$A296="","",IF('ORDENES'!$V296="","-",'ORDENES'!$V296))</f>
        <v/>
      </c>
      <c r="E318" s="3">
        <f>IF('ORDENES'!$A296="","",IF('ORDENES'!$U296="","-",'ORDENES'!$U296))</f>
        <v/>
      </c>
      <c r="F318" s="3">
        <f>IF('ORDENES'!$A296="","",IF('ORDENES'!$W296="","-",'ORDENES'!$W296))</f>
        <v/>
      </c>
      <c r="G318" s="3">
        <f>IF('ORDENES'!$A296="","",IF('ORDENES'!$AB296="","-",'ORDENES'!$AB296))</f>
        <v/>
      </c>
      <c r="H318" s="3">
        <f>IF('ORDENES'!$A296="","",IF('ORDENES'!$AN296="","-",'ORDENES'!$AN296))</f>
        <v/>
      </c>
      <c r="I318" s="3">
        <f>IF('ORDENES'!$A296="","",IF('ORDENES'!$D296="","-",'ORDENES'!$D296))</f>
        <v/>
      </c>
      <c r="J318" s="3">
        <f>IF('ORDENES'!$A296="","",IF('ORDENES'!$E296="","-",'ORDENES'!$E296))</f>
        <v/>
      </c>
      <c r="K318" s="12">
        <f>IF('ORDENES'!$A296="","",IF('ORDENES'!$M296="",0,'ORDENES'!$M296))</f>
        <v/>
      </c>
      <c r="L318" s="3">
        <f>IF('ORDENES'!$A296="","",IF('ORDENES'!$N296="","-",'ORDENES'!$N296))</f>
        <v/>
      </c>
      <c r="M318" s="3">
        <f>IF('ORDENES'!$A296="","",'ORDENES'!$AA296)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IF('ORDENES'!$A297="","",IF('ORDENES'!$AC297="","-",'ORDENES'!$AC297))</f>
        <v/>
      </c>
      <c r="D319" s="3">
        <f>IF('ORDENES'!$A297="","",IF('ORDENES'!$V297="","-",'ORDENES'!$V297))</f>
        <v/>
      </c>
      <c r="E319" s="3">
        <f>IF('ORDENES'!$A297="","",IF('ORDENES'!$U297="","-",'ORDENES'!$U297))</f>
        <v/>
      </c>
      <c r="F319" s="3">
        <f>IF('ORDENES'!$A297="","",IF('ORDENES'!$W297="","-",'ORDENES'!$W297))</f>
        <v/>
      </c>
      <c r="G319" s="3">
        <f>IF('ORDENES'!$A297="","",IF('ORDENES'!$AB297="","-",'ORDENES'!$AB297))</f>
        <v/>
      </c>
      <c r="H319" s="3">
        <f>IF('ORDENES'!$A297="","",IF('ORDENES'!$AN297="","-",'ORDENES'!$AN297))</f>
        <v/>
      </c>
      <c r="I319" s="3">
        <f>IF('ORDENES'!$A297="","",IF('ORDENES'!$D297="","-",'ORDENES'!$D297))</f>
        <v/>
      </c>
      <c r="J319" s="3">
        <f>IF('ORDENES'!$A297="","",IF('ORDENES'!$E297="","-",'ORDENES'!$E297))</f>
        <v/>
      </c>
      <c r="K319" s="12">
        <f>IF('ORDENES'!$A297="","",IF('ORDENES'!$M297="",0,'ORDENES'!$M297))</f>
        <v/>
      </c>
      <c r="L319" s="3">
        <f>IF('ORDENES'!$A297="","",IF('ORDENES'!$N297="","-",'ORDENES'!$N297))</f>
        <v/>
      </c>
      <c r="M319" s="3">
        <f>IF('ORDENES'!$A297="","",'ORDENES'!$AA297)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IF('ORDENES'!$A298="","",IF('ORDENES'!$AC298="","-",'ORDENES'!$AC298))</f>
        <v/>
      </c>
      <c r="D320" s="3">
        <f>IF('ORDENES'!$A298="","",IF('ORDENES'!$V298="","-",'ORDENES'!$V298))</f>
        <v/>
      </c>
      <c r="E320" s="3">
        <f>IF('ORDENES'!$A298="","",IF('ORDENES'!$U298="","-",'ORDENES'!$U298))</f>
        <v/>
      </c>
      <c r="F320" s="3">
        <f>IF('ORDENES'!$A298="","",IF('ORDENES'!$W298="","-",'ORDENES'!$W298))</f>
        <v/>
      </c>
      <c r="G320" s="3">
        <f>IF('ORDENES'!$A298="","",IF('ORDENES'!$AB298="","-",'ORDENES'!$AB298))</f>
        <v/>
      </c>
      <c r="H320" s="3">
        <f>IF('ORDENES'!$A298="","",IF('ORDENES'!$AN298="","-",'ORDENES'!$AN298))</f>
        <v/>
      </c>
      <c r="I320" s="3">
        <f>IF('ORDENES'!$A298="","",IF('ORDENES'!$D298="","-",'ORDENES'!$D298))</f>
        <v/>
      </c>
      <c r="J320" s="3">
        <f>IF('ORDENES'!$A298="","",IF('ORDENES'!$E298="","-",'ORDENES'!$E298))</f>
        <v/>
      </c>
      <c r="K320" s="12">
        <f>IF('ORDENES'!$A298="","",IF('ORDENES'!$M298="",0,'ORDENES'!$M298))</f>
        <v/>
      </c>
      <c r="L320" s="3">
        <f>IF('ORDENES'!$A298="","",IF('ORDENES'!$N298="","-",'ORDENES'!$N298))</f>
        <v/>
      </c>
      <c r="M320" s="3">
        <f>IF('ORDENES'!$A298="","",'ORDENES'!$AA298)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IF('ORDENES'!$A299="","",IF('ORDENES'!$AC299="","-",'ORDENES'!$AC299))</f>
        <v/>
      </c>
      <c r="D321" s="3">
        <f>IF('ORDENES'!$A299="","",IF('ORDENES'!$V299="","-",'ORDENES'!$V299))</f>
        <v/>
      </c>
      <c r="E321" s="3">
        <f>IF('ORDENES'!$A299="","",IF('ORDENES'!$U299="","-",'ORDENES'!$U299))</f>
        <v/>
      </c>
      <c r="F321" s="3">
        <f>IF('ORDENES'!$A299="","",IF('ORDENES'!$W299="","-",'ORDENES'!$W299))</f>
        <v/>
      </c>
      <c r="G321" s="3">
        <f>IF('ORDENES'!$A299="","",IF('ORDENES'!$AB299="","-",'ORDENES'!$AB299))</f>
        <v/>
      </c>
      <c r="H321" s="3">
        <f>IF('ORDENES'!$A299="","",IF('ORDENES'!$AN299="","-",'ORDENES'!$AN299))</f>
        <v/>
      </c>
      <c r="I321" s="3">
        <f>IF('ORDENES'!$A299="","",IF('ORDENES'!$D299="","-",'ORDENES'!$D299))</f>
        <v/>
      </c>
      <c r="J321" s="3">
        <f>IF('ORDENES'!$A299="","",IF('ORDENES'!$E299="","-",'ORDENES'!$E299))</f>
        <v/>
      </c>
      <c r="K321" s="12">
        <f>IF('ORDENES'!$A299="","",IF('ORDENES'!$M299="",0,'ORDENES'!$M299))</f>
        <v/>
      </c>
      <c r="L321" s="3">
        <f>IF('ORDENES'!$A299="","",IF('ORDENES'!$N299="","-",'ORDENES'!$N299))</f>
        <v/>
      </c>
      <c r="M321" s="3">
        <f>IF('ORDENES'!$A299="","",'ORDENES'!$AA299)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IF('ORDENES'!$A300="","",IF('ORDENES'!$AC300="","-",'ORDENES'!$AC300))</f>
        <v/>
      </c>
      <c r="D322" s="3">
        <f>IF('ORDENES'!$A300="","",IF('ORDENES'!$V300="","-",'ORDENES'!$V300))</f>
        <v/>
      </c>
      <c r="E322" s="3">
        <f>IF('ORDENES'!$A300="","",IF('ORDENES'!$U300="","-",'ORDENES'!$U300))</f>
        <v/>
      </c>
      <c r="F322" s="3">
        <f>IF('ORDENES'!$A300="","",IF('ORDENES'!$W300="","-",'ORDENES'!$W300))</f>
        <v/>
      </c>
      <c r="G322" s="3">
        <f>IF('ORDENES'!$A300="","",IF('ORDENES'!$AB300="","-",'ORDENES'!$AB300))</f>
        <v/>
      </c>
      <c r="H322" s="3">
        <f>IF('ORDENES'!$A300="","",IF('ORDENES'!$AN300="","-",'ORDENES'!$AN300))</f>
        <v/>
      </c>
      <c r="I322" s="3">
        <f>IF('ORDENES'!$A300="","",IF('ORDENES'!$D300="","-",'ORDENES'!$D300))</f>
        <v/>
      </c>
      <c r="J322" s="3">
        <f>IF('ORDENES'!$A300="","",IF('ORDENES'!$E300="","-",'ORDENES'!$E300))</f>
        <v/>
      </c>
      <c r="K322" s="12">
        <f>IF('ORDENES'!$A300="","",IF('ORDENES'!$M300="",0,'ORDENES'!$M300))</f>
        <v/>
      </c>
      <c r="L322" s="3">
        <f>IF('ORDENES'!$A300="","",IF('ORDENES'!$N300="","-",'ORDENES'!$N300))</f>
        <v/>
      </c>
      <c r="M322" s="3">
        <f>IF('ORDENES'!$A300="","",'ORDENES'!$AA300)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IF('ORDENES'!$A301="","",IF('ORDENES'!$AC301="","-",'ORDENES'!$AC301))</f>
        <v/>
      </c>
      <c r="D323" s="3">
        <f>IF('ORDENES'!$A301="","",IF('ORDENES'!$V301="","-",'ORDENES'!$V301))</f>
        <v/>
      </c>
      <c r="E323" s="3">
        <f>IF('ORDENES'!$A301="","",IF('ORDENES'!$U301="","-",'ORDENES'!$U301))</f>
        <v/>
      </c>
      <c r="F323" s="3">
        <f>IF('ORDENES'!$A301="","",IF('ORDENES'!$W301="","-",'ORDENES'!$W301))</f>
        <v/>
      </c>
      <c r="G323" s="3">
        <f>IF('ORDENES'!$A301="","",IF('ORDENES'!$AB301="","-",'ORDENES'!$AB301))</f>
        <v/>
      </c>
      <c r="H323" s="3">
        <f>IF('ORDENES'!$A301="","",IF('ORDENES'!$AN301="","-",'ORDENES'!$AN301))</f>
        <v/>
      </c>
      <c r="I323" s="3">
        <f>IF('ORDENES'!$A301="","",IF('ORDENES'!$D301="","-",'ORDENES'!$D301))</f>
        <v/>
      </c>
      <c r="J323" s="3">
        <f>IF('ORDENES'!$A301="","",IF('ORDENES'!$E301="","-",'ORDENES'!$E301))</f>
        <v/>
      </c>
      <c r="K323" s="12">
        <f>IF('ORDENES'!$A301="","",IF('ORDENES'!$M301="",0,'ORDENES'!$M301))</f>
        <v/>
      </c>
      <c r="L323" s="3">
        <f>IF('ORDENES'!$A301="","",IF('ORDENES'!$N301="","-",'ORDENES'!$N301))</f>
        <v/>
      </c>
      <c r="M323" s="3">
        <f>IF('ORDENES'!$A301="","",'ORDENES'!$AA301)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IF('ORDENES'!$A302="","",IF('ORDENES'!$AC302="","-",'ORDENES'!$AC302))</f>
        <v/>
      </c>
      <c r="D324" s="3">
        <f>IF('ORDENES'!$A302="","",IF('ORDENES'!$V302="","-",'ORDENES'!$V302))</f>
        <v/>
      </c>
      <c r="E324" s="3">
        <f>IF('ORDENES'!$A302="","",IF('ORDENES'!$U302="","-",'ORDENES'!$U302))</f>
        <v/>
      </c>
      <c r="F324" s="3">
        <f>IF('ORDENES'!$A302="","",IF('ORDENES'!$W302="","-",'ORDENES'!$W302))</f>
        <v/>
      </c>
      <c r="G324" s="3">
        <f>IF('ORDENES'!$A302="","",IF('ORDENES'!$AB302="","-",'ORDENES'!$AB302))</f>
        <v/>
      </c>
      <c r="H324" s="3">
        <f>IF('ORDENES'!$A302="","",IF('ORDENES'!$AN302="","-",'ORDENES'!$AN302))</f>
        <v/>
      </c>
      <c r="I324" s="3">
        <f>IF('ORDENES'!$A302="","",IF('ORDENES'!$D302="","-",'ORDENES'!$D302))</f>
        <v/>
      </c>
      <c r="J324" s="3">
        <f>IF('ORDENES'!$A302="","",IF('ORDENES'!$E302="","-",'ORDENES'!$E302))</f>
        <v/>
      </c>
      <c r="K324" s="12">
        <f>IF('ORDENES'!$A302="","",IF('ORDENES'!$M302="",0,'ORDENES'!$M302))</f>
        <v/>
      </c>
      <c r="L324" s="3">
        <f>IF('ORDENES'!$A302="","",IF('ORDENES'!$N302="","-",'ORDENES'!$N302))</f>
        <v/>
      </c>
      <c r="M324" s="3">
        <f>IF('ORDENES'!$A302="","",'ORDENES'!$AA302)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IF('ORDENES'!$A303="","",IF('ORDENES'!$AC303="","-",'ORDENES'!$AC303))</f>
        <v/>
      </c>
      <c r="D325" s="3">
        <f>IF('ORDENES'!$A303="","",IF('ORDENES'!$V303="","-",'ORDENES'!$V303))</f>
        <v/>
      </c>
      <c r="E325" s="3">
        <f>IF('ORDENES'!$A303="","",IF('ORDENES'!$U303="","-",'ORDENES'!$U303))</f>
        <v/>
      </c>
      <c r="F325" s="3">
        <f>IF('ORDENES'!$A303="","",IF('ORDENES'!$W303="","-",'ORDENES'!$W303))</f>
        <v/>
      </c>
      <c r="G325" s="3">
        <f>IF('ORDENES'!$A303="","",IF('ORDENES'!$AB303="","-",'ORDENES'!$AB303))</f>
        <v/>
      </c>
      <c r="H325" s="3">
        <f>IF('ORDENES'!$A303="","",IF('ORDENES'!$AN303="","-",'ORDENES'!$AN303))</f>
        <v/>
      </c>
      <c r="I325" s="3">
        <f>IF('ORDENES'!$A303="","",IF('ORDENES'!$D303="","-",'ORDENES'!$D303))</f>
        <v/>
      </c>
      <c r="J325" s="3">
        <f>IF('ORDENES'!$A303="","",IF('ORDENES'!$E303="","-",'ORDENES'!$E303))</f>
        <v/>
      </c>
      <c r="K325" s="12">
        <f>IF('ORDENES'!$A303="","",IF('ORDENES'!$M303="",0,'ORDENES'!$M303))</f>
        <v/>
      </c>
      <c r="L325" s="3">
        <f>IF('ORDENES'!$A303="","",IF('ORDENES'!$N303="","-",'ORDENES'!$N303))</f>
        <v/>
      </c>
      <c r="M325" s="3">
        <f>IF('ORDENES'!$A303="","",'ORDENES'!$AA303)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IF('ORDENES'!$A304="","",IF('ORDENES'!$AC304="","-",'ORDENES'!$AC304))</f>
        <v/>
      </c>
      <c r="D326" s="3">
        <f>IF('ORDENES'!$A304="","",IF('ORDENES'!$V304="","-",'ORDENES'!$V304))</f>
        <v/>
      </c>
      <c r="E326" s="3">
        <f>IF('ORDENES'!$A304="","",IF('ORDENES'!$U304="","-",'ORDENES'!$U304))</f>
        <v/>
      </c>
      <c r="F326" s="3">
        <f>IF('ORDENES'!$A304="","",IF('ORDENES'!$W304="","-",'ORDENES'!$W304))</f>
        <v/>
      </c>
      <c r="G326" s="3">
        <f>IF('ORDENES'!$A304="","",IF('ORDENES'!$AB304="","-",'ORDENES'!$AB304))</f>
        <v/>
      </c>
      <c r="H326" s="3">
        <f>IF('ORDENES'!$A304="","",IF('ORDENES'!$AN304="","-",'ORDENES'!$AN304))</f>
        <v/>
      </c>
      <c r="I326" s="3">
        <f>IF('ORDENES'!$A304="","",IF('ORDENES'!$D304="","-",'ORDENES'!$D304))</f>
        <v/>
      </c>
      <c r="J326" s="3">
        <f>IF('ORDENES'!$A304="","",IF('ORDENES'!$E304="","-",'ORDENES'!$E304))</f>
        <v/>
      </c>
      <c r="K326" s="12">
        <f>IF('ORDENES'!$A304="","",IF('ORDENES'!$M304="",0,'ORDENES'!$M304))</f>
        <v/>
      </c>
      <c r="L326" s="3">
        <f>IF('ORDENES'!$A304="","",IF('ORDENES'!$N304="","-",'ORDENES'!$N304))</f>
        <v/>
      </c>
      <c r="M326" s="3">
        <f>IF('ORDENES'!$A304="","",'ORDENES'!$AA304)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IF('ORDENES'!$A305="","",IF('ORDENES'!$AC305="","-",'ORDENES'!$AC305))</f>
        <v/>
      </c>
      <c r="D327" s="3">
        <f>IF('ORDENES'!$A305="","",IF('ORDENES'!$V305="","-",'ORDENES'!$V305))</f>
        <v/>
      </c>
      <c r="E327" s="3">
        <f>IF('ORDENES'!$A305="","",IF('ORDENES'!$U305="","-",'ORDENES'!$U305))</f>
        <v/>
      </c>
      <c r="F327" s="3">
        <f>IF('ORDENES'!$A305="","",IF('ORDENES'!$W305="","-",'ORDENES'!$W305))</f>
        <v/>
      </c>
      <c r="G327" s="3">
        <f>IF('ORDENES'!$A305="","",IF('ORDENES'!$AB305="","-",'ORDENES'!$AB305))</f>
        <v/>
      </c>
      <c r="H327" s="3">
        <f>IF('ORDENES'!$A305="","",IF('ORDENES'!$AN305="","-",'ORDENES'!$AN305))</f>
        <v/>
      </c>
      <c r="I327" s="3">
        <f>IF('ORDENES'!$A305="","",IF('ORDENES'!$D305="","-",'ORDENES'!$D305))</f>
        <v/>
      </c>
      <c r="J327" s="3">
        <f>IF('ORDENES'!$A305="","",IF('ORDENES'!$E305="","-",'ORDENES'!$E305))</f>
        <v/>
      </c>
      <c r="K327" s="12">
        <f>IF('ORDENES'!$A305="","",IF('ORDENES'!$M305="",0,'ORDENES'!$M305))</f>
        <v/>
      </c>
      <c r="L327" s="3">
        <f>IF('ORDENES'!$A305="","",IF('ORDENES'!$N305="","-",'ORDENES'!$N305))</f>
        <v/>
      </c>
      <c r="M327" s="3">
        <f>IF('ORDENES'!$A305="","",'ORDENES'!$AA305)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IF('ORDENES'!$A306="","",IF('ORDENES'!$AC306="","-",'ORDENES'!$AC306))</f>
        <v/>
      </c>
      <c r="D328" s="3">
        <f>IF('ORDENES'!$A306="","",IF('ORDENES'!$V306="","-",'ORDENES'!$V306))</f>
        <v/>
      </c>
      <c r="E328" s="3">
        <f>IF('ORDENES'!$A306="","",IF('ORDENES'!$U306="","-",'ORDENES'!$U306))</f>
        <v/>
      </c>
      <c r="F328" s="3">
        <f>IF('ORDENES'!$A306="","",IF('ORDENES'!$W306="","-",'ORDENES'!$W306))</f>
        <v/>
      </c>
      <c r="G328" s="3">
        <f>IF('ORDENES'!$A306="","",IF('ORDENES'!$AB306="","-",'ORDENES'!$AB306))</f>
        <v/>
      </c>
      <c r="H328" s="3">
        <f>IF('ORDENES'!$A306="","",IF('ORDENES'!$AN306="","-",'ORDENES'!$AN306))</f>
        <v/>
      </c>
      <c r="I328" s="3">
        <f>IF('ORDENES'!$A306="","",IF('ORDENES'!$D306="","-",'ORDENES'!$D306))</f>
        <v/>
      </c>
      <c r="J328" s="3">
        <f>IF('ORDENES'!$A306="","",IF('ORDENES'!$E306="","-",'ORDENES'!$E306))</f>
        <v/>
      </c>
      <c r="K328" s="12">
        <f>IF('ORDENES'!$A306="","",IF('ORDENES'!$M306="",0,'ORDENES'!$M306))</f>
        <v/>
      </c>
      <c r="L328" s="3">
        <f>IF('ORDENES'!$A306="","",IF('ORDENES'!$N306="","-",'ORDENES'!$N306))</f>
        <v/>
      </c>
      <c r="M328" s="3">
        <f>IF('ORDENES'!$A306="","",'ORDENES'!$AA306)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IF('ORDENES'!$A307="","",IF('ORDENES'!$AC307="","-",'ORDENES'!$AC307))</f>
        <v/>
      </c>
      <c r="D329" s="3">
        <f>IF('ORDENES'!$A307="","",IF('ORDENES'!$V307="","-",'ORDENES'!$V307))</f>
        <v/>
      </c>
      <c r="E329" s="3">
        <f>IF('ORDENES'!$A307="","",IF('ORDENES'!$U307="","-",'ORDENES'!$U307))</f>
        <v/>
      </c>
      <c r="F329" s="3">
        <f>IF('ORDENES'!$A307="","",IF('ORDENES'!$W307="","-",'ORDENES'!$W307))</f>
        <v/>
      </c>
      <c r="G329" s="3">
        <f>IF('ORDENES'!$A307="","",IF('ORDENES'!$AB307="","-",'ORDENES'!$AB307))</f>
        <v/>
      </c>
      <c r="H329" s="3">
        <f>IF('ORDENES'!$A307="","",IF('ORDENES'!$AN307="","-",'ORDENES'!$AN307))</f>
        <v/>
      </c>
      <c r="I329" s="3">
        <f>IF('ORDENES'!$A307="","",IF('ORDENES'!$D307="","-",'ORDENES'!$D307))</f>
        <v/>
      </c>
      <c r="J329" s="3">
        <f>IF('ORDENES'!$A307="","",IF('ORDENES'!$E307="","-",'ORDENES'!$E307))</f>
        <v/>
      </c>
      <c r="K329" s="12">
        <f>IF('ORDENES'!$A307="","",IF('ORDENES'!$M307="",0,'ORDENES'!$M307))</f>
        <v/>
      </c>
      <c r="L329" s="3">
        <f>IF('ORDENES'!$A307="","",IF('ORDENES'!$N307="","-",'ORDENES'!$N307))</f>
        <v/>
      </c>
      <c r="M329" s="3">
        <f>IF('ORDENES'!$A307="","",'ORDENES'!$AA307)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IF('ORDENES'!$A308="","",IF('ORDENES'!$AC308="","-",'ORDENES'!$AC308))</f>
        <v/>
      </c>
      <c r="D330" s="3">
        <f>IF('ORDENES'!$A308="","",IF('ORDENES'!$V308="","-",'ORDENES'!$V308))</f>
        <v/>
      </c>
      <c r="E330" s="3">
        <f>IF('ORDENES'!$A308="","",IF('ORDENES'!$U308="","-",'ORDENES'!$U308))</f>
        <v/>
      </c>
      <c r="F330" s="3">
        <f>IF('ORDENES'!$A308="","",IF('ORDENES'!$W308="","-",'ORDENES'!$W308))</f>
        <v/>
      </c>
      <c r="G330" s="3">
        <f>IF('ORDENES'!$A308="","",IF('ORDENES'!$AB308="","-",'ORDENES'!$AB308))</f>
        <v/>
      </c>
      <c r="H330" s="3">
        <f>IF('ORDENES'!$A308="","",IF('ORDENES'!$AN308="","-",'ORDENES'!$AN308))</f>
        <v/>
      </c>
      <c r="I330" s="3">
        <f>IF('ORDENES'!$A308="","",IF('ORDENES'!$D308="","-",'ORDENES'!$D308))</f>
        <v/>
      </c>
      <c r="J330" s="3">
        <f>IF('ORDENES'!$A308="","",IF('ORDENES'!$E308="","-",'ORDENES'!$E308))</f>
        <v/>
      </c>
      <c r="K330" s="12">
        <f>IF('ORDENES'!$A308="","",IF('ORDENES'!$M308="",0,'ORDENES'!$M308))</f>
        <v/>
      </c>
      <c r="L330" s="3">
        <f>IF('ORDENES'!$A308="","",IF('ORDENES'!$N308="","-",'ORDENES'!$N308))</f>
        <v/>
      </c>
      <c r="M330" s="3">
        <f>IF('ORDENES'!$A308="","",'ORDENES'!$AA308)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IF('ORDENES'!$A309="","",IF('ORDENES'!$AC309="","-",'ORDENES'!$AC309))</f>
        <v/>
      </c>
      <c r="D331" s="3">
        <f>IF('ORDENES'!$A309="","",IF('ORDENES'!$V309="","-",'ORDENES'!$V309))</f>
        <v/>
      </c>
      <c r="E331" s="3">
        <f>IF('ORDENES'!$A309="","",IF('ORDENES'!$U309="","-",'ORDENES'!$U309))</f>
        <v/>
      </c>
      <c r="F331" s="3">
        <f>IF('ORDENES'!$A309="","",IF('ORDENES'!$W309="","-",'ORDENES'!$W309))</f>
        <v/>
      </c>
      <c r="G331" s="3">
        <f>IF('ORDENES'!$A309="","",IF('ORDENES'!$AB309="","-",'ORDENES'!$AB309))</f>
        <v/>
      </c>
      <c r="H331" s="3">
        <f>IF('ORDENES'!$A309="","",IF('ORDENES'!$AN309="","-",'ORDENES'!$AN309))</f>
        <v/>
      </c>
      <c r="I331" s="3">
        <f>IF('ORDENES'!$A309="","",IF('ORDENES'!$D309="","-",'ORDENES'!$D309))</f>
        <v/>
      </c>
      <c r="J331" s="3">
        <f>IF('ORDENES'!$A309="","",IF('ORDENES'!$E309="","-",'ORDENES'!$E309))</f>
        <v/>
      </c>
      <c r="K331" s="12">
        <f>IF('ORDENES'!$A309="","",IF('ORDENES'!$M309="",0,'ORDENES'!$M309))</f>
        <v/>
      </c>
      <c r="L331" s="3">
        <f>IF('ORDENES'!$A309="","",IF('ORDENES'!$N309="","-",'ORDENES'!$N309))</f>
        <v/>
      </c>
      <c r="M331" s="3">
        <f>IF('ORDENES'!$A309="","",'ORDENES'!$AA309)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IF('ORDENES'!$A310="","",IF('ORDENES'!$AC310="","-",'ORDENES'!$AC310))</f>
        <v/>
      </c>
      <c r="D332" s="3">
        <f>IF('ORDENES'!$A310="","",IF('ORDENES'!$V310="","-",'ORDENES'!$V310))</f>
        <v/>
      </c>
      <c r="E332" s="3">
        <f>IF('ORDENES'!$A310="","",IF('ORDENES'!$U310="","-",'ORDENES'!$U310))</f>
        <v/>
      </c>
      <c r="F332" s="3">
        <f>IF('ORDENES'!$A310="","",IF('ORDENES'!$W310="","-",'ORDENES'!$W310))</f>
        <v/>
      </c>
      <c r="G332" s="3">
        <f>IF('ORDENES'!$A310="","",IF('ORDENES'!$AB310="","-",'ORDENES'!$AB310))</f>
        <v/>
      </c>
      <c r="H332" s="3">
        <f>IF('ORDENES'!$A310="","",IF('ORDENES'!$AN310="","-",'ORDENES'!$AN310))</f>
        <v/>
      </c>
      <c r="I332" s="3">
        <f>IF('ORDENES'!$A310="","",IF('ORDENES'!$D310="","-",'ORDENES'!$D310))</f>
        <v/>
      </c>
      <c r="J332" s="3">
        <f>IF('ORDENES'!$A310="","",IF('ORDENES'!$E310="","-",'ORDENES'!$E310))</f>
        <v/>
      </c>
      <c r="K332" s="12">
        <f>IF('ORDENES'!$A310="","",IF('ORDENES'!$M310="",0,'ORDENES'!$M310))</f>
        <v/>
      </c>
      <c r="L332" s="3">
        <f>IF('ORDENES'!$A310="","",IF('ORDENES'!$N310="","-",'ORDENES'!$N310))</f>
        <v/>
      </c>
      <c r="M332" s="3">
        <f>IF('ORDENES'!$A310="","",'ORDENES'!$AA310)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IF('ORDENES'!$A311="","",IF('ORDENES'!$AC311="","-",'ORDENES'!$AC311))</f>
        <v/>
      </c>
      <c r="D333" s="3">
        <f>IF('ORDENES'!$A311="","",IF('ORDENES'!$V311="","-",'ORDENES'!$V311))</f>
        <v/>
      </c>
      <c r="E333" s="3">
        <f>IF('ORDENES'!$A311="","",IF('ORDENES'!$U311="","-",'ORDENES'!$U311))</f>
        <v/>
      </c>
      <c r="F333" s="3">
        <f>IF('ORDENES'!$A311="","",IF('ORDENES'!$W311="","-",'ORDENES'!$W311))</f>
        <v/>
      </c>
      <c r="G333" s="3">
        <f>IF('ORDENES'!$A311="","",IF('ORDENES'!$AB311="","-",'ORDENES'!$AB311))</f>
        <v/>
      </c>
      <c r="H333" s="3">
        <f>IF('ORDENES'!$A311="","",IF('ORDENES'!$AN311="","-",'ORDENES'!$AN311))</f>
        <v/>
      </c>
      <c r="I333" s="3">
        <f>IF('ORDENES'!$A311="","",IF('ORDENES'!$D311="","-",'ORDENES'!$D311))</f>
        <v/>
      </c>
      <c r="J333" s="3">
        <f>IF('ORDENES'!$A311="","",IF('ORDENES'!$E311="","-",'ORDENES'!$E311))</f>
        <v/>
      </c>
      <c r="K333" s="12">
        <f>IF('ORDENES'!$A311="","",IF('ORDENES'!$M311="",0,'ORDENES'!$M311))</f>
        <v/>
      </c>
      <c r="L333" s="3">
        <f>IF('ORDENES'!$A311="","",IF('ORDENES'!$N311="","-",'ORDENES'!$N311))</f>
        <v/>
      </c>
      <c r="M333" s="3">
        <f>IF('ORDENES'!$A311="","",'ORDENES'!$AA311)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IF('ORDENES'!$A312="","",IF('ORDENES'!$AC312="","-",'ORDENES'!$AC312))</f>
        <v/>
      </c>
      <c r="D334" s="3">
        <f>IF('ORDENES'!$A312="","",IF('ORDENES'!$V312="","-",'ORDENES'!$V312))</f>
        <v/>
      </c>
      <c r="E334" s="3">
        <f>IF('ORDENES'!$A312="","",IF('ORDENES'!$U312="","-",'ORDENES'!$U312))</f>
        <v/>
      </c>
      <c r="F334" s="3">
        <f>IF('ORDENES'!$A312="","",IF('ORDENES'!$W312="","-",'ORDENES'!$W312))</f>
        <v/>
      </c>
      <c r="G334" s="3">
        <f>IF('ORDENES'!$A312="","",IF('ORDENES'!$AB312="","-",'ORDENES'!$AB312))</f>
        <v/>
      </c>
      <c r="H334" s="3">
        <f>IF('ORDENES'!$A312="","",IF('ORDENES'!$AN312="","-",'ORDENES'!$AN312))</f>
        <v/>
      </c>
      <c r="I334" s="3">
        <f>IF('ORDENES'!$A312="","",IF('ORDENES'!$D312="","-",'ORDENES'!$D312))</f>
        <v/>
      </c>
      <c r="J334" s="3">
        <f>IF('ORDENES'!$A312="","",IF('ORDENES'!$E312="","-",'ORDENES'!$E312))</f>
        <v/>
      </c>
      <c r="K334" s="12">
        <f>IF('ORDENES'!$A312="","",IF('ORDENES'!$M312="",0,'ORDENES'!$M312))</f>
        <v/>
      </c>
      <c r="L334" s="3">
        <f>IF('ORDENES'!$A312="","",IF('ORDENES'!$N312="","-",'ORDENES'!$N312))</f>
        <v/>
      </c>
      <c r="M334" s="3">
        <f>IF('ORDENES'!$A312="","",'ORDENES'!$AA312)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IF('ORDENES'!$A313="","",IF('ORDENES'!$AC313="","-",'ORDENES'!$AC313))</f>
        <v/>
      </c>
      <c r="D335" s="3">
        <f>IF('ORDENES'!$A313="","",IF('ORDENES'!$V313="","-",'ORDENES'!$V313))</f>
        <v/>
      </c>
      <c r="E335" s="3">
        <f>IF('ORDENES'!$A313="","",IF('ORDENES'!$U313="","-",'ORDENES'!$U313))</f>
        <v/>
      </c>
      <c r="F335" s="3">
        <f>IF('ORDENES'!$A313="","",IF('ORDENES'!$W313="","-",'ORDENES'!$W313))</f>
        <v/>
      </c>
      <c r="G335" s="3">
        <f>IF('ORDENES'!$A313="","",IF('ORDENES'!$AB313="","-",'ORDENES'!$AB313))</f>
        <v/>
      </c>
      <c r="H335" s="3">
        <f>IF('ORDENES'!$A313="","",IF('ORDENES'!$AN313="","-",'ORDENES'!$AN313))</f>
        <v/>
      </c>
      <c r="I335" s="3">
        <f>IF('ORDENES'!$A313="","",IF('ORDENES'!$D313="","-",'ORDENES'!$D313))</f>
        <v/>
      </c>
      <c r="J335" s="3">
        <f>IF('ORDENES'!$A313="","",IF('ORDENES'!$E313="","-",'ORDENES'!$E313))</f>
        <v/>
      </c>
      <c r="K335" s="12">
        <f>IF('ORDENES'!$A313="","",IF('ORDENES'!$M313="",0,'ORDENES'!$M313))</f>
        <v/>
      </c>
      <c r="L335" s="3">
        <f>IF('ORDENES'!$A313="","",IF('ORDENES'!$N313="","-",'ORDENES'!$N313))</f>
        <v/>
      </c>
      <c r="M335" s="3">
        <f>IF('ORDENES'!$A313="","",'ORDENES'!$AA313)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IF('ORDENES'!$A314="","",IF('ORDENES'!$AC314="","-",'ORDENES'!$AC314))</f>
        <v/>
      </c>
      <c r="D336" s="3">
        <f>IF('ORDENES'!$A314="","",IF('ORDENES'!$V314="","-",'ORDENES'!$V314))</f>
        <v/>
      </c>
      <c r="E336" s="3">
        <f>IF('ORDENES'!$A314="","",IF('ORDENES'!$U314="","-",'ORDENES'!$U314))</f>
        <v/>
      </c>
      <c r="F336" s="3">
        <f>IF('ORDENES'!$A314="","",IF('ORDENES'!$W314="","-",'ORDENES'!$W314))</f>
        <v/>
      </c>
      <c r="G336" s="3">
        <f>IF('ORDENES'!$A314="","",IF('ORDENES'!$AB314="","-",'ORDENES'!$AB314))</f>
        <v/>
      </c>
      <c r="H336" s="3">
        <f>IF('ORDENES'!$A314="","",IF('ORDENES'!$AN314="","-",'ORDENES'!$AN314))</f>
        <v/>
      </c>
      <c r="I336" s="3">
        <f>IF('ORDENES'!$A314="","",IF('ORDENES'!$D314="","-",'ORDENES'!$D314))</f>
        <v/>
      </c>
      <c r="J336" s="3">
        <f>IF('ORDENES'!$A314="","",IF('ORDENES'!$E314="","-",'ORDENES'!$E314))</f>
        <v/>
      </c>
      <c r="K336" s="12">
        <f>IF('ORDENES'!$A314="","",IF('ORDENES'!$M314="",0,'ORDENES'!$M314))</f>
        <v/>
      </c>
      <c r="L336" s="3">
        <f>IF('ORDENES'!$A314="","",IF('ORDENES'!$N314="","-",'ORDENES'!$N314))</f>
        <v/>
      </c>
      <c r="M336" s="3">
        <f>IF('ORDENES'!$A314="","",'ORDENES'!$AA314)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IF('ORDENES'!$A315="","",IF('ORDENES'!$AC315="","-",'ORDENES'!$AC315))</f>
        <v/>
      </c>
      <c r="D337" s="3">
        <f>IF('ORDENES'!$A315="","",IF('ORDENES'!$V315="","-",'ORDENES'!$V315))</f>
        <v/>
      </c>
      <c r="E337" s="3">
        <f>IF('ORDENES'!$A315="","",IF('ORDENES'!$U315="","-",'ORDENES'!$U315))</f>
        <v/>
      </c>
      <c r="F337" s="3">
        <f>IF('ORDENES'!$A315="","",IF('ORDENES'!$W315="","-",'ORDENES'!$W315))</f>
        <v/>
      </c>
      <c r="G337" s="3">
        <f>IF('ORDENES'!$A315="","",IF('ORDENES'!$AB315="","-",'ORDENES'!$AB315))</f>
        <v/>
      </c>
      <c r="H337" s="3">
        <f>IF('ORDENES'!$A315="","",IF('ORDENES'!$AN315="","-",'ORDENES'!$AN315))</f>
        <v/>
      </c>
      <c r="I337" s="3">
        <f>IF('ORDENES'!$A315="","",IF('ORDENES'!$D315="","-",'ORDENES'!$D315))</f>
        <v/>
      </c>
      <c r="J337" s="3">
        <f>IF('ORDENES'!$A315="","",IF('ORDENES'!$E315="","-",'ORDENES'!$E315))</f>
        <v/>
      </c>
      <c r="K337" s="12">
        <f>IF('ORDENES'!$A315="","",IF('ORDENES'!$M315="",0,'ORDENES'!$M315))</f>
        <v/>
      </c>
      <c r="L337" s="3">
        <f>IF('ORDENES'!$A315="","",IF('ORDENES'!$N315="","-",'ORDENES'!$N315))</f>
        <v/>
      </c>
      <c r="M337" s="3">
        <f>IF('ORDENES'!$A315="","",'ORDENES'!$AA315)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IF('ORDENES'!$A316="","",IF('ORDENES'!$AC316="","-",'ORDENES'!$AC316))</f>
        <v/>
      </c>
      <c r="D338" s="3">
        <f>IF('ORDENES'!$A316="","",IF('ORDENES'!$V316="","-",'ORDENES'!$V316))</f>
        <v/>
      </c>
      <c r="E338" s="3">
        <f>IF('ORDENES'!$A316="","",IF('ORDENES'!$U316="","-",'ORDENES'!$U316))</f>
        <v/>
      </c>
      <c r="F338" s="3">
        <f>IF('ORDENES'!$A316="","",IF('ORDENES'!$W316="","-",'ORDENES'!$W316))</f>
        <v/>
      </c>
      <c r="G338" s="3">
        <f>IF('ORDENES'!$A316="","",IF('ORDENES'!$AB316="","-",'ORDENES'!$AB316))</f>
        <v/>
      </c>
      <c r="H338" s="3">
        <f>IF('ORDENES'!$A316="","",IF('ORDENES'!$AN316="","-",'ORDENES'!$AN316))</f>
        <v/>
      </c>
      <c r="I338" s="3">
        <f>IF('ORDENES'!$A316="","",IF('ORDENES'!$D316="","-",'ORDENES'!$D316))</f>
        <v/>
      </c>
      <c r="J338" s="3">
        <f>IF('ORDENES'!$A316="","",IF('ORDENES'!$E316="","-",'ORDENES'!$E316))</f>
        <v/>
      </c>
      <c r="K338" s="12">
        <f>IF('ORDENES'!$A316="","",IF('ORDENES'!$M316="",0,'ORDENES'!$M316))</f>
        <v/>
      </c>
      <c r="L338" s="3">
        <f>IF('ORDENES'!$A316="","",IF('ORDENES'!$N316="","-",'ORDENES'!$N316))</f>
        <v/>
      </c>
      <c r="M338" s="3">
        <f>IF('ORDENES'!$A316="","",'ORDENES'!$AA316)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IF('ORDENES'!$A317="","",IF('ORDENES'!$AC317="","-",'ORDENES'!$AC317))</f>
        <v/>
      </c>
      <c r="D339" s="3">
        <f>IF('ORDENES'!$A317="","",IF('ORDENES'!$V317="","-",'ORDENES'!$V317))</f>
        <v/>
      </c>
      <c r="E339" s="3">
        <f>IF('ORDENES'!$A317="","",IF('ORDENES'!$U317="","-",'ORDENES'!$U317))</f>
        <v/>
      </c>
      <c r="F339" s="3">
        <f>IF('ORDENES'!$A317="","",IF('ORDENES'!$W317="","-",'ORDENES'!$W317))</f>
        <v/>
      </c>
      <c r="G339" s="3">
        <f>IF('ORDENES'!$A317="","",IF('ORDENES'!$AB317="","-",'ORDENES'!$AB317))</f>
        <v/>
      </c>
      <c r="H339" s="3">
        <f>IF('ORDENES'!$A317="","",IF('ORDENES'!$AN317="","-",'ORDENES'!$AN317))</f>
        <v/>
      </c>
      <c r="I339" s="3">
        <f>IF('ORDENES'!$A317="","",IF('ORDENES'!$D317="","-",'ORDENES'!$D317))</f>
        <v/>
      </c>
      <c r="J339" s="3">
        <f>IF('ORDENES'!$A317="","",IF('ORDENES'!$E317="","-",'ORDENES'!$E317))</f>
        <v/>
      </c>
      <c r="K339" s="12">
        <f>IF('ORDENES'!$A317="","",IF('ORDENES'!$M317="",0,'ORDENES'!$M317))</f>
        <v/>
      </c>
      <c r="L339" s="3">
        <f>IF('ORDENES'!$A317="","",IF('ORDENES'!$N317="","-",'ORDENES'!$N317))</f>
        <v/>
      </c>
      <c r="M339" s="3">
        <f>IF('ORDENES'!$A317="","",'ORDENES'!$AA317)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IF('ORDENES'!$A318="","",IF('ORDENES'!$AC318="","-",'ORDENES'!$AC318))</f>
        <v/>
      </c>
      <c r="D340" s="3">
        <f>IF('ORDENES'!$A318="","",IF('ORDENES'!$V318="","-",'ORDENES'!$V318))</f>
        <v/>
      </c>
      <c r="E340" s="3">
        <f>IF('ORDENES'!$A318="","",IF('ORDENES'!$U318="","-",'ORDENES'!$U318))</f>
        <v/>
      </c>
      <c r="F340" s="3">
        <f>IF('ORDENES'!$A318="","",IF('ORDENES'!$W318="","-",'ORDENES'!$W318))</f>
        <v/>
      </c>
      <c r="G340" s="3">
        <f>IF('ORDENES'!$A318="","",IF('ORDENES'!$AB318="","-",'ORDENES'!$AB318))</f>
        <v/>
      </c>
      <c r="H340" s="3">
        <f>IF('ORDENES'!$A318="","",IF('ORDENES'!$AN318="","-",'ORDENES'!$AN318))</f>
        <v/>
      </c>
      <c r="I340" s="3">
        <f>IF('ORDENES'!$A318="","",IF('ORDENES'!$D318="","-",'ORDENES'!$D318))</f>
        <v/>
      </c>
      <c r="J340" s="3">
        <f>IF('ORDENES'!$A318="","",IF('ORDENES'!$E318="","-",'ORDENES'!$E318))</f>
        <v/>
      </c>
      <c r="K340" s="12">
        <f>IF('ORDENES'!$A318="","",IF('ORDENES'!$M318="",0,'ORDENES'!$M318))</f>
        <v/>
      </c>
      <c r="L340" s="3">
        <f>IF('ORDENES'!$A318="","",IF('ORDENES'!$N318="","-",'ORDENES'!$N318))</f>
        <v/>
      </c>
      <c r="M340" s="3">
        <f>IF('ORDENES'!$A318="","",'ORDENES'!$AA318)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IF('ORDENES'!$A319="","",IF('ORDENES'!$AC319="","-",'ORDENES'!$AC319))</f>
        <v/>
      </c>
      <c r="D341" s="3">
        <f>IF('ORDENES'!$A319="","",IF('ORDENES'!$V319="","-",'ORDENES'!$V319))</f>
        <v/>
      </c>
      <c r="E341" s="3">
        <f>IF('ORDENES'!$A319="","",IF('ORDENES'!$U319="","-",'ORDENES'!$U319))</f>
        <v/>
      </c>
      <c r="F341" s="3">
        <f>IF('ORDENES'!$A319="","",IF('ORDENES'!$W319="","-",'ORDENES'!$W319))</f>
        <v/>
      </c>
      <c r="G341" s="3">
        <f>IF('ORDENES'!$A319="","",IF('ORDENES'!$AB319="","-",'ORDENES'!$AB319))</f>
        <v/>
      </c>
      <c r="H341" s="3">
        <f>IF('ORDENES'!$A319="","",IF('ORDENES'!$AN319="","-",'ORDENES'!$AN319))</f>
        <v/>
      </c>
      <c r="I341" s="3">
        <f>IF('ORDENES'!$A319="","",IF('ORDENES'!$D319="","-",'ORDENES'!$D319))</f>
        <v/>
      </c>
      <c r="J341" s="3">
        <f>IF('ORDENES'!$A319="","",IF('ORDENES'!$E319="","-",'ORDENES'!$E319))</f>
        <v/>
      </c>
      <c r="K341" s="12">
        <f>IF('ORDENES'!$A319="","",IF('ORDENES'!$M319="",0,'ORDENES'!$M319))</f>
        <v/>
      </c>
      <c r="L341" s="3">
        <f>IF('ORDENES'!$A319="","",IF('ORDENES'!$N319="","-",'ORDENES'!$N319))</f>
        <v/>
      </c>
      <c r="M341" s="3">
        <f>IF('ORDENES'!$A319="","",'ORDENES'!$AA319)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IF('ORDENES'!$A320="","",IF('ORDENES'!$AC320="","-",'ORDENES'!$AC320))</f>
        <v/>
      </c>
      <c r="D342" s="3">
        <f>IF('ORDENES'!$A320="","",IF('ORDENES'!$V320="","-",'ORDENES'!$V320))</f>
        <v/>
      </c>
      <c r="E342" s="3">
        <f>IF('ORDENES'!$A320="","",IF('ORDENES'!$U320="","-",'ORDENES'!$U320))</f>
        <v/>
      </c>
      <c r="F342" s="3">
        <f>IF('ORDENES'!$A320="","",IF('ORDENES'!$W320="","-",'ORDENES'!$W320))</f>
        <v/>
      </c>
      <c r="G342" s="3">
        <f>IF('ORDENES'!$A320="","",IF('ORDENES'!$AB320="","-",'ORDENES'!$AB320))</f>
        <v/>
      </c>
      <c r="H342" s="3">
        <f>IF('ORDENES'!$A320="","",IF('ORDENES'!$AN320="","-",'ORDENES'!$AN320))</f>
        <v/>
      </c>
      <c r="I342" s="3">
        <f>IF('ORDENES'!$A320="","",IF('ORDENES'!$D320="","-",'ORDENES'!$D320))</f>
        <v/>
      </c>
      <c r="J342" s="3">
        <f>IF('ORDENES'!$A320="","",IF('ORDENES'!$E320="","-",'ORDENES'!$E320))</f>
        <v/>
      </c>
      <c r="K342" s="12">
        <f>IF('ORDENES'!$A320="","",IF('ORDENES'!$M320="",0,'ORDENES'!$M320))</f>
        <v/>
      </c>
      <c r="L342" s="3">
        <f>IF('ORDENES'!$A320="","",IF('ORDENES'!$N320="","-",'ORDENES'!$N320))</f>
        <v/>
      </c>
      <c r="M342" s="3">
        <f>IF('ORDENES'!$A320="","",'ORDENES'!$AA320)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IF('ORDENES'!$A321="","",IF('ORDENES'!$AC321="","-",'ORDENES'!$AC321))</f>
        <v/>
      </c>
      <c r="D343" s="3">
        <f>IF('ORDENES'!$A321="","",IF('ORDENES'!$V321="","-",'ORDENES'!$V321))</f>
        <v/>
      </c>
      <c r="E343" s="3">
        <f>IF('ORDENES'!$A321="","",IF('ORDENES'!$U321="","-",'ORDENES'!$U321))</f>
        <v/>
      </c>
      <c r="F343" s="3">
        <f>IF('ORDENES'!$A321="","",IF('ORDENES'!$W321="","-",'ORDENES'!$W321))</f>
        <v/>
      </c>
      <c r="G343" s="3">
        <f>IF('ORDENES'!$A321="","",IF('ORDENES'!$AB321="","-",'ORDENES'!$AB321))</f>
        <v/>
      </c>
      <c r="H343" s="3">
        <f>IF('ORDENES'!$A321="","",IF('ORDENES'!$AN321="","-",'ORDENES'!$AN321))</f>
        <v/>
      </c>
      <c r="I343" s="3">
        <f>IF('ORDENES'!$A321="","",IF('ORDENES'!$D321="","-",'ORDENES'!$D321))</f>
        <v/>
      </c>
      <c r="J343" s="3">
        <f>IF('ORDENES'!$A321="","",IF('ORDENES'!$E321="","-",'ORDENES'!$E321))</f>
        <v/>
      </c>
      <c r="K343" s="12">
        <f>IF('ORDENES'!$A321="","",IF('ORDENES'!$M321="",0,'ORDENES'!$M321))</f>
        <v/>
      </c>
      <c r="L343" s="3">
        <f>IF('ORDENES'!$A321="","",IF('ORDENES'!$N321="","-",'ORDENES'!$N321))</f>
        <v/>
      </c>
      <c r="M343" s="3">
        <f>IF('ORDENES'!$A321="","",'ORDENES'!$AA321)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IF('ORDENES'!$A322="","",IF('ORDENES'!$AC322="","-",'ORDENES'!$AC322))</f>
        <v/>
      </c>
      <c r="D344" s="3">
        <f>IF('ORDENES'!$A322="","",IF('ORDENES'!$V322="","-",'ORDENES'!$V322))</f>
        <v/>
      </c>
      <c r="E344" s="3">
        <f>IF('ORDENES'!$A322="","",IF('ORDENES'!$U322="","-",'ORDENES'!$U322))</f>
        <v/>
      </c>
      <c r="F344" s="3">
        <f>IF('ORDENES'!$A322="","",IF('ORDENES'!$W322="","-",'ORDENES'!$W322))</f>
        <v/>
      </c>
      <c r="G344" s="3">
        <f>IF('ORDENES'!$A322="","",IF('ORDENES'!$AB322="","-",'ORDENES'!$AB322))</f>
        <v/>
      </c>
      <c r="H344" s="3">
        <f>IF('ORDENES'!$A322="","",IF('ORDENES'!$AN322="","-",'ORDENES'!$AN322))</f>
        <v/>
      </c>
      <c r="I344" s="3">
        <f>IF('ORDENES'!$A322="","",IF('ORDENES'!$D322="","-",'ORDENES'!$D322))</f>
        <v/>
      </c>
      <c r="J344" s="3">
        <f>IF('ORDENES'!$A322="","",IF('ORDENES'!$E322="","-",'ORDENES'!$E322))</f>
        <v/>
      </c>
      <c r="K344" s="12">
        <f>IF('ORDENES'!$A322="","",IF('ORDENES'!$M322="",0,'ORDENES'!$M322))</f>
        <v/>
      </c>
      <c r="L344" s="3">
        <f>IF('ORDENES'!$A322="","",IF('ORDENES'!$N322="","-",'ORDENES'!$N322))</f>
        <v/>
      </c>
      <c r="M344" s="3">
        <f>IF('ORDENES'!$A322="","",'ORDENES'!$AA322)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IF('ORDENES'!$A323="","",IF('ORDENES'!$AC323="","-",'ORDENES'!$AC323))</f>
        <v/>
      </c>
      <c r="D345" s="3">
        <f>IF('ORDENES'!$A323="","",IF('ORDENES'!$V323="","-",'ORDENES'!$V323))</f>
        <v/>
      </c>
      <c r="E345" s="3">
        <f>IF('ORDENES'!$A323="","",IF('ORDENES'!$U323="","-",'ORDENES'!$U323))</f>
        <v/>
      </c>
      <c r="F345" s="3">
        <f>IF('ORDENES'!$A323="","",IF('ORDENES'!$W323="","-",'ORDENES'!$W323))</f>
        <v/>
      </c>
      <c r="G345" s="3">
        <f>IF('ORDENES'!$A323="","",IF('ORDENES'!$AB323="","-",'ORDENES'!$AB323))</f>
        <v/>
      </c>
      <c r="H345" s="3">
        <f>IF('ORDENES'!$A323="","",IF('ORDENES'!$AN323="","-",'ORDENES'!$AN323))</f>
        <v/>
      </c>
      <c r="I345" s="3">
        <f>IF('ORDENES'!$A323="","",IF('ORDENES'!$D323="","-",'ORDENES'!$D323))</f>
        <v/>
      </c>
      <c r="J345" s="3">
        <f>IF('ORDENES'!$A323="","",IF('ORDENES'!$E323="","-",'ORDENES'!$E323))</f>
        <v/>
      </c>
      <c r="K345" s="12">
        <f>IF('ORDENES'!$A323="","",IF('ORDENES'!$M323="",0,'ORDENES'!$M323))</f>
        <v/>
      </c>
      <c r="L345" s="3">
        <f>IF('ORDENES'!$A323="","",IF('ORDENES'!$N323="","-",'ORDENES'!$N323))</f>
        <v/>
      </c>
      <c r="M345" s="3">
        <f>IF('ORDENES'!$A323="","",'ORDENES'!$AA323)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IF('ORDENES'!$A324="","",IF('ORDENES'!$AC324="","-",'ORDENES'!$AC324))</f>
        <v/>
      </c>
      <c r="D346" s="3">
        <f>IF('ORDENES'!$A324="","",IF('ORDENES'!$V324="","-",'ORDENES'!$V324))</f>
        <v/>
      </c>
      <c r="E346" s="3">
        <f>IF('ORDENES'!$A324="","",IF('ORDENES'!$U324="","-",'ORDENES'!$U324))</f>
        <v/>
      </c>
      <c r="F346" s="3">
        <f>IF('ORDENES'!$A324="","",IF('ORDENES'!$W324="","-",'ORDENES'!$W324))</f>
        <v/>
      </c>
      <c r="G346" s="3">
        <f>IF('ORDENES'!$A324="","",IF('ORDENES'!$AB324="","-",'ORDENES'!$AB324))</f>
        <v/>
      </c>
      <c r="H346" s="3">
        <f>IF('ORDENES'!$A324="","",IF('ORDENES'!$AN324="","-",'ORDENES'!$AN324))</f>
        <v/>
      </c>
      <c r="I346" s="3">
        <f>IF('ORDENES'!$A324="","",IF('ORDENES'!$D324="","-",'ORDENES'!$D324))</f>
        <v/>
      </c>
      <c r="J346" s="3">
        <f>IF('ORDENES'!$A324="","",IF('ORDENES'!$E324="","-",'ORDENES'!$E324))</f>
        <v/>
      </c>
      <c r="K346" s="12">
        <f>IF('ORDENES'!$A324="","",IF('ORDENES'!$M324="",0,'ORDENES'!$M324))</f>
        <v/>
      </c>
      <c r="L346" s="3">
        <f>IF('ORDENES'!$A324="","",IF('ORDENES'!$N324="","-",'ORDENES'!$N324))</f>
        <v/>
      </c>
      <c r="M346" s="3">
        <f>IF('ORDENES'!$A324="","",'ORDENES'!$AA324)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IF('ORDENES'!$A325="","",IF('ORDENES'!$AC325="","-",'ORDENES'!$AC325))</f>
        <v/>
      </c>
      <c r="D347" s="3">
        <f>IF('ORDENES'!$A325="","",IF('ORDENES'!$V325="","-",'ORDENES'!$V325))</f>
        <v/>
      </c>
      <c r="E347" s="3">
        <f>IF('ORDENES'!$A325="","",IF('ORDENES'!$U325="","-",'ORDENES'!$U325))</f>
        <v/>
      </c>
      <c r="F347" s="3">
        <f>IF('ORDENES'!$A325="","",IF('ORDENES'!$W325="","-",'ORDENES'!$W325))</f>
        <v/>
      </c>
      <c r="G347" s="3">
        <f>IF('ORDENES'!$A325="","",IF('ORDENES'!$AB325="","-",'ORDENES'!$AB325))</f>
        <v/>
      </c>
      <c r="H347" s="3">
        <f>IF('ORDENES'!$A325="","",IF('ORDENES'!$AN325="","-",'ORDENES'!$AN325))</f>
        <v/>
      </c>
      <c r="I347" s="3">
        <f>IF('ORDENES'!$A325="","",IF('ORDENES'!$D325="","-",'ORDENES'!$D325))</f>
        <v/>
      </c>
      <c r="J347" s="3">
        <f>IF('ORDENES'!$A325="","",IF('ORDENES'!$E325="","-",'ORDENES'!$E325))</f>
        <v/>
      </c>
      <c r="K347" s="12">
        <f>IF('ORDENES'!$A325="","",IF('ORDENES'!$M325="",0,'ORDENES'!$M325))</f>
        <v/>
      </c>
      <c r="L347" s="3">
        <f>IF('ORDENES'!$A325="","",IF('ORDENES'!$N325="","-",'ORDENES'!$N325))</f>
        <v/>
      </c>
      <c r="M347" s="3">
        <f>IF('ORDENES'!$A325="","",'ORDENES'!$AA325)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IF('ORDENES'!$A326="","",IF('ORDENES'!$AC326="","-",'ORDENES'!$AC326))</f>
        <v/>
      </c>
      <c r="D348" s="3">
        <f>IF('ORDENES'!$A326="","",IF('ORDENES'!$V326="","-",'ORDENES'!$V326))</f>
        <v/>
      </c>
      <c r="E348" s="3">
        <f>IF('ORDENES'!$A326="","",IF('ORDENES'!$U326="","-",'ORDENES'!$U326))</f>
        <v/>
      </c>
      <c r="F348" s="3">
        <f>IF('ORDENES'!$A326="","",IF('ORDENES'!$W326="","-",'ORDENES'!$W326))</f>
        <v/>
      </c>
      <c r="G348" s="3">
        <f>IF('ORDENES'!$A326="","",IF('ORDENES'!$AB326="","-",'ORDENES'!$AB326))</f>
        <v/>
      </c>
      <c r="H348" s="3">
        <f>IF('ORDENES'!$A326="","",IF('ORDENES'!$AN326="","-",'ORDENES'!$AN326))</f>
        <v/>
      </c>
      <c r="I348" s="3">
        <f>IF('ORDENES'!$A326="","",IF('ORDENES'!$D326="","-",'ORDENES'!$D326))</f>
        <v/>
      </c>
      <c r="J348" s="3">
        <f>IF('ORDENES'!$A326="","",IF('ORDENES'!$E326="","-",'ORDENES'!$E326))</f>
        <v/>
      </c>
      <c r="K348" s="12">
        <f>IF('ORDENES'!$A326="","",IF('ORDENES'!$M326="",0,'ORDENES'!$M326))</f>
        <v/>
      </c>
      <c r="L348" s="3">
        <f>IF('ORDENES'!$A326="","",IF('ORDENES'!$N326="","-",'ORDENES'!$N326))</f>
        <v/>
      </c>
      <c r="M348" s="3">
        <f>IF('ORDENES'!$A326="","",'ORDENES'!$AA326)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IF('ORDENES'!$A327="","",IF('ORDENES'!$AC327="","-",'ORDENES'!$AC327))</f>
        <v/>
      </c>
      <c r="D349" s="3">
        <f>IF('ORDENES'!$A327="","",IF('ORDENES'!$V327="","-",'ORDENES'!$V327))</f>
        <v/>
      </c>
      <c r="E349" s="3">
        <f>IF('ORDENES'!$A327="","",IF('ORDENES'!$U327="","-",'ORDENES'!$U327))</f>
        <v/>
      </c>
      <c r="F349" s="3">
        <f>IF('ORDENES'!$A327="","",IF('ORDENES'!$W327="","-",'ORDENES'!$W327))</f>
        <v/>
      </c>
      <c r="G349" s="3">
        <f>IF('ORDENES'!$A327="","",IF('ORDENES'!$AB327="","-",'ORDENES'!$AB327))</f>
        <v/>
      </c>
      <c r="H349" s="3">
        <f>IF('ORDENES'!$A327="","",IF('ORDENES'!$AN327="","-",'ORDENES'!$AN327))</f>
        <v/>
      </c>
      <c r="I349" s="3">
        <f>IF('ORDENES'!$A327="","",IF('ORDENES'!$D327="","-",'ORDENES'!$D327))</f>
        <v/>
      </c>
      <c r="J349" s="3">
        <f>IF('ORDENES'!$A327="","",IF('ORDENES'!$E327="","-",'ORDENES'!$E327))</f>
        <v/>
      </c>
      <c r="K349" s="12">
        <f>IF('ORDENES'!$A327="","",IF('ORDENES'!$M327="",0,'ORDENES'!$M327))</f>
        <v/>
      </c>
      <c r="L349" s="3">
        <f>IF('ORDENES'!$A327="","",IF('ORDENES'!$N327="","-",'ORDENES'!$N327))</f>
        <v/>
      </c>
      <c r="M349" s="3">
        <f>IF('ORDENES'!$A327="","",'ORDENES'!$AA327)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IF('ORDENES'!$A328="","",IF('ORDENES'!$AC328="","-",'ORDENES'!$AC328))</f>
        <v/>
      </c>
      <c r="D350" s="3">
        <f>IF('ORDENES'!$A328="","",IF('ORDENES'!$V328="","-",'ORDENES'!$V328))</f>
        <v/>
      </c>
      <c r="E350" s="3">
        <f>IF('ORDENES'!$A328="","",IF('ORDENES'!$U328="","-",'ORDENES'!$U328))</f>
        <v/>
      </c>
      <c r="F350" s="3">
        <f>IF('ORDENES'!$A328="","",IF('ORDENES'!$W328="","-",'ORDENES'!$W328))</f>
        <v/>
      </c>
      <c r="G350" s="3">
        <f>IF('ORDENES'!$A328="","",IF('ORDENES'!$AB328="","-",'ORDENES'!$AB328))</f>
        <v/>
      </c>
      <c r="H350" s="3">
        <f>IF('ORDENES'!$A328="","",IF('ORDENES'!$AN328="","-",'ORDENES'!$AN328))</f>
        <v/>
      </c>
      <c r="I350" s="3">
        <f>IF('ORDENES'!$A328="","",IF('ORDENES'!$D328="","-",'ORDENES'!$D328))</f>
        <v/>
      </c>
      <c r="J350" s="3">
        <f>IF('ORDENES'!$A328="","",IF('ORDENES'!$E328="","-",'ORDENES'!$E328))</f>
        <v/>
      </c>
      <c r="K350" s="12">
        <f>IF('ORDENES'!$A328="","",IF('ORDENES'!$M328="",0,'ORDENES'!$M328))</f>
        <v/>
      </c>
      <c r="L350" s="3">
        <f>IF('ORDENES'!$A328="","",IF('ORDENES'!$N328="","-",'ORDENES'!$N328))</f>
        <v/>
      </c>
      <c r="M350" s="3">
        <f>IF('ORDENES'!$A328="","",'ORDENES'!$AA328)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IF('ORDENES'!$A329="","",IF('ORDENES'!$AC329="","-",'ORDENES'!$AC329))</f>
        <v/>
      </c>
      <c r="D351" s="3">
        <f>IF('ORDENES'!$A329="","",IF('ORDENES'!$V329="","-",'ORDENES'!$V329))</f>
        <v/>
      </c>
      <c r="E351" s="3">
        <f>IF('ORDENES'!$A329="","",IF('ORDENES'!$U329="","-",'ORDENES'!$U329))</f>
        <v/>
      </c>
      <c r="F351" s="3">
        <f>IF('ORDENES'!$A329="","",IF('ORDENES'!$W329="","-",'ORDENES'!$W329))</f>
        <v/>
      </c>
      <c r="G351" s="3">
        <f>IF('ORDENES'!$A329="","",IF('ORDENES'!$AB329="","-",'ORDENES'!$AB329))</f>
        <v/>
      </c>
      <c r="H351" s="3">
        <f>IF('ORDENES'!$A329="","",IF('ORDENES'!$AN329="","-",'ORDENES'!$AN329))</f>
        <v/>
      </c>
      <c r="I351" s="3">
        <f>IF('ORDENES'!$A329="","",IF('ORDENES'!$D329="","-",'ORDENES'!$D329))</f>
        <v/>
      </c>
      <c r="J351" s="3">
        <f>IF('ORDENES'!$A329="","",IF('ORDENES'!$E329="","-",'ORDENES'!$E329))</f>
        <v/>
      </c>
      <c r="K351" s="12">
        <f>IF('ORDENES'!$A329="","",IF('ORDENES'!$M329="",0,'ORDENES'!$M329))</f>
        <v/>
      </c>
      <c r="L351" s="3">
        <f>IF('ORDENES'!$A329="","",IF('ORDENES'!$N329="","-",'ORDENES'!$N329))</f>
        <v/>
      </c>
      <c r="M351" s="3">
        <f>IF('ORDENES'!$A329="","",'ORDENES'!$AA329)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IF('ORDENES'!$A330="","",IF('ORDENES'!$AC330="","-",'ORDENES'!$AC330))</f>
        <v/>
      </c>
      <c r="D352" s="3">
        <f>IF('ORDENES'!$A330="","",IF('ORDENES'!$V330="","-",'ORDENES'!$V330))</f>
        <v/>
      </c>
      <c r="E352" s="3">
        <f>IF('ORDENES'!$A330="","",IF('ORDENES'!$U330="","-",'ORDENES'!$U330))</f>
        <v/>
      </c>
      <c r="F352" s="3">
        <f>IF('ORDENES'!$A330="","",IF('ORDENES'!$W330="","-",'ORDENES'!$W330))</f>
        <v/>
      </c>
      <c r="G352" s="3">
        <f>IF('ORDENES'!$A330="","",IF('ORDENES'!$AB330="","-",'ORDENES'!$AB330))</f>
        <v/>
      </c>
      <c r="H352" s="3">
        <f>IF('ORDENES'!$A330="","",IF('ORDENES'!$AN330="","-",'ORDENES'!$AN330))</f>
        <v/>
      </c>
      <c r="I352" s="3">
        <f>IF('ORDENES'!$A330="","",IF('ORDENES'!$D330="","-",'ORDENES'!$D330))</f>
        <v/>
      </c>
      <c r="J352" s="3">
        <f>IF('ORDENES'!$A330="","",IF('ORDENES'!$E330="","-",'ORDENES'!$E330))</f>
        <v/>
      </c>
      <c r="K352" s="12">
        <f>IF('ORDENES'!$A330="","",IF('ORDENES'!$M330="",0,'ORDENES'!$M330))</f>
        <v/>
      </c>
      <c r="L352" s="3">
        <f>IF('ORDENES'!$A330="","",IF('ORDENES'!$N330="","-",'ORDENES'!$N330))</f>
        <v/>
      </c>
      <c r="M352" s="3">
        <f>IF('ORDENES'!$A330="","",'ORDENES'!$AA330)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IF('ORDENES'!$A331="","",IF('ORDENES'!$AC331="","-",'ORDENES'!$AC331))</f>
        <v/>
      </c>
      <c r="D353" s="3">
        <f>IF('ORDENES'!$A331="","",IF('ORDENES'!$V331="","-",'ORDENES'!$V331))</f>
        <v/>
      </c>
      <c r="E353" s="3">
        <f>IF('ORDENES'!$A331="","",IF('ORDENES'!$U331="","-",'ORDENES'!$U331))</f>
        <v/>
      </c>
      <c r="F353" s="3">
        <f>IF('ORDENES'!$A331="","",IF('ORDENES'!$W331="","-",'ORDENES'!$W331))</f>
        <v/>
      </c>
      <c r="G353" s="3">
        <f>IF('ORDENES'!$A331="","",IF('ORDENES'!$AB331="","-",'ORDENES'!$AB331))</f>
        <v/>
      </c>
      <c r="H353" s="3">
        <f>IF('ORDENES'!$A331="","",IF('ORDENES'!$AN331="","-",'ORDENES'!$AN331))</f>
        <v/>
      </c>
      <c r="I353" s="3">
        <f>IF('ORDENES'!$A331="","",IF('ORDENES'!$D331="","-",'ORDENES'!$D331))</f>
        <v/>
      </c>
      <c r="J353" s="3">
        <f>IF('ORDENES'!$A331="","",IF('ORDENES'!$E331="","-",'ORDENES'!$E331))</f>
        <v/>
      </c>
      <c r="K353" s="12">
        <f>IF('ORDENES'!$A331="","",IF('ORDENES'!$M331="",0,'ORDENES'!$M331))</f>
        <v/>
      </c>
      <c r="L353" s="3">
        <f>IF('ORDENES'!$A331="","",IF('ORDENES'!$N331="","-",'ORDENES'!$N331))</f>
        <v/>
      </c>
      <c r="M353" s="3">
        <f>IF('ORDENES'!$A331="","",'ORDENES'!$AA331)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IF('ORDENES'!$A332="","",IF('ORDENES'!$AC332="","-",'ORDENES'!$AC332))</f>
        <v/>
      </c>
      <c r="D354" s="3">
        <f>IF('ORDENES'!$A332="","",IF('ORDENES'!$V332="","-",'ORDENES'!$V332))</f>
        <v/>
      </c>
      <c r="E354" s="3">
        <f>IF('ORDENES'!$A332="","",IF('ORDENES'!$U332="","-",'ORDENES'!$U332))</f>
        <v/>
      </c>
      <c r="F354" s="3">
        <f>IF('ORDENES'!$A332="","",IF('ORDENES'!$W332="","-",'ORDENES'!$W332))</f>
        <v/>
      </c>
      <c r="G354" s="3">
        <f>IF('ORDENES'!$A332="","",IF('ORDENES'!$AB332="","-",'ORDENES'!$AB332))</f>
        <v/>
      </c>
      <c r="H354" s="3">
        <f>IF('ORDENES'!$A332="","",IF('ORDENES'!$AN332="","-",'ORDENES'!$AN332))</f>
        <v/>
      </c>
      <c r="I354" s="3">
        <f>IF('ORDENES'!$A332="","",IF('ORDENES'!$D332="","-",'ORDENES'!$D332))</f>
        <v/>
      </c>
      <c r="J354" s="3">
        <f>IF('ORDENES'!$A332="","",IF('ORDENES'!$E332="","-",'ORDENES'!$E332))</f>
        <v/>
      </c>
      <c r="K354" s="12">
        <f>IF('ORDENES'!$A332="","",IF('ORDENES'!$M332="",0,'ORDENES'!$M332))</f>
        <v/>
      </c>
      <c r="L354" s="3">
        <f>IF('ORDENES'!$A332="","",IF('ORDENES'!$N332="","-",'ORDENES'!$N332))</f>
        <v/>
      </c>
      <c r="M354" s="3">
        <f>IF('ORDENES'!$A332="","",'ORDENES'!$AA332)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IF('ORDENES'!$A333="","",IF('ORDENES'!$AC333="","-",'ORDENES'!$AC333))</f>
        <v/>
      </c>
      <c r="D355" s="3">
        <f>IF('ORDENES'!$A333="","",IF('ORDENES'!$V333="","-",'ORDENES'!$V333))</f>
        <v/>
      </c>
      <c r="E355" s="3">
        <f>IF('ORDENES'!$A333="","",IF('ORDENES'!$U333="","-",'ORDENES'!$U333))</f>
        <v/>
      </c>
      <c r="F355" s="3">
        <f>IF('ORDENES'!$A333="","",IF('ORDENES'!$W333="","-",'ORDENES'!$W333))</f>
        <v/>
      </c>
      <c r="G355" s="3">
        <f>IF('ORDENES'!$A333="","",IF('ORDENES'!$AB333="","-",'ORDENES'!$AB333))</f>
        <v/>
      </c>
      <c r="H355" s="3">
        <f>IF('ORDENES'!$A333="","",IF('ORDENES'!$AN333="","-",'ORDENES'!$AN333))</f>
        <v/>
      </c>
      <c r="I355" s="3">
        <f>IF('ORDENES'!$A333="","",IF('ORDENES'!$D333="","-",'ORDENES'!$D333))</f>
        <v/>
      </c>
      <c r="J355" s="3">
        <f>IF('ORDENES'!$A333="","",IF('ORDENES'!$E333="","-",'ORDENES'!$E333))</f>
        <v/>
      </c>
      <c r="K355" s="12">
        <f>IF('ORDENES'!$A333="","",IF('ORDENES'!$M333="",0,'ORDENES'!$M333))</f>
        <v/>
      </c>
      <c r="L355" s="3">
        <f>IF('ORDENES'!$A333="","",IF('ORDENES'!$N333="","-",'ORDENES'!$N333))</f>
        <v/>
      </c>
      <c r="M355" s="3">
        <f>IF('ORDENES'!$A333="","",'ORDENES'!$AA333)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IF('ORDENES'!$A334="","",IF('ORDENES'!$AC334="","-",'ORDENES'!$AC334))</f>
        <v/>
      </c>
      <c r="D356" s="3">
        <f>IF('ORDENES'!$A334="","",IF('ORDENES'!$V334="","-",'ORDENES'!$V334))</f>
        <v/>
      </c>
      <c r="E356" s="3">
        <f>IF('ORDENES'!$A334="","",IF('ORDENES'!$U334="","-",'ORDENES'!$U334))</f>
        <v/>
      </c>
      <c r="F356" s="3">
        <f>IF('ORDENES'!$A334="","",IF('ORDENES'!$W334="","-",'ORDENES'!$W334))</f>
        <v/>
      </c>
      <c r="G356" s="3">
        <f>IF('ORDENES'!$A334="","",IF('ORDENES'!$AB334="","-",'ORDENES'!$AB334))</f>
        <v/>
      </c>
      <c r="H356" s="3">
        <f>IF('ORDENES'!$A334="","",IF('ORDENES'!$AN334="","-",'ORDENES'!$AN334))</f>
        <v/>
      </c>
      <c r="I356" s="3">
        <f>IF('ORDENES'!$A334="","",IF('ORDENES'!$D334="","-",'ORDENES'!$D334))</f>
        <v/>
      </c>
      <c r="J356" s="3">
        <f>IF('ORDENES'!$A334="","",IF('ORDENES'!$E334="","-",'ORDENES'!$E334))</f>
        <v/>
      </c>
      <c r="K356" s="12">
        <f>IF('ORDENES'!$A334="","",IF('ORDENES'!$M334="",0,'ORDENES'!$M334))</f>
        <v/>
      </c>
      <c r="L356" s="3">
        <f>IF('ORDENES'!$A334="","",IF('ORDENES'!$N334="","-",'ORDENES'!$N334))</f>
        <v/>
      </c>
      <c r="M356" s="3">
        <f>IF('ORDENES'!$A334="","",'ORDENES'!$AA334)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IF('ORDENES'!$A335="","",IF('ORDENES'!$AC335="","-",'ORDENES'!$AC335))</f>
        <v/>
      </c>
      <c r="D357" s="3">
        <f>IF('ORDENES'!$A335="","",IF('ORDENES'!$V335="","-",'ORDENES'!$V335))</f>
        <v/>
      </c>
      <c r="E357" s="3">
        <f>IF('ORDENES'!$A335="","",IF('ORDENES'!$U335="","-",'ORDENES'!$U335))</f>
        <v/>
      </c>
      <c r="F357" s="3">
        <f>IF('ORDENES'!$A335="","",IF('ORDENES'!$W335="","-",'ORDENES'!$W335))</f>
        <v/>
      </c>
      <c r="G357" s="3">
        <f>IF('ORDENES'!$A335="","",IF('ORDENES'!$AB335="","-",'ORDENES'!$AB335))</f>
        <v/>
      </c>
      <c r="H357" s="3">
        <f>IF('ORDENES'!$A335="","",IF('ORDENES'!$AN335="","-",'ORDENES'!$AN335))</f>
        <v/>
      </c>
      <c r="I357" s="3">
        <f>IF('ORDENES'!$A335="","",IF('ORDENES'!$D335="","-",'ORDENES'!$D335))</f>
        <v/>
      </c>
      <c r="J357" s="3">
        <f>IF('ORDENES'!$A335="","",IF('ORDENES'!$E335="","-",'ORDENES'!$E335))</f>
        <v/>
      </c>
      <c r="K357" s="12">
        <f>IF('ORDENES'!$A335="","",IF('ORDENES'!$M335="",0,'ORDENES'!$M335))</f>
        <v/>
      </c>
      <c r="L357" s="3">
        <f>IF('ORDENES'!$A335="","",IF('ORDENES'!$N335="","-",'ORDENES'!$N335))</f>
        <v/>
      </c>
      <c r="M357" s="3">
        <f>IF('ORDENES'!$A335="","",'ORDENES'!$AA335)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IF('ORDENES'!$A336="","",IF('ORDENES'!$AC336="","-",'ORDENES'!$AC336))</f>
        <v/>
      </c>
      <c r="D358" s="3">
        <f>IF('ORDENES'!$A336="","",IF('ORDENES'!$V336="","-",'ORDENES'!$V336))</f>
        <v/>
      </c>
      <c r="E358" s="3">
        <f>IF('ORDENES'!$A336="","",IF('ORDENES'!$U336="","-",'ORDENES'!$U336))</f>
        <v/>
      </c>
      <c r="F358" s="3">
        <f>IF('ORDENES'!$A336="","",IF('ORDENES'!$W336="","-",'ORDENES'!$W336))</f>
        <v/>
      </c>
      <c r="G358" s="3">
        <f>IF('ORDENES'!$A336="","",IF('ORDENES'!$AB336="","-",'ORDENES'!$AB336))</f>
        <v/>
      </c>
      <c r="H358" s="3">
        <f>IF('ORDENES'!$A336="","",IF('ORDENES'!$AN336="","-",'ORDENES'!$AN336))</f>
        <v/>
      </c>
      <c r="I358" s="3">
        <f>IF('ORDENES'!$A336="","",IF('ORDENES'!$D336="","-",'ORDENES'!$D336))</f>
        <v/>
      </c>
      <c r="J358" s="3">
        <f>IF('ORDENES'!$A336="","",IF('ORDENES'!$E336="","-",'ORDENES'!$E336))</f>
        <v/>
      </c>
      <c r="K358" s="12">
        <f>IF('ORDENES'!$A336="","",IF('ORDENES'!$M336="",0,'ORDENES'!$M336))</f>
        <v/>
      </c>
      <c r="L358" s="3">
        <f>IF('ORDENES'!$A336="","",IF('ORDENES'!$N336="","-",'ORDENES'!$N336))</f>
        <v/>
      </c>
      <c r="M358" s="3">
        <f>IF('ORDENES'!$A336="","",'ORDENES'!$AA336)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IF('ORDENES'!$A337="","",IF('ORDENES'!$AC337="","-",'ORDENES'!$AC337))</f>
        <v/>
      </c>
      <c r="D359" s="3">
        <f>IF('ORDENES'!$A337="","",IF('ORDENES'!$V337="","-",'ORDENES'!$V337))</f>
        <v/>
      </c>
      <c r="E359" s="3">
        <f>IF('ORDENES'!$A337="","",IF('ORDENES'!$U337="","-",'ORDENES'!$U337))</f>
        <v/>
      </c>
      <c r="F359" s="3">
        <f>IF('ORDENES'!$A337="","",IF('ORDENES'!$W337="","-",'ORDENES'!$W337))</f>
        <v/>
      </c>
      <c r="G359" s="3">
        <f>IF('ORDENES'!$A337="","",IF('ORDENES'!$AB337="","-",'ORDENES'!$AB337))</f>
        <v/>
      </c>
      <c r="H359" s="3">
        <f>IF('ORDENES'!$A337="","",IF('ORDENES'!$AN337="","-",'ORDENES'!$AN337))</f>
        <v/>
      </c>
      <c r="I359" s="3">
        <f>IF('ORDENES'!$A337="","",IF('ORDENES'!$D337="","-",'ORDENES'!$D337))</f>
        <v/>
      </c>
      <c r="J359" s="3">
        <f>IF('ORDENES'!$A337="","",IF('ORDENES'!$E337="","-",'ORDENES'!$E337))</f>
        <v/>
      </c>
      <c r="K359" s="12">
        <f>IF('ORDENES'!$A337="","",IF('ORDENES'!$M337="",0,'ORDENES'!$M337))</f>
        <v/>
      </c>
      <c r="L359" s="3">
        <f>IF('ORDENES'!$A337="","",IF('ORDENES'!$N337="","-",'ORDENES'!$N337))</f>
        <v/>
      </c>
      <c r="M359" s="3">
        <f>IF('ORDENES'!$A337="","",'ORDENES'!$AA337)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IF('ORDENES'!$A338="","",IF('ORDENES'!$AC338="","-",'ORDENES'!$AC338))</f>
        <v/>
      </c>
      <c r="D360" s="3">
        <f>IF('ORDENES'!$A338="","",IF('ORDENES'!$V338="","-",'ORDENES'!$V338))</f>
        <v/>
      </c>
      <c r="E360" s="3">
        <f>IF('ORDENES'!$A338="","",IF('ORDENES'!$U338="","-",'ORDENES'!$U338))</f>
        <v/>
      </c>
      <c r="F360" s="3">
        <f>IF('ORDENES'!$A338="","",IF('ORDENES'!$W338="","-",'ORDENES'!$W338))</f>
        <v/>
      </c>
      <c r="G360" s="3">
        <f>IF('ORDENES'!$A338="","",IF('ORDENES'!$AB338="","-",'ORDENES'!$AB338))</f>
        <v/>
      </c>
      <c r="H360" s="3">
        <f>IF('ORDENES'!$A338="","",IF('ORDENES'!$AN338="","-",'ORDENES'!$AN338))</f>
        <v/>
      </c>
      <c r="I360" s="3">
        <f>IF('ORDENES'!$A338="","",IF('ORDENES'!$D338="","-",'ORDENES'!$D338))</f>
        <v/>
      </c>
      <c r="J360" s="3">
        <f>IF('ORDENES'!$A338="","",IF('ORDENES'!$E338="","-",'ORDENES'!$E338))</f>
        <v/>
      </c>
      <c r="K360" s="12">
        <f>IF('ORDENES'!$A338="","",IF('ORDENES'!$M338="",0,'ORDENES'!$M338))</f>
        <v/>
      </c>
      <c r="L360" s="3">
        <f>IF('ORDENES'!$A338="","",IF('ORDENES'!$N338="","-",'ORDENES'!$N338))</f>
        <v/>
      </c>
      <c r="M360" s="3">
        <f>IF('ORDENES'!$A338="","",'ORDENES'!$AA338)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IF('ORDENES'!$A339="","",IF('ORDENES'!$AC339="","-",'ORDENES'!$AC339))</f>
        <v/>
      </c>
      <c r="D361" s="3">
        <f>IF('ORDENES'!$A339="","",IF('ORDENES'!$V339="","-",'ORDENES'!$V339))</f>
        <v/>
      </c>
      <c r="E361" s="3">
        <f>IF('ORDENES'!$A339="","",IF('ORDENES'!$U339="","-",'ORDENES'!$U339))</f>
        <v/>
      </c>
      <c r="F361" s="3">
        <f>IF('ORDENES'!$A339="","",IF('ORDENES'!$W339="","-",'ORDENES'!$W339))</f>
        <v/>
      </c>
      <c r="G361" s="3">
        <f>IF('ORDENES'!$A339="","",IF('ORDENES'!$AB339="","-",'ORDENES'!$AB339))</f>
        <v/>
      </c>
      <c r="H361" s="3">
        <f>IF('ORDENES'!$A339="","",IF('ORDENES'!$AN339="","-",'ORDENES'!$AN339))</f>
        <v/>
      </c>
      <c r="I361" s="3">
        <f>IF('ORDENES'!$A339="","",IF('ORDENES'!$D339="","-",'ORDENES'!$D339))</f>
        <v/>
      </c>
      <c r="J361" s="3">
        <f>IF('ORDENES'!$A339="","",IF('ORDENES'!$E339="","-",'ORDENES'!$E339))</f>
        <v/>
      </c>
      <c r="K361" s="12">
        <f>IF('ORDENES'!$A339="","",IF('ORDENES'!$M339="",0,'ORDENES'!$M339))</f>
        <v/>
      </c>
      <c r="L361" s="3">
        <f>IF('ORDENES'!$A339="","",IF('ORDENES'!$N339="","-",'ORDENES'!$N339))</f>
        <v/>
      </c>
      <c r="M361" s="3">
        <f>IF('ORDENES'!$A339="","",'ORDENES'!$AA339)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IF('ORDENES'!$A340="","",IF('ORDENES'!$AC340="","-",'ORDENES'!$AC340))</f>
        <v/>
      </c>
      <c r="D362" s="3">
        <f>IF('ORDENES'!$A340="","",IF('ORDENES'!$V340="","-",'ORDENES'!$V340))</f>
        <v/>
      </c>
      <c r="E362" s="3">
        <f>IF('ORDENES'!$A340="","",IF('ORDENES'!$U340="","-",'ORDENES'!$U340))</f>
        <v/>
      </c>
      <c r="F362" s="3">
        <f>IF('ORDENES'!$A340="","",IF('ORDENES'!$W340="","-",'ORDENES'!$W340))</f>
        <v/>
      </c>
      <c r="G362" s="3">
        <f>IF('ORDENES'!$A340="","",IF('ORDENES'!$AB340="","-",'ORDENES'!$AB340))</f>
        <v/>
      </c>
      <c r="H362" s="3">
        <f>IF('ORDENES'!$A340="","",IF('ORDENES'!$AN340="","-",'ORDENES'!$AN340))</f>
        <v/>
      </c>
      <c r="I362" s="3">
        <f>IF('ORDENES'!$A340="","",IF('ORDENES'!$D340="","-",'ORDENES'!$D340))</f>
        <v/>
      </c>
      <c r="J362" s="3">
        <f>IF('ORDENES'!$A340="","",IF('ORDENES'!$E340="","-",'ORDENES'!$E340))</f>
        <v/>
      </c>
      <c r="K362" s="12">
        <f>IF('ORDENES'!$A340="","",IF('ORDENES'!$M340="",0,'ORDENES'!$M340))</f>
        <v/>
      </c>
      <c r="L362" s="3">
        <f>IF('ORDENES'!$A340="","",IF('ORDENES'!$N340="","-",'ORDENES'!$N340))</f>
        <v/>
      </c>
      <c r="M362" s="3">
        <f>IF('ORDENES'!$A340="","",'ORDENES'!$AA340)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IF('ORDENES'!$A341="","",IF('ORDENES'!$AC341="","-",'ORDENES'!$AC341))</f>
        <v/>
      </c>
      <c r="D363" s="3">
        <f>IF('ORDENES'!$A341="","",IF('ORDENES'!$V341="","-",'ORDENES'!$V341))</f>
        <v/>
      </c>
      <c r="E363" s="3">
        <f>IF('ORDENES'!$A341="","",IF('ORDENES'!$U341="","-",'ORDENES'!$U341))</f>
        <v/>
      </c>
      <c r="F363" s="3">
        <f>IF('ORDENES'!$A341="","",IF('ORDENES'!$W341="","-",'ORDENES'!$W341))</f>
        <v/>
      </c>
      <c r="G363" s="3">
        <f>IF('ORDENES'!$A341="","",IF('ORDENES'!$AB341="","-",'ORDENES'!$AB341))</f>
        <v/>
      </c>
      <c r="H363" s="3">
        <f>IF('ORDENES'!$A341="","",IF('ORDENES'!$AN341="","-",'ORDENES'!$AN341))</f>
        <v/>
      </c>
      <c r="I363" s="3">
        <f>IF('ORDENES'!$A341="","",IF('ORDENES'!$D341="","-",'ORDENES'!$D341))</f>
        <v/>
      </c>
      <c r="J363" s="3">
        <f>IF('ORDENES'!$A341="","",IF('ORDENES'!$E341="","-",'ORDENES'!$E341))</f>
        <v/>
      </c>
      <c r="K363" s="12">
        <f>IF('ORDENES'!$A341="","",IF('ORDENES'!$M341="",0,'ORDENES'!$M341))</f>
        <v/>
      </c>
      <c r="L363" s="3">
        <f>IF('ORDENES'!$A341="","",IF('ORDENES'!$N341="","-",'ORDENES'!$N341))</f>
        <v/>
      </c>
      <c r="M363" s="3">
        <f>IF('ORDENES'!$A341="","",'ORDENES'!$AA341)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IF('ORDENES'!$A342="","",IF('ORDENES'!$AC342="","-",'ORDENES'!$AC342))</f>
        <v/>
      </c>
      <c r="D364" s="3">
        <f>IF('ORDENES'!$A342="","",IF('ORDENES'!$V342="","-",'ORDENES'!$V342))</f>
        <v/>
      </c>
      <c r="E364" s="3">
        <f>IF('ORDENES'!$A342="","",IF('ORDENES'!$U342="","-",'ORDENES'!$U342))</f>
        <v/>
      </c>
      <c r="F364" s="3">
        <f>IF('ORDENES'!$A342="","",IF('ORDENES'!$W342="","-",'ORDENES'!$W342))</f>
        <v/>
      </c>
      <c r="G364" s="3">
        <f>IF('ORDENES'!$A342="","",IF('ORDENES'!$AB342="","-",'ORDENES'!$AB342))</f>
        <v/>
      </c>
      <c r="H364" s="3">
        <f>IF('ORDENES'!$A342="","",IF('ORDENES'!$AN342="","-",'ORDENES'!$AN342))</f>
        <v/>
      </c>
      <c r="I364" s="3">
        <f>IF('ORDENES'!$A342="","",IF('ORDENES'!$D342="","-",'ORDENES'!$D342))</f>
        <v/>
      </c>
      <c r="J364" s="3">
        <f>IF('ORDENES'!$A342="","",IF('ORDENES'!$E342="","-",'ORDENES'!$E342))</f>
        <v/>
      </c>
      <c r="K364" s="12">
        <f>IF('ORDENES'!$A342="","",IF('ORDENES'!$M342="",0,'ORDENES'!$M342))</f>
        <v/>
      </c>
      <c r="L364" s="3">
        <f>IF('ORDENES'!$A342="","",IF('ORDENES'!$N342="","-",'ORDENES'!$N342))</f>
        <v/>
      </c>
      <c r="M364" s="3">
        <f>IF('ORDENES'!$A342="","",'ORDENES'!$AA342)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IF('ORDENES'!$A343="","",IF('ORDENES'!$AC343="","-",'ORDENES'!$AC343))</f>
        <v/>
      </c>
      <c r="D365" s="3">
        <f>IF('ORDENES'!$A343="","",IF('ORDENES'!$V343="","-",'ORDENES'!$V343))</f>
        <v/>
      </c>
      <c r="E365" s="3">
        <f>IF('ORDENES'!$A343="","",IF('ORDENES'!$U343="","-",'ORDENES'!$U343))</f>
        <v/>
      </c>
      <c r="F365" s="3">
        <f>IF('ORDENES'!$A343="","",IF('ORDENES'!$W343="","-",'ORDENES'!$W343))</f>
        <v/>
      </c>
      <c r="G365" s="3">
        <f>IF('ORDENES'!$A343="","",IF('ORDENES'!$AB343="","-",'ORDENES'!$AB343))</f>
        <v/>
      </c>
      <c r="H365" s="3">
        <f>IF('ORDENES'!$A343="","",IF('ORDENES'!$AN343="","-",'ORDENES'!$AN343))</f>
        <v/>
      </c>
      <c r="I365" s="3">
        <f>IF('ORDENES'!$A343="","",IF('ORDENES'!$D343="","-",'ORDENES'!$D343))</f>
        <v/>
      </c>
      <c r="J365" s="3">
        <f>IF('ORDENES'!$A343="","",IF('ORDENES'!$E343="","-",'ORDENES'!$E343))</f>
        <v/>
      </c>
      <c r="K365" s="12">
        <f>IF('ORDENES'!$A343="","",IF('ORDENES'!$M343="",0,'ORDENES'!$M343))</f>
        <v/>
      </c>
      <c r="L365" s="3">
        <f>IF('ORDENES'!$A343="","",IF('ORDENES'!$N343="","-",'ORDENES'!$N343))</f>
        <v/>
      </c>
      <c r="M365" s="3">
        <f>IF('ORDENES'!$A343="","",'ORDENES'!$AA343)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IF('ORDENES'!$A344="","",IF('ORDENES'!$AC344="","-",'ORDENES'!$AC344))</f>
        <v/>
      </c>
      <c r="D366" s="3">
        <f>IF('ORDENES'!$A344="","",IF('ORDENES'!$V344="","-",'ORDENES'!$V344))</f>
        <v/>
      </c>
      <c r="E366" s="3">
        <f>IF('ORDENES'!$A344="","",IF('ORDENES'!$U344="","-",'ORDENES'!$U344))</f>
        <v/>
      </c>
      <c r="F366" s="3">
        <f>IF('ORDENES'!$A344="","",IF('ORDENES'!$W344="","-",'ORDENES'!$W344))</f>
        <v/>
      </c>
      <c r="G366" s="3">
        <f>IF('ORDENES'!$A344="","",IF('ORDENES'!$AB344="","-",'ORDENES'!$AB344))</f>
        <v/>
      </c>
      <c r="H366" s="3">
        <f>IF('ORDENES'!$A344="","",IF('ORDENES'!$AN344="","-",'ORDENES'!$AN344))</f>
        <v/>
      </c>
      <c r="I366" s="3">
        <f>IF('ORDENES'!$A344="","",IF('ORDENES'!$D344="","-",'ORDENES'!$D344))</f>
        <v/>
      </c>
      <c r="J366" s="3">
        <f>IF('ORDENES'!$A344="","",IF('ORDENES'!$E344="","-",'ORDENES'!$E344))</f>
        <v/>
      </c>
      <c r="K366" s="12">
        <f>IF('ORDENES'!$A344="","",IF('ORDENES'!$M344="",0,'ORDENES'!$M344))</f>
        <v/>
      </c>
      <c r="L366" s="3">
        <f>IF('ORDENES'!$A344="","",IF('ORDENES'!$N344="","-",'ORDENES'!$N344))</f>
        <v/>
      </c>
      <c r="M366" s="3">
        <f>IF('ORDENES'!$A344="","",'ORDENES'!$AA344)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IF('ORDENES'!$A345="","",IF('ORDENES'!$AC345="","-",'ORDENES'!$AC345))</f>
        <v/>
      </c>
      <c r="D367" s="3">
        <f>IF('ORDENES'!$A345="","",IF('ORDENES'!$V345="","-",'ORDENES'!$V345))</f>
        <v/>
      </c>
      <c r="E367" s="3">
        <f>IF('ORDENES'!$A345="","",IF('ORDENES'!$U345="","-",'ORDENES'!$U345))</f>
        <v/>
      </c>
      <c r="F367" s="3">
        <f>IF('ORDENES'!$A345="","",IF('ORDENES'!$W345="","-",'ORDENES'!$W345))</f>
        <v/>
      </c>
      <c r="G367" s="3">
        <f>IF('ORDENES'!$A345="","",IF('ORDENES'!$AB345="","-",'ORDENES'!$AB345))</f>
        <v/>
      </c>
      <c r="H367" s="3">
        <f>IF('ORDENES'!$A345="","",IF('ORDENES'!$AN345="","-",'ORDENES'!$AN345))</f>
        <v/>
      </c>
      <c r="I367" s="3">
        <f>IF('ORDENES'!$A345="","",IF('ORDENES'!$D345="","-",'ORDENES'!$D345))</f>
        <v/>
      </c>
      <c r="J367" s="3">
        <f>IF('ORDENES'!$A345="","",IF('ORDENES'!$E345="","-",'ORDENES'!$E345))</f>
        <v/>
      </c>
      <c r="K367" s="12">
        <f>IF('ORDENES'!$A345="","",IF('ORDENES'!$M345="",0,'ORDENES'!$M345))</f>
        <v/>
      </c>
      <c r="L367" s="3">
        <f>IF('ORDENES'!$A345="","",IF('ORDENES'!$N345="","-",'ORDENES'!$N345))</f>
        <v/>
      </c>
      <c r="M367" s="3">
        <f>IF('ORDENES'!$A345="","",'ORDENES'!$AA345)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IF('ORDENES'!$A346="","",IF('ORDENES'!$AC346="","-",'ORDENES'!$AC346))</f>
        <v/>
      </c>
      <c r="D368" s="3">
        <f>IF('ORDENES'!$A346="","",IF('ORDENES'!$V346="","-",'ORDENES'!$V346))</f>
        <v/>
      </c>
      <c r="E368" s="3">
        <f>IF('ORDENES'!$A346="","",IF('ORDENES'!$U346="","-",'ORDENES'!$U346))</f>
        <v/>
      </c>
      <c r="F368" s="3">
        <f>IF('ORDENES'!$A346="","",IF('ORDENES'!$W346="","-",'ORDENES'!$W346))</f>
        <v/>
      </c>
      <c r="G368" s="3">
        <f>IF('ORDENES'!$A346="","",IF('ORDENES'!$AB346="","-",'ORDENES'!$AB346))</f>
        <v/>
      </c>
      <c r="H368" s="3">
        <f>IF('ORDENES'!$A346="","",IF('ORDENES'!$AN346="","-",'ORDENES'!$AN346))</f>
        <v/>
      </c>
      <c r="I368" s="3">
        <f>IF('ORDENES'!$A346="","",IF('ORDENES'!$D346="","-",'ORDENES'!$D346))</f>
        <v/>
      </c>
      <c r="J368" s="3">
        <f>IF('ORDENES'!$A346="","",IF('ORDENES'!$E346="","-",'ORDENES'!$E346))</f>
        <v/>
      </c>
      <c r="K368" s="12">
        <f>IF('ORDENES'!$A346="","",IF('ORDENES'!$M346="",0,'ORDENES'!$M346))</f>
        <v/>
      </c>
      <c r="L368" s="3">
        <f>IF('ORDENES'!$A346="","",IF('ORDENES'!$N346="","-",'ORDENES'!$N346))</f>
        <v/>
      </c>
      <c r="M368" s="3">
        <f>IF('ORDENES'!$A346="","",'ORDENES'!$AA346)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IF('ORDENES'!$A347="","",IF('ORDENES'!$AC347="","-",'ORDENES'!$AC347))</f>
        <v/>
      </c>
      <c r="D369" s="3">
        <f>IF('ORDENES'!$A347="","",IF('ORDENES'!$V347="","-",'ORDENES'!$V347))</f>
        <v/>
      </c>
      <c r="E369" s="3">
        <f>IF('ORDENES'!$A347="","",IF('ORDENES'!$U347="","-",'ORDENES'!$U347))</f>
        <v/>
      </c>
      <c r="F369" s="3">
        <f>IF('ORDENES'!$A347="","",IF('ORDENES'!$W347="","-",'ORDENES'!$W347))</f>
        <v/>
      </c>
      <c r="G369" s="3">
        <f>IF('ORDENES'!$A347="","",IF('ORDENES'!$AB347="","-",'ORDENES'!$AB347))</f>
        <v/>
      </c>
      <c r="H369" s="3">
        <f>IF('ORDENES'!$A347="","",IF('ORDENES'!$AN347="","-",'ORDENES'!$AN347))</f>
        <v/>
      </c>
      <c r="I369" s="3">
        <f>IF('ORDENES'!$A347="","",IF('ORDENES'!$D347="","-",'ORDENES'!$D347))</f>
        <v/>
      </c>
      <c r="J369" s="3">
        <f>IF('ORDENES'!$A347="","",IF('ORDENES'!$E347="","-",'ORDENES'!$E347))</f>
        <v/>
      </c>
      <c r="K369" s="12">
        <f>IF('ORDENES'!$A347="","",IF('ORDENES'!$M347="",0,'ORDENES'!$M347))</f>
        <v/>
      </c>
      <c r="L369" s="3">
        <f>IF('ORDENES'!$A347="","",IF('ORDENES'!$N347="","-",'ORDENES'!$N347))</f>
        <v/>
      </c>
      <c r="M369" s="3">
        <f>IF('ORDENES'!$A347="","",'ORDENES'!$AA347)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IF('ORDENES'!$A348="","",IF('ORDENES'!$AC348="","-",'ORDENES'!$AC348))</f>
        <v/>
      </c>
      <c r="D370" s="3">
        <f>IF('ORDENES'!$A348="","",IF('ORDENES'!$V348="","-",'ORDENES'!$V348))</f>
        <v/>
      </c>
      <c r="E370" s="3">
        <f>IF('ORDENES'!$A348="","",IF('ORDENES'!$U348="","-",'ORDENES'!$U348))</f>
        <v/>
      </c>
      <c r="F370" s="3">
        <f>IF('ORDENES'!$A348="","",IF('ORDENES'!$W348="","-",'ORDENES'!$W348))</f>
        <v/>
      </c>
      <c r="G370" s="3">
        <f>IF('ORDENES'!$A348="","",IF('ORDENES'!$AB348="","-",'ORDENES'!$AB348))</f>
        <v/>
      </c>
      <c r="H370" s="3">
        <f>IF('ORDENES'!$A348="","",IF('ORDENES'!$AN348="","-",'ORDENES'!$AN348))</f>
        <v/>
      </c>
      <c r="I370" s="3">
        <f>IF('ORDENES'!$A348="","",IF('ORDENES'!$D348="","-",'ORDENES'!$D348))</f>
        <v/>
      </c>
      <c r="J370" s="3">
        <f>IF('ORDENES'!$A348="","",IF('ORDENES'!$E348="","-",'ORDENES'!$E348))</f>
        <v/>
      </c>
      <c r="K370" s="12">
        <f>IF('ORDENES'!$A348="","",IF('ORDENES'!$M348="",0,'ORDENES'!$M348))</f>
        <v/>
      </c>
      <c r="L370" s="3">
        <f>IF('ORDENES'!$A348="","",IF('ORDENES'!$N348="","-",'ORDENES'!$N348))</f>
        <v/>
      </c>
      <c r="M370" s="3">
        <f>IF('ORDENES'!$A348="","",'ORDENES'!$AA348)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IF('ORDENES'!$A349="","",IF('ORDENES'!$AC349="","-",'ORDENES'!$AC349))</f>
        <v/>
      </c>
      <c r="D371" s="3">
        <f>IF('ORDENES'!$A349="","",IF('ORDENES'!$V349="","-",'ORDENES'!$V349))</f>
        <v/>
      </c>
      <c r="E371" s="3">
        <f>IF('ORDENES'!$A349="","",IF('ORDENES'!$U349="","-",'ORDENES'!$U349))</f>
        <v/>
      </c>
      <c r="F371" s="3">
        <f>IF('ORDENES'!$A349="","",IF('ORDENES'!$W349="","-",'ORDENES'!$W349))</f>
        <v/>
      </c>
      <c r="G371" s="3">
        <f>IF('ORDENES'!$A349="","",IF('ORDENES'!$AB349="","-",'ORDENES'!$AB349))</f>
        <v/>
      </c>
      <c r="H371" s="3">
        <f>IF('ORDENES'!$A349="","",IF('ORDENES'!$AN349="","-",'ORDENES'!$AN349))</f>
        <v/>
      </c>
      <c r="I371" s="3">
        <f>IF('ORDENES'!$A349="","",IF('ORDENES'!$D349="","-",'ORDENES'!$D349))</f>
        <v/>
      </c>
      <c r="J371" s="3">
        <f>IF('ORDENES'!$A349="","",IF('ORDENES'!$E349="","-",'ORDENES'!$E349))</f>
        <v/>
      </c>
      <c r="K371" s="12">
        <f>IF('ORDENES'!$A349="","",IF('ORDENES'!$M349="",0,'ORDENES'!$M349))</f>
        <v/>
      </c>
      <c r="L371" s="3">
        <f>IF('ORDENES'!$A349="","",IF('ORDENES'!$N349="","-",'ORDENES'!$N349))</f>
        <v/>
      </c>
      <c r="M371" s="3">
        <f>IF('ORDENES'!$A349="","",'ORDENES'!$AA349)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IF('ORDENES'!$A350="","",IF('ORDENES'!$AC350="","-",'ORDENES'!$AC350))</f>
        <v/>
      </c>
      <c r="D372" s="3">
        <f>IF('ORDENES'!$A350="","",IF('ORDENES'!$V350="","-",'ORDENES'!$V350))</f>
        <v/>
      </c>
      <c r="E372" s="3">
        <f>IF('ORDENES'!$A350="","",IF('ORDENES'!$U350="","-",'ORDENES'!$U350))</f>
        <v/>
      </c>
      <c r="F372" s="3">
        <f>IF('ORDENES'!$A350="","",IF('ORDENES'!$W350="","-",'ORDENES'!$W350))</f>
        <v/>
      </c>
      <c r="G372" s="3">
        <f>IF('ORDENES'!$A350="","",IF('ORDENES'!$AB350="","-",'ORDENES'!$AB350))</f>
        <v/>
      </c>
      <c r="H372" s="3">
        <f>IF('ORDENES'!$A350="","",IF('ORDENES'!$AN350="","-",'ORDENES'!$AN350))</f>
        <v/>
      </c>
      <c r="I372" s="3">
        <f>IF('ORDENES'!$A350="","",IF('ORDENES'!$D350="","-",'ORDENES'!$D350))</f>
        <v/>
      </c>
      <c r="J372" s="3">
        <f>IF('ORDENES'!$A350="","",IF('ORDENES'!$E350="","-",'ORDENES'!$E350))</f>
        <v/>
      </c>
      <c r="K372" s="12">
        <f>IF('ORDENES'!$A350="","",IF('ORDENES'!$M350="",0,'ORDENES'!$M350))</f>
        <v/>
      </c>
      <c r="L372" s="3">
        <f>IF('ORDENES'!$A350="","",IF('ORDENES'!$N350="","-",'ORDENES'!$N350))</f>
        <v/>
      </c>
      <c r="M372" s="3">
        <f>IF('ORDENES'!$A350="","",'ORDENES'!$AA350)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IF('ORDENES'!$A351="","",IF('ORDENES'!$AC351="","-",'ORDENES'!$AC351))</f>
        <v/>
      </c>
      <c r="D373" s="3">
        <f>IF('ORDENES'!$A351="","",IF('ORDENES'!$V351="","-",'ORDENES'!$V351))</f>
        <v/>
      </c>
      <c r="E373" s="3">
        <f>IF('ORDENES'!$A351="","",IF('ORDENES'!$U351="","-",'ORDENES'!$U351))</f>
        <v/>
      </c>
      <c r="F373" s="3">
        <f>IF('ORDENES'!$A351="","",IF('ORDENES'!$W351="","-",'ORDENES'!$W351))</f>
        <v/>
      </c>
      <c r="G373" s="3">
        <f>IF('ORDENES'!$A351="","",IF('ORDENES'!$AB351="","-",'ORDENES'!$AB351))</f>
        <v/>
      </c>
      <c r="H373" s="3">
        <f>IF('ORDENES'!$A351="","",IF('ORDENES'!$AN351="","-",'ORDENES'!$AN351))</f>
        <v/>
      </c>
      <c r="I373" s="3">
        <f>IF('ORDENES'!$A351="","",IF('ORDENES'!$D351="","-",'ORDENES'!$D351))</f>
        <v/>
      </c>
      <c r="J373" s="3">
        <f>IF('ORDENES'!$A351="","",IF('ORDENES'!$E351="","-",'ORDENES'!$E351))</f>
        <v/>
      </c>
      <c r="K373" s="12">
        <f>IF('ORDENES'!$A351="","",IF('ORDENES'!$M351="",0,'ORDENES'!$M351))</f>
        <v/>
      </c>
      <c r="L373" s="3">
        <f>IF('ORDENES'!$A351="","",IF('ORDENES'!$N351="","-",'ORDENES'!$N351))</f>
        <v/>
      </c>
      <c r="M373" s="3">
        <f>IF('ORDENES'!$A351="","",'ORDENES'!$AA351)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IF('ORDENES'!$A352="","",IF('ORDENES'!$AC352="","-",'ORDENES'!$AC352))</f>
        <v/>
      </c>
      <c r="D374" s="3">
        <f>IF('ORDENES'!$A352="","",IF('ORDENES'!$V352="","-",'ORDENES'!$V352))</f>
        <v/>
      </c>
      <c r="E374" s="3">
        <f>IF('ORDENES'!$A352="","",IF('ORDENES'!$U352="","-",'ORDENES'!$U352))</f>
        <v/>
      </c>
      <c r="F374" s="3">
        <f>IF('ORDENES'!$A352="","",IF('ORDENES'!$W352="","-",'ORDENES'!$W352))</f>
        <v/>
      </c>
      <c r="G374" s="3">
        <f>IF('ORDENES'!$A352="","",IF('ORDENES'!$AB352="","-",'ORDENES'!$AB352))</f>
        <v/>
      </c>
      <c r="H374" s="3">
        <f>IF('ORDENES'!$A352="","",IF('ORDENES'!$AN352="","-",'ORDENES'!$AN352))</f>
        <v/>
      </c>
      <c r="I374" s="3">
        <f>IF('ORDENES'!$A352="","",IF('ORDENES'!$D352="","-",'ORDENES'!$D352))</f>
        <v/>
      </c>
      <c r="J374" s="3">
        <f>IF('ORDENES'!$A352="","",IF('ORDENES'!$E352="","-",'ORDENES'!$E352))</f>
        <v/>
      </c>
      <c r="K374" s="12">
        <f>IF('ORDENES'!$A352="","",IF('ORDENES'!$M352="",0,'ORDENES'!$M352))</f>
        <v/>
      </c>
      <c r="L374" s="3">
        <f>IF('ORDENES'!$A352="","",IF('ORDENES'!$N352="","-",'ORDENES'!$N352))</f>
        <v/>
      </c>
      <c r="M374" s="3">
        <f>IF('ORDENES'!$A352="","",'ORDENES'!$AA352)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IF('ORDENES'!$A353="","",IF('ORDENES'!$AC353="","-",'ORDENES'!$AC353))</f>
        <v/>
      </c>
      <c r="D375" s="3">
        <f>IF('ORDENES'!$A353="","",IF('ORDENES'!$V353="","-",'ORDENES'!$V353))</f>
        <v/>
      </c>
      <c r="E375" s="3">
        <f>IF('ORDENES'!$A353="","",IF('ORDENES'!$U353="","-",'ORDENES'!$U353))</f>
        <v/>
      </c>
      <c r="F375" s="3">
        <f>IF('ORDENES'!$A353="","",IF('ORDENES'!$W353="","-",'ORDENES'!$W353))</f>
        <v/>
      </c>
      <c r="G375" s="3">
        <f>IF('ORDENES'!$A353="","",IF('ORDENES'!$AB353="","-",'ORDENES'!$AB353))</f>
        <v/>
      </c>
      <c r="H375" s="3">
        <f>IF('ORDENES'!$A353="","",IF('ORDENES'!$AN353="","-",'ORDENES'!$AN353))</f>
        <v/>
      </c>
      <c r="I375" s="3">
        <f>IF('ORDENES'!$A353="","",IF('ORDENES'!$D353="","-",'ORDENES'!$D353))</f>
        <v/>
      </c>
      <c r="J375" s="3">
        <f>IF('ORDENES'!$A353="","",IF('ORDENES'!$E353="","-",'ORDENES'!$E353))</f>
        <v/>
      </c>
      <c r="K375" s="12">
        <f>IF('ORDENES'!$A353="","",IF('ORDENES'!$M353="",0,'ORDENES'!$M353))</f>
        <v/>
      </c>
      <c r="L375" s="3">
        <f>IF('ORDENES'!$A353="","",IF('ORDENES'!$N353="","-",'ORDENES'!$N353))</f>
        <v/>
      </c>
      <c r="M375" s="3">
        <f>IF('ORDENES'!$A353="","",'ORDENES'!$AA353)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IF('ORDENES'!$A354="","",IF('ORDENES'!$AC354="","-",'ORDENES'!$AC354))</f>
        <v/>
      </c>
      <c r="D376" s="3">
        <f>IF('ORDENES'!$A354="","",IF('ORDENES'!$V354="","-",'ORDENES'!$V354))</f>
        <v/>
      </c>
      <c r="E376" s="3">
        <f>IF('ORDENES'!$A354="","",IF('ORDENES'!$U354="","-",'ORDENES'!$U354))</f>
        <v/>
      </c>
      <c r="F376" s="3">
        <f>IF('ORDENES'!$A354="","",IF('ORDENES'!$W354="","-",'ORDENES'!$W354))</f>
        <v/>
      </c>
      <c r="G376" s="3">
        <f>IF('ORDENES'!$A354="","",IF('ORDENES'!$AB354="","-",'ORDENES'!$AB354))</f>
        <v/>
      </c>
      <c r="H376" s="3">
        <f>IF('ORDENES'!$A354="","",IF('ORDENES'!$AN354="","-",'ORDENES'!$AN354))</f>
        <v/>
      </c>
      <c r="I376" s="3">
        <f>IF('ORDENES'!$A354="","",IF('ORDENES'!$D354="","-",'ORDENES'!$D354))</f>
        <v/>
      </c>
      <c r="J376" s="3">
        <f>IF('ORDENES'!$A354="","",IF('ORDENES'!$E354="","-",'ORDENES'!$E354))</f>
        <v/>
      </c>
      <c r="K376" s="12">
        <f>IF('ORDENES'!$A354="","",IF('ORDENES'!$M354="",0,'ORDENES'!$M354))</f>
        <v/>
      </c>
      <c r="L376" s="3">
        <f>IF('ORDENES'!$A354="","",IF('ORDENES'!$N354="","-",'ORDENES'!$N354))</f>
        <v/>
      </c>
      <c r="M376" s="3">
        <f>IF('ORDENES'!$A354="","",'ORDENES'!$AA354)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IF('ORDENES'!$A355="","",IF('ORDENES'!$AC355="","-",'ORDENES'!$AC355))</f>
        <v/>
      </c>
      <c r="D377" s="3">
        <f>IF('ORDENES'!$A355="","",IF('ORDENES'!$V355="","-",'ORDENES'!$V355))</f>
        <v/>
      </c>
      <c r="E377" s="3">
        <f>IF('ORDENES'!$A355="","",IF('ORDENES'!$U355="","-",'ORDENES'!$U355))</f>
        <v/>
      </c>
      <c r="F377" s="3">
        <f>IF('ORDENES'!$A355="","",IF('ORDENES'!$W355="","-",'ORDENES'!$W355))</f>
        <v/>
      </c>
      <c r="G377" s="3">
        <f>IF('ORDENES'!$A355="","",IF('ORDENES'!$AB355="","-",'ORDENES'!$AB355))</f>
        <v/>
      </c>
      <c r="H377" s="3">
        <f>IF('ORDENES'!$A355="","",IF('ORDENES'!$AN355="","-",'ORDENES'!$AN355))</f>
        <v/>
      </c>
      <c r="I377" s="3">
        <f>IF('ORDENES'!$A355="","",IF('ORDENES'!$D355="","-",'ORDENES'!$D355))</f>
        <v/>
      </c>
      <c r="J377" s="3">
        <f>IF('ORDENES'!$A355="","",IF('ORDENES'!$E355="","-",'ORDENES'!$E355))</f>
        <v/>
      </c>
      <c r="K377" s="12">
        <f>IF('ORDENES'!$A355="","",IF('ORDENES'!$M355="",0,'ORDENES'!$M355))</f>
        <v/>
      </c>
      <c r="L377" s="3">
        <f>IF('ORDENES'!$A355="","",IF('ORDENES'!$N355="","-",'ORDENES'!$N355))</f>
        <v/>
      </c>
      <c r="M377" s="3">
        <f>IF('ORDENES'!$A355="","",'ORDENES'!$AA355)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IF('ORDENES'!$A356="","",IF('ORDENES'!$AC356="","-",'ORDENES'!$AC356))</f>
        <v/>
      </c>
      <c r="D378" s="3">
        <f>IF('ORDENES'!$A356="","",IF('ORDENES'!$V356="","-",'ORDENES'!$V356))</f>
        <v/>
      </c>
      <c r="E378" s="3">
        <f>IF('ORDENES'!$A356="","",IF('ORDENES'!$U356="","-",'ORDENES'!$U356))</f>
        <v/>
      </c>
      <c r="F378" s="3">
        <f>IF('ORDENES'!$A356="","",IF('ORDENES'!$W356="","-",'ORDENES'!$W356))</f>
        <v/>
      </c>
      <c r="G378" s="3">
        <f>IF('ORDENES'!$A356="","",IF('ORDENES'!$AB356="","-",'ORDENES'!$AB356))</f>
        <v/>
      </c>
      <c r="H378" s="3">
        <f>IF('ORDENES'!$A356="","",IF('ORDENES'!$AN356="","-",'ORDENES'!$AN356))</f>
        <v/>
      </c>
      <c r="I378" s="3">
        <f>IF('ORDENES'!$A356="","",IF('ORDENES'!$D356="","-",'ORDENES'!$D356))</f>
        <v/>
      </c>
      <c r="J378" s="3">
        <f>IF('ORDENES'!$A356="","",IF('ORDENES'!$E356="","-",'ORDENES'!$E356))</f>
        <v/>
      </c>
      <c r="K378" s="12">
        <f>IF('ORDENES'!$A356="","",IF('ORDENES'!$M356="",0,'ORDENES'!$M356))</f>
        <v/>
      </c>
      <c r="L378" s="3">
        <f>IF('ORDENES'!$A356="","",IF('ORDENES'!$N356="","-",'ORDENES'!$N356))</f>
        <v/>
      </c>
      <c r="M378" s="3">
        <f>IF('ORDENES'!$A356="","",'ORDENES'!$AA356)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IF('ORDENES'!$A357="","",IF('ORDENES'!$AC357="","-",'ORDENES'!$AC357))</f>
        <v/>
      </c>
      <c r="D379" s="3">
        <f>IF('ORDENES'!$A357="","",IF('ORDENES'!$V357="","-",'ORDENES'!$V357))</f>
        <v/>
      </c>
      <c r="E379" s="3">
        <f>IF('ORDENES'!$A357="","",IF('ORDENES'!$U357="","-",'ORDENES'!$U357))</f>
        <v/>
      </c>
      <c r="F379" s="3">
        <f>IF('ORDENES'!$A357="","",IF('ORDENES'!$W357="","-",'ORDENES'!$W357))</f>
        <v/>
      </c>
      <c r="G379" s="3">
        <f>IF('ORDENES'!$A357="","",IF('ORDENES'!$AB357="","-",'ORDENES'!$AB357))</f>
        <v/>
      </c>
      <c r="H379" s="3">
        <f>IF('ORDENES'!$A357="","",IF('ORDENES'!$AN357="","-",'ORDENES'!$AN357))</f>
        <v/>
      </c>
      <c r="I379" s="3">
        <f>IF('ORDENES'!$A357="","",IF('ORDENES'!$D357="","-",'ORDENES'!$D357))</f>
        <v/>
      </c>
      <c r="J379" s="3">
        <f>IF('ORDENES'!$A357="","",IF('ORDENES'!$E357="","-",'ORDENES'!$E357))</f>
        <v/>
      </c>
      <c r="K379" s="12">
        <f>IF('ORDENES'!$A357="","",IF('ORDENES'!$M357="",0,'ORDENES'!$M357))</f>
        <v/>
      </c>
      <c r="L379" s="3">
        <f>IF('ORDENES'!$A357="","",IF('ORDENES'!$N357="","-",'ORDENES'!$N357))</f>
        <v/>
      </c>
      <c r="M379" s="3">
        <f>IF('ORDENES'!$A357="","",'ORDENES'!$AA357)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IF('ORDENES'!$A358="","",IF('ORDENES'!$AC358="","-",'ORDENES'!$AC358))</f>
        <v/>
      </c>
      <c r="D380" s="3">
        <f>IF('ORDENES'!$A358="","",IF('ORDENES'!$V358="","-",'ORDENES'!$V358))</f>
        <v/>
      </c>
      <c r="E380" s="3">
        <f>IF('ORDENES'!$A358="","",IF('ORDENES'!$U358="","-",'ORDENES'!$U358))</f>
        <v/>
      </c>
      <c r="F380" s="3">
        <f>IF('ORDENES'!$A358="","",IF('ORDENES'!$W358="","-",'ORDENES'!$W358))</f>
        <v/>
      </c>
      <c r="G380" s="3">
        <f>IF('ORDENES'!$A358="","",IF('ORDENES'!$AB358="","-",'ORDENES'!$AB358))</f>
        <v/>
      </c>
      <c r="H380" s="3">
        <f>IF('ORDENES'!$A358="","",IF('ORDENES'!$AN358="","-",'ORDENES'!$AN358))</f>
        <v/>
      </c>
      <c r="I380" s="3">
        <f>IF('ORDENES'!$A358="","",IF('ORDENES'!$D358="","-",'ORDENES'!$D358))</f>
        <v/>
      </c>
      <c r="J380" s="3">
        <f>IF('ORDENES'!$A358="","",IF('ORDENES'!$E358="","-",'ORDENES'!$E358))</f>
        <v/>
      </c>
      <c r="K380" s="12">
        <f>IF('ORDENES'!$A358="","",IF('ORDENES'!$M358="",0,'ORDENES'!$M358))</f>
        <v/>
      </c>
      <c r="L380" s="3">
        <f>IF('ORDENES'!$A358="","",IF('ORDENES'!$N358="","-",'ORDENES'!$N358))</f>
        <v/>
      </c>
      <c r="M380" s="3">
        <f>IF('ORDENES'!$A358="","",'ORDENES'!$AA358)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IF('ORDENES'!$A359="","",IF('ORDENES'!$AC359="","-",'ORDENES'!$AC359))</f>
        <v/>
      </c>
      <c r="D381" s="3">
        <f>IF('ORDENES'!$A359="","",IF('ORDENES'!$V359="","-",'ORDENES'!$V359))</f>
        <v/>
      </c>
      <c r="E381" s="3">
        <f>IF('ORDENES'!$A359="","",IF('ORDENES'!$U359="","-",'ORDENES'!$U359))</f>
        <v/>
      </c>
      <c r="F381" s="3">
        <f>IF('ORDENES'!$A359="","",IF('ORDENES'!$W359="","-",'ORDENES'!$W359))</f>
        <v/>
      </c>
      <c r="G381" s="3">
        <f>IF('ORDENES'!$A359="","",IF('ORDENES'!$AB359="","-",'ORDENES'!$AB359))</f>
        <v/>
      </c>
      <c r="H381" s="3">
        <f>IF('ORDENES'!$A359="","",IF('ORDENES'!$AN359="","-",'ORDENES'!$AN359))</f>
        <v/>
      </c>
      <c r="I381" s="3">
        <f>IF('ORDENES'!$A359="","",IF('ORDENES'!$D359="","-",'ORDENES'!$D359))</f>
        <v/>
      </c>
      <c r="J381" s="3">
        <f>IF('ORDENES'!$A359="","",IF('ORDENES'!$E359="","-",'ORDENES'!$E359))</f>
        <v/>
      </c>
      <c r="K381" s="12">
        <f>IF('ORDENES'!$A359="","",IF('ORDENES'!$M359="",0,'ORDENES'!$M359))</f>
        <v/>
      </c>
      <c r="L381" s="3">
        <f>IF('ORDENES'!$A359="","",IF('ORDENES'!$N359="","-",'ORDENES'!$N359))</f>
        <v/>
      </c>
      <c r="M381" s="3">
        <f>IF('ORDENES'!$A359="","",'ORDENES'!$AA359)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IF('ORDENES'!$A360="","",IF('ORDENES'!$AC360="","-",'ORDENES'!$AC360))</f>
        <v/>
      </c>
      <c r="D382" s="3">
        <f>IF('ORDENES'!$A360="","",IF('ORDENES'!$V360="","-",'ORDENES'!$V360))</f>
        <v/>
      </c>
      <c r="E382" s="3">
        <f>IF('ORDENES'!$A360="","",IF('ORDENES'!$U360="","-",'ORDENES'!$U360))</f>
        <v/>
      </c>
      <c r="F382" s="3">
        <f>IF('ORDENES'!$A360="","",IF('ORDENES'!$W360="","-",'ORDENES'!$W360))</f>
        <v/>
      </c>
      <c r="G382" s="3">
        <f>IF('ORDENES'!$A360="","",IF('ORDENES'!$AB360="","-",'ORDENES'!$AB360))</f>
        <v/>
      </c>
      <c r="H382" s="3">
        <f>IF('ORDENES'!$A360="","",IF('ORDENES'!$AN360="","-",'ORDENES'!$AN360))</f>
        <v/>
      </c>
      <c r="I382" s="3">
        <f>IF('ORDENES'!$A360="","",IF('ORDENES'!$D360="","-",'ORDENES'!$D360))</f>
        <v/>
      </c>
      <c r="J382" s="3">
        <f>IF('ORDENES'!$A360="","",IF('ORDENES'!$E360="","-",'ORDENES'!$E360))</f>
        <v/>
      </c>
      <c r="K382" s="12">
        <f>IF('ORDENES'!$A360="","",IF('ORDENES'!$M360="",0,'ORDENES'!$M360))</f>
        <v/>
      </c>
      <c r="L382" s="3">
        <f>IF('ORDENES'!$A360="","",IF('ORDENES'!$N360="","-",'ORDENES'!$N360))</f>
        <v/>
      </c>
      <c r="M382" s="3">
        <f>IF('ORDENES'!$A360="","",'ORDENES'!$AA360)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IF('ORDENES'!$A361="","",IF('ORDENES'!$AC361="","-",'ORDENES'!$AC361))</f>
        <v/>
      </c>
      <c r="D383" s="3">
        <f>IF('ORDENES'!$A361="","",IF('ORDENES'!$V361="","-",'ORDENES'!$V361))</f>
        <v/>
      </c>
      <c r="E383" s="3">
        <f>IF('ORDENES'!$A361="","",IF('ORDENES'!$U361="","-",'ORDENES'!$U361))</f>
        <v/>
      </c>
      <c r="F383" s="3">
        <f>IF('ORDENES'!$A361="","",IF('ORDENES'!$W361="","-",'ORDENES'!$W361))</f>
        <v/>
      </c>
      <c r="G383" s="3">
        <f>IF('ORDENES'!$A361="","",IF('ORDENES'!$AB361="","-",'ORDENES'!$AB361))</f>
        <v/>
      </c>
      <c r="H383" s="3">
        <f>IF('ORDENES'!$A361="","",IF('ORDENES'!$AN361="","-",'ORDENES'!$AN361))</f>
        <v/>
      </c>
      <c r="I383" s="3">
        <f>IF('ORDENES'!$A361="","",IF('ORDENES'!$D361="","-",'ORDENES'!$D361))</f>
        <v/>
      </c>
      <c r="J383" s="3">
        <f>IF('ORDENES'!$A361="","",IF('ORDENES'!$E361="","-",'ORDENES'!$E361))</f>
        <v/>
      </c>
      <c r="K383" s="12">
        <f>IF('ORDENES'!$A361="","",IF('ORDENES'!$M361="",0,'ORDENES'!$M361))</f>
        <v/>
      </c>
      <c r="L383" s="3">
        <f>IF('ORDENES'!$A361="","",IF('ORDENES'!$N361="","-",'ORDENES'!$N361))</f>
        <v/>
      </c>
      <c r="M383" s="3">
        <f>IF('ORDENES'!$A361="","",'ORDENES'!$AA361)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IF('ORDENES'!$A362="","",IF('ORDENES'!$AC362="","-",'ORDENES'!$AC362))</f>
        <v/>
      </c>
      <c r="D384" s="3">
        <f>IF('ORDENES'!$A362="","",IF('ORDENES'!$V362="","-",'ORDENES'!$V362))</f>
        <v/>
      </c>
      <c r="E384" s="3">
        <f>IF('ORDENES'!$A362="","",IF('ORDENES'!$U362="","-",'ORDENES'!$U362))</f>
        <v/>
      </c>
      <c r="F384" s="3">
        <f>IF('ORDENES'!$A362="","",IF('ORDENES'!$W362="","-",'ORDENES'!$W362))</f>
        <v/>
      </c>
      <c r="G384" s="3">
        <f>IF('ORDENES'!$A362="","",IF('ORDENES'!$AB362="","-",'ORDENES'!$AB362))</f>
        <v/>
      </c>
      <c r="H384" s="3">
        <f>IF('ORDENES'!$A362="","",IF('ORDENES'!$AN362="","-",'ORDENES'!$AN362))</f>
        <v/>
      </c>
      <c r="I384" s="3">
        <f>IF('ORDENES'!$A362="","",IF('ORDENES'!$D362="","-",'ORDENES'!$D362))</f>
        <v/>
      </c>
      <c r="J384" s="3">
        <f>IF('ORDENES'!$A362="","",IF('ORDENES'!$E362="","-",'ORDENES'!$E362))</f>
        <v/>
      </c>
      <c r="K384" s="12">
        <f>IF('ORDENES'!$A362="","",IF('ORDENES'!$M362="",0,'ORDENES'!$M362))</f>
        <v/>
      </c>
      <c r="L384" s="3">
        <f>IF('ORDENES'!$A362="","",IF('ORDENES'!$N362="","-",'ORDENES'!$N362))</f>
        <v/>
      </c>
      <c r="M384" s="3">
        <f>IF('ORDENES'!$A362="","",'ORDENES'!$AA362)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IF('ORDENES'!$A363="","",IF('ORDENES'!$AC363="","-",'ORDENES'!$AC363))</f>
        <v/>
      </c>
      <c r="D385" s="3">
        <f>IF('ORDENES'!$A363="","",IF('ORDENES'!$V363="","-",'ORDENES'!$V363))</f>
        <v/>
      </c>
      <c r="E385" s="3">
        <f>IF('ORDENES'!$A363="","",IF('ORDENES'!$U363="","-",'ORDENES'!$U363))</f>
        <v/>
      </c>
      <c r="F385" s="3">
        <f>IF('ORDENES'!$A363="","",IF('ORDENES'!$W363="","-",'ORDENES'!$W363))</f>
        <v/>
      </c>
      <c r="G385" s="3">
        <f>IF('ORDENES'!$A363="","",IF('ORDENES'!$AB363="","-",'ORDENES'!$AB363))</f>
        <v/>
      </c>
      <c r="H385" s="3">
        <f>IF('ORDENES'!$A363="","",IF('ORDENES'!$AN363="","-",'ORDENES'!$AN363))</f>
        <v/>
      </c>
      <c r="I385" s="3">
        <f>IF('ORDENES'!$A363="","",IF('ORDENES'!$D363="","-",'ORDENES'!$D363))</f>
        <v/>
      </c>
      <c r="J385" s="3">
        <f>IF('ORDENES'!$A363="","",IF('ORDENES'!$E363="","-",'ORDENES'!$E363))</f>
        <v/>
      </c>
      <c r="K385" s="12">
        <f>IF('ORDENES'!$A363="","",IF('ORDENES'!$M363="",0,'ORDENES'!$M363))</f>
        <v/>
      </c>
      <c r="L385" s="3">
        <f>IF('ORDENES'!$A363="","",IF('ORDENES'!$N363="","-",'ORDENES'!$N363))</f>
        <v/>
      </c>
      <c r="M385" s="3">
        <f>IF('ORDENES'!$A363="","",'ORDENES'!$AA363)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IF('ORDENES'!$A364="","",IF('ORDENES'!$AC364="","-",'ORDENES'!$AC364))</f>
        <v/>
      </c>
      <c r="D386" s="3">
        <f>IF('ORDENES'!$A364="","",IF('ORDENES'!$V364="","-",'ORDENES'!$V364))</f>
        <v/>
      </c>
      <c r="E386" s="3">
        <f>IF('ORDENES'!$A364="","",IF('ORDENES'!$U364="","-",'ORDENES'!$U364))</f>
        <v/>
      </c>
      <c r="F386" s="3">
        <f>IF('ORDENES'!$A364="","",IF('ORDENES'!$W364="","-",'ORDENES'!$W364))</f>
        <v/>
      </c>
      <c r="G386" s="3">
        <f>IF('ORDENES'!$A364="","",IF('ORDENES'!$AB364="","-",'ORDENES'!$AB364))</f>
        <v/>
      </c>
      <c r="H386" s="3">
        <f>IF('ORDENES'!$A364="","",IF('ORDENES'!$AN364="","-",'ORDENES'!$AN364))</f>
        <v/>
      </c>
      <c r="I386" s="3">
        <f>IF('ORDENES'!$A364="","",IF('ORDENES'!$D364="","-",'ORDENES'!$D364))</f>
        <v/>
      </c>
      <c r="J386" s="3">
        <f>IF('ORDENES'!$A364="","",IF('ORDENES'!$E364="","-",'ORDENES'!$E364))</f>
        <v/>
      </c>
      <c r="K386" s="12">
        <f>IF('ORDENES'!$A364="","",IF('ORDENES'!$M364="",0,'ORDENES'!$M364))</f>
        <v/>
      </c>
      <c r="L386" s="3">
        <f>IF('ORDENES'!$A364="","",IF('ORDENES'!$N364="","-",'ORDENES'!$N364))</f>
        <v/>
      </c>
      <c r="M386" s="3">
        <f>IF('ORDENES'!$A364="","",'ORDENES'!$AA364)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IF('ORDENES'!$A365="","",IF('ORDENES'!$AC365="","-",'ORDENES'!$AC365))</f>
        <v/>
      </c>
      <c r="D387" s="3">
        <f>IF('ORDENES'!$A365="","",IF('ORDENES'!$V365="","-",'ORDENES'!$V365))</f>
        <v/>
      </c>
      <c r="E387" s="3">
        <f>IF('ORDENES'!$A365="","",IF('ORDENES'!$U365="","-",'ORDENES'!$U365))</f>
        <v/>
      </c>
      <c r="F387" s="3">
        <f>IF('ORDENES'!$A365="","",IF('ORDENES'!$W365="","-",'ORDENES'!$W365))</f>
        <v/>
      </c>
      <c r="G387" s="3">
        <f>IF('ORDENES'!$A365="","",IF('ORDENES'!$AB365="","-",'ORDENES'!$AB365))</f>
        <v/>
      </c>
      <c r="H387" s="3">
        <f>IF('ORDENES'!$A365="","",IF('ORDENES'!$AN365="","-",'ORDENES'!$AN365))</f>
        <v/>
      </c>
      <c r="I387" s="3">
        <f>IF('ORDENES'!$A365="","",IF('ORDENES'!$D365="","-",'ORDENES'!$D365))</f>
        <v/>
      </c>
      <c r="J387" s="3">
        <f>IF('ORDENES'!$A365="","",IF('ORDENES'!$E365="","-",'ORDENES'!$E365))</f>
        <v/>
      </c>
      <c r="K387" s="12">
        <f>IF('ORDENES'!$A365="","",IF('ORDENES'!$M365="",0,'ORDENES'!$M365))</f>
        <v/>
      </c>
      <c r="L387" s="3">
        <f>IF('ORDENES'!$A365="","",IF('ORDENES'!$N365="","-",'ORDENES'!$N365))</f>
        <v/>
      </c>
      <c r="M387" s="3">
        <f>IF('ORDENES'!$A365="","",'ORDENES'!$AA365)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IF('ORDENES'!$A366="","",IF('ORDENES'!$AC366="","-",'ORDENES'!$AC366))</f>
        <v/>
      </c>
      <c r="D388" s="3">
        <f>IF('ORDENES'!$A366="","",IF('ORDENES'!$V366="","-",'ORDENES'!$V366))</f>
        <v/>
      </c>
      <c r="E388" s="3">
        <f>IF('ORDENES'!$A366="","",IF('ORDENES'!$U366="","-",'ORDENES'!$U366))</f>
        <v/>
      </c>
      <c r="F388" s="3">
        <f>IF('ORDENES'!$A366="","",IF('ORDENES'!$W366="","-",'ORDENES'!$W366))</f>
        <v/>
      </c>
      <c r="G388" s="3">
        <f>IF('ORDENES'!$A366="","",IF('ORDENES'!$AB366="","-",'ORDENES'!$AB366))</f>
        <v/>
      </c>
      <c r="H388" s="3">
        <f>IF('ORDENES'!$A366="","",IF('ORDENES'!$AN366="","-",'ORDENES'!$AN366))</f>
        <v/>
      </c>
      <c r="I388" s="3">
        <f>IF('ORDENES'!$A366="","",IF('ORDENES'!$D366="","-",'ORDENES'!$D366))</f>
        <v/>
      </c>
      <c r="J388" s="3">
        <f>IF('ORDENES'!$A366="","",IF('ORDENES'!$E366="","-",'ORDENES'!$E366))</f>
        <v/>
      </c>
      <c r="K388" s="12">
        <f>IF('ORDENES'!$A366="","",IF('ORDENES'!$M366="",0,'ORDENES'!$M366))</f>
        <v/>
      </c>
      <c r="L388" s="3">
        <f>IF('ORDENES'!$A366="","",IF('ORDENES'!$N366="","-",'ORDENES'!$N366))</f>
        <v/>
      </c>
      <c r="M388" s="3">
        <f>IF('ORDENES'!$A366="","",'ORDENES'!$AA366)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IF('ORDENES'!$A367="","",IF('ORDENES'!$AC367="","-",'ORDENES'!$AC367))</f>
        <v/>
      </c>
      <c r="D389" s="3">
        <f>IF('ORDENES'!$A367="","",IF('ORDENES'!$V367="","-",'ORDENES'!$V367))</f>
        <v/>
      </c>
      <c r="E389" s="3">
        <f>IF('ORDENES'!$A367="","",IF('ORDENES'!$U367="","-",'ORDENES'!$U367))</f>
        <v/>
      </c>
      <c r="F389" s="3">
        <f>IF('ORDENES'!$A367="","",IF('ORDENES'!$W367="","-",'ORDENES'!$W367))</f>
        <v/>
      </c>
      <c r="G389" s="3">
        <f>IF('ORDENES'!$A367="","",IF('ORDENES'!$AB367="","-",'ORDENES'!$AB367))</f>
        <v/>
      </c>
      <c r="H389" s="3">
        <f>IF('ORDENES'!$A367="","",IF('ORDENES'!$AN367="","-",'ORDENES'!$AN367))</f>
        <v/>
      </c>
      <c r="I389" s="3">
        <f>IF('ORDENES'!$A367="","",IF('ORDENES'!$D367="","-",'ORDENES'!$D367))</f>
        <v/>
      </c>
      <c r="J389" s="3">
        <f>IF('ORDENES'!$A367="","",IF('ORDENES'!$E367="","-",'ORDENES'!$E367))</f>
        <v/>
      </c>
      <c r="K389" s="12">
        <f>IF('ORDENES'!$A367="","",IF('ORDENES'!$M367="",0,'ORDENES'!$M367))</f>
        <v/>
      </c>
      <c r="L389" s="3">
        <f>IF('ORDENES'!$A367="","",IF('ORDENES'!$N367="","-",'ORDENES'!$N367))</f>
        <v/>
      </c>
      <c r="M389" s="3">
        <f>IF('ORDENES'!$A367="","",'ORDENES'!$AA367)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IF('ORDENES'!$A368="","",IF('ORDENES'!$AC368="","-",'ORDENES'!$AC368))</f>
        <v/>
      </c>
      <c r="D390" s="3">
        <f>IF('ORDENES'!$A368="","",IF('ORDENES'!$V368="","-",'ORDENES'!$V368))</f>
        <v/>
      </c>
      <c r="E390" s="3">
        <f>IF('ORDENES'!$A368="","",IF('ORDENES'!$U368="","-",'ORDENES'!$U368))</f>
        <v/>
      </c>
      <c r="F390" s="3">
        <f>IF('ORDENES'!$A368="","",IF('ORDENES'!$W368="","-",'ORDENES'!$W368))</f>
        <v/>
      </c>
      <c r="G390" s="3">
        <f>IF('ORDENES'!$A368="","",IF('ORDENES'!$AB368="","-",'ORDENES'!$AB368))</f>
        <v/>
      </c>
      <c r="H390" s="3">
        <f>IF('ORDENES'!$A368="","",IF('ORDENES'!$AN368="","-",'ORDENES'!$AN368))</f>
        <v/>
      </c>
      <c r="I390" s="3">
        <f>IF('ORDENES'!$A368="","",IF('ORDENES'!$D368="","-",'ORDENES'!$D368))</f>
        <v/>
      </c>
      <c r="J390" s="3">
        <f>IF('ORDENES'!$A368="","",IF('ORDENES'!$E368="","-",'ORDENES'!$E368))</f>
        <v/>
      </c>
      <c r="K390" s="12">
        <f>IF('ORDENES'!$A368="","",IF('ORDENES'!$M368="",0,'ORDENES'!$M368))</f>
        <v/>
      </c>
      <c r="L390" s="3">
        <f>IF('ORDENES'!$A368="","",IF('ORDENES'!$N368="","-",'ORDENES'!$N368))</f>
        <v/>
      </c>
      <c r="M390" s="3">
        <f>IF('ORDENES'!$A368="","",'ORDENES'!$AA368)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IF('ORDENES'!$A369="","",IF('ORDENES'!$AC369="","-",'ORDENES'!$AC369))</f>
        <v/>
      </c>
      <c r="D391" s="3">
        <f>IF('ORDENES'!$A369="","",IF('ORDENES'!$V369="","-",'ORDENES'!$V369))</f>
        <v/>
      </c>
      <c r="E391" s="3">
        <f>IF('ORDENES'!$A369="","",IF('ORDENES'!$U369="","-",'ORDENES'!$U369))</f>
        <v/>
      </c>
      <c r="F391" s="3">
        <f>IF('ORDENES'!$A369="","",IF('ORDENES'!$W369="","-",'ORDENES'!$W369))</f>
        <v/>
      </c>
      <c r="G391" s="3">
        <f>IF('ORDENES'!$A369="","",IF('ORDENES'!$AB369="","-",'ORDENES'!$AB369))</f>
        <v/>
      </c>
      <c r="H391" s="3">
        <f>IF('ORDENES'!$A369="","",IF('ORDENES'!$AN369="","-",'ORDENES'!$AN369))</f>
        <v/>
      </c>
      <c r="I391" s="3">
        <f>IF('ORDENES'!$A369="","",IF('ORDENES'!$D369="","-",'ORDENES'!$D369))</f>
        <v/>
      </c>
      <c r="J391" s="3">
        <f>IF('ORDENES'!$A369="","",IF('ORDENES'!$E369="","-",'ORDENES'!$E369))</f>
        <v/>
      </c>
      <c r="K391" s="12">
        <f>IF('ORDENES'!$A369="","",IF('ORDENES'!$M369="",0,'ORDENES'!$M369))</f>
        <v/>
      </c>
      <c r="L391" s="3">
        <f>IF('ORDENES'!$A369="","",IF('ORDENES'!$N369="","-",'ORDENES'!$N369))</f>
        <v/>
      </c>
      <c r="M391" s="3">
        <f>IF('ORDENES'!$A369="","",'ORDENES'!$AA369)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IF('ORDENES'!$A370="","",IF('ORDENES'!$AC370="","-",'ORDENES'!$AC370))</f>
        <v/>
      </c>
      <c r="D392" s="3">
        <f>IF('ORDENES'!$A370="","",IF('ORDENES'!$V370="","-",'ORDENES'!$V370))</f>
        <v/>
      </c>
      <c r="E392" s="3">
        <f>IF('ORDENES'!$A370="","",IF('ORDENES'!$U370="","-",'ORDENES'!$U370))</f>
        <v/>
      </c>
      <c r="F392" s="3">
        <f>IF('ORDENES'!$A370="","",IF('ORDENES'!$W370="","-",'ORDENES'!$W370))</f>
        <v/>
      </c>
      <c r="G392" s="3">
        <f>IF('ORDENES'!$A370="","",IF('ORDENES'!$AB370="","-",'ORDENES'!$AB370))</f>
        <v/>
      </c>
      <c r="H392" s="3">
        <f>IF('ORDENES'!$A370="","",IF('ORDENES'!$AN370="","-",'ORDENES'!$AN370))</f>
        <v/>
      </c>
      <c r="I392" s="3">
        <f>IF('ORDENES'!$A370="","",IF('ORDENES'!$D370="","-",'ORDENES'!$D370))</f>
        <v/>
      </c>
      <c r="J392" s="3">
        <f>IF('ORDENES'!$A370="","",IF('ORDENES'!$E370="","-",'ORDENES'!$E370))</f>
        <v/>
      </c>
      <c r="K392" s="12">
        <f>IF('ORDENES'!$A370="","",IF('ORDENES'!$M370="",0,'ORDENES'!$M370))</f>
        <v/>
      </c>
      <c r="L392" s="3">
        <f>IF('ORDENES'!$A370="","",IF('ORDENES'!$N370="","-",'ORDENES'!$N370))</f>
        <v/>
      </c>
      <c r="M392" s="3">
        <f>IF('ORDENES'!$A370="","",'ORDENES'!$AA370)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IF('ORDENES'!$A371="","",IF('ORDENES'!$AC371="","-",'ORDENES'!$AC371))</f>
        <v/>
      </c>
      <c r="D393" s="3">
        <f>IF('ORDENES'!$A371="","",IF('ORDENES'!$V371="","-",'ORDENES'!$V371))</f>
        <v/>
      </c>
      <c r="E393" s="3">
        <f>IF('ORDENES'!$A371="","",IF('ORDENES'!$U371="","-",'ORDENES'!$U371))</f>
        <v/>
      </c>
      <c r="F393" s="3">
        <f>IF('ORDENES'!$A371="","",IF('ORDENES'!$W371="","-",'ORDENES'!$W371))</f>
        <v/>
      </c>
      <c r="G393" s="3">
        <f>IF('ORDENES'!$A371="","",IF('ORDENES'!$AB371="","-",'ORDENES'!$AB371))</f>
        <v/>
      </c>
      <c r="H393" s="3">
        <f>IF('ORDENES'!$A371="","",IF('ORDENES'!$AN371="","-",'ORDENES'!$AN371))</f>
        <v/>
      </c>
      <c r="I393" s="3">
        <f>IF('ORDENES'!$A371="","",IF('ORDENES'!$D371="","-",'ORDENES'!$D371))</f>
        <v/>
      </c>
      <c r="J393" s="3">
        <f>IF('ORDENES'!$A371="","",IF('ORDENES'!$E371="","-",'ORDENES'!$E371))</f>
        <v/>
      </c>
      <c r="K393" s="12">
        <f>IF('ORDENES'!$A371="","",IF('ORDENES'!$M371="",0,'ORDENES'!$M371))</f>
        <v/>
      </c>
      <c r="L393" s="3">
        <f>IF('ORDENES'!$A371="","",IF('ORDENES'!$N371="","-",'ORDENES'!$N371))</f>
        <v/>
      </c>
      <c r="M393" s="3">
        <f>IF('ORDENES'!$A371="","",'ORDENES'!$AA371)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IF('ORDENES'!$A372="","",IF('ORDENES'!$AC372="","-",'ORDENES'!$AC372))</f>
        <v/>
      </c>
      <c r="D394" s="3">
        <f>IF('ORDENES'!$A372="","",IF('ORDENES'!$V372="","-",'ORDENES'!$V372))</f>
        <v/>
      </c>
      <c r="E394" s="3">
        <f>IF('ORDENES'!$A372="","",IF('ORDENES'!$U372="","-",'ORDENES'!$U372))</f>
        <v/>
      </c>
      <c r="F394" s="3">
        <f>IF('ORDENES'!$A372="","",IF('ORDENES'!$W372="","-",'ORDENES'!$W372))</f>
        <v/>
      </c>
      <c r="G394" s="3">
        <f>IF('ORDENES'!$A372="","",IF('ORDENES'!$AB372="","-",'ORDENES'!$AB372))</f>
        <v/>
      </c>
      <c r="H394" s="3">
        <f>IF('ORDENES'!$A372="","",IF('ORDENES'!$AN372="","-",'ORDENES'!$AN372))</f>
        <v/>
      </c>
      <c r="I394" s="3">
        <f>IF('ORDENES'!$A372="","",IF('ORDENES'!$D372="","-",'ORDENES'!$D372))</f>
        <v/>
      </c>
      <c r="J394" s="3">
        <f>IF('ORDENES'!$A372="","",IF('ORDENES'!$E372="","-",'ORDENES'!$E372))</f>
        <v/>
      </c>
      <c r="K394" s="12">
        <f>IF('ORDENES'!$A372="","",IF('ORDENES'!$M372="",0,'ORDENES'!$M372))</f>
        <v/>
      </c>
      <c r="L394" s="3">
        <f>IF('ORDENES'!$A372="","",IF('ORDENES'!$N372="","-",'ORDENES'!$N372))</f>
        <v/>
      </c>
      <c r="M394" s="3">
        <f>IF('ORDENES'!$A372="","",'ORDENES'!$AA372)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IF('ORDENES'!$A373="","",IF('ORDENES'!$AC373="","-",'ORDENES'!$AC373))</f>
        <v/>
      </c>
      <c r="D395" s="3">
        <f>IF('ORDENES'!$A373="","",IF('ORDENES'!$V373="","-",'ORDENES'!$V373))</f>
        <v/>
      </c>
      <c r="E395" s="3">
        <f>IF('ORDENES'!$A373="","",IF('ORDENES'!$U373="","-",'ORDENES'!$U373))</f>
        <v/>
      </c>
      <c r="F395" s="3">
        <f>IF('ORDENES'!$A373="","",IF('ORDENES'!$W373="","-",'ORDENES'!$W373))</f>
        <v/>
      </c>
      <c r="G395" s="3">
        <f>IF('ORDENES'!$A373="","",IF('ORDENES'!$AB373="","-",'ORDENES'!$AB373))</f>
        <v/>
      </c>
      <c r="H395" s="3">
        <f>IF('ORDENES'!$A373="","",IF('ORDENES'!$AN373="","-",'ORDENES'!$AN373))</f>
        <v/>
      </c>
      <c r="I395" s="3">
        <f>IF('ORDENES'!$A373="","",IF('ORDENES'!$D373="","-",'ORDENES'!$D373))</f>
        <v/>
      </c>
      <c r="J395" s="3">
        <f>IF('ORDENES'!$A373="","",IF('ORDENES'!$E373="","-",'ORDENES'!$E373))</f>
        <v/>
      </c>
      <c r="K395" s="12">
        <f>IF('ORDENES'!$A373="","",IF('ORDENES'!$M373="",0,'ORDENES'!$M373))</f>
        <v/>
      </c>
      <c r="L395" s="3">
        <f>IF('ORDENES'!$A373="","",IF('ORDENES'!$N373="","-",'ORDENES'!$N373))</f>
        <v/>
      </c>
      <c r="M395" s="3">
        <f>IF('ORDENES'!$A373="","",'ORDENES'!$AA373)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IF('ORDENES'!$A374="","",IF('ORDENES'!$AC374="","-",'ORDENES'!$AC374))</f>
        <v/>
      </c>
      <c r="D396" s="3">
        <f>IF('ORDENES'!$A374="","",IF('ORDENES'!$V374="","-",'ORDENES'!$V374))</f>
        <v/>
      </c>
      <c r="E396" s="3">
        <f>IF('ORDENES'!$A374="","",IF('ORDENES'!$U374="","-",'ORDENES'!$U374))</f>
        <v/>
      </c>
      <c r="F396" s="3">
        <f>IF('ORDENES'!$A374="","",IF('ORDENES'!$W374="","-",'ORDENES'!$W374))</f>
        <v/>
      </c>
      <c r="G396" s="3">
        <f>IF('ORDENES'!$A374="","",IF('ORDENES'!$AB374="","-",'ORDENES'!$AB374))</f>
        <v/>
      </c>
      <c r="H396" s="3">
        <f>IF('ORDENES'!$A374="","",IF('ORDENES'!$AN374="","-",'ORDENES'!$AN374))</f>
        <v/>
      </c>
      <c r="I396" s="3">
        <f>IF('ORDENES'!$A374="","",IF('ORDENES'!$D374="","-",'ORDENES'!$D374))</f>
        <v/>
      </c>
      <c r="J396" s="3">
        <f>IF('ORDENES'!$A374="","",IF('ORDENES'!$E374="","-",'ORDENES'!$E374))</f>
        <v/>
      </c>
      <c r="K396" s="12">
        <f>IF('ORDENES'!$A374="","",IF('ORDENES'!$M374="",0,'ORDENES'!$M374))</f>
        <v/>
      </c>
      <c r="L396" s="3">
        <f>IF('ORDENES'!$A374="","",IF('ORDENES'!$N374="","-",'ORDENES'!$N374))</f>
        <v/>
      </c>
      <c r="M396" s="3">
        <f>IF('ORDENES'!$A374="","",'ORDENES'!$AA374)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IF('ORDENES'!$A375="","",IF('ORDENES'!$AC375="","-",'ORDENES'!$AC375))</f>
        <v/>
      </c>
      <c r="D397" s="3">
        <f>IF('ORDENES'!$A375="","",IF('ORDENES'!$V375="","-",'ORDENES'!$V375))</f>
        <v/>
      </c>
      <c r="E397" s="3">
        <f>IF('ORDENES'!$A375="","",IF('ORDENES'!$U375="","-",'ORDENES'!$U375))</f>
        <v/>
      </c>
      <c r="F397" s="3">
        <f>IF('ORDENES'!$A375="","",IF('ORDENES'!$W375="","-",'ORDENES'!$W375))</f>
        <v/>
      </c>
      <c r="G397" s="3">
        <f>IF('ORDENES'!$A375="","",IF('ORDENES'!$AB375="","-",'ORDENES'!$AB375))</f>
        <v/>
      </c>
      <c r="H397" s="3">
        <f>IF('ORDENES'!$A375="","",IF('ORDENES'!$AN375="","-",'ORDENES'!$AN375))</f>
        <v/>
      </c>
      <c r="I397" s="3">
        <f>IF('ORDENES'!$A375="","",IF('ORDENES'!$D375="","-",'ORDENES'!$D375))</f>
        <v/>
      </c>
      <c r="J397" s="3">
        <f>IF('ORDENES'!$A375="","",IF('ORDENES'!$E375="","-",'ORDENES'!$E375))</f>
        <v/>
      </c>
      <c r="K397" s="12">
        <f>IF('ORDENES'!$A375="","",IF('ORDENES'!$M375="",0,'ORDENES'!$M375))</f>
        <v/>
      </c>
      <c r="L397" s="3">
        <f>IF('ORDENES'!$A375="","",IF('ORDENES'!$N375="","-",'ORDENES'!$N375))</f>
        <v/>
      </c>
      <c r="M397" s="3">
        <f>IF('ORDENES'!$A375="","",'ORDENES'!$AA375)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IF('ORDENES'!$A376="","",IF('ORDENES'!$AC376="","-",'ORDENES'!$AC376))</f>
        <v/>
      </c>
      <c r="D398" s="3">
        <f>IF('ORDENES'!$A376="","",IF('ORDENES'!$V376="","-",'ORDENES'!$V376))</f>
        <v/>
      </c>
      <c r="E398" s="3">
        <f>IF('ORDENES'!$A376="","",IF('ORDENES'!$U376="","-",'ORDENES'!$U376))</f>
        <v/>
      </c>
      <c r="F398" s="3">
        <f>IF('ORDENES'!$A376="","",IF('ORDENES'!$W376="","-",'ORDENES'!$W376))</f>
        <v/>
      </c>
      <c r="G398" s="3">
        <f>IF('ORDENES'!$A376="","",IF('ORDENES'!$AB376="","-",'ORDENES'!$AB376))</f>
        <v/>
      </c>
      <c r="H398" s="3">
        <f>IF('ORDENES'!$A376="","",IF('ORDENES'!$AN376="","-",'ORDENES'!$AN376))</f>
        <v/>
      </c>
      <c r="I398" s="3">
        <f>IF('ORDENES'!$A376="","",IF('ORDENES'!$D376="","-",'ORDENES'!$D376))</f>
        <v/>
      </c>
      <c r="J398" s="3">
        <f>IF('ORDENES'!$A376="","",IF('ORDENES'!$E376="","-",'ORDENES'!$E376))</f>
        <v/>
      </c>
      <c r="K398" s="12">
        <f>IF('ORDENES'!$A376="","",IF('ORDENES'!$M376="",0,'ORDENES'!$M376))</f>
        <v/>
      </c>
      <c r="L398" s="3">
        <f>IF('ORDENES'!$A376="","",IF('ORDENES'!$N376="","-",'ORDENES'!$N376))</f>
        <v/>
      </c>
      <c r="M398" s="3">
        <f>IF('ORDENES'!$A376="","",'ORDENES'!$AA376)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IF('ORDENES'!$A377="","",IF('ORDENES'!$AC377="","-",'ORDENES'!$AC377))</f>
        <v/>
      </c>
      <c r="D399" s="3">
        <f>IF('ORDENES'!$A377="","",IF('ORDENES'!$V377="","-",'ORDENES'!$V377))</f>
        <v/>
      </c>
      <c r="E399" s="3">
        <f>IF('ORDENES'!$A377="","",IF('ORDENES'!$U377="","-",'ORDENES'!$U377))</f>
        <v/>
      </c>
      <c r="F399" s="3">
        <f>IF('ORDENES'!$A377="","",IF('ORDENES'!$W377="","-",'ORDENES'!$W377))</f>
        <v/>
      </c>
      <c r="G399" s="3">
        <f>IF('ORDENES'!$A377="","",IF('ORDENES'!$AB377="","-",'ORDENES'!$AB377))</f>
        <v/>
      </c>
      <c r="H399" s="3">
        <f>IF('ORDENES'!$A377="","",IF('ORDENES'!$AN377="","-",'ORDENES'!$AN377))</f>
        <v/>
      </c>
      <c r="I399" s="3">
        <f>IF('ORDENES'!$A377="","",IF('ORDENES'!$D377="","-",'ORDENES'!$D377))</f>
        <v/>
      </c>
      <c r="J399" s="3">
        <f>IF('ORDENES'!$A377="","",IF('ORDENES'!$E377="","-",'ORDENES'!$E377))</f>
        <v/>
      </c>
      <c r="K399" s="12">
        <f>IF('ORDENES'!$A377="","",IF('ORDENES'!$M377="",0,'ORDENES'!$M377))</f>
        <v/>
      </c>
      <c r="L399" s="3">
        <f>IF('ORDENES'!$A377="","",IF('ORDENES'!$N377="","-",'ORDENES'!$N377))</f>
        <v/>
      </c>
      <c r="M399" s="3">
        <f>IF('ORDENES'!$A377="","",'ORDENES'!$AA377)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IF('ORDENES'!$A378="","",IF('ORDENES'!$AC378="","-",'ORDENES'!$AC378))</f>
        <v/>
      </c>
      <c r="D400" s="3">
        <f>IF('ORDENES'!$A378="","",IF('ORDENES'!$V378="","-",'ORDENES'!$V378))</f>
        <v/>
      </c>
      <c r="E400" s="3">
        <f>IF('ORDENES'!$A378="","",IF('ORDENES'!$U378="","-",'ORDENES'!$U378))</f>
        <v/>
      </c>
      <c r="F400" s="3">
        <f>IF('ORDENES'!$A378="","",IF('ORDENES'!$W378="","-",'ORDENES'!$W378))</f>
        <v/>
      </c>
      <c r="G400" s="3">
        <f>IF('ORDENES'!$A378="","",IF('ORDENES'!$AB378="","-",'ORDENES'!$AB378))</f>
        <v/>
      </c>
      <c r="H400" s="3">
        <f>IF('ORDENES'!$A378="","",IF('ORDENES'!$AN378="","-",'ORDENES'!$AN378))</f>
        <v/>
      </c>
      <c r="I400" s="3">
        <f>IF('ORDENES'!$A378="","",IF('ORDENES'!$D378="","-",'ORDENES'!$D378))</f>
        <v/>
      </c>
      <c r="J400" s="3">
        <f>IF('ORDENES'!$A378="","",IF('ORDENES'!$E378="","-",'ORDENES'!$E378))</f>
        <v/>
      </c>
      <c r="K400" s="12">
        <f>IF('ORDENES'!$A378="","",IF('ORDENES'!$M378="",0,'ORDENES'!$M378))</f>
        <v/>
      </c>
      <c r="L400" s="3">
        <f>IF('ORDENES'!$A378="","",IF('ORDENES'!$N378="","-",'ORDENES'!$N378))</f>
        <v/>
      </c>
      <c r="M400" s="3">
        <f>IF('ORDENES'!$A378="","",'ORDENES'!$AA378)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IF('ORDENES'!$A379="","",IF('ORDENES'!$AC379="","-",'ORDENES'!$AC379))</f>
        <v/>
      </c>
      <c r="D401" s="3">
        <f>IF('ORDENES'!$A379="","",IF('ORDENES'!$V379="","-",'ORDENES'!$V379))</f>
        <v/>
      </c>
      <c r="E401" s="3">
        <f>IF('ORDENES'!$A379="","",IF('ORDENES'!$U379="","-",'ORDENES'!$U379))</f>
        <v/>
      </c>
      <c r="F401" s="3">
        <f>IF('ORDENES'!$A379="","",IF('ORDENES'!$W379="","-",'ORDENES'!$W379))</f>
        <v/>
      </c>
      <c r="G401" s="3">
        <f>IF('ORDENES'!$A379="","",IF('ORDENES'!$AB379="","-",'ORDENES'!$AB379))</f>
        <v/>
      </c>
      <c r="H401" s="3">
        <f>IF('ORDENES'!$A379="","",IF('ORDENES'!$AN379="","-",'ORDENES'!$AN379))</f>
        <v/>
      </c>
      <c r="I401" s="3">
        <f>IF('ORDENES'!$A379="","",IF('ORDENES'!$D379="","-",'ORDENES'!$D379))</f>
        <v/>
      </c>
      <c r="J401" s="3">
        <f>IF('ORDENES'!$A379="","",IF('ORDENES'!$E379="","-",'ORDENES'!$E379))</f>
        <v/>
      </c>
      <c r="K401" s="12">
        <f>IF('ORDENES'!$A379="","",IF('ORDENES'!$M379="",0,'ORDENES'!$M379))</f>
        <v/>
      </c>
      <c r="L401" s="3">
        <f>IF('ORDENES'!$A379="","",IF('ORDENES'!$N379="","-",'ORDENES'!$N379))</f>
        <v/>
      </c>
      <c r="M401" s="3">
        <f>IF('ORDENES'!$A379="","",'ORDENES'!$AA379)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IF('ORDENES'!$A380="","",IF('ORDENES'!$AC380="","-",'ORDENES'!$AC380))</f>
        <v/>
      </c>
      <c r="D402" s="3">
        <f>IF('ORDENES'!$A380="","",IF('ORDENES'!$V380="","-",'ORDENES'!$V380))</f>
        <v/>
      </c>
      <c r="E402" s="3">
        <f>IF('ORDENES'!$A380="","",IF('ORDENES'!$U380="","-",'ORDENES'!$U380))</f>
        <v/>
      </c>
      <c r="F402" s="3">
        <f>IF('ORDENES'!$A380="","",IF('ORDENES'!$W380="","-",'ORDENES'!$W380))</f>
        <v/>
      </c>
      <c r="G402" s="3">
        <f>IF('ORDENES'!$A380="","",IF('ORDENES'!$AB380="","-",'ORDENES'!$AB380))</f>
        <v/>
      </c>
      <c r="H402" s="3">
        <f>IF('ORDENES'!$A380="","",IF('ORDENES'!$AN380="","-",'ORDENES'!$AN380))</f>
        <v/>
      </c>
      <c r="I402" s="3">
        <f>IF('ORDENES'!$A380="","",IF('ORDENES'!$D380="","-",'ORDENES'!$D380))</f>
        <v/>
      </c>
      <c r="J402" s="3">
        <f>IF('ORDENES'!$A380="","",IF('ORDENES'!$E380="","-",'ORDENES'!$E380))</f>
        <v/>
      </c>
      <c r="K402" s="12">
        <f>IF('ORDENES'!$A380="","",IF('ORDENES'!$M380="",0,'ORDENES'!$M380))</f>
        <v/>
      </c>
      <c r="L402" s="3">
        <f>IF('ORDENES'!$A380="","",IF('ORDENES'!$N380="","-",'ORDENES'!$N380))</f>
        <v/>
      </c>
      <c r="M402" s="3">
        <f>IF('ORDENES'!$A380="","",'ORDENES'!$AA380)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IF('ORDENES'!$A381="","",IF('ORDENES'!$AC381="","-",'ORDENES'!$AC381))</f>
        <v/>
      </c>
      <c r="D403" s="3">
        <f>IF('ORDENES'!$A381="","",IF('ORDENES'!$V381="","-",'ORDENES'!$V381))</f>
        <v/>
      </c>
      <c r="E403" s="3">
        <f>IF('ORDENES'!$A381="","",IF('ORDENES'!$U381="","-",'ORDENES'!$U381))</f>
        <v/>
      </c>
      <c r="F403" s="3">
        <f>IF('ORDENES'!$A381="","",IF('ORDENES'!$W381="","-",'ORDENES'!$W381))</f>
        <v/>
      </c>
      <c r="G403" s="3">
        <f>IF('ORDENES'!$A381="","",IF('ORDENES'!$AB381="","-",'ORDENES'!$AB381))</f>
        <v/>
      </c>
      <c r="H403" s="3">
        <f>IF('ORDENES'!$A381="","",IF('ORDENES'!$AN381="","-",'ORDENES'!$AN381))</f>
        <v/>
      </c>
      <c r="I403" s="3">
        <f>IF('ORDENES'!$A381="","",IF('ORDENES'!$D381="","-",'ORDENES'!$D381))</f>
        <v/>
      </c>
      <c r="J403" s="3">
        <f>IF('ORDENES'!$A381="","",IF('ORDENES'!$E381="","-",'ORDENES'!$E381))</f>
        <v/>
      </c>
      <c r="K403" s="12">
        <f>IF('ORDENES'!$A381="","",IF('ORDENES'!$M381="",0,'ORDENES'!$M381))</f>
        <v/>
      </c>
      <c r="L403" s="3">
        <f>IF('ORDENES'!$A381="","",IF('ORDENES'!$N381="","-",'ORDENES'!$N381))</f>
        <v/>
      </c>
      <c r="M403" s="3">
        <f>IF('ORDENES'!$A381="","",'ORDENES'!$AA381)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IF('ORDENES'!$A382="","",IF('ORDENES'!$AC382="","-",'ORDENES'!$AC382))</f>
        <v/>
      </c>
      <c r="D404" s="3">
        <f>IF('ORDENES'!$A382="","",IF('ORDENES'!$V382="","-",'ORDENES'!$V382))</f>
        <v/>
      </c>
      <c r="E404" s="3">
        <f>IF('ORDENES'!$A382="","",IF('ORDENES'!$U382="","-",'ORDENES'!$U382))</f>
        <v/>
      </c>
      <c r="F404" s="3">
        <f>IF('ORDENES'!$A382="","",IF('ORDENES'!$W382="","-",'ORDENES'!$W382))</f>
        <v/>
      </c>
      <c r="G404" s="3">
        <f>IF('ORDENES'!$A382="","",IF('ORDENES'!$AB382="","-",'ORDENES'!$AB382))</f>
        <v/>
      </c>
      <c r="H404" s="3">
        <f>IF('ORDENES'!$A382="","",IF('ORDENES'!$AN382="","-",'ORDENES'!$AN382))</f>
        <v/>
      </c>
      <c r="I404" s="3">
        <f>IF('ORDENES'!$A382="","",IF('ORDENES'!$D382="","-",'ORDENES'!$D382))</f>
        <v/>
      </c>
      <c r="J404" s="3">
        <f>IF('ORDENES'!$A382="","",IF('ORDENES'!$E382="","-",'ORDENES'!$E382))</f>
        <v/>
      </c>
      <c r="K404" s="12">
        <f>IF('ORDENES'!$A382="","",IF('ORDENES'!$M382="",0,'ORDENES'!$M382))</f>
        <v/>
      </c>
      <c r="L404" s="3">
        <f>IF('ORDENES'!$A382="","",IF('ORDENES'!$N382="","-",'ORDENES'!$N382))</f>
        <v/>
      </c>
      <c r="M404" s="3">
        <f>IF('ORDENES'!$A382="","",'ORDENES'!$AA382)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IF('ORDENES'!$A383="","",IF('ORDENES'!$AC383="","-",'ORDENES'!$AC383))</f>
        <v/>
      </c>
      <c r="D405" s="3">
        <f>IF('ORDENES'!$A383="","",IF('ORDENES'!$V383="","-",'ORDENES'!$V383))</f>
        <v/>
      </c>
      <c r="E405" s="3">
        <f>IF('ORDENES'!$A383="","",IF('ORDENES'!$U383="","-",'ORDENES'!$U383))</f>
        <v/>
      </c>
      <c r="F405" s="3">
        <f>IF('ORDENES'!$A383="","",IF('ORDENES'!$W383="","-",'ORDENES'!$W383))</f>
        <v/>
      </c>
      <c r="G405" s="3">
        <f>IF('ORDENES'!$A383="","",IF('ORDENES'!$AB383="","-",'ORDENES'!$AB383))</f>
        <v/>
      </c>
      <c r="H405" s="3">
        <f>IF('ORDENES'!$A383="","",IF('ORDENES'!$AN383="","-",'ORDENES'!$AN383))</f>
        <v/>
      </c>
      <c r="I405" s="3">
        <f>IF('ORDENES'!$A383="","",IF('ORDENES'!$D383="","-",'ORDENES'!$D383))</f>
        <v/>
      </c>
      <c r="J405" s="3">
        <f>IF('ORDENES'!$A383="","",IF('ORDENES'!$E383="","-",'ORDENES'!$E383))</f>
        <v/>
      </c>
      <c r="K405" s="12">
        <f>IF('ORDENES'!$A383="","",IF('ORDENES'!$M383="",0,'ORDENES'!$M383))</f>
        <v/>
      </c>
      <c r="L405" s="3">
        <f>IF('ORDENES'!$A383="","",IF('ORDENES'!$N383="","-",'ORDENES'!$N383))</f>
        <v/>
      </c>
      <c r="M405" s="3">
        <f>IF('ORDENES'!$A383="","",'ORDENES'!$AA383)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IF('ORDENES'!$A384="","",IF('ORDENES'!$AC384="","-",'ORDENES'!$AC384))</f>
        <v/>
      </c>
      <c r="D406" s="3">
        <f>IF('ORDENES'!$A384="","",IF('ORDENES'!$V384="","-",'ORDENES'!$V384))</f>
        <v/>
      </c>
      <c r="E406" s="3">
        <f>IF('ORDENES'!$A384="","",IF('ORDENES'!$U384="","-",'ORDENES'!$U384))</f>
        <v/>
      </c>
      <c r="F406" s="3">
        <f>IF('ORDENES'!$A384="","",IF('ORDENES'!$W384="","-",'ORDENES'!$W384))</f>
        <v/>
      </c>
      <c r="G406" s="3">
        <f>IF('ORDENES'!$A384="","",IF('ORDENES'!$AB384="","-",'ORDENES'!$AB384))</f>
        <v/>
      </c>
      <c r="H406" s="3">
        <f>IF('ORDENES'!$A384="","",IF('ORDENES'!$AN384="","-",'ORDENES'!$AN384))</f>
        <v/>
      </c>
      <c r="I406" s="3">
        <f>IF('ORDENES'!$A384="","",IF('ORDENES'!$D384="","-",'ORDENES'!$D384))</f>
        <v/>
      </c>
      <c r="J406" s="3">
        <f>IF('ORDENES'!$A384="","",IF('ORDENES'!$E384="","-",'ORDENES'!$E384))</f>
        <v/>
      </c>
      <c r="K406" s="12">
        <f>IF('ORDENES'!$A384="","",IF('ORDENES'!$M384="",0,'ORDENES'!$M384))</f>
        <v/>
      </c>
      <c r="L406" s="3">
        <f>IF('ORDENES'!$A384="","",IF('ORDENES'!$N384="","-",'ORDENES'!$N384))</f>
        <v/>
      </c>
      <c r="M406" s="3">
        <f>IF('ORDENES'!$A384="","",'ORDENES'!$AA384)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IF('ORDENES'!$A385="","",IF('ORDENES'!$AC385="","-",'ORDENES'!$AC385))</f>
        <v/>
      </c>
      <c r="D407" s="3">
        <f>IF('ORDENES'!$A385="","",IF('ORDENES'!$V385="","-",'ORDENES'!$V385))</f>
        <v/>
      </c>
      <c r="E407" s="3">
        <f>IF('ORDENES'!$A385="","",IF('ORDENES'!$U385="","-",'ORDENES'!$U385))</f>
        <v/>
      </c>
      <c r="F407" s="3">
        <f>IF('ORDENES'!$A385="","",IF('ORDENES'!$W385="","-",'ORDENES'!$W385))</f>
        <v/>
      </c>
      <c r="G407" s="3">
        <f>IF('ORDENES'!$A385="","",IF('ORDENES'!$AB385="","-",'ORDENES'!$AB385))</f>
        <v/>
      </c>
      <c r="H407" s="3">
        <f>IF('ORDENES'!$A385="","",IF('ORDENES'!$AN385="","-",'ORDENES'!$AN385))</f>
        <v/>
      </c>
      <c r="I407" s="3">
        <f>IF('ORDENES'!$A385="","",IF('ORDENES'!$D385="","-",'ORDENES'!$D385))</f>
        <v/>
      </c>
      <c r="J407" s="3">
        <f>IF('ORDENES'!$A385="","",IF('ORDENES'!$E385="","-",'ORDENES'!$E385))</f>
        <v/>
      </c>
      <c r="K407" s="12">
        <f>IF('ORDENES'!$A385="","",IF('ORDENES'!$M385="",0,'ORDENES'!$M385))</f>
        <v/>
      </c>
      <c r="L407" s="3">
        <f>IF('ORDENES'!$A385="","",IF('ORDENES'!$N385="","-",'ORDENES'!$N385))</f>
        <v/>
      </c>
      <c r="M407" s="3">
        <f>IF('ORDENES'!$A385="","",'ORDENES'!$AA385)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IF('ORDENES'!$A386="","",IF('ORDENES'!$AC386="","-",'ORDENES'!$AC386))</f>
        <v/>
      </c>
      <c r="D408" s="3">
        <f>IF('ORDENES'!$A386="","",IF('ORDENES'!$V386="","-",'ORDENES'!$V386))</f>
        <v/>
      </c>
      <c r="E408" s="3">
        <f>IF('ORDENES'!$A386="","",IF('ORDENES'!$U386="","-",'ORDENES'!$U386))</f>
        <v/>
      </c>
      <c r="F408" s="3">
        <f>IF('ORDENES'!$A386="","",IF('ORDENES'!$W386="","-",'ORDENES'!$W386))</f>
        <v/>
      </c>
      <c r="G408" s="3">
        <f>IF('ORDENES'!$A386="","",IF('ORDENES'!$AB386="","-",'ORDENES'!$AB386))</f>
        <v/>
      </c>
      <c r="H408" s="3">
        <f>IF('ORDENES'!$A386="","",IF('ORDENES'!$AN386="","-",'ORDENES'!$AN386))</f>
        <v/>
      </c>
      <c r="I408" s="3">
        <f>IF('ORDENES'!$A386="","",IF('ORDENES'!$D386="","-",'ORDENES'!$D386))</f>
        <v/>
      </c>
      <c r="J408" s="3">
        <f>IF('ORDENES'!$A386="","",IF('ORDENES'!$E386="","-",'ORDENES'!$E386))</f>
        <v/>
      </c>
      <c r="K408" s="12">
        <f>IF('ORDENES'!$A386="","",IF('ORDENES'!$M386="",0,'ORDENES'!$M386))</f>
        <v/>
      </c>
      <c r="L408" s="3">
        <f>IF('ORDENES'!$A386="","",IF('ORDENES'!$N386="","-",'ORDENES'!$N386))</f>
        <v/>
      </c>
      <c r="M408" s="3">
        <f>IF('ORDENES'!$A386="","",'ORDENES'!$AA386)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IF('ORDENES'!$A387="","",IF('ORDENES'!$AC387="","-",'ORDENES'!$AC387))</f>
        <v/>
      </c>
      <c r="D409" s="3">
        <f>IF('ORDENES'!$A387="","",IF('ORDENES'!$V387="","-",'ORDENES'!$V387))</f>
        <v/>
      </c>
      <c r="E409" s="3">
        <f>IF('ORDENES'!$A387="","",IF('ORDENES'!$U387="","-",'ORDENES'!$U387))</f>
        <v/>
      </c>
      <c r="F409" s="3">
        <f>IF('ORDENES'!$A387="","",IF('ORDENES'!$W387="","-",'ORDENES'!$W387))</f>
        <v/>
      </c>
      <c r="G409" s="3">
        <f>IF('ORDENES'!$A387="","",IF('ORDENES'!$AB387="","-",'ORDENES'!$AB387))</f>
        <v/>
      </c>
      <c r="H409" s="3">
        <f>IF('ORDENES'!$A387="","",IF('ORDENES'!$AN387="","-",'ORDENES'!$AN387))</f>
        <v/>
      </c>
      <c r="I409" s="3">
        <f>IF('ORDENES'!$A387="","",IF('ORDENES'!$D387="","-",'ORDENES'!$D387))</f>
        <v/>
      </c>
      <c r="J409" s="3">
        <f>IF('ORDENES'!$A387="","",IF('ORDENES'!$E387="","-",'ORDENES'!$E387))</f>
        <v/>
      </c>
      <c r="K409" s="12">
        <f>IF('ORDENES'!$A387="","",IF('ORDENES'!$M387="",0,'ORDENES'!$M387))</f>
        <v/>
      </c>
      <c r="L409" s="3">
        <f>IF('ORDENES'!$A387="","",IF('ORDENES'!$N387="","-",'ORDENES'!$N387))</f>
        <v/>
      </c>
      <c r="M409" s="3">
        <f>IF('ORDENES'!$A387="","",'ORDENES'!$AA387)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IF('ORDENES'!$A388="","",IF('ORDENES'!$AC388="","-",'ORDENES'!$AC388))</f>
        <v/>
      </c>
      <c r="D410" s="3">
        <f>IF('ORDENES'!$A388="","",IF('ORDENES'!$V388="","-",'ORDENES'!$V388))</f>
        <v/>
      </c>
      <c r="E410" s="3">
        <f>IF('ORDENES'!$A388="","",IF('ORDENES'!$U388="","-",'ORDENES'!$U388))</f>
        <v/>
      </c>
      <c r="F410" s="3">
        <f>IF('ORDENES'!$A388="","",IF('ORDENES'!$W388="","-",'ORDENES'!$W388))</f>
        <v/>
      </c>
      <c r="G410" s="3">
        <f>IF('ORDENES'!$A388="","",IF('ORDENES'!$AB388="","-",'ORDENES'!$AB388))</f>
        <v/>
      </c>
      <c r="H410" s="3">
        <f>IF('ORDENES'!$A388="","",IF('ORDENES'!$AN388="","-",'ORDENES'!$AN388))</f>
        <v/>
      </c>
      <c r="I410" s="3">
        <f>IF('ORDENES'!$A388="","",IF('ORDENES'!$D388="","-",'ORDENES'!$D388))</f>
        <v/>
      </c>
      <c r="J410" s="3">
        <f>IF('ORDENES'!$A388="","",IF('ORDENES'!$E388="","-",'ORDENES'!$E388))</f>
        <v/>
      </c>
      <c r="K410" s="12">
        <f>IF('ORDENES'!$A388="","",IF('ORDENES'!$M388="",0,'ORDENES'!$M388))</f>
        <v/>
      </c>
      <c r="L410" s="3">
        <f>IF('ORDENES'!$A388="","",IF('ORDENES'!$N388="","-",'ORDENES'!$N388))</f>
        <v/>
      </c>
      <c r="M410" s="3">
        <f>IF('ORDENES'!$A388="","",'ORDENES'!$AA388)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IF('ORDENES'!$A389="","",IF('ORDENES'!$AC389="","-",'ORDENES'!$AC389))</f>
        <v/>
      </c>
      <c r="D411" s="3">
        <f>IF('ORDENES'!$A389="","",IF('ORDENES'!$V389="","-",'ORDENES'!$V389))</f>
        <v/>
      </c>
      <c r="E411" s="3">
        <f>IF('ORDENES'!$A389="","",IF('ORDENES'!$U389="","-",'ORDENES'!$U389))</f>
        <v/>
      </c>
      <c r="F411" s="3">
        <f>IF('ORDENES'!$A389="","",IF('ORDENES'!$W389="","-",'ORDENES'!$W389))</f>
        <v/>
      </c>
      <c r="G411" s="3">
        <f>IF('ORDENES'!$A389="","",IF('ORDENES'!$AB389="","-",'ORDENES'!$AB389))</f>
        <v/>
      </c>
      <c r="H411" s="3">
        <f>IF('ORDENES'!$A389="","",IF('ORDENES'!$AN389="","-",'ORDENES'!$AN389))</f>
        <v/>
      </c>
      <c r="I411" s="3">
        <f>IF('ORDENES'!$A389="","",IF('ORDENES'!$D389="","-",'ORDENES'!$D389))</f>
        <v/>
      </c>
      <c r="J411" s="3">
        <f>IF('ORDENES'!$A389="","",IF('ORDENES'!$E389="","-",'ORDENES'!$E389))</f>
        <v/>
      </c>
      <c r="K411" s="12">
        <f>IF('ORDENES'!$A389="","",IF('ORDENES'!$M389="",0,'ORDENES'!$M389))</f>
        <v/>
      </c>
      <c r="L411" s="3">
        <f>IF('ORDENES'!$A389="","",IF('ORDENES'!$N389="","-",'ORDENES'!$N389))</f>
        <v/>
      </c>
      <c r="M411" s="3">
        <f>IF('ORDENES'!$A389="","",'ORDENES'!$AA389)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IF('ORDENES'!$A390="","",IF('ORDENES'!$AC390="","-",'ORDENES'!$AC390))</f>
        <v/>
      </c>
      <c r="D412" s="3">
        <f>IF('ORDENES'!$A390="","",IF('ORDENES'!$V390="","-",'ORDENES'!$V390))</f>
        <v/>
      </c>
      <c r="E412" s="3">
        <f>IF('ORDENES'!$A390="","",IF('ORDENES'!$U390="","-",'ORDENES'!$U390))</f>
        <v/>
      </c>
      <c r="F412" s="3">
        <f>IF('ORDENES'!$A390="","",IF('ORDENES'!$W390="","-",'ORDENES'!$W390))</f>
        <v/>
      </c>
      <c r="G412" s="3">
        <f>IF('ORDENES'!$A390="","",IF('ORDENES'!$AB390="","-",'ORDENES'!$AB390))</f>
        <v/>
      </c>
      <c r="H412" s="3">
        <f>IF('ORDENES'!$A390="","",IF('ORDENES'!$AN390="","-",'ORDENES'!$AN390))</f>
        <v/>
      </c>
      <c r="I412" s="3">
        <f>IF('ORDENES'!$A390="","",IF('ORDENES'!$D390="","-",'ORDENES'!$D390))</f>
        <v/>
      </c>
      <c r="J412" s="3">
        <f>IF('ORDENES'!$A390="","",IF('ORDENES'!$E390="","-",'ORDENES'!$E390))</f>
        <v/>
      </c>
      <c r="K412" s="12">
        <f>IF('ORDENES'!$A390="","",IF('ORDENES'!$M390="",0,'ORDENES'!$M390))</f>
        <v/>
      </c>
      <c r="L412" s="3">
        <f>IF('ORDENES'!$A390="","",IF('ORDENES'!$N390="","-",'ORDENES'!$N390))</f>
        <v/>
      </c>
      <c r="M412" s="3">
        <f>IF('ORDENES'!$A390="","",'ORDENES'!$AA390)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IF('ORDENES'!$A391="","",IF('ORDENES'!$AC391="","-",'ORDENES'!$AC391))</f>
        <v/>
      </c>
      <c r="D413" s="3">
        <f>IF('ORDENES'!$A391="","",IF('ORDENES'!$V391="","-",'ORDENES'!$V391))</f>
        <v/>
      </c>
      <c r="E413" s="3">
        <f>IF('ORDENES'!$A391="","",IF('ORDENES'!$U391="","-",'ORDENES'!$U391))</f>
        <v/>
      </c>
      <c r="F413" s="3">
        <f>IF('ORDENES'!$A391="","",IF('ORDENES'!$W391="","-",'ORDENES'!$W391))</f>
        <v/>
      </c>
      <c r="G413" s="3">
        <f>IF('ORDENES'!$A391="","",IF('ORDENES'!$AB391="","-",'ORDENES'!$AB391))</f>
        <v/>
      </c>
      <c r="H413" s="3">
        <f>IF('ORDENES'!$A391="","",IF('ORDENES'!$AN391="","-",'ORDENES'!$AN391))</f>
        <v/>
      </c>
      <c r="I413" s="3">
        <f>IF('ORDENES'!$A391="","",IF('ORDENES'!$D391="","-",'ORDENES'!$D391))</f>
        <v/>
      </c>
      <c r="J413" s="3">
        <f>IF('ORDENES'!$A391="","",IF('ORDENES'!$E391="","-",'ORDENES'!$E391))</f>
        <v/>
      </c>
      <c r="K413" s="12">
        <f>IF('ORDENES'!$A391="","",IF('ORDENES'!$M391="",0,'ORDENES'!$M391))</f>
        <v/>
      </c>
      <c r="L413" s="3">
        <f>IF('ORDENES'!$A391="","",IF('ORDENES'!$N391="","-",'ORDENES'!$N391))</f>
        <v/>
      </c>
      <c r="M413" s="3">
        <f>IF('ORDENES'!$A391="","",'ORDENES'!$AA391)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IF('ORDENES'!$A392="","",IF('ORDENES'!$AC392="","-",'ORDENES'!$AC392))</f>
        <v/>
      </c>
      <c r="D414" s="3">
        <f>IF('ORDENES'!$A392="","",IF('ORDENES'!$V392="","-",'ORDENES'!$V392))</f>
        <v/>
      </c>
      <c r="E414" s="3">
        <f>IF('ORDENES'!$A392="","",IF('ORDENES'!$U392="","-",'ORDENES'!$U392))</f>
        <v/>
      </c>
      <c r="F414" s="3">
        <f>IF('ORDENES'!$A392="","",IF('ORDENES'!$W392="","-",'ORDENES'!$W392))</f>
        <v/>
      </c>
      <c r="G414" s="3">
        <f>IF('ORDENES'!$A392="","",IF('ORDENES'!$AB392="","-",'ORDENES'!$AB392))</f>
        <v/>
      </c>
      <c r="H414" s="3">
        <f>IF('ORDENES'!$A392="","",IF('ORDENES'!$AN392="","-",'ORDENES'!$AN392))</f>
        <v/>
      </c>
      <c r="I414" s="3">
        <f>IF('ORDENES'!$A392="","",IF('ORDENES'!$D392="","-",'ORDENES'!$D392))</f>
        <v/>
      </c>
      <c r="J414" s="3">
        <f>IF('ORDENES'!$A392="","",IF('ORDENES'!$E392="","-",'ORDENES'!$E392))</f>
        <v/>
      </c>
      <c r="K414" s="12">
        <f>IF('ORDENES'!$A392="","",IF('ORDENES'!$M392="",0,'ORDENES'!$M392))</f>
        <v/>
      </c>
      <c r="L414" s="3">
        <f>IF('ORDENES'!$A392="","",IF('ORDENES'!$N392="","-",'ORDENES'!$N392))</f>
        <v/>
      </c>
      <c r="M414" s="3">
        <f>IF('ORDENES'!$A392="","",'ORDENES'!$AA392)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IF('ORDENES'!$A393="","",IF('ORDENES'!$AC393="","-",'ORDENES'!$AC393))</f>
        <v/>
      </c>
      <c r="D415" s="3">
        <f>IF('ORDENES'!$A393="","",IF('ORDENES'!$V393="","-",'ORDENES'!$V393))</f>
        <v/>
      </c>
      <c r="E415" s="3">
        <f>IF('ORDENES'!$A393="","",IF('ORDENES'!$U393="","-",'ORDENES'!$U393))</f>
        <v/>
      </c>
      <c r="F415" s="3">
        <f>IF('ORDENES'!$A393="","",IF('ORDENES'!$W393="","-",'ORDENES'!$W393))</f>
        <v/>
      </c>
      <c r="G415" s="3">
        <f>IF('ORDENES'!$A393="","",IF('ORDENES'!$AB393="","-",'ORDENES'!$AB393))</f>
        <v/>
      </c>
      <c r="H415" s="3">
        <f>IF('ORDENES'!$A393="","",IF('ORDENES'!$AN393="","-",'ORDENES'!$AN393))</f>
        <v/>
      </c>
      <c r="I415" s="3">
        <f>IF('ORDENES'!$A393="","",IF('ORDENES'!$D393="","-",'ORDENES'!$D393))</f>
        <v/>
      </c>
      <c r="J415" s="3">
        <f>IF('ORDENES'!$A393="","",IF('ORDENES'!$E393="","-",'ORDENES'!$E393))</f>
        <v/>
      </c>
      <c r="K415" s="12">
        <f>IF('ORDENES'!$A393="","",IF('ORDENES'!$M393="",0,'ORDENES'!$M393))</f>
        <v/>
      </c>
      <c r="L415" s="3">
        <f>IF('ORDENES'!$A393="","",IF('ORDENES'!$N393="","-",'ORDENES'!$N393))</f>
        <v/>
      </c>
      <c r="M415" s="3">
        <f>IF('ORDENES'!$A393="","",'ORDENES'!$AA393)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IF('ORDENES'!$A394="","",IF('ORDENES'!$AC394="","-",'ORDENES'!$AC394))</f>
        <v/>
      </c>
      <c r="D416" s="3">
        <f>IF('ORDENES'!$A394="","",IF('ORDENES'!$V394="","-",'ORDENES'!$V394))</f>
        <v/>
      </c>
      <c r="E416" s="3">
        <f>IF('ORDENES'!$A394="","",IF('ORDENES'!$U394="","-",'ORDENES'!$U394))</f>
        <v/>
      </c>
      <c r="F416" s="3">
        <f>IF('ORDENES'!$A394="","",IF('ORDENES'!$W394="","-",'ORDENES'!$W394))</f>
        <v/>
      </c>
      <c r="G416" s="3">
        <f>IF('ORDENES'!$A394="","",IF('ORDENES'!$AB394="","-",'ORDENES'!$AB394))</f>
        <v/>
      </c>
      <c r="H416" s="3">
        <f>IF('ORDENES'!$A394="","",IF('ORDENES'!$AN394="","-",'ORDENES'!$AN394))</f>
        <v/>
      </c>
      <c r="I416" s="3">
        <f>IF('ORDENES'!$A394="","",IF('ORDENES'!$D394="","-",'ORDENES'!$D394))</f>
        <v/>
      </c>
      <c r="J416" s="3">
        <f>IF('ORDENES'!$A394="","",IF('ORDENES'!$E394="","-",'ORDENES'!$E394))</f>
        <v/>
      </c>
      <c r="K416" s="12">
        <f>IF('ORDENES'!$A394="","",IF('ORDENES'!$M394="",0,'ORDENES'!$M394))</f>
        <v/>
      </c>
      <c r="L416" s="3">
        <f>IF('ORDENES'!$A394="","",IF('ORDENES'!$N394="","-",'ORDENES'!$N394))</f>
        <v/>
      </c>
      <c r="M416" s="3">
        <f>IF('ORDENES'!$A394="","",'ORDENES'!$AA394)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IF('ORDENES'!$A395="","",IF('ORDENES'!$AC395="","-",'ORDENES'!$AC395))</f>
        <v/>
      </c>
      <c r="D417" s="3">
        <f>IF('ORDENES'!$A395="","",IF('ORDENES'!$V395="","-",'ORDENES'!$V395))</f>
        <v/>
      </c>
      <c r="E417" s="3">
        <f>IF('ORDENES'!$A395="","",IF('ORDENES'!$U395="","-",'ORDENES'!$U395))</f>
        <v/>
      </c>
      <c r="F417" s="3">
        <f>IF('ORDENES'!$A395="","",IF('ORDENES'!$W395="","-",'ORDENES'!$W395))</f>
        <v/>
      </c>
      <c r="G417" s="3">
        <f>IF('ORDENES'!$A395="","",IF('ORDENES'!$AB395="","-",'ORDENES'!$AB395))</f>
        <v/>
      </c>
      <c r="H417" s="3">
        <f>IF('ORDENES'!$A395="","",IF('ORDENES'!$AN395="","-",'ORDENES'!$AN395))</f>
        <v/>
      </c>
      <c r="I417" s="3">
        <f>IF('ORDENES'!$A395="","",IF('ORDENES'!$D395="","-",'ORDENES'!$D395))</f>
        <v/>
      </c>
      <c r="J417" s="3">
        <f>IF('ORDENES'!$A395="","",IF('ORDENES'!$E395="","-",'ORDENES'!$E395))</f>
        <v/>
      </c>
      <c r="K417" s="12">
        <f>IF('ORDENES'!$A395="","",IF('ORDENES'!$M395="",0,'ORDENES'!$M395))</f>
        <v/>
      </c>
      <c r="L417" s="3">
        <f>IF('ORDENES'!$A395="","",IF('ORDENES'!$N395="","-",'ORDENES'!$N395))</f>
        <v/>
      </c>
      <c r="M417" s="3">
        <f>IF('ORDENES'!$A395="","",'ORDENES'!$AA395)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IF('ORDENES'!$A396="","",IF('ORDENES'!$AC396="","-",'ORDENES'!$AC396))</f>
        <v/>
      </c>
      <c r="D418" s="3">
        <f>IF('ORDENES'!$A396="","",IF('ORDENES'!$V396="","-",'ORDENES'!$V396))</f>
        <v/>
      </c>
      <c r="E418" s="3">
        <f>IF('ORDENES'!$A396="","",IF('ORDENES'!$U396="","-",'ORDENES'!$U396))</f>
        <v/>
      </c>
      <c r="F418" s="3">
        <f>IF('ORDENES'!$A396="","",IF('ORDENES'!$W396="","-",'ORDENES'!$W396))</f>
        <v/>
      </c>
      <c r="G418" s="3">
        <f>IF('ORDENES'!$A396="","",IF('ORDENES'!$AB396="","-",'ORDENES'!$AB396))</f>
        <v/>
      </c>
      <c r="H418" s="3">
        <f>IF('ORDENES'!$A396="","",IF('ORDENES'!$AN396="","-",'ORDENES'!$AN396))</f>
        <v/>
      </c>
      <c r="I418" s="3">
        <f>IF('ORDENES'!$A396="","",IF('ORDENES'!$D396="","-",'ORDENES'!$D396))</f>
        <v/>
      </c>
      <c r="J418" s="3">
        <f>IF('ORDENES'!$A396="","",IF('ORDENES'!$E396="","-",'ORDENES'!$E396))</f>
        <v/>
      </c>
      <c r="K418" s="12">
        <f>IF('ORDENES'!$A396="","",IF('ORDENES'!$M396="",0,'ORDENES'!$M396))</f>
        <v/>
      </c>
      <c r="L418" s="3">
        <f>IF('ORDENES'!$A396="","",IF('ORDENES'!$N396="","-",'ORDENES'!$N396))</f>
        <v/>
      </c>
      <c r="M418" s="3">
        <f>IF('ORDENES'!$A396="","",'ORDENES'!$AA396)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IF('ORDENES'!$A397="","",IF('ORDENES'!$AC397="","-",'ORDENES'!$AC397))</f>
        <v/>
      </c>
      <c r="D419" s="3">
        <f>IF('ORDENES'!$A397="","",IF('ORDENES'!$V397="","-",'ORDENES'!$V397))</f>
        <v/>
      </c>
      <c r="E419" s="3">
        <f>IF('ORDENES'!$A397="","",IF('ORDENES'!$U397="","-",'ORDENES'!$U397))</f>
        <v/>
      </c>
      <c r="F419" s="3">
        <f>IF('ORDENES'!$A397="","",IF('ORDENES'!$W397="","-",'ORDENES'!$W397))</f>
        <v/>
      </c>
      <c r="G419" s="3">
        <f>IF('ORDENES'!$A397="","",IF('ORDENES'!$AB397="","-",'ORDENES'!$AB397))</f>
        <v/>
      </c>
      <c r="H419" s="3">
        <f>IF('ORDENES'!$A397="","",IF('ORDENES'!$AN397="","-",'ORDENES'!$AN397))</f>
        <v/>
      </c>
      <c r="I419" s="3">
        <f>IF('ORDENES'!$A397="","",IF('ORDENES'!$D397="","-",'ORDENES'!$D397))</f>
        <v/>
      </c>
      <c r="J419" s="3">
        <f>IF('ORDENES'!$A397="","",IF('ORDENES'!$E397="","-",'ORDENES'!$E397))</f>
        <v/>
      </c>
      <c r="K419" s="12">
        <f>IF('ORDENES'!$A397="","",IF('ORDENES'!$M397="",0,'ORDENES'!$M397))</f>
        <v/>
      </c>
      <c r="L419" s="3">
        <f>IF('ORDENES'!$A397="","",IF('ORDENES'!$N397="","-",'ORDENES'!$N397))</f>
        <v/>
      </c>
      <c r="M419" s="3">
        <f>IF('ORDENES'!$A397="","",'ORDENES'!$AA397)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IF('ORDENES'!$A398="","",IF('ORDENES'!$AC398="","-",'ORDENES'!$AC398))</f>
        <v/>
      </c>
      <c r="D420" s="3">
        <f>IF('ORDENES'!$A398="","",IF('ORDENES'!$V398="","-",'ORDENES'!$V398))</f>
        <v/>
      </c>
      <c r="E420" s="3">
        <f>IF('ORDENES'!$A398="","",IF('ORDENES'!$U398="","-",'ORDENES'!$U398))</f>
        <v/>
      </c>
      <c r="F420" s="3">
        <f>IF('ORDENES'!$A398="","",IF('ORDENES'!$W398="","-",'ORDENES'!$W398))</f>
        <v/>
      </c>
      <c r="G420" s="3">
        <f>IF('ORDENES'!$A398="","",IF('ORDENES'!$AB398="","-",'ORDENES'!$AB398))</f>
        <v/>
      </c>
      <c r="H420" s="3">
        <f>IF('ORDENES'!$A398="","",IF('ORDENES'!$AN398="","-",'ORDENES'!$AN398))</f>
        <v/>
      </c>
      <c r="I420" s="3">
        <f>IF('ORDENES'!$A398="","",IF('ORDENES'!$D398="","-",'ORDENES'!$D398))</f>
        <v/>
      </c>
      <c r="J420" s="3">
        <f>IF('ORDENES'!$A398="","",IF('ORDENES'!$E398="","-",'ORDENES'!$E398))</f>
        <v/>
      </c>
      <c r="K420" s="12">
        <f>IF('ORDENES'!$A398="","",IF('ORDENES'!$M398="",0,'ORDENES'!$M398))</f>
        <v/>
      </c>
      <c r="L420" s="3">
        <f>IF('ORDENES'!$A398="","",IF('ORDENES'!$N398="","-",'ORDENES'!$N398))</f>
        <v/>
      </c>
      <c r="M420" s="3">
        <f>IF('ORDENES'!$A398="","",'ORDENES'!$AA398)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IF('ORDENES'!$A399="","",IF('ORDENES'!$AC399="","-",'ORDENES'!$AC399))</f>
        <v/>
      </c>
      <c r="D421" s="3">
        <f>IF('ORDENES'!$A399="","",IF('ORDENES'!$V399="","-",'ORDENES'!$V399))</f>
        <v/>
      </c>
      <c r="E421" s="3">
        <f>IF('ORDENES'!$A399="","",IF('ORDENES'!$U399="","-",'ORDENES'!$U399))</f>
        <v/>
      </c>
      <c r="F421" s="3">
        <f>IF('ORDENES'!$A399="","",IF('ORDENES'!$W399="","-",'ORDENES'!$W399))</f>
        <v/>
      </c>
      <c r="G421" s="3">
        <f>IF('ORDENES'!$A399="","",IF('ORDENES'!$AB399="","-",'ORDENES'!$AB399))</f>
        <v/>
      </c>
      <c r="H421" s="3">
        <f>IF('ORDENES'!$A399="","",IF('ORDENES'!$AN399="","-",'ORDENES'!$AN399))</f>
        <v/>
      </c>
      <c r="I421" s="3">
        <f>IF('ORDENES'!$A399="","",IF('ORDENES'!$D399="","-",'ORDENES'!$D399))</f>
        <v/>
      </c>
      <c r="J421" s="3">
        <f>IF('ORDENES'!$A399="","",IF('ORDENES'!$E399="","-",'ORDENES'!$E399))</f>
        <v/>
      </c>
      <c r="K421" s="12">
        <f>IF('ORDENES'!$A399="","",IF('ORDENES'!$M399="",0,'ORDENES'!$M399))</f>
        <v/>
      </c>
      <c r="L421" s="3">
        <f>IF('ORDENES'!$A399="","",IF('ORDENES'!$N399="","-",'ORDENES'!$N399))</f>
        <v/>
      </c>
      <c r="M421" s="3">
        <f>IF('ORDENES'!$A399="","",'ORDENES'!$AA399)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IF('ORDENES'!$A400="","",IF('ORDENES'!$AC400="","-",'ORDENES'!$AC400))</f>
        <v/>
      </c>
      <c r="D422" s="3">
        <f>IF('ORDENES'!$A400="","",IF('ORDENES'!$V400="","-",'ORDENES'!$V400))</f>
        <v/>
      </c>
      <c r="E422" s="3">
        <f>IF('ORDENES'!$A400="","",IF('ORDENES'!$U400="","-",'ORDENES'!$U400))</f>
        <v/>
      </c>
      <c r="F422" s="3">
        <f>IF('ORDENES'!$A400="","",IF('ORDENES'!$W400="","-",'ORDENES'!$W400))</f>
        <v/>
      </c>
      <c r="G422" s="3">
        <f>IF('ORDENES'!$A400="","",IF('ORDENES'!$AB400="","-",'ORDENES'!$AB400))</f>
        <v/>
      </c>
      <c r="H422" s="3">
        <f>IF('ORDENES'!$A400="","",IF('ORDENES'!$AN400="","-",'ORDENES'!$AN400))</f>
        <v/>
      </c>
      <c r="I422" s="3">
        <f>IF('ORDENES'!$A400="","",IF('ORDENES'!$D400="","-",'ORDENES'!$D400))</f>
        <v/>
      </c>
      <c r="J422" s="3">
        <f>IF('ORDENES'!$A400="","",IF('ORDENES'!$E400="","-",'ORDENES'!$E400))</f>
        <v/>
      </c>
      <c r="K422" s="12">
        <f>IF('ORDENES'!$A400="","",IF('ORDENES'!$M400="",0,'ORDENES'!$M400))</f>
        <v/>
      </c>
      <c r="L422" s="3">
        <f>IF('ORDENES'!$A400="","",IF('ORDENES'!$N400="","-",'ORDENES'!$N400))</f>
        <v/>
      </c>
      <c r="M422" s="3">
        <f>IF('ORDENES'!$A400="","",'ORDENES'!$AA400)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IF('ORDENES'!$A401="","",IF('ORDENES'!$AC401="","-",'ORDENES'!$AC401))</f>
        <v/>
      </c>
      <c r="D423" s="3">
        <f>IF('ORDENES'!$A401="","",IF('ORDENES'!$V401="","-",'ORDENES'!$V401))</f>
        <v/>
      </c>
      <c r="E423" s="3">
        <f>IF('ORDENES'!$A401="","",IF('ORDENES'!$U401="","-",'ORDENES'!$U401))</f>
        <v/>
      </c>
      <c r="F423" s="3">
        <f>IF('ORDENES'!$A401="","",IF('ORDENES'!$W401="","-",'ORDENES'!$W401))</f>
        <v/>
      </c>
      <c r="G423" s="3">
        <f>IF('ORDENES'!$A401="","",IF('ORDENES'!$AB401="","-",'ORDENES'!$AB401))</f>
        <v/>
      </c>
      <c r="H423" s="3">
        <f>IF('ORDENES'!$A401="","",IF('ORDENES'!$AN401="","-",'ORDENES'!$AN401))</f>
        <v/>
      </c>
      <c r="I423" s="3">
        <f>IF('ORDENES'!$A401="","",IF('ORDENES'!$D401="","-",'ORDENES'!$D401))</f>
        <v/>
      </c>
      <c r="J423" s="3">
        <f>IF('ORDENES'!$A401="","",IF('ORDENES'!$E401="","-",'ORDENES'!$E401))</f>
        <v/>
      </c>
      <c r="K423" s="12">
        <f>IF('ORDENES'!$A401="","",IF('ORDENES'!$M401="",0,'ORDENES'!$M401))</f>
        <v/>
      </c>
      <c r="L423" s="3">
        <f>IF('ORDENES'!$A401="","",IF('ORDENES'!$N401="","-",'ORDENES'!$N401))</f>
        <v/>
      </c>
      <c r="M423" s="3">
        <f>IF('ORDENES'!$A401="","",'ORDENES'!$AA401)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IF('ORDENES'!$A402="","",IF('ORDENES'!$AC402="","-",'ORDENES'!$AC402))</f>
        <v/>
      </c>
      <c r="D424" s="3">
        <f>IF('ORDENES'!$A402="","",IF('ORDENES'!$V402="","-",'ORDENES'!$V402))</f>
        <v/>
      </c>
      <c r="E424" s="3">
        <f>IF('ORDENES'!$A402="","",IF('ORDENES'!$U402="","-",'ORDENES'!$U402))</f>
        <v/>
      </c>
      <c r="F424" s="3">
        <f>IF('ORDENES'!$A402="","",IF('ORDENES'!$W402="","-",'ORDENES'!$W402))</f>
        <v/>
      </c>
      <c r="G424" s="3">
        <f>IF('ORDENES'!$A402="","",IF('ORDENES'!$AB402="","-",'ORDENES'!$AB402))</f>
        <v/>
      </c>
      <c r="H424" s="3">
        <f>IF('ORDENES'!$A402="","",IF('ORDENES'!$AN402="","-",'ORDENES'!$AN402))</f>
        <v/>
      </c>
      <c r="I424" s="3">
        <f>IF('ORDENES'!$A402="","",IF('ORDENES'!$D402="","-",'ORDENES'!$D402))</f>
        <v/>
      </c>
      <c r="J424" s="3">
        <f>IF('ORDENES'!$A402="","",IF('ORDENES'!$E402="","-",'ORDENES'!$E402))</f>
        <v/>
      </c>
      <c r="K424" s="12">
        <f>IF('ORDENES'!$A402="","",IF('ORDENES'!$M402="",0,'ORDENES'!$M402))</f>
        <v/>
      </c>
      <c r="L424" s="3">
        <f>IF('ORDENES'!$A402="","",IF('ORDENES'!$N402="","-",'ORDENES'!$N402))</f>
        <v/>
      </c>
      <c r="M424" s="3">
        <f>IF('ORDENES'!$A402="","",'ORDENES'!$AA402)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IF('ORDENES'!$A403="","",IF('ORDENES'!$AC403="","-",'ORDENES'!$AC403))</f>
        <v/>
      </c>
      <c r="D425" s="3">
        <f>IF('ORDENES'!$A403="","",IF('ORDENES'!$V403="","-",'ORDENES'!$V403))</f>
        <v/>
      </c>
      <c r="E425" s="3">
        <f>IF('ORDENES'!$A403="","",IF('ORDENES'!$U403="","-",'ORDENES'!$U403))</f>
        <v/>
      </c>
      <c r="F425" s="3">
        <f>IF('ORDENES'!$A403="","",IF('ORDENES'!$W403="","-",'ORDENES'!$W403))</f>
        <v/>
      </c>
      <c r="G425" s="3">
        <f>IF('ORDENES'!$A403="","",IF('ORDENES'!$AB403="","-",'ORDENES'!$AB403))</f>
        <v/>
      </c>
      <c r="H425" s="3">
        <f>IF('ORDENES'!$A403="","",IF('ORDENES'!$AN403="","-",'ORDENES'!$AN403))</f>
        <v/>
      </c>
      <c r="I425" s="3">
        <f>IF('ORDENES'!$A403="","",IF('ORDENES'!$D403="","-",'ORDENES'!$D403))</f>
        <v/>
      </c>
      <c r="J425" s="3">
        <f>IF('ORDENES'!$A403="","",IF('ORDENES'!$E403="","-",'ORDENES'!$E403))</f>
        <v/>
      </c>
      <c r="K425" s="12">
        <f>IF('ORDENES'!$A403="","",IF('ORDENES'!$M403="",0,'ORDENES'!$M403))</f>
        <v/>
      </c>
      <c r="L425" s="3">
        <f>IF('ORDENES'!$A403="","",IF('ORDENES'!$N403="","-",'ORDENES'!$N403))</f>
        <v/>
      </c>
      <c r="M425" s="3">
        <f>IF('ORDENES'!$A403="","",'ORDENES'!$AA403)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IF('ORDENES'!$A404="","",IF('ORDENES'!$AC404="","-",'ORDENES'!$AC404))</f>
        <v/>
      </c>
      <c r="D426" s="3">
        <f>IF('ORDENES'!$A404="","",IF('ORDENES'!$V404="","-",'ORDENES'!$V404))</f>
        <v/>
      </c>
      <c r="E426" s="3">
        <f>IF('ORDENES'!$A404="","",IF('ORDENES'!$U404="","-",'ORDENES'!$U404))</f>
        <v/>
      </c>
      <c r="F426" s="3">
        <f>IF('ORDENES'!$A404="","",IF('ORDENES'!$W404="","-",'ORDENES'!$W404))</f>
        <v/>
      </c>
      <c r="G426" s="3">
        <f>IF('ORDENES'!$A404="","",IF('ORDENES'!$AB404="","-",'ORDENES'!$AB404))</f>
        <v/>
      </c>
      <c r="H426" s="3">
        <f>IF('ORDENES'!$A404="","",IF('ORDENES'!$AN404="","-",'ORDENES'!$AN404))</f>
        <v/>
      </c>
      <c r="I426" s="3">
        <f>IF('ORDENES'!$A404="","",IF('ORDENES'!$D404="","-",'ORDENES'!$D404))</f>
        <v/>
      </c>
      <c r="J426" s="3">
        <f>IF('ORDENES'!$A404="","",IF('ORDENES'!$E404="","-",'ORDENES'!$E404))</f>
        <v/>
      </c>
      <c r="K426" s="12">
        <f>IF('ORDENES'!$A404="","",IF('ORDENES'!$M404="",0,'ORDENES'!$M404))</f>
        <v/>
      </c>
      <c r="L426" s="3">
        <f>IF('ORDENES'!$A404="","",IF('ORDENES'!$N404="","-",'ORDENES'!$N404))</f>
        <v/>
      </c>
      <c r="M426" s="3">
        <f>IF('ORDENES'!$A404="","",'ORDENES'!$AA404)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IF('ORDENES'!$A405="","",IF('ORDENES'!$AC405="","-",'ORDENES'!$AC405))</f>
        <v/>
      </c>
      <c r="D427" s="3">
        <f>IF('ORDENES'!$A405="","",IF('ORDENES'!$V405="","-",'ORDENES'!$V405))</f>
        <v/>
      </c>
      <c r="E427" s="3">
        <f>IF('ORDENES'!$A405="","",IF('ORDENES'!$U405="","-",'ORDENES'!$U405))</f>
        <v/>
      </c>
      <c r="F427" s="3">
        <f>IF('ORDENES'!$A405="","",IF('ORDENES'!$W405="","-",'ORDENES'!$W405))</f>
        <v/>
      </c>
      <c r="G427" s="3">
        <f>IF('ORDENES'!$A405="","",IF('ORDENES'!$AB405="","-",'ORDENES'!$AB405))</f>
        <v/>
      </c>
      <c r="H427" s="3">
        <f>IF('ORDENES'!$A405="","",IF('ORDENES'!$AN405="","-",'ORDENES'!$AN405))</f>
        <v/>
      </c>
      <c r="I427" s="3">
        <f>IF('ORDENES'!$A405="","",IF('ORDENES'!$D405="","-",'ORDENES'!$D405))</f>
        <v/>
      </c>
      <c r="J427" s="3">
        <f>IF('ORDENES'!$A405="","",IF('ORDENES'!$E405="","-",'ORDENES'!$E405))</f>
        <v/>
      </c>
      <c r="K427" s="12">
        <f>IF('ORDENES'!$A405="","",IF('ORDENES'!$M405="",0,'ORDENES'!$M405))</f>
        <v/>
      </c>
      <c r="L427" s="3">
        <f>IF('ORDENES'!$A405="","",IF('ORDENES'!$N405="","-",'ORDENES'!$N405))</f>
        <v/>
      </c>
      <c r="M427" s="3">
        <f>IF('ORDENES'!$A405="","",'ORDENES'!$AA405)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IF('ORDENES'!$A406="","",IF('ORDENES'!$AC406="","-",'ORDENES'!$AC406))</f>
        <v/>
      </c>
      <c r="D428" s="3">
        <f>IF('ORDENES'!$A406="","",IF('ORDENES'!$V406="","-",'ORDENES'!$V406))</f>
        <v/>
      </c>
      <c r="E428" s="3">
        <f>IF('ORDENES'!$A406="","",IF('ORDENES'!$U406="","-",'ORDENES'!$U406))</f>
        <v/>
      </c>
      <c r="F428" s="3">
        <f>IF('ORDENES'!$A406="","",IF('ORDENES'!$W406="","-",'ORDENES'!$W406))</f>
        <v/>
      </c>
      <c r="G428" s="3">
        <f>IF('ORDENES'!$A406="","",IF('ORDENES'!$AB406="","-",'ORDENES'!$AB406))</f>
        <v/>
      </c>
      <c r="H428" s="3">
        <f>IF('ORDENES'!$A406="","",IF('ORDENES'!$AN406="","-",'ORDENES'!$AN406))</f>
        <v/>
      </c>
      <c r="I428" s="3">
        <f>IF('ORDENES'!$A406="","",IF('ORDENES'!$D406="","-",'ORDENES'!$D406))</f>
        <v/>
      </c>
      <c r="J428" s="3">
        <f>IF('ORDENES'!$A406="","",IF('ORDENES'!$E406="","-",'ORDENES'!$E406))</f>
        <v/>
      </c>
      <c r="K428" s="12">
        <f>IF('ORDENES'!$A406="","",IF('ORDENES'!$M406="",0,'ORDENES'!$M406))</f>
        <v/>
      </c>
      <c r="L428" s="3">
        <f>IF('ORDENES'!$A406="","",IF('ORDENES'!$N406="","-",'ORDENES'!$N406))</f>
        <v/>
      </c>
      <c r="M428" s="3">
        <f>IF('ORDENES'!$A406="","",'ORDENES'!$AA406)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IF('ORDENES'!$A407="","",IF('ORDENES'!$AC407="","-",'ORDENES'!$AC407))</f>
        <v/>
      </c>
      <c r="D429" s="3">
        <f>IF('ORDENES'!$A407="","",IF('ORDENES'!$V407="","-",'ORDENES'!$V407))</f>
        <v/>
      </c>
      <c r="E429" s="3">
        <f>IF('ORDENES'!$A407="","",IF('ORDENES'!$U407="","-",'ORDENES'!$U407))</f>
        <v/>
      </c>
      <c r="F429" s="3">
        <f>IF('ORDENES'!$A407="","",IF('ORDENES'!$W407="","-",'ORDENES'!$W407))</f>
        <v/>
      </c>
      <c r="G429" s="3">
        <f>IF('ORDENES'!$A407="","",IF('ORDENES'!$AB407="","-",'ORDENES'!$AB407))</f>
        <v/>
      </c>
      <c r="H429" s="3">
        <f>IF('ORDENES'!$A407="","",IF('ORDENES'!$AN407="","-",'ORDENES'!$AN407))</f>
        <v/>
      </c>
      <c r="I429" s="3">
        <f>IF('ORDENES'!$A407="","",IF('ORDENES'!$D407="","-",'ORDENES'!$D407))</f>
        <v/>
      </c>
      <c r="J429" s="3">
        <f>IF('ORDENES'!$A407="","",IF('ORDENES'!$E407="","-",'ORDENES'!$E407))</f>
        <v/>
      </c>
      <c r="K429" s="12">
        <f>IF('ORDENES'!$A407="","",IF('ORDENES'!$M407="",0,'ORDENES'!$M407))</f>
        <v/>
      </c>
      <c r="L429" s="3">
        <f>IF('ORDENES'!$A407="","",IF('ORDENES'!$N407="","-",'ORDENES'!$N407))</f>
        <v/>
      </c>
      <c r="M429" s="3">
        <f>IF('ORDENES'!$A407="","",'ORDENES'!$AA407)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IF('ORDENES'!$A408="","",IF('ORDENES'!$AC408="","-",'ORDENES'!$AC408))</f>
        <v/>
      </c>
      <c r="D430" s="3">
        <f>IF('ORDENES'!$A408="","",IF('ORDENES'!$V408="","-",'ORDENES'!$V408))</f>
        <v/>
      </c>
      <c r="E430" s="3">
        <f>IF('ORDENES'!$A408="","",IF('ORDENES'!$U408="","-",'ORDENES'!$U408))</f>
        <v/>
      </c>
      <c r="F430" s="3">
        <f>IF('ORDENES'!$A408="","",IF('ORDENES'!$W408="","-",'ORDENES'!$W408))</f>
        <v/>
      </c>
      <c r="G430" s="3">
        <f>IF('ORDENES'!$A408="","",IF('ORDENES'!$AB408="","-",'ORDENES'!$AB408))</f>
        <v/>
      </c>
      <c r="H430" s="3">
        <f>IF('ORDENES'!$A408="","",IF('ORDENES'!$AN408="","-",'ORDENES'!$AN408))</f>
        <v/>
      </c>
      <c r="I430" s="3">
        <f>IF('ORDENES'!$A408="","",IF('ORDENES'!$D408="","-",'ORDENES'!$D408))</f>
        <v/>
      </c>
      <c r="J430" s="3">
        <f>IF('ORDENES'!$A408="","",IF('ORDENES'!$E408="","-",'ORDENES'!$E408))</f>
        <v/>
      </c>
      <c r="K430" s="12">
        <f>IF('ORDENES'!$A408="","",IF('ORDENES'!$M408="",0,'ORDENES'!$M408))</f>
        <v/>
      </c>
      <c r="L430" s="3">
        <f>IF('ORDENES'!$A408="","",IF('ORDENES'!$N408="","-",'ORDENES'!$N408))</f>
        <v/>
      </c>
      <c r="M430" s="3">
        <f>IF('ORDENES'!$A408="","",'ORDENES'!$AA408)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IF('ORDENES'!$A409="","",IF('ORDENES'!$AC409="","-",'ORDENES'!$AC409))</f>
        <v/>
      </c>
      <c r="D431" s="3">
        <f>IF('ORDENES'!$A409="","",IF('ORDENES'!$V409="","-",'ORDENES'!$V409))</f>
        <v/>
      </c>
      <c r="E431" s="3">
        <f>IF('ORDENES'!$A409="","",IF('ORDENES'!$U409="","-",'ORDENES'!$U409))</f>
        <v/>
      </c>
      <c r="F431" s="3">
        <f>IF('ORDENES'!$A409="","",IF('ORDENES'!$W409="","-",'ORDENES'!$W409))</f>
        <v/>
      </c>
      <c r="G431" s="3">
        <f>IF('ORDENES'!$A409="","",IF('ORDENES'!$AB409="","-",'ORDENES'!$AB409))</f>
        <v/>
      </c>
      <c r="H431" s="3">
        <f>IF('ORDENES'!$A409="","",IF('ORDENES'!$AN409="","-",'ORDENES'!$AN409))</f>
        <v/>
      </c>
      <c r="I431" s="3">
        <f>IF('ORDENES'!$A409="","",IF('ORDENES'!$D409="","-",'ORDENES'!$D409))</f>
        <v/>
      </c>
      <c r="J431" s="3">
        <f>IF('ORDENES'!$A409="","",IF('ORDENES'!$E409="","-",'ORDENES'!$E409))</f>
        <v/>
      </c>
      <c r="K431" s="12">
        <f>IF('ORDENES'!$A409="","",IF('ORDENES'!$M409="",0,'ORDENES'!$M409))</f>
        <v/>
      </c>
      <c r="L431" s="3">
        <f>IF('ORDENES'!$A409="","",IF('ORDENES'!$N409="","-",'ORDENES'!$N409))</f>
        <v/>
      </c>
      <c r="M431" s="3">
        <f>IF('ORDENES'!$A409="","",'ORDENES'!$AA409)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IF('ORDENES'!$A410="","",IF('ORDENES'!$AC410="","-",'ORDENES'!$AC410))</f>
        <v/>
      </c>
      <c r="D432" s="3">
        <f>IF('ORDENES'!$A410="","",IF('ORDENES'!$V410="","-",'ORDENES'!$V410))</f>
        <v/>
      </c>
      <c r="E432" s="3">
        <f>IF('ORDENES'!$A410="","",IF('ORDENES'!$U410="","-",'ORDENES'!$U410))</f>
        <v/>
      </c>
      <c r="F432" s="3">
        <f>IF('ORDENES'!$A410="","",IF('ORDENES'!$W410="","-",'ORDENES'!$W410))</f>
        <v/>
      </c>
      <c r="G432" s="3">
        <f>IF('ORDENES'!$A410="","",IF('ORDENES'!$AB410="","-",'ORDENES'!$AB410))</f>
        <v/>
      </c>
      <c r="H432" s="3">
        <f>IF('ORDENES'!$A410="","",IF('ORDENES'!$AN410="","-",'ORDENES'!$AN410))</f>
        <v/>
      </c>
      <c r="I432" s="3">
        <f>IF('ORDENES'!$A410="","",IF('ORDENES'!$D410="","-",'ORDENES'!$D410))</f>
        <v/>
      </c>
      <c r="J432" s="3">
        <f>IF('ORDENES'!$A410="","",IF('ORDENES'!$E410="","-",'ORDENES'!$E410))</f>
        <v/>
      </c>
      <c r="K432" s="12">
        <f>IF('ORDENES'!$A410="","",IF('ORDENES'!$M410="",0,'ORDENES'!$M410))</f>
        <v/>
      </c>
      <c r="L432" s="3">
        <f>IF('ORDENES'!$A410="","",IF('ORDENES'!$N410="","-",'ORDENES'!$N410))</f>
        <v/>
      </c>
      <c r="M432" s="3">
        <f>IF('ORDENES'!$A410="","",'ORDENES'!$AA410)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IF('ORDENES'!$A411="","",IF('ORDENES'!$AC411="","-",'ORDENES'!$AC411))</f>
        <v/>
      </c>
      <c r="D433" s="3">
        <f>IF('ORDENES'!$A411="","",IF('ORDENES'!$V411="","-",'ORDENES'!$V411))</f>
        <v/>
      </c>
      <c r="E433" s="3">
        <f>IF('ORDENES'!$A411="","",IF('ORDENES'!$U411="","-",'ORDENES'!$U411))</f>
        <v/>
      </c>
      <c r="F433" s="3">
        <f>IF('ORDENES'!$A411="","",IF('ORDENES'!$W411="","-",'ORDENES'!$W411))</f>
        <v/>
      </c>
      <c r="G433" s="3">
        <f>IF('ORDENES'!$A411="","",IF('ORDENES'!$AB411="","-",'ORDENES'!$AB411))</f>
        <v/>
      </c>
      <c r="H433" s="3">
        <f>IF('ORDENES'!$A411="","",IF('ORDENES'!$AN411="","-",'ORDENES'!$AN411))</f>
        <v/>
      </c>
      <c r="I433" s="3">
        <f>IF('ORDENES'!$A411="","",IF('ORDENES'!$D411="","-",'ORDENES'!$D411))</f>
        <v/>
      </c>
      <c r="J433" s="3">
        <f>IF('ORDENES'!$A411="","",IF('ORDENES'!$E411="","-",'ORDENES'!$E411))</f>
        <v/>
      </c>
      <c r="K433" s="12">
        <f>IF('ORDENES'!$A411="","",IF('ORDENES'!$M411="",0,'ORDENES'!$M411))</f>
        <v/>
      </c>
      <c r="L433" s="3">
        <f>IF('ORDENES'!$A411="","",IF('ORDENES'!$N411="","-",'ORDENES'!$N411))</f>
        <v/>
      </c>
      <c r="M433" s="3">
        <f>IF('ORDENES'!$A411="","",'ORDENES'!$AA411)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IF('ORDENES'!$A412="","",IF('ORDENES'!$AC412="","-",'ORDENES'!$AC412))</f>
        <v/>
      </c>
      <c r="D434" s="3">
        <f>IF('ORDENES'!$A412="","",IF('ORDENES'!$V412="","-",'ORDENES'!$V412))</f>
        <v/>
      </c>
      <c r="E434" s="3">
        <f>IF('ORDENES'!$A412="","",IF('ORDENES'!$U412="","-",'ORDENES'!$U412))</f>
        <v/>
      </c>
      <c r="F434" s="3">
        <f>IF('ORDENES'!$A412="","",IF('ORDENES'!$W412="","-",'ORDENES'!$W412))</f>
        <v/>
      </c>
      <c r="G434" s="3">
        <f>IF('ORDENES'!$A412="","",IF('ORDENES'!$AB412="","-",'ORDENES'!$AB412))</f>
        <v/>
      </c>
      <c r="H434" s="3">
        <f>IF('ORDENES'!$A412="","",IF('ORDENES'!$AN412="","-",'ORDENES'!$AN412))</f>
        <v/>
      </c>
      <c r="I434" s="3">
        <f>IF('ORDENES'!$A412="","",IF('ORDENES'!$D412="","-",'ORDENES'!$D412))</f>
        <v/>
      </c>
      <c r="J434" s="3">
        <f>IF('ORDENES'!$A412="","",IF('ORDENES'!$E412="","-",'ORDENES'!$E412))</f>
        <v/>
      </c>
      <c r="K434" s="12">
        <f>IF('ORDENES'!$A412="","",IF('ORDENES'!$M412="",0,'ORDENES'!$M412))</f>
        <v/>
      </c>
      <c r="L434" s="3">
        <f>IF('ORDENES'!$A412="","",IF('ORDENES'!$N412="","-",'ORDENES'!$N412))</f>
        <v/>
      </c>
      <c r="M434" s="3">
        <f>IF('ORDENES'!$A412="","",'ORDENES'!$AA412)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IF('ORDENES'!$A413="","",IF('ORDENES'!$AC413="","-",'ORDENES'!$AC413))</f>
        <v/>
      </c>
      <c r="D435" s="3">
        <f>IF('ORDENES'!$A413="","",IF('ORDENES'!$V413="","-",'ORDENES'!$V413))</f>
        <v/>
      </c>
      <c r="E435" s="3">
        <f>IF('ORDENES'!$A413="","",IF('ORDENES'!$U413="","-",'ORDENES'!$U413))</f>
        <v/>
      </c>
      <c r="F435" s="3">
        <f>IF('ORDENES'!$A413="","",IF('ORDENES'!$W413="","-",'ORDENES'!$W413))</f>
        <v/>
      </c>
      <c r="G435" s="3">
        <f>IF('ORDENES'!$A413="","",IF('ORDENES'!$AB413="","-",'ORDENES'!$AB413))</f>
        <v/>
      </c>
      <c r="H435" s="3">
        <f>IF('ORDENES'!$A413="","",IF('ORDENES'!$AN413="","-",'ORDENES'!$AN413))</f>
        <v/>
      </c>
      <c r="I435" s="3">
        <f>IF('ORDENES'!$A413="","",IF('ORDENES'!$D413="","-",'ORDENES'!$D413))</f>
        <v/>
      </c>
      <c r="J435" s="3">
        <f>IF('ORDENES'!$A413="","",IF('ORDENES'!$E413="","-",'ORDENES'!$E413))</f>
        <v/>
      </c>
      <c r="K435" s="12">
        <f>IF('ORDENES'!$A413="","",IF('ORDENES'!$M413="",0,'ORDENES'!$M413))</f>
        <v/>
      </c>
      <c r="L435" s="3">
        <f>IF('ORDENES'!$A413="","",IF('ORDENES'!$N413="","-",'ORDENES'!$N413))</f>
        <v/>
      </c>
      <c r="M435" s="3">
        <f>IF('ORDENES'!$A413="","",'ORDENES'!$AA413)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IF('ORDENES'!$A414="","",IF('ORDENES'!$AC414="","-",'ORDENES'!$AC414))</f>
        <v/>
      </c>
      <c r="D436" s="3">
        <f>IF('ORDENES'!$A414="","",IF('ORDENES'!$V414="","-",'ORDENES'!$V414))</f>
        <v/>
      </c>
      <c r="E436" s="3">
        <f>IF('ORDENES'!$A414="","",IF('ORDENES'!$U414="","-",'ORDENES'!$U414))</f>
        <v/>
      </c>
      <c r="F436" s="3">
        <f>IF('ORDENES'!$A414="","",IF('ORDENES'!$W414="","-",'ORDENES'!$W414))</f>
        <v/>
      </c>
      <c r="G436" s="3">
        <f>IF('ORDENES'!$A414="","",IF('ORDENES'!$AB414="","-",'ORDENES'!$AB414))</f>
        <v/>
      </c>
      <c r="H436" s="3">
        <f>IF('ORDENES'!$A414="","",IF('ORDENES'!$AN414="","-",'ORDENES'!$AN414))</f>
        <v/>
      </c>
      <c r="I436" s="3">
        <f>IF('ORDENES'!$A414="","",IF('ORDENES'!$D414="","-",'ORDENES'!$D414))</f>
        <v/>
      </c>
      <c r="J436" s="3">
        <f>IF('ORDENES'!$A414="","",IF('ORDENES'!$E414="","-",'ORDENES'!$E414))</f>
        <v/>
      </c>
      <c r="K436" s="12">
        <f>IF('ORDENES'!$A414="","",IF('ORDENES'!$M414="",0,'ORDENES'!$M414))</f>
        <v/>
      </c>
      <c r="L436" s="3">
        <f>IF('ORDENES'!$A414="","",IF('ORDENES'!$N414="","-",'ORDENES'!$N414))</f>
        <v/>
      </c>
      <c r="M436" s="3">
        <f>IF('ORDENES'!$A414="","",'ORDENES'!$AA414)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IF('ORDENES'!$A415="","",IF('ORDENES'!$AC415="","-",'ORDENES'!$AC415))</f>
        <v/>
      </c>
      <c r="D437" s="3">
        <f>IF('ORDENES'!$A415="","",IF('ORDENES'!$V415="","-",'ORDENES'!$V415))</f>
        <v/>
      </c>
      <c r="E437" s="3">
        <f>IF('ORDENES'!$A415="","",IF('ORDENES'!$U415="","-",'ORDENES'!$U415))</f>
        <v/>
      </c>
      <c r="F437" s="3">
        <f>IF('ORDENES'!$A415="","",IF('ORDENES'!$W415="","-",'ORDENES'!$W415))</f>
        <v/>
      </c>
      <c r="G437" s="3">
        <f>IF('ORDENES'!$A415="","",IF('ORDENES'!$AB415="","-",'ORDENES'!$AB415))</f>
        <v/>
      </c>
      <c r="H437" s="3">
        <f>IF('ORDENES'!$A415="","",IF('ORDENES'!$AN415="","-",'ORDENES'!$AN415))</f>
        <v/>
      </c>
      <c r="I437" s="3">
        <f>IF('ORDENES'!$A415="","",IF('ORDENES'!$D415="","-",'ORDENES'!$D415))</f>
        <v/>
      </c>
      <c r="J437" s="3">
        <f>IF('ORDENES'!$A415="","",IF('ORDENES'!$E415="","-",'ORDENES'!$E415))</f>
        <v/>
      </c>
      <c r="K437" s="12">
        <f>IF('ORDENES'!$A415="","",IF('ORDENES'!$M415="",0,'ORDENES'!$M415))</f>
        <v/>
      </c>
      <c r="L437" s="3">
        <f>IF('ORDENES'!$A415="","",IF('ORDENES'!$N415="","-",'ORDENES'!$N415))</f>
        <v/>
      </c>
      <c r="M437" s="3">
        <f>IF('ORDENES'!$A415="","",'ORDENES'!$AA415)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IF('ORDENES'!$A416="","",IF('ORDENES'!$AC416="","-",'ORDENES'!$AC416))</f>
        <v/>
      </c>
      <c r="D438" s="3">
        <f>IF('ORDENES'!$A416="","",IF('ORDENES'!$V416="","-",'ORDENES'!$V416))</f>
        <v/>
      </c>
      <c r="E438" s="3">
        <f>IF('ORDENES'!$A416="","",IF('ORDENES'!$U416="","-",'ORDENES'!$U416))</f>
        <v/>
      </c>
      <c r="F438" s="3">
        <f>IF('ORDENES'!$A416="","",IF('ORDENES'!$W416="","-",'ORDENES'!$W416))</f>
        <v/>
      </c>
      <c r="G438" s="3">
        <f>IF('ORDENES'!$A416="","",IF('ORDENES'!$AB416="","-",'ORDENES'!$AB416))</f>
        <v/>
      </c>
      <c r="H438" s="3">
        <f>IF('ORDENES'!$A416="","",IF('ORDENES'!$AN416="","-",'ORDENES'!$AN416))</f>
        <v/>
      </c>
      <c r="I438" s="3">
        <f>IF('ORDENES'!$A416="","",IF('ORDENES'!$D416="","-",'ORDENES'!$D416))</f>
        <v/>
      </c>
      <c r="J438" s="3">
        <f>IF('ORDENES'!$A416="","",IF('ORDENES'!$E416="","-",'ORDENES'!$E416))</f>
        <v/>
      </c>
      <c r="K438" s="12">
        <f>IF('ORDENES'!$A416="","",IF('ORDENES'!$M416="",0,'ORDENES'!$M416))</f>
        <v/>
      </c>
      <c r="L438" s="3">
        <f>IF('ORDENES'!$A416="","",IF('ORDENES'!$N416="","-",'ORDENES'!$N416))</f>
        <v/>
      </c>
      <c r="M438" s="3">
        <f>IF('ORDENES'!$A416="","",'ORDENES'!$AA416)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IF('ORDENES'!$A417="","",IF('ORDENES'!$AC417="","-",'ORDENES'!$AC417))</f>
        <v/>
      </c>
      <c r="D439" s="3">
        <f>IF('ORDENES'!$A417="","",IF('ORDENES'!$V417="","-",'ORDENES'!$V417))</f>
        <v/>
      </c>
      <c r="E439" s="3">
        <f>IF('ORDENES'!$A417="","",IF('ORDENES'!$U417="","-",'ORDENES'!$U417))</f>
        <v/>
      </c>
      <c r="F439" s="3">
        <f>IF('ORDENES'!$A417="","",IF('ORDENES'!$W417="","-",'ORDENES'!$W417))</f>
        <v/>
      </c>
      <c r="G439" s="3">
        <f>IF('ORDENES'!$A417="","",IF('ORDENES'!$AB417="","-",'ORDENES'!$AB417))</f>
        <v/>
      </c>
      <c r="H439" s="3">
        <f>IF('ORDENES'!$A417="","",IF('ORDENES'!$AN417="","-",'ORDENES'!$AN417))</f>
        <v/>
      </c>
      <c r="I439" s="3">
        <f>IF('ORDENES'!$A417="","",IF('ORDENES'!$D417="","-",'ORDENES'!$D417))</f>
        <v/>
      </c>
      <c r="J439" s="3">
        <f>IF('ORDENES'!$A417="","",IF('ORDENES'!$E417="","-",'ORDENES'!$E417))</f>
        <v/>
      </c>
      <c r="K439" s="12">
        <f>IF('ORDENES'!$A417="","",IF('ORDENES'!$M417="",0,'ORDENES'!$M417))</f>
        <v/>
      </c>
      <c r="L439" s="3">
        <f>IF('ORDENES'!$A417="","",IF('ORDENES'!$N417="","-",'ORDENES'!$N417))</f>
        <v/>
      </c>
      <c r="M439" s="3">
        <f>IF('ORDENES'!$A417="","",'ORDENES'!$AA417)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IF('ORDENES'!$A418="","",IF('ORDENES'!$AC418="","-",'ORDENES'!$AC418))</f>
        <v/>
      </c>
      <c r="D440" s="3">
        <f>IF('ORDENES'!$A418="","",IF('ORDENES'!$V418="","-",'ORDENES'!$V418))</f>
        <v/>
      </c>
      <c r="E440" s="3">
        <f>IF('ORDENES'!$A418="","",IF('ORDENES'!$U418="","-",'ORDENES'!$U418))</f>
        <v/>
      </c>
      <c r="F440" s="3">
        <f>IF('ORDENES'!$A418="","",IF('ORDENES'!$W418="","-",'ORDENES'!$W418))</f>
        <v/>
      </c>
      <c r="G440" s="3">
        <f>IF('ORDENES'!$A418="","",IF('ORDENES'!$AB418="","-",'ORDENES'!$AB418))</f>
        <v/>
      </c>
      <c r="H440" s="3">
        <f>IF('ORDENES'!$A418="","",IF('ORDENES'!$AN418="","-",'ORDENES'!$AN418))</f>
        <v/>
      </c>
      <c r="I440" s="3">
        <f>IF('ORDENES'!$A418="","",IF('ORDENES'!$D418="","-",'ORDENES'!$D418))</f>
        <v/>
      </c>
      <c r="J440" s="3">
        <f>IF('ORDENES'!$A418="","",IF('ORDENES'!$E418="","-",'ORDENES'!$E418))</f>
        <v/>
      </c>
      <c r="K440" s="12">
        <f>IF('ORDENES'!$A418="","",IF('ORDENES'!$M418="",0,'ORDENES'!$M418))</f>
        <v/>
      </c>
      <c r="L440" s="3">
        <f>IF('ORDENES'!$A418="","",IF('ORDENES'!$N418="","-",'ORDENES'!$N418))</f>
        <v/>
      </c>
      <c r="M440" s="3">
        <f>IF('ORDENES'!$A418="","",'ORDENES'!$AA418)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IF('ORDENES'!$A419="","",IF('ORDENES'!$AC419="","-",'ORDENES'!$AC419))</f>
        <v/>
      </c>
      <c r="D441" s="3">
        <f>IF('ORDENES'!$A419="","",IF('ORDENES'!$V419="","-",'ORDENES'!$V419))</f>
        <v/>
      </c>
      <c r="E441" s="3">
        <f>IF('ORDENES'!$A419="","",IF('ORDENES'!$U419="","-",'ORDENES'!$U419))</f>
        <v/>
      </c>
      <c r="F441" s="3">
        <f>IF('ORDENES'!$A419="","",IF('ORDENES'!$W419="","-",'ORDENES'!$W419))</f>
        <v/>
      </c>
      <c r="G441" s="3">
        <f>IF('ORDENES'!$A419="","",IF('ORDENES'!$AB419="","-",'ORDENES'!$AB419))</f>
        <v/>
      </c>
      <c r="H441" s="3">
        <f>IF('ORDENES'!$A419="","",IF('ORDENES'!$AN419="","-",'ORDENES'!$AN419))</f>
        <v/>
      </c>
      <c r="I441" s="3">
        <f>IF('ORDENES'!$A419="","",IF('ORDENES'!$D419="","-",'ORDENES'!$D419))</f>
        <v/>
      </c>
      <c r="J441" s="3">
        <f>IF('ORDENES'!$A419="","",IF('ORDENES'!$E419="","-",'ORDENES'!$E419))</f>
        <v/>
      </c>
      <c r="K441" s="12">
        <f>IF('ORDENES'!$A419="","",IF('ORDENES'!$M419="",0,'ORDENES'!$M419))</f>
        <v/>
      </c>
      <c r="L441" s="3">
        <f>IF('ORDENES'!$A419="","",IF('ORDENES'!$N419="","-",'ORDENES'!$N419))</f>
        <v/>
      </c>
      <c r="M441" s="3">
        <f>IF('ORDENES'!$A419="","",'ORDENES'!$AA419)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IF('ORDENES'!$A420="","",IF('ORDENES'!$AC420="","-",'ORDENES'!$AC420))</f>
        <v/>
      </c>
      <c r="D442" s="3">
        <f>IF('ORDENES'!$A420="","",IF('ORDENES'!$V420="","-",'ORDENES'!$V420))</f>
        <v/>
      </c>
      <c r="E442" s="3">
        <f>IF('ORDENES'!$A420="","",IF('ORDENES'!$U420="","-",'ORDENES'!$U420))</f>
        <v/>
      </c>
      <c r="F442" s="3">
        <f>IF('ORDENES'!$A420="","",IF('ORDENES'!$W420="","-",'ORDENES'!$W420))</f>
        <v/>
      </c>
      <c r="G442" s="3">
        <f>IF('ORDENES'!$A420="","",IF('ORDENES'!$AB420="","-",'ORDENES'!$AB420))</f>
        <v/>
      </c>
      <c r="H442" s="3">
        <f>IF('ORDENES'!$A420="","",IF('ORDENES'!$AN420="","-",'ORDENES'!$AN420))</f>
        <v/>
      </c>
      <c r="I442" s="3">
        <f>IF('ORDENES'!$A420="","",IF('ORDENES'!$D420="","-",'ORDENES'!$D420))</f>
        <v/>
      </c>
      <c r="J442" s="3">
        <f>IF('ORDENES'!$A420="","",IF('ORDENES'!$E420="","-",'ORDENES'!$E420))</f>
        <v/>
      </c>
      <c r="K442" s="12">
        <f>IF('ORDENES'!$A420="","",IF('ORDENES'!$M420="",0,'ORDENES'!$M420))</f>
        <v/>
      </c>
      <c r="L442" s="3">
        <f>IF('ORDENES'!$A420="","",IF('ORDENES'!$N420="","-",'ORDENES'!$N420))</f>
        <v/>
      </c>
      <c r="M442" s="3">
        <f>IF('ORDENES'!$A420="","",'ORDENES'!$AA420)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IF('ORDENES'!$A421="","",IF('ORDENES'!$AC421="","-",'ORDENES'!$AC421))</f>
        <v/>
      </c>
      <c r="D443" s="3">
        <f>IF('ORDENES'!$A421="","",IF('ORDENES'!$V421="","-",'ORDENES'!$V421))</f>
        <v/>
      </c>
      <c r="E443" s="3">
        <f>IF('ORDENES'!$A421="","",IF('ORDENES'!$U421="","-",'ORDENES'!$U421))</f>
        <v/>
      </c>
      <c r="F443" s="3">
        <f>IF('ORDENES'!$A421="","",IF('ORDENES'!$W421="","-",'ORDENES'!$W421))</f>
        <v/>
      </c>
      <c r="G443" s="3">
        <f>IF('ORDENES'!$A421="","",IF('ORDENES'!$AB421="","-",'ORDENES'!$AB421))</f>
        <v/>
      </c>
      <c r="H443" s="3">
        <f>IF('ORDENES'!$A421="","",IF('ORDENES'!$AN421="","-",'ORDENES'!$AN421))</f>
        <v/>
      </c>
      <c r="I443" s="3">
        <f>IF('ORDENES'!$A421="","",IF('ORDENES'!$D421="","-",'ORDENES'!$D421))</f>
        <v/>
      </c>
      <c r="J443" s="3">
        <f>IF('ORDENES'!$A421="","",IF('ORDENES'!$E421="","-",'ORDENES'!$E421))</f>
        <v/>
      </c>
      <c r="K443" s="12">
        <f>IF('ORDENES'!$A421="","",IF('ORDENES'!$M421="",0,'ORDENES'!$M421))</f>
        <v/>
      </c>
      <c r="L443" s="3">
        <f>IF('ORDENES'!$A421="","",IF('ORDENES'!$N421="","-",'ORDENES'!$N421))</f>
        <v/>
      </c>
      <c r="M443" s="3">
        <f>IF('ORDENES'!$A421="","",'ORDENES'!$AA421)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IF('ORDENES'!$A422="","",IF('ORDENES'!$AC422="","-",'ORDENES'!$AC422))</f>
        <v/>
      </c>
      <c r="D444" s="3">
        <f>IF('ORDENES'!$A422="","",IF('ORDENES'!$V422="","-",'ORDENES'!$V422))</f>
        <v/>
      </c>
      <c r="E444" s="3">
        <f>IF('ORDENES'!$A422="","",IF('ORDENES'!$U422="","-",'ORDENES'!$U422))</f>
        <v/>
      </c>
      <c r="F444" s="3">
        <f>IF('ORDENES'!$A422="","",IF('ORDENES'!$W422="","-",'ORDENES'!$W422))</f>
        <v/>
      </c>
      <c r="G444" s="3">
        <f>IF('ORDENES'!$A422="","",IF('ORDENES'!$AB422="","-",'ORDENES'!$AB422))</f>
        <v/>
      </c>
      <c r="H444" s="3">
        <f>IF('ORDENES'!$A422="","",IF('ORDENES'!$AN422="","-",'ORDENES'!$AN422))</f>
        <v/>
      </c>
      <c r="I444" s="3">
        <f>IF('ORDENES'!$A422="","",IF('ORDENES'!$D422="","-",'ORDENES'!$D422))</f>
        <v/>
      </c>
      <c r="J444" s="3">
        <f>IF('ORDENES'!$A422="","",IF('ORDENES'!$E422="","-",'ORDENES'!$E422))</f>
        <v/>
      </c>
      <c r="K444" s="12">
        <f>IF('ORDENES'!$A422="","",IF('ORDENES'!$M422="",0,'ORDENES'!$M422))</f>
        <v/>
      </c>
      <c r="L444" s="3">
        <f>IF('ORDENES'!$A422="","",IF('ORDENES'!$N422="","-",'ORDENES'!$N422))</f>
        <v/>
      </c>
      <c r="M444" s="3">
        <f>IF('ORDENES'!$A422="","",'ORDENES'!$AA422)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IF('ORDENES'!$A423="","",IF('ORDENES'!$AC423="","-",'ORDENES'!$AC423))</f>
        <v/>
      </c>
      <c r="D445" s="3">
        <f>IF('ORDENES'!$A423="","",IF('ORDENES'!$V423="","-",'ORDENES'!$V423))</f>
        <v/>
      </c>
      <c r="E445" s="3">
        <f>IF('ORDENES'!$A423="","",IF('ORDENES'!$U423="","-",'ORDENES'!$U423))</f>
        <v/>
      </c>
      <c r="F445" s="3">
        <f>IF('ORDENES'!$A423="","",IF('ORDENES'!$W423="","-",'ORDENES'!$W423))</f>
        <v/>
      </c>
      <c r="G445" s="3">
        <f>IF('ORDENES'!$A423="","",IF('ORDENES'!$AB423="","-",'ORDENES'!$AB423))</f>
        <v/>
      </c>
      <c r="H445" s="3">
        <f>IF('ORDENES'!$A423="","",IF('ORDENES'!$AN423="","-",'ORDENES'!$AN423))</f>
        <v/>
      </c>
      <c r="I445" s="3">
        <f>IF('ORDENES'!$A423="","",IF('ORDENES'!$D423="","-",'ORDENES'!$D423))</f>
        <v/>
      </c>
      <c r="J445" s="3">
        <f>IF('ORDENES'!$A423="","",IF('ORDENES'!$E423="","-",'ORDENES'!$E423))</f>
        <v/>
      </c>
      <c r="K445" s="12">
        <f>IF('ORDENES'!$A423="","",IF('ORDENES'!$M423="",0,'ORDENES'!$M423))</f>
        <v/>
      </c>
      <c r="L445" s="3">
        <f>IF('ORDENES'!$A423="","",IF('ORDENES'!$N423="","-",'ORDENES'!$N423))</f>
        <v/>
      </c>
      <c r="M445" s="3">
        <f>IF('ORDENES'!$A423="","",'ORDENES'!$AA423)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IF('ORDENES'!$A424="","",IF('ORDENES'!$AC424="","-",'ORDENES'!$AC424))</f>
        <v/>
      </c>
      <c r="D446" s="3">
        <f>IF('ORDENES'!$A424="","",IF('ORDENES'!$V424="","-",'ORDENES'!$V424))</f>
        <v/>
      </c>
      <c r="E446" s="3">
        <f>IF('ORDENES'!$A424="","",IF('ORDENES'!$U424="","-",'ORDENES'!$U424))</f>
        <v/>
      </c>
      <c r="F446" s="3">
        <f>IF('ORDENES'!$A424="","",IF('ORDENES'!$W424="","-",'ORDENES'!$W424))</f>
        <v/>
      </c>
      <c r="G446" s="3">
        <f>IF('ORDENES'!$A424="","",IF('ORDENES'!$AB424="","-",'ORDENES'!$AB424))</f>
        <v/>
      </c>
      <c r="H446" s="3">
        <f>IF('ORDENES'!$A424="","",IF('ORDENES'!$AN424="","-",'ORDENES'!$AN424))</f>
        <v/>
      </c>
      <c r="I446" s="3">
        <f>IF('ORDENES'!$A424="","",IF('ORDENES'!$D424="","-",'ORDENES'!$D424))</f>
        <v/>
      </c>
      <c r="J446" s="3">
        <f>IF('ORDENES'!$A424="","",IF('ORDENES'!$E424="","-",'ORDENES'!$E424))</f>
        <v/>
      </c>
      <c r="K446" s="12">
        <f>IF('ORDENES'!$A424="","",IF('ORDENES'!$M424="",0,'ORDENES'!$M424))</f>
        <v/>
      </c>
      <c r="L446" s="3">
        <f>IF('ORDENES'!$A424="","",IF('ORDENES'!$N424="","-",'ORDENES'!$N424))</f>
        <v/>
      </c>
      <c r="M446" s="3">
        <f>IF('ORDENES'!$A424="","",'ORDENES'!$AA424)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IF('ORDENES'!$A425="","",IF('ORDENES'!$AC425="","-",'ORDENES'!$AC425))</f>
        <v/>
      </c>
      <c r="D447" s="3">
        <f>IF('ORDENES'!$A425="","",IF('ORDENES'!$V425="","-",'ORDENES'!$V425))</f>
        <v/>
      </c>
      <c r="E447" s="3">
        <f>IF('ORDENES'!$A425="","",IF('ORDENES'!$U425="","-",'ORDENES'!$U425))</f>
        <v/>
      </c>
      <c r="F447" s="3">
        <f>IF('ORDENES'!$A425="","",IF('ORDENES'!$W425="","-",'ORDENES'!$W425))</f>
        <v/>
      </c>
      <c r="G447" s="3">
        <f>IF('ORDENES'!$A425="","",IF('ORDENES'!$AB425="","-",'ORDENES'!$AB425))</f>
        <v/>
      </c>
      <c r="H447" s="3">
        <f>IF('ORDENES'!$A425="","",IF('ORDENES'!$AN425="","-",'ORDENES'!$AN425))</f>
        <v/>
      </c>
      <c r="I447" s="3">
        <f>IF('ORDENES'!$A425="","",IF('ORDENES'!$D425="","-",'ORDENES'!$D425))</f>
        <v/>
      </c>
      <c r="J447" s="3">
        <f>IF('ORDENES'!$A425="","",IF('ORDENES'!$E425="","-",'ORDENES'!$E425))</f>
        <v/>
      </c>
      <c r="K447" s="12">
        <f>IF('ORDENES'!$A425="","",IF('ORDENES'!$M425="",0,'ORDENES'!$M425))</f>
        <v/>
      </c>
      <c r="L447" s="3">
        <f>IF('ORDENES'!$A425="","",IF('ORDENES'!$N425="","-",'ORDENES'!$N425))</f>
        <v/>
      </c>
      <c r="M447" s="3">
        <f>IF('ORDENES'!$A425="","",'ORDENES'!$AA425)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IF('ORDENES'!$A426="","",IF('ORDENES'!$AC426="","-",'ORDENES'!$AC426))</f>
        <v/>
      </c>
      <c r="D448" s="3">
        <f>IF('ORDENES'!$A426="","",IF('ORDENES'!$V426="","-",'ORDENES'!$V426))</f>
        <v/>
      </c>
      <c r="E448" s="3">
        <f>IF('ORDENES'!$A426="","",IF('ORDENES'!$U426="","-",'ORDENES'!$U426))</f>
        <v/>
      </c>
      <c r="F448" s="3">
        <f>IF('ORDENES'!$A426="","",IF('ORDENES'!$W426="","-",'ORDENES'!$W426))</f>
        <v/>
      </c>
      <c r="G448" s="3">
        <f>IF('ORDENES'!$A426="","",IF('ORDENES'!$AB426="","-",'ORDENES'!$AB426))</f>
        <v/>
      </c>
      <c r="H448" s="3">
        <f>IF('ORDENES'!$A426="","",IF('ORDENES'!$AN426="","-",'ORDENES'!$AN426))</f>
        <v/>
      </c>
      <c r="I448" s="3">
        <f>IF('ORDENES'!$A426="","",IF('ORDENES'!$D426="","-",'ORDENES'!$D426))</f>
        <v/>
      </c>
      <c r="J448" s="3">
        <f>IF('ORDENES'!$A426="","",IF('ORDENES'!$E426="","-",'ORDENES'!$E426))</f>
        <v/>
      </c>
      <c r="K448" s="12">
        <f>IF('ORDENES'!$A426="","",IF('ORDENES'!$M426="",0,'ORDENES'!$M426))</f>
        <v/>
      </c>
      <c r="L448" s="3">
        <f>IF('ORDENES'!$A426="","",IF('ORDENES'!$N426="","-",'ORDENES'!$N426))</f>
        <v/>
      </c>
      <c r="M448" s="3">
        <f>IF('ORDENES'!$A426="","",'ORDENES'!$AA426)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IF('ORDENES'!$A427="","",IF('ORDENES'!$AC427="","-",'ORDENES'!$AC427))</f>
        <v/>
      </c>
      <c r="D449" s="3">
        <f>IF('ORDENES'!$A427="","",IF('ORDENES'!$V427="","-",'ORDENES'!$V427))</f>
        <v/>
      </c>
      <c r="E449" s="3">
        <f>IF('ORDENES'!$A427="","",IF('ORDENES'!$U427="","-",'ORDENES'!$U427))</f>
        <v/>
      </c>
      <c r="F449" s="3">
        <f>IF('ORDENES'!$A427="","",IF('ORDENES'!$W427="","-",'ORDENES'!$W427))</f>
        <v/>
      </c>
      <c r="G449" s="3">
        <f>IF('ORDENES'!$A427="","",IF('ORDENES'!$AB427="","-",'ORDENES'!$AB427))</f>
        <v/>
      </c>
      <c r="H449" s="3">
        <f>IF('ORDENES'!$A427="","",IF('ORDENES'!$AN427="","-",'ORDENES'!$AN427))</f>
        <v/>
      </c>
      <c r="I449" s="3">
        <f>IF('ORDENES'!$A427="","",IF('ORDENES'!$D427="","-",'ORDENES'!$D427))</f>
        <v/>
      </c>
      <c r="J449" s="3">
        <f>IF('ORDENES'!$A427="","",IF('ORDENES'!$E427="","-",'ORDENES'!$E427))</f>
        <v/>
      </c>
      <c r="K449" s="12">
        <f>IF('ORDENES'!$A427="","",IF('ORDENES'!$M427="",0,'ORDENES'!$M427))</f>
        <v/>
      </c>
      <c r="L449" s="3">
        <f>IF('ORDENES'!$A427="","",IF('ORDENES'!$N427="","-",'ORDENES'!$N427))</f>
        <v/>
      </c>
      <c r="M449" s="3">
        <f>IF('ORDENES'!$A427="","",'ORDENES'!$AA427)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IF('ORDENES'!$A428="","",IF('ORDENES'!$AC428="","-",'ORDENES'!$AC428))</f>
        <v/>
      </c>
      <c r="D450" s="3">
        <f>IF('ORDENES'!$A428="","",IF('ORDENES'!$V428="","-",'ORDENES'!$V428))</f>
        <v/>
      </c>
      <c r="E450" s="3">
        <f>IF('ORDENES'!$A428="","",IF('ORDENES'!$U428="","-",'ORDENES'!$U428))</f>
        <v/>
      </c>
      <c r="F450" s="3">
        <f>IF('ORDENES'!$A428="","",IF('ORDENES'!$W428="","-",'ORDENES'!$W428))</f>
        <v/>
      </c>
      <c r="G450" s="3">
        <f>IF('ORDENES'!$A428="","",IF('ORDENES'!$AB428="","-",'ORDENES'!$AB428))</f>
        <v/>
      </c>
      <c r="H450" s="3">
        <f>IF('ORDENES'!$A428="","",IF('ORDENES'!$AN428="","-",'ORDENES'!$AN428))</f>
        <v/>
      </c>
      <c r="I450" s="3">
        <f>IF('ORDENES'!$A428="","",IF('ORDENES'!$D428="","-",'ORDENES'!$D428))</f>
        <v/>
      </c>
      <c r="J450" s="3">
        <f>IF('ORDENES'!$A428="","",IF('ORDENES'!$E428="","-",'ORDENES'!$E428))</f>
        <v/>
      </c>
      <c r="K450" s="12">
        <f>IF('ORDENES'!$A428="","",IF('ORDENES'!$M428="",0,'ORDENES'!$M428))</f>
        <v/>
      </c>
      <c r="L450" s="3">
        <f>IF('ORDENES'!$A428="","",IF('ORDENES'!$N428="","-",'ORDENES'!$N428))</f>
        <v/>
      </c>
      <c r="M450" s="3">
        <f>IF('ORDENES'!$A428="","",'ORDENES'!$AA428)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IF('ORDENES'!$A429="","",IF('ORDENES'!$AC429="","-",'ORDENES'!$AC429))</f>
        <v/>
      </c>
      <c r="D451" s="3">
        <f>IF('ORDENES'!$A429="","",IF('ORDENES'!$V429="","-",'ORDENES'!$V429))</f>
        <v/>
      </c>
      <c r="E451" s="3">
        <f>IF('ORDENES'!$A429="","",IF('ORDENES'!$U429="","-",'ORDENES'!$U429))</f>
        <v/>
      </c>
      <c r="F451" s="3">
        <f>IF('ORDENES'!$A429="","",IF('ORDENES'!$W429="","-",'ORDENES'!$W429))</f>
        <v/>
      </c>
      <c r="G451" s="3">
        <f>IF('ORDENES'!$A429="","",IF('ORDENES'!$AB429="","-",'ORDENES'!$AB429))</f>
        <v/>
      </c>
      <c r="H451" s="3">
        <f>IF('ORDENES'!$A429="","",IF('ORDENES'!$AN429="","-",'ORDENES'!$AN429))</f>
        <v/>
      </c>
      <c r="I451" s="3">
        <f>IF('ORDENES'!$A429="","",IF('ORDENES'!$D429="","-",'ORDENES'!$D429))</f>
        <v/>
      </c>
      <c r="J451" s="3">
        <f>IF('ORDENES'!$A429="","",IF('ORDENES'!$E429="","-",'ORDENES'!$E429))</f>
        <v/>
      </c>
      <c r="K451" s="12">
        <f>IF('ORDENES'!$A429="","",IF('ORDENES'!$M429="",0,'ORDENES'!$M429))</f>
        <v/>
      </c>
      <c r="L451" s="3">
        <f>IF('ORDENES'!$A429="","",IF('ORDENES'!$N429="","-",'ORDENES'!$N429))</f>
        <v/>
      </c>
      <c r="M451" s="3">
        <f>IF('ORDENES'!$A429="","",'ORDENES'!$AA429)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IF('ORDENES'!$A430="","",IF('ORDENES'!$AC430="","-",'ORDENES'!$AC430))</f>
        <v/>
      </c>
      <c r="D452" s="3">
        <f>IF('ORDENES'!$A430="","",IF('ORDENES'!$V430="","-",'ORDENES'!$V430))</f>
        <v/>
      </c>
      <c r="E452" s="3">
        <f>IF('ORDENES'!$A430="","",IF('ORDENES'!$U430="","-",'ORDENES'!$U430))</f>
        <v/>
      </c>
      <c r="F452" s="3">
        <f>IF('ORDENES'!$A430="","",IF('ORDENES'!$W430="","-",'ORDENES'!$W430))</f>
        <v/>
      </c>
      <c r="G452" s="3">
        <f>IF('ORDENES'!$A430="","",IF('ORDENES'!$AB430="","-",'ORDENES'!$AB430))</f>
        <v/>
      </c>
      <c r="H452" s="3">
        <f>IF('ORDENES'!$A430="","",IF('ORDENES'!$AN430="","-",'ORDENES'!$AN430))</f>
        <v/>
      </c>
      <c r="I452" s="3">
        <f>IF('ORDENES'!$A430="","",IF('ORDENES'!$D430="","-",'ORDENES'!$D430))</f>
        <v/>
      </c>
      <c r="J452" s="3">
        <f>IF('ORDENES'!$A430="","",IF('ORDENES'!$E430="","-",'ORDENES'!$E430))</f>
        <v/>
      </c>
      <c r="K452" s="12">
        <f>IF('ORDENES'!$A430="","",IF('ORDENES'!$M430="",0,'ORDENES'!$M430))</f>
        <v/>
      </c>
      <c r="L452" s="3">
        <f>IF('ORDENES'!$A430="","",IF('ORDENES'!$N430="","-",'ORDENES'!$N430))</f>
        <v/>
      </c>
      <c r="M452" s="3">
        <f>IF('ORDENES'!$A430="","",'ORDENES'!$AA430)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IF('ORDENES'!$A431="","",IF('ORDENES'!$AC431="","-",'ORDENES'!$AC431))</f>
        <v/>
      </c>
      <c r="D453" s="3">
        <f>IF('ORDENES'!$A431="","",IF('ORDENES'!$V431="","-",'ORDENES'!$V431))</f>
        <v/>
      </c>
      <c r="E453" s="3">
        <f>IF('ORDENES'!$A431="","",IF('ORDENES'!$U431="","-",'ORDENES'!$U431))</f>
        <v/>
      </c>
      <c r="F453" s="3">
        <f>IF('ORDENES'!$A431="","",IF('ORDENES'!$W431="","-",'ORDENES'!$W431))</f>
        <v/>
      </c>
      <c r="G453" s="3">
        <f>IF('ORDENES'!$A431="","",IF('ORDENES'!$AB431="","-",'ORDENES'!$AB431))</f>
        <v/>
      </c>
      <c r="H453" s="3">
        <f>IF('ORDENES'!$A431="","",IF('ORDENES'!$AN431="","-",'ORDENES'!$AN431))</f>
        <v/>
      </c>
      <c r="I453" s="3">
        <f>IF('ORDENES'!$A431="","",IF('ORDENES'!$D431="","-",'ORDENES'!$D431))</f>
        <v/>
      </c>
      <c r="J453" s="3">
        <f>IF('ORDENES'!$A431="","",IF('ORDENES'!$E431="","-",'ORDENES'!$E431))</f>
        <v/>
      </c>
      <c r="K453" s="12">
        <f>IF('ORDENES'!$A431="","",IF('ORDENES'!$M431="",0,'ORDENES'!$M431))</f>
        <v/>
      </c>
      <c r="L453" s="3">
        <f>IF('ORDENES'!$A431="","",IF('ORDENES'!$N431="","-",'ORDENES'!$N431))</f>
        <v/>
      </c>
      <c r="M453" s="3">
        <f>IF('ORDENES'!$A431="","",'ORDENES'!$AA431)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IF('ORDENES'!$A432="","",IF('ORDENES'!$AC432="","-",'ORDENES'!$AC432))</f>
        <v/>
      </c>
      <c r="D454" s="3">
        <f>IF('ORDENES'!$A432="","",IF('ORDENES'!$V432="","-",'ORDENES'!$V432))</f>
        <v/>
      </c>
      <c r="E454" s="3">
        <f>IF('ORDENES'!$A432="","",IF('ORDENES'!$U432="","-",'ORDENES'!$U432))</f>
        <v/>
      </c>
      <c r="F454" s="3">
        <f>IF('ORDENES'!$A432="","",IF('ORDENES'!$W432="","-",'ORDENES'!$W432))</f>
        <v/>
      </c>
      <c r="G454" s="3">
        <f>IF('ORDENES'!$A432="","",IF('ORDENES'!$AB432="","-",'ORDENES'!$AB432))</f>
        <v/>
      </c>
      <c r="H454" s="3">
        <f>IF('ORDENES'!$A432="","",IF('ORDENES'!$AN432="","-",'ORDENES'!$AN432))</f>
        <v/>
      </c>
      <c r="I454" s="3">
        <f>IF('ORDENES'!$A432="","",IF('ORDENES'!$D432="","-",'ORDENES'!$D432))</f>
        <v/>
      </c>
      <c r="J454" s="3">
        <f>IF('ORDENES'!$A432="","",IF('ORDENES'!$E432="","-",'ORDENES'!$E432))</f>
        <v/>
      </c>
      <c r="K454" s="12">
        <f>IF('ORDENES'!$A432="","",IF('ORDENES'!$M432="",0,'ORDENES'!$M432))</f>
        <v/>
      </c>
      <c r="L454" s="3">
        <f>IF('ORDENES'!$A432="","",IF('ORDENES'!$N432="","-",'ORDENES'!$N432))</f>
        <v/>
      </c>
      <c r="M454" s="3">
        <f>IF('ORDENES'!$A432="","",'ORDENES'!$AA432)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IF('ORDENES'!$A433="","",IF('ORDENES'!$AC433="","-",'ORDENES'!$AC433))</f>
        <v/>
      </c>
      <c r="D455" s="3">
        <f>IF('ORDENES'!$A433="","",IF('ORDENES'!$V433="","-",'ORDENES'!$V433))</f>
        <v/>
      </c>
      <c r="E455" s="3">
        <f>IF('ORDENES'!$A433="","",IF('ORDENES'!$U433="","-",'ORDENES'!$U433))</f>
        <v/>
      </c>
      <c r="F455" s="3">
        <f>IF('ORDENES'!$A433="","",IF('ORDENES'!$W433="","-",'ORDENES'!$W433))</f>
        <v/>
      </c>
      <c r="G455" s="3">
        <f>IF('ORDENES'!$A433="","",IF('ORDENES'!$AB433="","-",'ORDENES'!$AB433))</f>
        <v/>
      </c>
      <c r="H455" s="3">
        <f>IF('ORDENES'!$A433="","",IF('ORDENES'!$AN433="","-",'ORDENES'!$AN433))</f>
        <v/>
      </c>
      <c r="I455" s="3">
        <f>IF('ORDENES'!$A433="","",IF('ORDENES'!$D433="","-",'ORDENES'!$D433))</f>
        <v/>
      </c>
      <c r="J455" s="3">
        <f>IF('ORDENES'!$A433="","",IF('ORDENES'!$E433="","-",'ORDENES'!$E433))</f>
        <v/>
      </c>
      <c r="K455" s="12">
        <f>IF('ORDENES'!$A433="","",IF('ORDENES'!$M433="",0,'ORDENES'!$M433))</f>
        <v/>
      </c>
      <c r="L455" s="3">
        <f>IF('ORDENES'!$A433="","",IF('ORDENES'!$N433="","-",'ORDENES'!$N433))</f>
        <v/>
      </c>
      <c r="M455" s="3">
        <f>IF('ORDENES'!$A433="","",'ORDENES'!$AA433)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IF('ORDENES'!$A434="","",IF('ORDENES'!$AC434="","-",'ORDENES'!$AC434))</f>
        <v/>
      </c>
      <c r="D456" s="3">
        <f>IF('ORDENES'!$A434="","",IF('ORDENES'!$V434="","-",'ORDENES'!$V434))</f>
        <v/>
      </c>
      <c r="E456" s="3">
        <f>IF('ORDENES'!$A434="","",IF('ORDENES'!$U434="","-",'ORDENES'!$U434))</f>
        <v/>
      </c>
      <c r="F456" s="3">
        <f>IF('ORDENES'!$A434="","",IF('ORDENES'!$W434="","-",'ORDENES'!$W434))</f>
        <v/>
      </c>
      <c r="G456" s="3">
        <f>IF('ORDENES'!$A434="","",IF('ORDENES'!$AB434="","-",'ORDENES'!$AB434))</f>
        <v/>
      </c>
      <c r="H456" s="3">
        <f>IF('ORDENES'!$A434="","",IF('ORDENES'!$AN434="","-",'ORDENES'!$AN434))</f>
        <v/>
      </c>
      <c r="I456" s="3">
        <f>IF('ORDENES'!$A434="","",IF('ORDENES'!$D434="","-",'ORDENES'!$D434))</f>
        <v/>
      </c>
      <c r="J456" s="3">
        <f>IF('ORDENES'!$A434="","",IF('ORDENES'!$E434="","-",'ORDENES'!$E434))</f>
        <v/>
      </c>
      <c r="K456" s="12">
        <f>IF('ORDENES'!$A434="","",IF('ORDENES'!$M434="",0,'ORDENES'!$M434))</f>
        <v/>
      </c>
      <c r="L456" s="3">
        <f>IF('ORDENES'!$A434="","",IF('ORDENES'!$N434="","-",'ORDENES'!$N434))</f>
        <v/>
      </c>
      <c r="M456" s="3">
        <f>IF('ORDENES'!$A434="","",'ORDENES'!$AA434)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IF('ORDENES'!$A435="","",IF('ORDENES'!$AC435="","-",'ORDENES'!$AC435))</f>
        <v/>
      </c>
      <c r="D457" s="3">
        <f>IF('ORDENES'!$A435="","",IF('ORDENES'!$V435="","-",'ORDENES'!$V435))</f>
        <v/>
      </c>
      <c r="E457" s="3">
        <f>IF('ORDENES'!$A435="","",IF('ORDENES'!$U435="","-",'ORDENES'!$U435))</f>
        <v/>
      </c>
      <c r="F457" s="3">
        <f>IF('ORDENES'!$A435="","",IF('ORDENES'!$W435="","-",'ORDENES'!$W435))</f>
        <v/>
      </c>
      <c r="G457" s="3">
        <f>IF('ORDENES'!$A435="","",IF('ORDENES'!$AB435="","-",'ORDENES'!$AB435))</f>
        <v/>
      </c>
      <c r="H457" s="3">
        <f>IF('ORDENES'!$A435="","",IF('ORDENES'!$AN435="","-",'ORDENES'!$AN435))</f>
        <v/>
      </c>
      <c r="I457" s="3">
        <f>IF('ORDENES'!$A435="","",IF('ORDENES'!$D435="","-",'ORDENES'!$D435))</f>
        <v/>
      </c>
      <c r="J457" s="3">
        <f>IF('ORDENES'!$A435="","",IF('ORDENES'!$E435="","-",'ORDENES'!$E435))</f>
        <v/>
      </c>
      <c r="K457" s="12">
        <f>IF('ORDENES'!$A435="","",IF('ORDENES'!$M435="",0,'ORDENES'!$M435))</f>
        <v/>
      </c>
      <c r="L457" s="3">
        <f>IF('ORDENES'!$A435="","",IF('ORDENES'!$N435="","-",'ORDENES'!$N435))</f>
        <v/>
      </c>
      <c r="M457" s="3">
        <f>IF('ORDENES'!$A435="","",'ORDENES'!$AA435)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IF('ORDENES'!$A436="","",IF('ORDENES'!$AC436="","-",'ORDENES'!$AC436))</f>
        <v/>
      </c>
      <c r="D458" s="3">
        <f>IF('ORDENES'!$A436="","",IF('ORDENES'!$V436="","-",'ORDENES'!$V436))</f>
        <v/>
      </c>
      <c r="E458" s="3">
        <f>IF('ORDENES'!$A436="","",IF('ORDENES'!$U436="","-",'ORDENES'!$U436))</f>
        <v/>
      </c>
      <c r="F458" s="3">
        <f>IF('ORDENES'!$A436="","",IF('ORDENES'!$W436="","-",'ORDENES'!$W436))</f>
        <v/>
      </c>
      <c r="G458" s="3">
        <f>IF('ORDENES'!$A436="","",IF('ORDENES'!$AB436="","-",'ORDENES'!$AB436))</f>
        <v/>
      </c>
      <c r="H458" s="3">
        <f>IF('ORDENES'!$A436="","",IF('ORDENES'!$AN436="","-",'ORDENES'!$AN436))</f>
        <v/>
      </c>
      <c r="I458" s="3">
        <f>IF('ORDENES'!$A436="","",IF('ORDENES'!$D436="","-",'ORDENES'!$D436))</f>
        <v/>
      </c>
      <c r="J458" s="3">
        <f>IF('ORDENES'!$A436="","",IF('ORDENES'!$E436="","-",'ORDENES'!$E436))</f>
        <v/>
      </c>
      <c r="K458" s="12">
        <f>IF('ORDENES'!$A436="","",IF('ORDENES'!$M436="",0,'ORDENES'!$M436))</f>
        <v/>
      </c>
      <c r="L458" s="3">
        <f>IF('ORDENES'!$A436="","",IF('ORDENES'!$N436="","-",'ORDENES'!$N436))</f>
        <v/>
      </c>
      <c r="M458" s="3">
        <f>IF('ORDENES'!$A436="","",'ORDENES'!$AA436)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IF('ORDENES'!$A437="","",IF('ORDENES'!$AC437="","-",'ORDENES'!$AC437))</f>
        <v/>
      </c>
      <c r="D459" s="3">
        <f>IF('ORDENES'!$A437="","",IF('ORDENES'!$V437="","-",'ORDENES'!$V437))</f>
        <v/>
      </c>
      <c r="E459" s="3">
        <f>IF('ORDENES'!$A437="","",IF('ORDENES'!$U437="","-",'ORDENES'!$U437))</f>
        <v/>
      </c>
      <c r="F459" s="3">
        <f>IF('ORDENES'!$A437="","",IF('ORDENES'!$W437="","-",'ORDENES'!$W437))</f>
        <v/>
      </c>
      <c r="G459" s="3">
        <f>IF('ORDENES'!$A437="","",IF('ORDENES'!$AB437="","-",'ORDENES'!$AB437))</f>
        <v/>
      </c>
      <c r="H459" s="3">
        <f>IF('ORDENES'!$A437="","",IF('ORDENES'!$AN437="","-",'ORDENES'!$AN437))</f>
        <v/>
      </c>
      <c r="I459" s="3">
        <f>IF('ORDENES'!$A437="","",IF('ORDENES'!$D437="","-",'ORDENES'!$D437))</f>
        <v/>
      </c>
      <c r="J459" s="3">
        <f>IF('ORDENES'!$A437="","",IF('ORDENES'!$E437="","-",'ORDENES'!$E437))</f>
        <v/>
      </c>
      <c r="K459" s="12">
        <f>IF('ORDENES'!$A437="","",IF('ORDENES'!$M437="",0,'ORDENES'!$M437))</f>
        <v/>
      </c>
      <c r="L459" s="3">
        <f>IF('ORDENES'!$A437="","",IF('ORDENES'!$N437="","-",'ORDENES'!$N437))</f>
        <v/>
      </c>
      <c r="M459" s="3">
        <f>IF('ORDENES'!$A437="","",'ORDENES'!$AA437)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IF('ORDENES'!$A438="","",IF('ORDENES'!$AC438="","-",'ORDENES'!$AC438))</f>
        <v/>
      </c>
      <c r="D460" s="3">
        <f>IF('ORDENES'!$A438="","",IF('ORDENES'!$V438="","-",'ORDENES'!$V438))</f>
        <v/>
      </c>
      <c r="E460" s="3">
        <f>IF('ORDENES'!$A438="","",IF('ORDENES'!$U438="","-",'ORDENES'!$U438))</f>
        <v/>
      </c>
      <c r="F460" s="3">
        <f>IF('ORDENES'!$A438="","",IF('ORDENES'!$W438="","-",'ORDENES'!$W438))</f>
        <v/>
      </c>
      <c r="G460" s="3">
        <f>IF('ORDENES'!$A438="","",IF('ORDENES'!$AB438="","-",'ORDENES'!$AB438))</f>
        <v/>
      </c>
      <c r="H460" s="3">
        <f>IF('ORDENES'!$A438="","",IF('ORDENES'!$AN438="","-",'ORDENES'!$AN438))</f>
        <v/>
      </c>
      <c r="I460" s="3">
        <f>IF('ORDENES'!$A438="","",IF('ORDENES'!$D438="","-",'ORDENES'!$D438))</f>
        <v/>
      </c>
      <c r="J460" s="3">
        <f>IF('ORDENES'!$A438="","",IF('ORDENES'!$E438="","-",'ORDENES'!$E438))</f>
        <v/>
      </c>
      <c r="K460" s="12">
        <f>IF('ORDENES'!$A438="","",IF('ORDENES'!$M438="",0,'ORDENES'!$M438))</f>
        <v/>
      </c>
      <c r="L460" s="3">
        <f>IF('ORDENES'!$A438="","",IF('ORDENES'!$N438="","-",'ORDENES'!$N438))</f>
        <v/>
      </c>
      <c r="M460" s="3">
        <f>IF('ORDENES'!$A438="","",'ORDENES'!$AA438)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IF('ORDENES'!$A439="","",IF('ORDENES'!$AC439="","-",'ORDENES'!$AC439))</f>
        <v/>
      </c>
      <c r="D461" s="3">
        <f>IF('ORDENES'!$A439="","",IF('ORDENES'!$V439="","-",'ORDENES'!$V439))</f>
        <v/>
      </c>
      <c r="E461" s="3">
        <f>IF('ORDENES'!$A439="","",IF('ORDENES'!$U439="","-",'ORDENES'!$U439))</f>
        <v/>
      </c>
      <c r="F461" s="3">
        <f>IF('ORDENES'!$A439="","",IF('ORDENES'!$W439="","-",'ORDENES'!$W439))</f>
        <v/>
      </c>
      <c r="G461" s="3">
        <f>IF('ORDENES'!$A439="","",IF('ORDENES'!$AB439="","-",'ORDENES'!$AB439))</f>
        <v/>
      </c>
      <c r="H461" s="3">
        <f>IF('ORDENES'!$A439="","",IF('ORDENES'!$AN439="","-",'ORDENES'!$AN439))</f>
        <v/>
      </c>
      <c r="I461" s="3">
        <f>IF('ORDENES'!$A439="","",IF('ORDENES'!$D439="","-",'ORDENES'!$D439))</f>
        <v/>
      </c>
      <c r="J461" s="3">
        <f>IF('ORDENES'!$A439="","",IF('ORDENES'!$E439="","-",'ORDENES'!$E439))</f>
        <v/>
      </c>
      <c r="K461" s="12">
        <f>IF('ORDENES'!$A439="","",IF('ORDENES'!$M439="",0,'ORDENES'!$M439))</f>
        <v/>
      </c>
      <c r="L461" s="3">
        <f>IF('ORDENES'!$A439="","",IF('ORDENES'!$N439="","-",'ORDENES'!$N439))</f>
        <v/>
      </c>
      <c r="M461" s="3">
        <f>IF('ORDENES'!$A439="","",'ORDENES'!$AA439)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IF('ORDENES'!$A440="","",IF('ORDENES'!$AC440="","-",'ORDENES'!$AC440))</f>
        <v/>
      </c>
      <c r="D462" s="3">
        <f>IF('ORDENES'!$A440="","",IF('ORDENES'!$V440="","-",'ORDENES'!$V440))</f>
        <v/>
      </c>
      <c r="E462" s="3">
        <f>IF('ORDENES'!$A440="","",IF('ORDENES'!$U440="","-",'ORDENES'!$U440))</f>
        <v/>
      </c>
      <c r="F462" s="3">
        <f>IF('ORDENES'!$A440="","",IF('ORDENES'!$W440="","-",'ORDENES'!$W440))</f>
        <v/>
      </c>
      <c r="G462" s="3">
        <f>IF('ORDENES'!$A440="","",IF('ORDENES'!$AB440="","-",'ORDENES'!$AB440))</f>
        <v/>
      </c>
      <c r="H462" s="3">
        <f>IF('ORDENES'!$A440="","",IF('ORDENES'!$AN440="","-",'ORDENES'!$AN440))</f>
        <v/>
      </c>
      <c r="I462" s="3">
        <f>IF('ORDENES'!$A440="","",IF('ORDENES'!$D440="","-",'ORDENES'!$D440))</f>
        <v/>
      </c>
      <c r="J462" s="3">
        <f>IF('ORDENES'!$A440="","",IF('ORDENES'!$E440="","-",'ORDENES'!$E440))</f>
        <v/>
      </c>
      <c r="K462" s="12">
        <f>IF('ORDENES'!$A440="","",IF('ORDENES'!$M440="",0,'ORDENES'!$M440))</f>
        <v/>
      </c>
      <c r="L462" s="3">
        <f>IF('ORDENES'!$A440="","",IF('ORDENES'!$N440="","-",'ORDENES'!$N440))</f>
        <v/>
      </c>
      <c r="M462" s="3">
        <f>IF('ORDENES'!$A440="","",'ORDENES'!$AA440)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IF('ORDENES'!$A441="","",IF('ORDENES'!$AC441="","-",'ORDENES'!$AC441))</f>
        <v/>
      </c>
      <c r="D463" s="3">
        <f>IF('ORDENES'!$A441="","",IF('ORDENES'!$V441="","-",'ORDENES'!$V441))</f>
        <v/>
      </c>
      <c r="E463" s="3">
        <f>IF('ORDENES'!$A441="","",IF('ORDENES'!$U441="","-",'ORDENES'!$U441))</f>
        <v/>
      </c>
      <c r="F463" s="3">
        <f>IF('ORDENES'!$A441="","",IF('ORDENES'!$W441="","-",'ORDENES'!$W441))</f>
        <v/>
      </c>
      <c r="G463" s="3">
        <f>IF('ORDENES'!$A441="","",IF('ORDENES'!$AB441="","-",'ORDENES'!$AB441))</f>
        <v/>
      </c>
      <c r="H463" s="3">
        <f>IF('ORDENES'!$A441="","",IF('ORDENES'!$AN441="","-",'ORDENES'!$AN441))</f>
        <v/>
      </c>
      <c r="I463" s="3">
        <f>IF('ORDENES'!$A441="","",IF('ORDENES'!$D441="","-",'ORDENES'!$D441))</f>
        <v/>
      </c>
      <c r="J463" s="3">
        <f>IF('ORDENES'!$A441="","",IF('ORDENES'!$E441="","-",'ORDENES'!$E441))</f>
        <v/>
      </c>
      <c r="K463" s="12">
        <f>IF('ORDENES'!$A441="","",IF('ORDENES'!$M441="",0,'ORDENES'!$M441))</f>
        <v/>
      </c>
      <c r="L463" s="3">
        <f>IF('ORDENES'!$A441="","",IF('ORDENES'!$N441="","-",'ORDENES'!$N441))</f>
        <v/>
      </c>
      <c r="M463" s="3">
        <f>IF('ORDENES'!$A441="","",'ORDENES'!$AA441)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IF('ORDENES'!$A442="","",IF('ORDENES'!$AC442="","-",'ORDENES'!$AC442))</f>
        <v/>
      </c>
      <c r="D464" s="3">
        <f>IF('ORDENES'!$A442="","",IF('ORDENES'!$V442="","-",'ORDENES'!$V442))</f>
        <v/>
      </c>
      <c r="E464" s="3">
        <f>IF('ORDENES'!$A442="","",IF('ORDENES'!$U442="","-",'ORDENES'!$U442))</f>
        <v/>
      </c>
      <c r="F464" s="3">
        <f>IF('ORDENES'!$A442="","",IF('ORDENES'!$W442="","-",'ORDENES'!$W442))</f>
        <v/>
      </c>
      <c r="G464" s="3">
        <f>IF('ORDENES'!$A442="","",IF('ORDENES'!$AB442="","-",'ORDENES'!$AB442))</f>
        <v/>
      </c>
      <c r="H464" s="3">
        <f>IF('ORDENES'!$A442="","",IF('ORDENES'!$AN442="","-",'ORDENES'!$AN442))</f>
        <v/>
      </c>
      <c r="I464" s="3">
        <f>IF('ORDENES'!$A442="","",IF('ORDENES'!$D442="","-",'ORDENES'!$D442))</f>
        <v/>
      </c>
      <c r="J464" s="3">
        <f>IF('ORDENES'!$A442="","",IF('ORDENES'!$E442="","-",'ORDENES'!$E442))</f>
        <v/>
      </c>
      <c r="K464" s="12">
        <f>IF('ORDENES'!$A442="","",IF('ORDENES'!$M442="",0,'ORDENES'!$M442))</f>
        <v/>
      </c>
      <c r="L464" s="3">
        <f>IF('ORDENES'!$A442="","",IF('ORDENES'!$N442="","-",'ORDENES'!$N442))</f>
        <v/>
      </c>
      <c r="M464" s="3">
        <f>IF('ORDENES'!$A442="","",'ORDENES'!$AA442)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IF('ORDENES'!$A443="","",IF('ORDENES'!$AC443="","-",'ORDENES'!$AC443))</f>
        <v/>
      </c>
      <c r="D465" s="3">
        <f>IF('ORDENES'!$A443="","",IF('ORDENES'!$V443="","-",'ORDENES'!$V443))</f>
        <v/>
      </c>
      <c r="E465" s="3">
        <f>IF('ORDENES'!$A443="","",IF('ORDENES'!$U443="","-",'ORDENES'!$U443))</f>
        <v/>
      </c>
      <c r="F465" s="3">
        <f>IF('ORDENES'!$A443="","",IF('ORDENES'!$W443="","-",'ORDENES'!$W443))</f>
        <v/>
      </c>
      <c r="G465" s="3">
        <f>IF('ORDENES'!$A443="","",IF('ORDENES'!$AB443="","-",'ORDENES'!$AB443))</f>
        <v/>
      </c>
      <c r="H465" s="3">
        <f>IF('ORDENES'!$A443="","",IF('ORDENES'!$AN443="","-",'ORDENES'!$AN443))</f>
        <v/>
      </c>
      <c r="I465" s="3">
        <f>IF('ORDENES'!$A443="","",IF('ORDENES'!$D443="","-",'ORDENES'!$D443))</f>
        <v/>
      </c>
      <c r="J465" s="3">
        <f>IF('ORDENES'!$A443="","",IF('ORDENES'!$E443="","-",'ORDENES'!$E443))</f>
        <v/>
      </c>
      <c r="K465" s="12">
        <f>IF('ORDENES'!$A443="","",IF('ORDENES'!$M443="",0,'ORDENES'!$M443))</f>
        <v/>
      </c>
      <c r="L465" s="3">
        <f>IF('ORDENES'!$A443="","",IF('ORDENES'!$N443="","-",'ORDENES'!$N443))</f>
        <v/>
      </c>
      <c r="M465" s="3">
        <f>IF('ORDENES'!$A443="","",'ORDENES'!$AA443)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IF('ORDENES'!$A444="","",IF('ORDENES'!$AC444="","-",'ORDENES'!$AC444))</f>
        <v/>
      </c>
      <c r="D466" s="3">
        <f>IF('ORDENES'!$A444="","",IF('ORDENES'!$V444="","-",'ORDENES'!$V444))</f>
        <v/>
      </c>
      <c r="E466" s="3">
        <f>IF('ORDENES'!$A444="","",IF('ORDENES'!$U444="","-",'ORDENES'!$U444))</f>
        <v/>
      </c>
      <c r="F466" s="3">
        <f>IF('ORDENES'!$A444="","",IF('ORDENES'!$W444="","-",'ORDENES'!$W444))</f>
        <v/>
      </c>
      <c r="G466" s="3">
        <f>IF('ORDENES'!$A444="","",IF('ORDENES'!$AB444="","-",'ORDENES'!$AB444))</f>
        <v/>
      </c>
      <c r="H466" s="3">
        <f>IF('ORDENES'!$A444="","",IF('ORDENES'!$AN444="","-",'ORDENES'!$AN444))</f>
        <v/>
      </c>
      <c r="I466" s="3">
        <f>IF('ORDENES'!$A444="","",IF('ORDENES'!$D444="","-",'ORDENES'!$D444))</f>
        <v/>
      </c>
      <c r="J466" s="3">
        <f>IF('ORDENES'!$A444="","",IF('ORDENES'!$E444="","-",'ORDENES'!$E444))</f>
        <v/>
      </c>
      <c r="K466" s="12">
        <f>IF('ORDENES'!$A444="","",IF('ORDENES'!$M444="",0,'ORDENES'!$M444))</f>
        <v/>
      </c>
      <c r="L466" s="3">
        <f>IF('ORDENES'!$A444="","",IF('ORDENES'!$N444="","-",'ORDENES'!$N444))</f>
        <v/>
      </c>
      <c r="M466" s="3">
        <f>IF('ORDENES'!$A444="","",'ORDENES'!$AA444)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IF('ORDENES'!$A445="","",IF('ORDENES'!$AC445="","-",'ORDENES'!$AC445))</f>
        <v/>
      </c>
      <c r="D467" s="3">
        <f>IF('ORDENES'!$A445="","",IF('ORDENES'!$V445="","-",'ORDENES'!$V445))</f>
        <v/>
      </c>
      <c r="E467" s="3">
        <f>IF('ORDENES'!$A445="","",IF('ORDENES'!$U445="","-",'ORDENES'!$U445))</f>
        <v/>
      </c>
      <c r="F467" s="3">
        <f>IF('ORDENES'!$A445="","",IF('ORDENES'!$W445="","-",'ORDENES'!$W445))</f>
        <v/>
      </c>
      <c r="G467" s="3">
        <f>IF('ORDENES'!$A445="","",IF('ORDENES'!$AB445="","-",'ORDENES'!$AB445))</f>
        <v/>
      </c>
      <c r="H467" s="3">
        <f>IF('ORDENES'!$A445="","",IF('ORDENES'!$AN445="","-",'ORDENES'!$AN445))</f>
        <v/>
      </c>
      <c r="I467" s="3">
        <f>IF('ORDENES'!$A445="","",IF('ORDENES'!$D445="","-",'ORDENES'!$D445))</f>
        <v/>
      </c>
      <c r="J467" s="3">
        <f>IF('ORDENES'!$A445="","",IF('ORDENES'!$E445="","-",'ORDENES'!$E445))</f>
        <v/>
      </c>
      <c r="K467" s="12">
        <f>IF('ORDENES'!$A445="","",IF('ORDENES'!$M445="",0,'ORDENES'!$M445))</f>
        <v/>
      </c>
      <c r="L467" s="3">
        <f>IF('ORDENES'!$A445="","",IF('ORDENES'!$N445="","-",'ORDENES'!$N445))</f>
        <v/>
      </c>
      <c r="M467" s="3">
        <f>IF('ORDENES'!$A445="","",'ORDENES'!$AA445)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IF('ORDENES'!$A446="","",IF('ORDENES'!$AC446="","-",'ORDENES'!$AC446))</f>
        <v/>
      </c>
      <c r="D468" s="3">
        <f>IF('ORDENES'!$A446="","",IF('ORDENES'!$V446="","-",'ORDENES'!$V446))</f>
        <v/>
      </c>
      <c r="E468" s="3">
        <f>IF('ORDENES'!$A446="","",IF('ORDENES'!$U446="","-",'ORDENES'!$U446))</f>
        <v/>
      </c>
      <c r="F468" s="3">
        <f>IF('ORDENES'!$A446="","",IF('ORDENES'!$W446="","-",'ORDENES'!$W446))</f>
        <v/>
      </c>
      <c r="G468" s="3">
        <f>IF('ORDENES'!$A446="","",IF('ORDENES'!$AB446="","-",'ORDENES'!$AB446))</f>
        <v/>
      </c>
      <c r="H468" s="3">
        <f>IF('ORDENES'!$A446="","",IF('ORDENES'!$AN446="","-",'ORDENES'!$AN446))</f>
        <v/>
      </c>
      <c r="I468" s="3">
        <f>IF('ORDENES'!$A446="","",IF('ORDENES'!$D446="","-",'ORDENES'!$D446))</f>
        <v/>
      </c>
      <c r="J468" s="3">
        <f>IF('ORDENES'!$A446="","",IF('ORDENES'!$E446="","-",'ORDENES'!$E446))</f>
        <v/>
      </c>
      <c r="K468" s="12">
        <f>IF('ORDENES'!$A446="","",IF('ORDENES'!$M446="",0,'ORDENES'!$M446))</f>
        <v/>
      </c>
      <c r="L468" s="3">
        <f>IF('ORDENES'!$A446="","",IF('ORDENES'!$N446="","-",'ORDENES'!$N446))</f>
        <v/>
      </c>
      <c r="M468" s="3">
        <f>IF('ORDENES'!$A446="","",'ORDENES'!$AA446)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IF('ORDENES'!$A447="","",IF('ORDENES'!$AC447="","-",'ORDENES'!$AC447))</f>
        <v/>
      </c>
      <c r="D469" s="3">
        <f>IF('ORDENES'!$A447="","",IF('ORDENES'!$V447="","-",'ORDENES'!$V447))</f>
        <v/>
      </c>
      <c r="E469" s="3">
        <f>IF('ORDENES'!$A447="","",IF('ORDENES'!$U447="","-",'ORDENES'!$U447))</f>
        <v/>
      </c>
      <c r="F469" s="3">
        <f>IF('ORDENES'!$A447="","",IF('ORDENES'!$W447="","-",'ORDENES'!$W447))</f>
        <v/>
      </c>
      <c r="G469" s="3">
        <f>IF('ORDENES'!$A447="","",IF('ORDENES'!$AB447="","-",'ORDENES'!$AB447))</f>
        <v/>
      </c>
      <c r="H469" s="3">
        <f>IF('ORDENES'!$A447="","",IF('ORDENES'!$AN447="","-",'ORDENES'!$AN447))</f>
        <v/>
      </c>
      <c r="I469" s="3">
        <f>IF('ORDENES'!$A447="","",IF('ORDENES'!$D447="","-",'ORDENES'!$D447))</f>
        <v/>
      </c>
      <c r="J469" s="3">
        <f>IF('ORDENES'!$A447="","",IF('ORDENES'!$E447="","-",'ORDENES'!$E447))</f>
        <v/>
      </c>
      <c r="K469" s="12">
        <f>IF('ORDENES'!$A447="","",IF('ORDENES'!$M447="",0,'ORDENES'!$M447))</f>
        <v/>
      </c>
      <c r="L469" s="3">
        <f>IF('ORDENES'!$A447="","",IF('ORDENES'!$N447="","-",'ORDENES'!$N447))</f>
        <v/>
      </c>
      <c r="M469" s="3">
        <f>IF('ORDENES'!$A447="","",'ORDENES'!$AA447)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IF('ORDENES'!$A448="","",IF('ORDENES'!$AC448="","-",'ORDENES'!$AC448))</f>
        <v/>
      </c>
      <c r="D470" s="3">
        <f>IF('ORDENES'!$A448="","",IF('ORDENES'!$V448="","-",'ORDENES'!$V448))</f>
        <v/>
      </c>
      <c r="E470" s="3">
        <f>IF('ORDENES'!$A448="","",IF('ORDENES'!$U448="","-",'ORDENES'!$U448))</f>
        <v/>
      </c>
      <c r="F470" s="3">
        <f>IF('ORDENES'!$A448="","",IF('ORDENES'!$W448="","-",'ORDENES'!$W448))</f>
        <v/>
      </c>
      <c r="G470" s="3">
        <f>IF('ORDENES'!$A448="","",IF('ORDENES'!$AB448="","-",'ORDENES'!$AB448))</f>
        <v/>
      </c>
      <c r="H470" s="3">
        <f>IF('ORDENES'!$A448="","",IF('ORDENES'!$AN448="","-",'ORDENES'!$AN448))</f>
        <v/>
      </c>
      <c r="I470" s="3">
        <f>IF('ORDENES'!$A448="","",IF('ORDENES'!$D448="","-",'ORDENES'!$D448))</f>
        <v/>
      </c>
      <c r="J470" s="3">
        <f>IF('ORDENES'!$A448="","",IF('ORDENES'!$E448="","-",'ORDENES'!$E448))</f>
        <v/>
      </c>
      <c r="K470" s="12">
        <f>IF('ORDENES'!$A448="","",IF('ORDENES'!$M448="",0,'ORDENES'!$M448))</f>
        <v/>
      </c>
      <c r="L470" s="3">
        <f>IF('ORDENES'!$A448="","",IF('ORDENES'!$N448="","-",'ORDENES'!$N448))</f>
        <v/>
      </c>
      <c r="M470" s="3">
        <f>IF('ORDENES'!$A448="","",'ORDENES'!$AA448)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IF('ORDENES'!$A449="","",IF('ORDENES'!$AC449="","-",'ORDENES'!$AC449))</f>
        <v/>
      </c>
      <c r="D471" s="3">
        <f>IF('ORDENES'!$A449="","",IF('ORDENES'!$V449="","-",'ORDENES'!$V449))</f>
        <v/>
      </c>
      <c r="E471" s="3">
        <f>IF('ORDENES'!$A449="","",IF('ORDENES'!$U449="","-",'ORDENES'!$U449))</f>
        <v/>
      </c>
      <c r="F471" s="3">
        <f>IF('ORDENES'!$A449="","",IF('ORDENES'!$W449="","-",'ORDENES'!$W449))</f>
        <v/>
      </c>
      <c r="G471" s="3">
        <f>IF('ORDENES'!$A449="","",IF('ORDENES'!$AB449="","-",'ORDENES'!$AB449))</f>
        <v/>
      </c>
      <c r="H471" s="3">
        <f>IF('ORDENES'!$A449="","",IF('ORDENES'!$AN449="","-",'ORDENES'!$AN449))</f>
        <v/>
      </c>
      <c r="I471" s="3">
        <f>IF('ORDENES'!$A449="","",IF('ORDENES'!$D449="","-",'ORDENES'!$D449))</f>
        <v/>
      </c>
      <c r="J471" s="3">
        <f>IF('ORDENES'!$A449="","",IF('ORDENES'!$E449="","-",'ORDENES'!$E449))</f>
        <v/>
      </c>
      <c r="K471" s="12">
        <f>IF('ORDENES'!$A449="","",IF('ORDENES'!$M449="",0,'ORDENES'!$M449))</f>
        <v/>
      </c>
      <c r="L471" s="3">
        <f>IF('ORDENES'!$A449="","",IF('ORDENES'!$N449="","-",'ORDENES'!$N449))</f>
        <v/>
      </c>
      <c r="M471" s="3">
        <f>IF('ORDENES'!$A449="","",'ORDENES'!$AA449)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IF('ORDENES'!$A450="","",IF('ORDENES'!$AC450="","-",'ORDENES'!$AC450))</f>
        <v/>
      </c>
      <c r="D472" s="3">
        <f>IF('ORDENES'!$A450="","",IF('ORDENES'!$V450="","-",'ORDENES'!$V450))</f>
        <v/>
      </c>
      <c r="E472" s="3">
        <f>IF('ORDENES'!$A450="","",IF('ORDENES'!$U450="","-",'ORDENES'!$U450))</f>
        <v/>
      </c>
      <c r="F472" s="3">
        <f>IF('ORDENES'!$A450="","",IF('ORDENES'!$W450="","-",'ORDENES'!$W450))</f>
        <v/>
      </c>
      <c r="G472" s="3">
        <f>IF('ORDENES'!$A450="","",IF('ORDENES'!$AB450="","-",'ORDENES'!$AB450))</f>
        <v/>
      </c>
      <c r="H472" s="3">
        <f>IF('ORDENES'!$A450="","",IF('ORDENES'!$AN450="","-",'ORDENES'!$AN450))</f>
        <v/>
      </c>
      <c r="I472" s="3">
        <f>IF('ORDENES'!$A450="","",IF('ORDENES'!$D450="","-",'ORDENES'!$D450))</f>
        <v/>
      </c>
      <c r="J472" s="3">
        <f>IF('ORDENES'!$A450="","",IF('ORDENES'!$E450="","-",'ORDENES'!$E450))</f>
        <v/>
      </c>
      <c r="K472" s="12">
        <f>IF('ORDENES'!$A450="","",IF('ORDENES'!$M450="",0,'ORDENES'!$M450))</f>
        <v/>
      </c>
      <c r="L472" s="3">
        <f>IF('ORDENES'!$A450="","",IF('ORDENES'!$N450="","-",'ORDENES'!$N450))</f>
        <v/>
      </c>
      <c r="M472" s="3">
        <f>IF('ORDENES'!$A450="","",'ORDENES'!$AA450)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IF('ORDENES'!$A451="","",IF('ORDENES'!$AC451="","-",'ORDENES'!$AC451))</f>
        <v/>
      </c>
      <c r="D473" s="3">
        <f>IF('ORDENES'!$A451="","",IF('ORDENES'!$V451="","-",'ORDENES'!$V451))</f>
        <v/>
      </c>
      <c r="E473" s="3">
        <f>IF('ORDENES'!$A451="","",IF('ORDENES'!$U451="","-",'ORDENES'!$U451))</f>
        <v/>
      </c>
      <c r="F473" s="3">
        <f>IF('ORDENES'!$A451="","",IF('ORDENES'!$W451="","-",'ORDENES'!$W451))</f>
        <v/>
      </c>
      <c r="G473" s="3">
        <f>IF('ORDENES'!$A451="","",IF('ORDENES'!$AB451="","-",'ORDENES'!$AB451))</f>
        <v/>
      </c>
      <c r="H473" s="3">
        <f>IF('ORDENES'!$A451="","",IF('ORDENES'!$AN451="","-",'ORDENES'!$AN451))</f>
        <v/>
      </c>
      <c r="I473" s="3">
        <f>IF('ORDENES'!$A451="","",IF('ORDENES'!$D451="","-",'ORDENES'!$D451))</f>
        <v/>
      </c>
      <c r="J473" s="3">
        <f>IF('ORDENES'!$A451="","",IF('ORDENES'!$E451="","-",'ORDENES'!$E451))</f>
        <v/>
      </c>
      <c r="K473" s="12">
        <f>IF('ORDENES'!$A451="","",IF('ORDENES'!$M451="",0,'ORDENES'!$M451))</f>
        <v/>
      </c>
      <c r="L473" s="3">
        <f>IF('ORDENES'!$A451="","",IF('ORDENES'!$N451="","-",'ORDENES'!$N451))</f>
        <v/>
      </c>
      <c r="M473" s="3">
        <f>IF('ORDENES'!$A451="","",'ORDENES'!$AA451)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IF('ORDENES'!$A452="","",IF('ORDENES'!$AC452="","-",'ORDENES'!$AC452))</f>
        <v/>
      </c>
      <c r="D474" s="3">
        <f>IF('ORDENES'!$A452="","",IF('ORDENES'!$V452="","-",'ORDENES'!$V452))</f>
        <v/>
      </c>
      <c r="E474" s="3">
        <f>IF('ORDENES'!$A452="","",IF('ORDENES'!$U452="","-",'ORDENES'!$U452))</f>
        <v/>
      </c>
      <c r="F474" s="3">
        <f>IF('ORDENES'!$A452="","",IF('ORDENES'!$W452="","-",'ORDENES'!$W452))</f>
        <v/>
      </c>
      <c r="G474" s="3">
        <f>IF('ORDENES'!$A452="","",IF('ORDENES'!$AB452="","-",'ORDENES'!$AB452))</f>
        <v/>
      </c>
      <c r="H474" s="3">
        <f>IF('ORDENES'!$A452="","",IF('ORDENES'!$AN452="","-",'ORDENES'!$AN452))</f>
        <v/>
      </c>
      <c r="I474" s="3">
        <f>IF('ORDENES'!$A452="","",IF('ORDENES'!$D452="","-",'ORDENES'!$D452))</f>
        <v/>
      </c>
      <c r="J474" s="3">
        <f>IF('ORDENES'!$A452="","",IF('ORDENES'!$E452="","-",'ORDENES'!$E452))</f>
        <v/>
      </c>
      <c r="K474" s="12">
        <f>IF('ORDENES'!$A452="","",IF('ORDENES'!$M452="",0,'ORDENES'!$M452))</f>
        <v/>
      </c>
      <c r="L474" s="3">
        <f>IF('ORDENES'!$A452="","",IF('ORDENES'!$N452="","-",'ORDENES'!$N452))</f>
        <v/>
      </c>
      <c r="M474" s="3">
        <f>IF('ORDENES'!$A452="","",'ORDENES'!$AA452)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IF('ORDENES'!$A453="","",IF('ORDENES'!$AC453="","-",'ORDENES'!$AC453))</f>
        <v/>
      </c>
      <c r="D475" s="3">
        <f>IF('ORDENES'!$A453="","",IF('ORDENES'!$V453="","-",'ORDENES'!$V453))</f>
        <v/>
      </c>
      <c r="E475" s="3">
        <f>IF('ORDENES'!$A453="","",IF('ORDENES'!$U453="","-",'ORDENES'!$U453))</f>
        <v/>
      </c>
      <c r="F475" s="3">
        <f>IF('ORDENES'!$A453="","",IF('ORDENES'!$W453="","-",'ORDENES'!$W453))</f>
        <v/>
      </c>
      <c r="G475" s="3">
        <f>IF('ORDENES'!$A453="","",IF('ORDENES'!$AB453="","-",'ORDENES'!$AB453))</f>
        <v/>
      </c>
      <c r="H475" s="3">
        <f>IF('ORDENES'!$A453="","",IF('ORDENES'!$AN453="","-",'ORDENES'!$AN453))</f>
        <v/>
      </c>
      <c r="I475" s="3">
        <f>IF('ORDENES'!$A453="","",IF('ORDENES'!$D453="","-",'ORDENES'!$D453))</f>
        <v/>
      </c>
      <c r="J475" s="3">
        <f>IF('ORDENES'!$A453="","",IF('ORDENES'!$E453="","-",'ORDENES'!$E453))</f>
        <v/>
      </c>
      <c r="K475" s="12">
        <f>IF('ORDENES'!$A453="","",IF('ORDENES'!$M453="",0,'ORDENES'!$M453))</f>
        <v/>
      </c>
      <c r="L475" s="3">
        <f>IF('ORDENES'!$A453="","",IF('ORDENES'!$N453="","-",'ORDENES'!$N453))</f>
        <v/>
      </c>
      <c r="M475" s="3">
        <f>IF('ORDENES'!$A453="","",'ORDENES'!$AA453)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IF('ORDENES'!$A454="","",IF('ORDENES'!$AC454="","-",'ORDENES'!$AC454))</f>
        <v/>
      </c>
      <c r="D476" s="3">
        <f>IF('ORDENES'!$A454="","",IF('ORDENES'!$V454="","-",'ORDENES'!$V454))</f>
        <v/>
      </c>
      <c r="E476" s="3">
        <f>IF('ORDENES'!$A454="","",IF('ORDENES'!$U454="","-",'ORDENES'!$U454))</f>
        <v/>
      </c>
      <c r="F476" s="3">
        <f>IF('ORDENES'!$A454="","",IF('ORDENES'!$W454="","-",'ORDENES'!$W454))</f>
        <v/>
      </c>
      <c r="G476" s="3">
        <f>IF('ORDENES'!$A454="","",IF('ORDENES'!$AB454="","-",'ORDENES'!$AB454))</f>
        <v/>
      </c>
      <c r="H476" s="3">
        <f>IF('ORDENES'!$A454="","",IF('ORDENES'!$AN454="","-",'ORDENES'!$AN454))</f>
        <v/>
      </c>
      <c r="I476" s="3">
        <f>IF('ORDENES'!$A454="","",IF('ORDENES'!$D454="","-",'ORDENES'!$D454))</f>
        <v/>
      </c>
      <c r="J476" s="3">
        <f>IF('ORDENES'!$A454="","",IF('ORDENES'!$E454="","-",'ORDENES'!$E454))</f>
        <v/>
      </c>
      <c r="K476" s="12">
        <f>IF('ORDENES'!$A454="","",IF('ORDENES'!$M454="",0,'ORDENES'!$M454))</f>
        <v/>
      </c>
      <c r="L476" s="3">
        <f>IF('ORDENES'!$A454="","",IF('ORDENES'!$N454="","-",'ORDENES'!$N454))</f>
        <v/>
      </c>
      <c r="M476" s="3">
        <f>IF('ORDENES'!$A454="","",'ORDENES'!$AA454)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IF('ORDENES'!$A455="","",IF('ORDENES'!$AC455="","-",'ORDENES'!$AC455))</f>
        <v/>
      </c>
      <c r="D477" s="3">
        <f>IF('ORDENES'!$A455="","",IF('ORDENES'!$V455="","-",'ORDENES'!$V455))</f>
        <v/>
      </c>
      <c r="E477" s="3">
        <f>IF('ORDENES'!$A455="","",IF('ORDENES'!$U455="","-",'ORDENES'!$U455))</f>
        <v/>
      </c>
      <c r="F477" s="3">
        <f>IF('ORDENES'!$A455="","",IF('ORDENES'!$W455="","-",'ORDENES'!$W455))</f>
        <v/>
      </c>
      <c r="G477" s="3">
        <f>IF('ORDENES'!$A455="","",IF('ORDENES'!$AB455="","-",'ORDENES'!$AB455))</f>
        <v/>
      </c>
      <c r="H477" s="3">
        <f>IF('ORDENES'!$A455="","",IF('ORDENES'!$AN455="","-",'ORDENES'!$AN455))</f>
        <v/>
      </c>
      <c r="I477" s="3">
        <f>IF('ORDENES'!$A455="","",IF('ORDENES'!$D455="","-",'ORDENES'!$D455))</f>
        <v/>
      </c>
      <c r="J477" s="3">
        <f>IF('ORDENES'!$A455="","",IF('ORDENES'!$E455="","-",'ORDENES'!$E455))</f>
        <v/>
      </c>
      <c r="K477" s="12">
        <f>IF('ORDENES'!$A455="","",IF('ORDENES'!$M455="",0,'ORDENES'!$M455))</f>
        <v/>
      </c>
      <c r="L477" s="3">
        <f>IF('ORDENES'!$A455="","",IF('ORDENES'!$N455="","-",'ORDENES'!$N455))</f>
        <v/>
      </c>
      <c r="M477" s="3">
        <f>IF('ORDENES'!$A455="","",'ORDENES'!$AA455)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IF('ORDENES'!$A456="","",IF('ORDENES'!$AC456="","-",'ORDENES'!$AC456))</f>
        <v/>
      </c>
      <c r="D478" s="3">
        <f>IF('ORDENES'!$A456="","",IF('ORDENES'!$V456="","-",'ORDENES'!$V456))</f>
        <v/>
      </c>
      <c r="E478" s="3">
        <f>IF('ORDENES'!$A456="","",IF('ORDENES'!$U456="","-",'ORDENES'!$U456))</f>
        <v/>
      </c>
      <c r="F478" s="3">
        <f>IF('ORDENES'!$A456="","",IF('ORDENES'!$W456="","-",'ORDENES'!$W456))</f>
        <v/>
      </c>
      <c r="G478" s="3">
        <f>IF('ORDENES'!$A456="","",IF('ORDENES'!$AB456="","-",'ORDENES'!$AB456))</f>
        <v/>
      </c>
      <c r="H478" s="3">
        <f>IF('ORDENES'!$A456="","",IF('ORDENES'!$AN456="","-",'ORDENES'!$AN456))</f>
        <v/>
      </c>
      <c r="I478" s="3">
        <f>IF('ORDENES'!$A456="","",IF('ORDENES'!$D456="","-",'ORDENES'!$D456))</f>
        <v/>
      </c>
      <c r="J478" s="3">
        <f>IF('ORDENES'!$A456="","",IF('ORDENES'!$E456="","-",'ORDENES'!$E456))</f>
        <v/>
      </c>
      <c r="K478" s="12">
        <f>IF('ORDENES'!$A456="","",IF('ORDENES'!$M456="",0,'ORDENES'!$M456))</f>
        <v/>
      </c>
      <c r="L478" s="3">
        <f>IF('ORDENES'!$A456="","",IF('ORDENES'!$N456="","-",'ORDENES'!$N456))</f>
        <v/>
      </c>
      <c r="M478" s="3">
        <f>IF('ORDENES'!$A456="","",'ORDENES'!$AA456)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IF('ORDENES'!$A457="","",IF('ORDENES'!$AC457="","-",'ORDENES'!$AC457))</f>
        <v/>
      </c>
      <c r="D479" s="3">
        <f>IF('ORDENES'!$A457="","",IF('ORDENES'!$V457="","-",'ORDENES'!$V457))</f>
        <v/>
      </c>
      <c r="E479" s="3">
        <f>IF('ORDENES'!$A457="","",IF('ORDENES'!$U457="","-",'ORDENES'!$U457))</f>
        <v/>
      </c>
      <c r="F479" s="3">
        <f>IF('ORDENES'!$A457="","",IF('ORDENES'!$W457="","-",'ORDENES'!$W457))</f>
        <v/>
      </c>
      <c r="G479" s="3">
        <f>IF('ORDENES'!$A457="","",IF('ORDENES'!$AB457="","-",'ORDENES'!$AB457))</f>
        <v/>
      </c>
      <c r="H479" s="3">
        <f>IF('ORDENES'!$A457="","",IF('ORDENES'!$AN457="","-",'ORDENES'!$AN457))</f>
        <v/>
      </c>
      <c r="I479" s="3">
        <f>IF('ORDENES'!$A457="","",IF('ORDENES'!$D457="","-",'ORDENES'!$D457))</f>
        <v/>
      </c>
      <c r="J479" s="3">
        <f>IF('ORDENES'!$A457="","",IF('ORDENES'!$E457="","-",'ORDENES'!$E457))</f>
        <v/>
      </c>
      <c r="K479" s="12">
        <f>IF('ORDENES'!$A457="","",IF('ORDENES'!$M457="",0,'ORDENES'!$M457))</f>
        <v/>
      </c>
      <c r="L479" s="3">
        <f>IF('ORDENES'!$A457="","",IF('ORDENES'!$N457="","-",'ORDENES'!$N457))</f>
        <v/>
      </c>
      <c r="M479" s="3">
        <f>IF('ORDENES'!$A457="","",'ORDENES'!$AA457)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IF('ORDENES'!$A458="","",IF('ORDENES'!$AC458="","-",'ORDENES'!$AC458))</f>
        <v/>
      </c>
      <c r="D480" s="3">
        <f>IF('ORDENES'!$A458="","",IF('ORDENES'!$V458="","-",'ORDENES'!$V458))</f>
        <v/>
      </c>
      <c r="E480" s="3">
        <f>IF('ORDENES'!$A458="","",IF('ORDENES'!$U458="","-",'ORDENES'!$U458))</f>
        <v/>
      </c>
      <c r="F480" s="3">
        <f>IF('ORDENES'!$A458="","",IF('ORDENES'!$W458="","-",'ORDENES'!$W458))</f>
        <v/>
      </c>
      <c r="G480" s="3">
        <f>IF('ORDENES'!$A458="","",IF('ORDENES'!$AB458="","-",'ORDENES'!$AB458))</f>
        <v/>
      </c>
      <c r="H480" s="3">
        <f>IF('ORDENES'!$A458="","",IF('ORDENES'!$AN458="","-",'ORDENES'!$AN458))</f>
        <v/>
      </c>
      <c r="I480" s="3">
        <f>IF('ORDENES'!$A458="","",IF('ORDENES'!$D458="","-",'ORDENES'!$D458))</f>
        <v/>
      </c>
      <c r="J480" s="3">
        <f>IF('ORDENES'!$A458="","",IF('ORDENES'!$E458="","-",'ORDENES'!$E458))</f>
        <v/>
      </c>
      <c r="K480" s="12">
        <f>IF('ORDENES'!$A458="","",IF('ORDENES'!$M458="",0,'ORDENES'!$M458))</f>
        <v/>
      </c>
      <c r="L480" s="3">
        <f>IF('ORDENES'!$A458="","",IF('ORDENES'!$N458="","-",'ORDENES'!$N458))</f>
        <v/>
      </c>
      <c r="M480" s="3">
        <f>IF('ORDENES'!$A458="","",'ORDENES'!$AA458)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IF('ORDENES'!$A459="","",IF('ORDENES'!$AC459="","-",'ORDENES'!$AC459))</f>
        <v/>
      </c>
      <c r="D481" s="3">
        <f>IF('ORDENES'!$A459="","",IF('ORDENES'!$V459="","-",'ORDENES'!$V459))</f>
        <v/>
      </c>
      <c r="E481" s="3">
        <f>IF('ORDENES'!$A459="","",IF('ORDENES'!$U459="","-",'ORDENES'!$U459))</f>
        <v/>
      </c>
      <c r="F481" s="3">
        <f>IF('ORDENES'!$A459="","",IF('ORDENES'!$W459="","-",'ORDENES'!$W459))</f>
        <v/>
      </c>
      <c r="G481" s="3">
        <f>IF('ORDENES'!$A459="","",IF('ORDENES'!$AB459="","-",'ORDENES'!$AB459))</f>
        <v/>
      </c>
      <c r="H481" s="3">
        <f>IF('ORDENES'!$A459="","",IF('ORDENES'!$AN459="","-",'ORDENES'!$AN459))</f>
        <v/>
      </c>
      <c r="I481" s="3">
        <f>IF('ORDENES'!$A459="","",IF('ORDENES'!$D459="","-",'ORDENES'!$D459))</f>
        <v/>
      </c>
      <c r="J481" s="3">
        <f>IF('ORDENES'!$A459="","",IF('ORDENES'!$E459="","-",'ORDENES'!$E459))</f>
        <v/>
      </c>
      <c r="K481" s="12">
        <f>IF('ORDENES'!$A459="","",IF('ORDENES'!$M459="",0,'ORDENES'!$M459))</f>
        <v/>
      </c>
      <c r="L481" s="3">
        <f>IF('ORDENES'!$A459="","",IF('ORDENES'!$N459="","-",'ORDENES'!$N459))</f>
        <v/>
      </c>
      <c r="M481" s="3">
        <f>IF('ORDENES'!$A459="","",'ORDENES'!$AA459)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IF('ORDENES'!$A460="","",IF('ORDENES'!$AC460="","-",'ORDENES'!$AC460))</f>
        <v/>
      </c>
      <c r="D482" s="3">
        <f>IF('ORDENES'!$A460="","",IF('ORDENES'!$V460="","-",'ORDENES'!$V460))</f>
        <v/>
      </c>
      <c r="E482" s="3">
        <f>IF('ORDENES'!$A460="","",IF('ORDENES'!$U460="","-",'ORDENES'!$U460))</f>
        <v/>
      </c>
      <c r="F482" s="3">
        <f>IF('ORDENES'!$A460="","",IF('ORDENES'!$W460="","-",'ORDENES'!$W460))</f>
        <v/>
      </c>
      <c r="G482" s="3">
        <f>IF('ORDENES'!$A460="","",IF('ORDENES'!$AB460="","-",'ORDENES'!$AB460))</f>
        <v/>
      </c>
      <c r="H482" s="3">
        <f>IF('ORDENES'!$A460="","",IF('ORDENES'!$AN460="","-",'ORDENES'!$AN460))</f>
        <v/>
      </c>
      <c r="I482" s="3">
        <f>IF('ORDENES'!$A460="","",IF('ORDENES'!$D460="","-",'ORDENES'!$D460))</f>
        <v/>
      </c>
      <c r="J482" s="3">
        <f>IF('ORDENES'!$A460="","",IF('ORDENES'!$E460="","-",'ORDENES'!$E460))</f>
        <v/>
      </c>
      <c r="K482" s="12">
        <f>IF('ORDENES'!$A460="","",IF('ORDENES'!$M460="",0,'ORDENES'!$M460))</f>
        <v/>
      </c>
      <c r="L482" s="3">
        <f>IF('ORDENES'!$A460="","",IF('ORDENES'!$N460="","-",'ORDENES'!$N460))</f>
        <v/>
      </c>
      <c r="M482" s="3">
        <f>IF('ORDENES'!$A460="","",'ORDENES'!$AA460)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IF('ORDENES'!$A461="","",IF('ORDENES'!$AC461="","-",'ORDENES'!$AC461))</f>
        <v/>
      </c>
      <c r="D483" s="3">
        <f>IF('ORDENES'!$A461="","",IF('ORDENES'!$V461="","-",'ORDENES'!$V461))</f>
        <v/>
      </c>
      <c r="E483" s="3">
        <f>IF('ORDENES'!$A461="","",IF('ORDENES'!$U461="","-",'ORDENES'!$U461))</f>
        <v/>
      </c>
      <c r="F483" s="3">
        <f>IF('ORDENES'!$A461="","",IF('ORDENES'!$W461="","-",'ORDENES'!$W461))</f>
        <v/>
      </c>
      <c r="G483" s="3">
        <f>IF('ORDENES'!$A461="","",IF('ORDENES'!$AB461="","-",'ORDENES'!$AB461))</f>
        <v/>
      </c>
      <c r="H483" s="3">
        <f>IF('ORDENES'!$A461="","",IF('ORDENES'!$AN461="","-",'ORDENES'!$AN461))</f>
        <v/>
      </c>
      <c r="I483" s="3">
        <f>IF('ORDENES'!$A461="","",IF('ORDENES'!$D461="","-",'ORDENES'!$D461))</f>
        <v/>
      </c>
      <c r="J483" s="3">
        <f>IF('ORDENES'!$A461="","",IF('ORDENES'!$E461="","-",'ORDENES'!$E461))</f>
        <v/>
      </c>
      <c r="K483" s="12">
        <f>IF('ORDENES'!$A461="","",IF('ORDENES'!$M461="",0,'ORDENES'!$M461))</f>
        <v/>
      </c>
      <c r="L483" s="3">
        <f>IF('ORDENES'!$A461="","",IF('ORDENES'!$N461="","-",'ORDENES'!$N461))</f>
        <v/>
      </c>
      <c r="M483" s="3">
        <f>IF('ORDENES'!$A461="","",'ORDENES'!$AA461)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IF('ORDENES'!$A462="","",IF('ORDENES'!$AC462="","-",'ORDENES'!$AC462))</f>
        <v/>
      </c>
      <c r="D484" s="3">
        <f>IF('ORDENES'!$A462="","",IF('ORDENES'!$V462="","-",'ORDENES'!$V462))</f>
        <v/>
      </c>
      <c r="E484" s="3">
        <f>IF('ORDENES'!$A462="","",IF('ORDENES'!$U462="","-",'ORDENES'!$U462))</f>
        <v/>
      </c>
      <c r="F484" s="3">
        <f>IF('ORDENES'!$A462="","",IF('ORDENES'!$W462="","-",'ORDENES'!$W462))</f>
        <v/>
      </c>
      <c r="G484" s="3">
        <f>IF('ORDENES'!$A462="","",IF('ORDENES'!$AB462="","-",'ORDENES'!$AB462))</f>
        <v/>
      </c>
      <c r="H484" s="3">
        <f>IF('ORDENES'!$A462="","",IF('ORDENES'!$AN462="","-",'ORDENES'!$AN462))</f>
        <v/>
      </c>
      <c r="I484" s="3">
        <f>IF('ORDENES'!$A462="","",IF('ORDENES'!$D462="","-",'ORDENES'!$D462))</f>
        <v/>
      </c>
      <c r="J484" s="3">
        <f>IF('ORDENES'!$A462="","",IF('ORDENES'!$E462="","-",'ORDENES'!$E462))</f>
        <v/>
      </c>
      <c r="K484" s="12">
        <f>IF('ORDENES'!$A462="","",IF('ORDENES'!$M462="",0,'ORDENES'!$M462))</f>
        <v/>
      </c>
      <c r="L484" s="3">
        <f>IF('ORDENES'!$A462="","",IF('ORDENES'!$N462="","-",'ORDENES'!$N462))</f>
        <v/>
      </c>
      <c r="M484" s="3">
        <f>IF('ORDENES'!$A462="","",'ORDENES'!$AA462)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IF('ORDENES'!$A463="","",IF('ORDENES'!$AC463="","-",'ORDENES'!$AC463))</f>
        <v/>
      </c>
      <c r="D485" s="3">
        <f>IF('ORDENES'!$A463="","",IF('ORDENES'!$V463="","-",'ORDENES'!$V463))</f>
        <v/>
      </c>
      <c r="E485" s="3">
        <f>IF('ORDENES'!$A463="","",IF('ORDENES'!$U463="","-",'ORDENES'!$U463))</f>
        <v/>
      </c>
      <c r="F485" s="3">
        <f>IF('ORDENES'!$A463="","",IF('ORDENES'!$W463="","-",'ORDENES'!$W463))</f>
        <v/>
      </c>
      <c r="G485" s="3">
        <f>IF('ORDENES'!$A463="","",IF('ORDENES'!$AB463="","-",'ORDENES'!$AB463))</f>
        <v/>
      </c>
      <c r="H485" s="3">
        <f>IF('ORDENES'!$A463="","",IF('ORDENES'!$AN463="","-",'ORDENES'!$AN463))</f>
        <v/>
      </c>
      <c r="I485" s="3">
        <f>IF('ORDENES'!$A463="","",IF('ORDENES'!$D463="","-",'ORDENES'!$D463))</f>
        <v/>
      </c>
      <c r="J485" s="3">
        <f>IF('ORDENES'!$A463="","",IF('ORDENES'!$E463="","-",'ORDENES'!$E463))</f>
        <v/>
      </c>
      <c r="K485" s="12">
        <f>IF('ORDENES'!$A463="","",IF('ORDENES'!$M463="",0,'ORDENES'!$M463))</f>
        <v/>
      </c>
      <c r="L485" s="3">
        <f>IF('ORDENES'!$A463="","",IF('ORDENES'!$N463="","-",'ORDENES'!$N463))</f>
        <v/>
      </c>
      <c r="M485" s="3">
        <f>IF('ORDENES'!$A463="","",'ORDENES'!$AA463)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IF('ORDENES'!$A464="","",IF('ORDENES'!$AC464="","-",'ORDENES'!$AC464))</f>
        <v/>
      </c>
      <c r="D486" s="3">
        <f>IF('ORDENES'!$A464="","",IF('ORDENES'!$V464="","-",'ORDENES'!$V464))</f>
        <v/>
      </c>
      <c r="E486" s="3">
        <f>IF('ORDENES'!$A464="","",IF('ORDENES'!$U464="","-",'ORDENES'!$U464))</f>
        <v/>
      </c>
      <c r="F486" s="3">
        <f>IF('ORDENES'!$A464="","",IF('ORDENES'!$W464="","-",'ORDENES'!$W464))</f>
        <v/>
      </c>
      <c r="G486" s="3">
        <f>IF('ORDENES'!$A464="","",IF('ORDENES'!$AB464="","-",'ORDENES'!$AB464))</f>
        <v/>
      </c>
      <c r="H486" s="3">
        <f>IF('ORDENES'!$A464="","",IF('ORDENES'!$AN464="","-",'ORDENES'!$AN464))</f>
        <v/>
      </c>
      <c r="I486" s="3">
        <f>IF('ORDENES'!$A464="","",IF('ORDENES'!$D464="","-",'ORDENES'!$D464))</f>
        <v/>
      </c>
      <c r="J486" s="3">
        <f>IF('ORDENES'!$A464="","",IF('ORDENES'!$E464="","-",'ORDENES'!$E464))</f>
        <v/>
      </c>
      <c r="K486" s="12">
        <f>IF('ORDENES'!$A464="","",IF('ORDENES'!$M464="",0,'ORDENES'!$M464))</f>
        <v/>
      </c>
      <c r="L486" s="3">
        <f>IF('ORDENES'!$A464="","",IF('ORDENES'!$N464="","-",'ORDENES'!$N464))</f>
        <v/>
      </c>
      <c r="M486" s="3">
        <f>IF('ORDENES'!$A464="","",'ORDENES'!$AA464)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IF('ORDENES'!$A465="","",IF('ORDENES'!$AC465="","-",'ORDENES'!$AC465))</f>
        <v/>
      </c>
      <c r="D487" s="3">
        <f>IF('ORDENES'!$A465="","",IF('ORDENES'!$V465="","-",'ORDENES'!$V465))</f>
        <v/>
      </c>
      <c r="E487" s="3">
        <f>IF('ORDENES'!$A465="","",IF('ORDENES'!$U465="","-",'ORDENES'!$U465))</f>
        <v/>
      </c>
      <c r="F487" s="3">
        <f>IF('ORDENES'!$A465="","",IF('ORDENES'!$W465="","-",'ORDENES'!$W465))</f>
        <v/>
      </c>
      <c r="G487" s="3">
        <f>IF('ORDENES'!$A465="","",IF('ORDENES'!$AB465="","-",'ORDENES'!$AB465))</f>
        <v/>
      </c>
      <c r="H487" s="3">
        <f>IF('ORDENES'!$A465="","",IF('ORDENES'!$AN465="","-",'ORDENES'!$AN465))</f>
        <v/>
      </c>
      <c r="I487" s="3">
        <f>IF('ORDENES'!$A465="","",IF('ORDENES'!$D465="","-",'ORDENES'!$D465))</f>
        <v/>
      </c>
      <c r="J487" s="3">
        <f>IF('ORDENES'!$A465="","",IF('ORDENES'!$E465="","-",'ORDENES'!$E465))</f>
        <v/>
      </c>
      <c r="K487" s="12">
        <f>IF('ORDENES'!$A465="","",IF('ORDENES'!$M465="",0,'ORDENES'!$M465))</f>
        <v/>
      </c>
      <c r="L487" s="3">
        <f>IF('ORDENES'!$A465="","",IF('ORDENES'!$N465="","-",'ORDENES'!$N465))</f>
        <v/>
      </c>
      <c r="M487" s="3">
        <f>IF('ORDENES'!$A465="","",'ORDENES'!$AA465)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IF('ORDENES'!$A466="","",IF('ORDENES'!$AC466="","-",'ORDENES'!$AC466))</f>
        <v/>
      </c>
      <c r="D488" s="3">
        <f>IF('ORDENES'!$A466="","",IF('ORDENES'!$V466="","-",'ORDENES'!$V466))</f>
        <v/>
      </c>
      <c r="E488" s="3">
        <f>IF('ORDENES'!$A466="","",IF('ORDENES'!$U466="","-",'ORDENES'!$U466))</f>
        <v/>
      </c>
      <c r="F488" s="3">
        <f>IF('ORDENES'!$A466="","",IF('ORDENES'!$W466="","-",'ORDENES'!$W466))</f>
        <v/>
      </c>
      <c r="G488" s="3">
        <f>IF('ORDENES'!$A466="","",IF('ORDENES'!$AB466="","-",'ORDENES'!$AB466))</f>
        <v/>
      </c>
      <c r="H488" s="3">
        <f>IF('ORDENES'!$A466="","",IF('ORDENES'!$AN466="","-",'ORDENES'!$AN466))</f>
        <v/>
      </c>
      <c r="I488" s="3">
        <f>IF('ORDENES'!$A466="","",IF('ORDENES'!$D466="","-",'ORDENES'!$D466))</f>
        <v/>
      </c>
      <c r="J488" s="3">
        <f>IF('ORDENES'!$A466="","",IF('ORDENES'!$E466="","-",'ORDENES'!$E466))</f>
        <v/>
      </c>
      <c r="K488" s="12">
        <f>IF('ORDENES'!$A466="","",IF('ORDENES'!$M466="",0,'ORDENES'!$M466))</f>
        <v/>
      </c>
      <c r="L488" s="3">
        <f>IF('ORDENES'!$A466="","",IF('ORDENES'!$N466="","-",'ORDENES'!$N466))</f>
        <v/>
      </c>
      <c r="M488" s="3">
        <f>IF('ORDENES'!$A466="","",'ORDENES'!$AA466)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IF('ORDENES'!$A467="","",IF('ORDENES'!$AC467="","-",'ORDENES'!$AC467))</f>
        <v/>
      </c>
      <c r="D489" s="3">
        <f>IF('ORDENES'!$A467="","",IF('ORDENES'!$V467="","-",'ORDENES'!$V467))</f>
        <v/>
      </c>
      <c r="E489" s="3">
        <f>IF('ORDENES'!$A467="","",IF('ORDENES'!$U467="","-",'ORDENES'!$U467))</f>
        <v/>
      </c>
      <c r="F489" s="3">
        <f>IF('ORDENES'!$A467="","",IF('ORDENES'!$W467="","-",'ORDENES'!$W467))</f>
        <v/>
      </c>
      <c r="G489" s="3">
        <f>IF('ORDENES'!$A467="","",IF('ORDENES'!$AB467="","-",'ORDENES'!$AB467))</f>
        <v/>
      </c>
      <c r="H489" s="3">
        <f>IF('ORDENES'!$A467="","",IF('ORDENES'!$AN467="","-",'ORDENES'!$AN467))</f>
        <v/>
      </c>
      <c r="I489" s="3">
        <f>IF('ORDENES'!$A467="","",IF('ORDENES'!$D467="","-",'ORDENES'!$D467))</f>
        <v/>
      </c>
      <c r="J489" s="3">
        <f>IF('ORDENES'!$A467="","",IF('ORDENES'!$E467="","-",'ORDENES'!$E467))</f>
        <v/>
      </c>
      <c r="K489" s="12">
        <f>IF('ORDENES'!$A467="","",IF('ORDENES'!$M467="",0,'ORDENES'!$M467))</f>
        <v/>
      </c>
      <c r="L489" s="3">
        <f>IF('ORDENES'!$A467="","",IF('ORDENES'!$N467="","-",'ORDENES'!$N467))</f>
        <v/>
      </c>
      <c r="M489" s="3">
        <f>IF('ORDENES'!$A467="","",'ORDENES'!$AA467)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IF('ORDENES'!$A468="","",IF('ORDENES'!$AC468="","-",'ORDENES'!$AC468))</f>
        <v/>
      </c>
      <c r="D490" s="3">
        <f>IF('ORDENES'!$A468="","",IF('ORDENES'!$V468="","-",'ORDENES'!$V468))</f>
        <v/>
      </c>
      <c r="E490" s="3">
        <f>IF('ORDENES'!$A468="","",IF('ORDENES'!$U468="","-",'ORDENES'!$U468))</f>
        <v/>
      </c>
      <c r="F490" s="3">
        <f>IF('ORDENES'!$A468="","",IF('ORDENES'!$W468="","-",'ORDENES'!$W468))</f>
        <v/>
      </c>
      <c r="G490" s="3">
        <f>IF('ORDENES'!$A468="","",IF('ORDENES'!$AB468="","-",'ORDENES'!$AB468))</f>
        <v/>
      </c>
      <c r="H490" s="3">
        <f>IF('ORDENES'!$A468="","",IF('ORDENES'!$AN468="","-",'ORDENES'!$AN468))</f>
        <v/>
      </c>
      <c r="I490" s="3">
        <f>IF('ORDENES'!$A468="","",IF('ORDENES'!$D468="","-",'ORDENES'!$D468))</f>
        <v/>
      </c>
      <c r="J490" s="3">
        <f>IF('ORDENES'!$A468="","",IF('ORDENES'!$E468="","-",'ORDENES'!$E468))</f>
        <v/>
      </c>
      <c r="K490" s="12">
        <f>IF('ORDENES'!$A468="","",IF('ORDENES'!$M468="",0,'ORDENES'!$M468))</f>
        <v/>
      </c>
      <c r="L490" s="3">
        <f>IF('ORDENES'!$A468="","",IF('ORDENES'!$N468="","-",'ORDENES'!$N468))</f>
        <v/>
      </c>
      <c r="M490" s="3">
        <f>IF('ORDENES'!$A468="","",'ORDENES'!$AA468)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IF('ORDENES'!$A469="","",IF('ORDENES'!$AC469="","-",'ORDENES'!$AC469))</f>
        <v/>
      </c>
      <c r="D491" s="3">
        <f>IF('ORDENES'!$A469="","",IF('ORDENES'!$V469="","-",'ORDENES'!$V469))</f>
        <v/>
      </c>
      <c r="E491" s="3">
        <f>IF('ORDENES'!$A469="","",IF('ORDENES'!$U469="","-",'ORDENES'!$U469))</f>
        <v/>
      </c>
      <c r="F491" s="3">
        <f>IF('ORDENES'!$A469="","",IF('ORDENES'!$W469="","-",'ORDENES'!$W469))</f>
        <v/>
      </c>
      <c r="G491" s="3">
        <f>IF('ORDENES'!$A469="","",IF('ORDENES'!$AB469="","-",'ORDENES'!$AB469))</f>
        <v/>
      </c>
      <c r="H491" s="3">
        <f>IF('ORDENES'!$A469="","",IF('ORDENES'!$AN469="","-",'ORDENES'!$AN469))</f>
        <v/>
      </c>
      <c r="I491" s="3">
        <f>IF('ORDENES'!$A469="","",IF('ORDENES'!$D469="","-",'ORDENES'!$D469))</f>
        <v/>
      </c>
      <c r="J491" s="3">
        <f>IF('ORDENES'!$A469="","",IF('ORDENES'!$E469="","-",'ORDENES'!$E469))</f>
        <v/>
      </c>
      <c r="K491" s="12">
        <f>IF('ORDENES'!$A469="","",IF('ORDENES'!$M469="",0,'ORDENES'!$M469))</f>
        <v/>
      </c>
      <c r="L491" s="3">
        <f>IF('ORDENES'!$A469="","",IF('ORDENES'!$N469="","-",'ORDENES'!$N469))</f>
        <v/>
      </c>
      <c r="M491" s="3">
        <f>IF('ORDENES'!$A469="","",'ORDENES'!$AA469)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IF('ORDENES'!$A470="","",IF('ORDENES'!$AC470="","-",'ORDENES'!$AC470))</f>
        <v/>
      </c>
      <c r="D492" s="3">
        <f>IF('ORDENES'!$A470="","",IF('ORDENES'!$V470="","-",'ORDENES'!$V470))</f>
        <v/>
      </c>
      <c r="E492" s="3">
        <f>IF('ORDENES'!$A470="","",IF('ORDENES'!$U470="","-",'ORDENES'!$U470))</f>
        <v/>
      </c>
      <c r="F492" s="3">
        <f>IF('ORDENES'!$A470="","",IF('ORDENES'!$W470="","-",'ORDENES'!$W470))</f>
        <v/>
      </c>
      <c r="G492" s="3">
        <f>IF('ORDENES'!$A470="","",IF('ORDENES'!$AB470="","-",'ORDENES'!$AB470))</f>
        <v/>
      </c>
      <c r="H492" s="3">
        <f>IF('ORDENES'!$A470="","",IF('ORDENES'!$AN470="","-",'ORDENES'!$AN470))</f>
        <v/>
      </c>
      <c r="I492" s="3">
        <f>IF('ORDENES'!$A470="","",IF('ORDENES'!$D470="","-",'ORDENES'!$D470))</f>
        <v/>
      </c>
      <c r="J492" s="3">
        <f>IF('ORDENES'!$A470="","",IF('ORDENES'!$E470="","-",'ORDENES'!$E470))</f>
        <v/>
      </c>
      <c r="K492" s="12">
        <f>IF('ORDENES'!$A470="","",IF('ORDENES'!$M470="",0,'ORDENES'!$M470))</f>
        <v/>
      </c>
      <c r="L492" s="3">
        <f>IF('ORDENES'!$A470="","",IF('ORDENES'!$N470="","-",'ORDENES'!$N470))</f>
        <v/>
      </c>
      <c r="M492" s="3">
        <f>IF('ORDENES'!$A470="","",'ORDENES'!$AA470)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IF('ORDENES'!$A471="","",IF('ORDENES'!$AC471="","-",'ORDENES'!$AC471))</f>
        <v/>
      </c>
      <c r="D493" s="3">
        <f>IF('ORDENES'!$A471="","",IF('ORDENES'!$V471="","-",'ORDENES'!$V471))</f>
        <v/>
      </c>
      <c r="E493" s="3">
        <f>IF('ORDENES'!$A471="","",IF('ORDENES'!$U471="","-",'ORDENES'!$U471))</f>
        <v/>
      </c>
      <c r="F493" s="3">
        <f>IF('ORDENES'!$A471="","",IF('ORDENES'!$W471="","-",'ORDENES'!$W471))</f>
        <v/>
      </c>
      <c r="G493" s="3">
        <f>IF('ORDENES'!$A471="","",IF('ORDENES'!$AB471="","-",'ORDENES'!$AB471))</f>
        <v/>
      </c>
      <c r="H493" s="3">
        <f>IF('ORDENES'!$A471="","",IF('ORDENES'!$AN471="","-",'ORDENES'!$AN471))</f>
        <v/>
      </c>
      <c r="I493" s="3">
        <f>IF('ORDENES'!$A471="","",IF('ORDENES'!$D471="","-",'ORDENES'!$D471))</f>
        <v/>
      </c>
      <c r="J493" s="3">
        <f>IF('ORDENES'!$A471="","",IF('ORDENES'!$E471="","-",'ORDENES'!$E471))</f>
        <v/>
      </c>
      <c r="K493" s="12">
        <f>IF('ORDENES'!$A471="","",IF('ORDENES'!$M471="",0,'ORDENES'!$M471))</f>
        <v/>
      </c>
      <c r="L493" s="3">
        <f>IF('ORDENES'!$A471="","",IF('ORDENES'!$N471="","-",'ORDENES'!$N471))</f>
        <v/>
      </c>
      <c r="M493" s="3">
        <f>IF('ORDENES'!$A471="","",'ORDENES'!$AA471)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IF('ORDENES'!$A472="","",IF('ORDENES'!$AC472="","-",'ORDENES'!$AC472))</f>
        <v/>
      </c>
      <c r="D494" s="3">
        <f>IF('ORDENES'!$A472="","",IF('ORDENES'!$V472="","-",'ORDENES'!$V472))</f>
        <v/>
      </c>
      <c r="E494" s="3">
        <f>IF('ORDENES'!$A472="","",IF('ORDENES'!$U472="","-",'ORDENES'!$U472))</f>
        <v/>
      </c>
      <c r="F494" s="3">
        <f>IF('ORDENES'!$A472="","",IF('ORDENES'!$W472="","-",'ORDENES'!$W472))</f>
        <v/>
      </c>
      <c r="G494" s="3">
        <f>IF('ORDENES'!$A472="","",IF('ORDENES'!$AB472="","-",'ORDENES'!$AB472))</f>
        <v/>
      </c>
      <c r="H494" s="3">
        <f>IF('ORDENES'!$A472="","",IF('ORDENES'!$AN472="","-",'ORDENES'!$AN472))</f>
        <v/>
      </c>
      <c r="I494" s="3">
        <f>IF('ORDENES'!$A472="","",IF('ORDENES'!$D472="","-",'ORDENES'!$D472))</f>
        <v/>
      </c>
      <c r="J494" s="3">
        <f>IF('ORDENES'!$A472="","",IF('ORDENES'!$E472="","-",'ORDENES'!$E472))</f>
        <v/>
      </c>
      <c r="K494" s="12">
        <f>IF('ORDENES'!$A472="","",IF('ORDENES'!$M472="",0,'ORDENES'!$M472))</f>
        <v/>
      </c>
      <c r="L494" s="3">
        <f>IF('ORDENES'!$A472="","",IF('ORDENES'!$N472="","-",'ORDENES'!$N472))</f>
        <v/>
      </c>
      <c r="M494" s="3">
        <f>IF('ORDENES'!$A472="","",'ORDENES'!$AA472)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IF('ORDENES'!$A473="","",IF('ORDENES'!$AC473="","-",'ORDENES'!$AC473))</f>
        <v/>
      </c>
      <c r="D495" s="3">
        <f>IF('ORDENES'!$A473="","",IF('ORDENES'!$V473="","-",'ORDENES'!$V473))</f>
        <v/>
      </c>
      <c r="E495" s="3">
        <f>IF('ORDENES'!$A473="","",IF('ORDENES'!$U473="","-",'ORDENES'!$U473))</f>
        <v/>
      </c>
      <c r="F495" s="3">
        <f>IF('ORDENES'!$A473="","",IF('ORDENES'!$W473="","-",'ORDENES'!$W473))</f>
        <v/>
      </c>
      <c r="G495" s="3">
        <f>IF('ORDENES'!$A473="","",IF('ORDENES'!$AB473="","-",'ORDENES'!$AB473))</f>
        <v/>
      </c>
      <c r="H495" s="3">
        <f>IF('ORDENES'!$A473="","",IF('ORDENES'!$AN473="","-",'ORDENES'!$AN473))</f>
        <v/>
      </c>
      <c r="I495" s="3">
        <f>IF('ORDENES'!$A473="","",IF('ORDENES'!$D473="","-",'ORDENES'!$D473))</f>
        <v/>
      </c>
      <c r="J495" s="3">
        <f>IF('ORDENES'!$A473="","",IF('ORDENES'!$E473="","-",'ORDENES'!$E473))</f>
        <v/>
      </c>
      <c r="K495" s="12">
        <f>IF('ORDENES'!$A473="","",IF('ORDENES'!$M473="",0,'ORDENES'!$M473))</f>
        <v/>
      </c>
      <c r="L495" s="3">
        <f>IF('ORDENES'!$A473="","",IF('ORDENES'!$N473="","-",'ORDENES'!$N473))</f>
        <v/>
      </c>
      <c r="M495" s="3">
        <f>IF('ORDENES'!$A473="","",'ORDENES'!$AA473)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IF('ORDENES'!$A474="","",IF('ORDENES'!$AC474="","-",'ORDENES'!$AC474))</f>
        <v/>
      </c>
      <c r="D496" s="3">
        <f>IF('ORDENES'!$A474="","",IF('ORDENES'!$V474="","-",'ORDENES'!$V474))</f>
        <v/>
      </c>
      <c r="E496" s="3">
        <f>IF('ORDENES'!$A474="","",IF('ORDENES'!$U474="","-",'ORDENES'!$U474))</f>
        <v/>
      </c>
      <c r="F496" s="3">
        <f>IF('ORDENES'!$A474="","",IF('ORDENES'!$W474="","-",'ORDENES'!$W474))</f>
        <v/>
      </c>
      <c r="G496" s="3">
        <f>IF('ORDENES'!$A474="","",IF('ORDENES'!$AB474="","-",'ORDENES'!$AB474))</f>
        <v/>
      </c>
      <c r="H496" s="3">
        <f>IF('ORDENES'!$A474="","",IF('ORDENES'!$AN474="","-",'ORDENES'!$AN474))</f>
        <v/>
      </c>
      <c r="I496" s="3">
        <f>IF('ORDENES'!$A474="","",IF('ORDENES'!$D474="","-",'ORDENES'!$D474))</f>
        <v/>
      </c>
      <c r="J496" s="3">
        <f>IF('ORDENES'!$A474="","",IF('ORDENES'!$E474="","-",'ORDENES'!$E474))</f>
        <v/>
      </c>
      <c r="K496" s="12">
        <f>IF('ORDENES'!$A474="","",IF('ORDENES'!$M474="",0,'ORDENES'!$M474))</f>
        <v/>
      </c>
      <c r="L496" s="3">
        <f>IF('ORDENES'!$A474="","",IF('ORDENES'!$N474="","-",'ORDENES'!$N474))</f>
        <v/>
      </c>
      <c r="M496" s="3">
        <f>IF('ORDENES'!$A474="","",'ORDENES'!$AA474)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IF('ORDENES'!$A475="","",IF('ORDENES'!$AC475="","-",'ORDENES'!$AC475))</f>
        <v/>
      </c>
      <c r="D497" s="3">
        <f>IF('ORDENES'!$A475="","",IF('ORDENES'!$V475="","-",'ORDENES'!$V475))</f>
        <v/>
      </c>
      <c r="E497" s="3">
        <f>IF('ORDENES'!$A475="","",IF('ORDENES'!$U475="","-",'ORDENES'!$U475))</f>
        <v/>
      </c>
      <c r="F497" s="3">
        <f>IF('ORDENES'!$A475="","",IF('ORDENES'!$W475="","-",'ORDENES'!$W475))</f>
        <v/>
      </c>
      <c r="G497" s="3">
        <f>IF('ORDENES'!$A475="","",IF('ORDENES'!$AB475="","-",'ORDENES'!$AB475))</f>
        <v/>
      </c>
      <c r="H497" s="3">
        <f>IF('ORDENES'!$A475="","",IF('ORDENES'!$AN475="","-",'ORDENES'!$AN475))</f>
        <v/>
      </c>
      <c r="I497" s="3">
        <f>IF('ORDENES'!$A475="","",IF('ORDENES'!$D475="","-",'ORDENES'!$D475))</f>
        <v/>
      </c>
      <c r="J497" s="3">
        <f>IF('ORDENES'!$A475="","",IF('ORDENES'!$E475="","-",'ORDENES'!$E475))</f>
        <v/>
      </c>
      <c r="K497" s="12">
        <f>IF('ORDENES'!$A475="","",IF('ORDENES'!$M475="",0,'ORDENES'!$M475))</f>
        <v/>
      </c>
      <c r="L497" s="3">
        <f>IF('ORDENES'!$A475="","",IF('ORDENES'!$N475="","-",'ORDENES'!$N475))</f>
        <v/>
      </c>
      <c r="M497" s="3">
        <f>IF('ORDENES'!$A475="","",'ORDENES'!$AA475)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IF('ORDENES'!$A476="","",IF('ORDENES'!$AC476="","-",'ORDENES'!$AC476))</f>
        <v/>
      </c>
      <c r="D498" s="3">
        <f>IF('ORDENES'!$A476="","",IF('ORDENES'!$V476="","-",'ORDENES'!$V476))</f>
        <v/>
      </c>
      <c r="E498" s="3">
        <f>IF('ORDENES'!$A476="","",IF('ORDENES'!$U476="","-",'ORDENES'!$U476))</f>
        <v/>
      </c>
      <c r="F498" s="3">
        <f>IF('ORDENES'!$A476="","",IF('ORDENES'!$W476="","-",'ORDENES'!$W476))</f>
        <v/>
      </c>
      <c r="G498" s="3">
        <f>IF('ORDENES'!$A476="","",IF('ORDENES'!$AB476="","-",'ORDENES'!$AB476))</f>
        <v/>
      </c>
      <c r="H498" s="3">
        <f>IF('ORDENES'!$A476="","",IF('ORDENES'!$AN476="","-",'ORDENES'!$AN476))</f>
        <v/>
      </c>
      <c r="I498" s="3">
        <f>IF('ORDENES'!$A476="","",IF('ORDENES'!$D476="","-",'ORDENES'!$D476))</f>
        <v/>
      </c>
      <c r="J498" s="3">
        <f>IF('ORDENES'!$A476="","",IF('ORDENES'!$E476="","-",'ORDENES'!$E476))</f>
        <v/>
      </c>
      <c r="K498" s="12">
        <f>IF('ORDENES'!$A476="","",IF('ORDENES'!$M476="",0,'ORDENES'!$M476))</f>
        <v/>
      </c>
      <c r="L498" s="3">
        <f>IF('ORDENES'!$A476="","",IF('ORDENES'!$N476="","-",'ORDENES'!$N476))</f>
        <v/>
      </c>
      <c r="M498" s="3">
        <f>IF('ORDENES'!$A476="","",'ORDENES'!$AA476)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IF('ORDENES'!$A477="","",IF('ORDENES'!$AC477="","-",'ORDENES'!$AC477))</f>
        <v/>
      </c>
      <c r="D499" s="3">
        <f>IF('ORDENES'!$A477="","",IF('ORDENES'!$V477="","-",'ORDENES'!$V477))</f>
        <v/>
      </c>
      <c r="E499" s="3">
        <f>IF('ORDENES'!$A477="","",IF('ORDENES'!$U477="","-",'ORDENES'!$U477))</f>
        <v/>
      </c>
      <c r="F499" s="3">
        <f>IF('ORDENES'!$A477="","",IF('ORDENES'!$W477="","-",'ORDENES'!$W477))</f>
        <v/>
      </c>
      <c r="G499" s="3">
        <f>IF('ORDENES'!$A477="","",IF('ORDENES'!$AB477="","-",'ORDENES'!$AB477))</f>
        <v/>
      </c>
      <c r="H499" s="3">
        <f>IF('ORDENES'!$A477="","",IF('ORDENES'!$AN477="","-",'ORDENES'!$AN477))</f>
        <v/>
      </c>
      <c r="I499" s="3">
        <f>IF('ORDENES'!$A477="","",IF('ORDENES'!$D477="","-",'ORDENES'!$D477))</f>
        <v/>
      </c>
      <c r="J499" s="3">
        <f>IF('ORDENES'!$A477="","",IF('ORDENES'!$E477="","-",'ORDENES'!$E477))</f>
        <v/>
      </c>
      <c r="K499" s="12">
        <f>IF('ORDENES'!$A477="","",IF('ORDENES'!$M477="",0,'ORDENES'!$M477))</f>
        <v/>
      </c>
      <c r="L499" s="3">
        <f>IF('ORDENES'!$A477="","",IF('ORDENES'!$N477="","-",'ORDENES'!$N477))</f>
        <v/>
      </c>
      <c r="M499" s="3">
        <f>IF('ORDENES'!$A477="","",'ORDENES'!$AA477)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IF('ORDENES'!$A478="","",IF('ORDENES'!$AC478="","-",'ORDENES'!$AC478))</f>
        <v/>
      </c>
      <c r="D500" s="3">
        <f>IF('ORDENES'!$A478="","",IF('ORDENES'!$V478="","-",'ORDENES'!$V478))</f>
        <v/>
      </c>
      <c r="E500" s="3">
        <f>IF('ORDENES'!$A478="","",IF('ORDENES'!$U478="","-",'ORDENES'!$U478))</f>
        <v/>
      </c>
      <c r="F500" s="3">
        <f>IF('ORDENES'!$A478="","",IF('ORDENES'!$W478="","-",'ORDENES'!$W478))</f>
        <v/>
      </c>
      <c r="G500" s="3">
        <f>IF('ORDENES'!$A478="","",IF('ORDENES'!$AB478="","-",'ORDENES'!$AB478))</f>
        <v/>
      </c>
      <c r="H500" s="3">
        <f>IF('ORDENES'!$A478="","",IF('ORDENES'!$AN478="","-",'ORDENES'!$AN478))</f>
        <v/>
      </c>
      <c r="I500" s="3">
        <f>IF('ORDENES'!$A478="","",IF('ORDENES'!$D478="","-",'ORDENES'!$D478))</f>
        <v/>
      </c>
      <c r="J500" s="3">
        <f>IF('ORDENES'!$A478="","",IF('ORDENES'!$E478="","-",'ORDENES'!$E478))</f>
        <v/>
      </c>
      <c r="K500" s="12">
        <f>IF('ORDENES'!$A478="","",IF('ORDENES'!$M478="",0,'ORDENES'!$M478))</f>
        <v/>
      </c>
      <c r="L500" s="3">
        <f>IF('ORDENES'!$A478="","",IF('ORDENES'!$N478="","-",'ORDENES'!$N478))</f>
        <v/>
      </c>
      <c r="M500" s="3">
        <f>IF('ORDENES'!$A478="","",'ORDENES'!$AA478)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IF('ORDENES'!$A479="","",IF('ORDENES'!$AC479="","-",'ORDENES'!$AC479))</f>
        <v/>
      </c>
      <c r="D501" s="3">
        <f>IF('ORDENES'!$A479="","",IF('ORDENES'!$V479="","-",'ORDENES'!$V479))</f>
        <v/>
      </c>
      <c r="E501" s="3">
        <f>IF('ORDENES'!$A479="","",IF('ORDENES'!$U479="","-",'ORDENES'!$U479))</f>
        <v/>
      </c>
      <c r="F501" s="3">
        <f>IF('ORDENES'!$A479="","",IF('ORDENES'!$W479="","-",'ORDENES'!$W479))</f>
        <v/>
      </c>
      <c r="G501" s="3">
        <f>IF('ORDENES'!$A479="","",IF('ORDENES'!$AB479="","-",'ORDENES'!$AB479))</f>
        <v/>
      </c>
      <c r="H501" s="3">
        <f>IF('ORDENES'!$A479="","",IF('ORDENES'!$AN479="","-",'ORDENES'!$AN479))</f>
        <v/>
      </c>
      <c r="I501" s="3">
        <f>IF('ORDENES'!$A479="","",IF('ORDENES'!$D479="","-",'ORDENES'!$D479))</f>
        <v/>
      </c>
      <c r="J501" s="3">
        <f>IF('ORDENES'!$A479="","",IF('ORDENES'!$E479="","-",'ORDENES'!$E479))</f>
        <v/>
      </c>
      <c r="K501" s="12">
        <f>IF('ORDENES'!$A479="","",IF('ORDENES'!$M479="",0,'ORDENES'!$M479))</f>
        <v/>
      </c>
      <c r="L501" s="3">
        <f>IF('ORDENES'!$A479="","",IF('ORDENES'!$N479="","-",'ORDENES'!$N479))</f>
        <v/>
      </c>
      <c r="M501" s="3">
        <f>IF('ORDENES'!$A479="","",'ORDENES'!$AA479)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IF('ORDENES'!$A480="","",IF('ORDENES'!$AC480="","-",'ORDENES'!$AC480))</f>
        <v/>
      </c>
      <c r="D502" s="3">
        <f>IF('ORDENES'!$A480="","",IF('ORDENES'!$V480="","-",'ORDENES'!$V480))</f>
        <v/>
      </c>
      <c r="E502" s="3">
        <f>IF('ORDENES'!$A480="","",IF('ORDENES'!$U480="","-",'ORDENES'!$U480))</f>
        <v/>
      </c>
      <c r="F502" s="3">
        <f>IF('ORDENES'!$A480="","",IF('ORDENES'!$W480="","-",'ORDENES'!$W480))</f>
        <v/>
      </c>
      <c r="G502" s="3">
        <f>IF('ORDENES'!$A480="","",IF('ORDENES'!$AB480="","-",'ORDENES'!$AB480))</f>
        <v/>
      </c>
      <c r="H502" s="3">
        <f>IF('ORDENES'!$A480="","",IF('ORDENES'!$AN480="","-",'ORDENES'!$AN480))</f>
        <v/>
      </c>
      <c r="I502" s="3">
        <f>IF('ORDENES'!$A480="","",IF('ORDENES'!$D480="","-",'ORDENES'!$D480))</f>
        <v/>
      </c>
      <c r="J502" s="3">
        <f>IF('ORDENES'!$A480="","",IF('ORDENES'!$E480="","-",'ORDENES'!$E480))</f>
        <v/>
      </c>
      <c r="K502" s="12">
        <f>IF('ORDENES'!$A480="","",IF('ORDENES'!$M480="",0,'ORDENES'!$M480))</f>
        <v/>
      </c>
      <c r="L502" s="3">
        <f>IF('ORDENES'!$A480="","",IF('ORDENES'!$N480="","-",'ORDENES'!$N480))</f>
        <v/>
      </c>
      <c r="M502" s="3">
        <f>IF('ORDENES'!$A480="","",'ORDENES'!$AA480)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IF('ORDENES'!$A481="","",IF('ORDENES'!$AC481="","-",'ORDENES'!$AC481))</f>
        <v/>
      </c>
      <c r="D503" s="3">
        <f>IF('ORDENES'!$A481="","",IF('ORDENES'!$V481="","-",'ORDENES'!$V481))</f>
        <v/>
      </c>
      <c r="E503" s="3">
        <f>IF('ORDENES'!$A481="","",IF('ORDENES'!$U481="","-",'ORDENES'!$U481))</f>
        <v/>
      </c>
      <c r="F503" s="3">
        <f>IF('ORDENES'!$A481="","",IF('ORDENES'!$W481="","-",'ORDENES'!$W481))</f>
        <v/>
      </c>
      <c r="G503" s="3">
        <f>IF('ORDENES'!$A481="","",IF('ORDENES'!$AB481="","-",'ORDENES'!$AB481))</f>
        <v/>
      </c>
      <c r="H503" s="3">
        <f>IF('ORDENES'!$A481="","",IF('ORDENES'!$AN481="","-",'ORDENES'!$AN481))</f>
        <v/>
      </c>
      <c r="I503" s="3">
        <f>IF('ORDENES'!$A481="","",IF('ORDENES'!$D481="","-",'ORDENES'!$D481))</f>
        <v/>
      </c>
      <c r="J503" s="3">
        <f>IF('ORDENES'!$A481="","",IF('ORDENES'!$E481="","-",'ORDENES'!$E481))</f>
        <v/>
      </c>
      <c r="K503" s="12">
        <f>IF('ORDENES'!$A481="","",IF('ORDENES'!$M481="",0,'ORDENES'!$M481))</f>
        <v/>
      </c>
      <c r="L503" s="3">
        <f>IF('ORDENES'!$A481="","",IF('ORDENES'!$N481="","-",'ORDENES'!$N481))</f>
        <v/>
      </c>
      <c r="M503" s="3">
        <f>IF('ORDENES'!$A481="","",'ORDENES'!$AA481)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IF('ORDENES'!$A482="","",IF('ORDENES'!$AC482="","-",'ORDENES'!$AC482))</f>
        <v/>
      </c>
      <c r="D504" s="3">
        <f>IF('ORDENES'!$A482="","",IF('ORDENES'!$V482="","-",'ORDENES'!$V482))</f>
        <v/>
      </c>
      <c r="E504" s="3">
        <f>IF('ORDENES'!$A482="","",IF('ORDENES'!$U482="","-",'ORDENES'!$U482))</f>
        <v/>
      </c>
      <c r="F504" s="3">
        <f>IF('ORDENES'!$A482="","",IF('ORDENES'!$W482="","-",'ORDENES'!$W482))</f>
        <v/>
      </c>
      <c r="G504" s="3">
        <f>IF('ORDENES'!$A482="","",IF('ORDENES'!$AB482="","-",'ORDENES'!$AB482))</f>
        <v/>
      </c>
      <c r="H504" s="3">
        <f>IF('ORDENES'!$A482="","",IF('ORDENES'!$AN482="","-",'ORDENES'!$AN482))</f>
        <v/>
      </c>
      <c r="I504" s="3">
        <f>IF('ORDENES'!$A482="","",IF('ORDENES'!$D482="","-",'ORDENES'!$D482))</f>
        <v/>
      </c>
      <c r="J504" s="3">
        <f>IF('ORDENES'!$A482="","",IF('ORDENES'!$E482="","-",'ORDENES'!$E482))</f>
        <v/>
      </c>
      <c r="K504" s="12">
        <f>IF('ORDENES'!$A482="","",IF('ORDENES'!$M482="",0,'ORDENES'!$M482))</f>
        <v/>
      </c>
      <c r="L504" s="3">
        <f>IF('ORDENES'!$A482="","",IF('ORDENES'!$N482="","-",'ORDENES'!$N482))</f>
        <v/>
      </c>
      <c r="M504" s="3">
        <f>IF('ORDENES'!$A482="","",'ORDENES'!$AA482)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IF('ORDENES'!$A483="","",IF('ORDENES'!$AC483="","-",'ORDENES'!$AC483))</f>
        <v/>
      </c>
      <c r="D505" s="3">
        <f>IF('ORDENES'!$A483="","",IF('ORDENES'!$V483="","-",'ORDENES'!$V483))</f>
        <v/>
      </c>
      <c r="E505" s="3">
        <f>IF('ORDENES'!$A483="","",IF('ORDENES'!$U483="","-",'ORDENES'!$U483))</f>
        <v/>
      </c>
      <c r="F505" s="3">
        <f>IF('ORDENES'!$A483="","",IF('ORDENES'!$W483="","-",'ORDENES'!$W483))</f>
        <v/>
      </c>
      <c r="G505" s="3">
        <f>IF('ORDENES'!$A483="","",IF('ORDENES'!$AB483="","-",'ORDENES'!$AB483))</f>
        <v/>
      </c>
      <c r="H505" s="3">
        <f>IF('ORDENES'!$A483="","",IF('ORDENES'!$AN483="","-",'ORDENES'!$AN483))</f>
        <v/>
      </c>
      <c r="I505" s="3">
        <f>IF('ORDENES'!$A483="","",IF('ORDENES'!$D483="","-",'ORDENES'!$D483))</f>
        <v/>
      </c>
      <c r="J505" s="3">
        <f>IF('ORDENES'!$A483="","",IF('ORDENES'!$E483="","-",'ORDENES'!$E483))</f>
        <v/>
      </c>
      <c r="K505" s="12">
        <f>IF('ORDENES'!$A483="","",IF('ORDENES'!$M483="",0,'ORDENES'!$M483))</f>
        <v/>
      </c>
      <c r="L505" s="3">
        <f>IF('ORDENES'!$A483="","",IF('ORDENES'!$N483="","-",'ORDENES'!$N483))</f>
        <v/>
      </c>
      <c r="M505" s="3">
        <f>IF('ORDENES'!$A483="","",'ORDENES'!$AA483)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IF('ORDENES'!$A484="","",IF('ORDENES'!$AC484="","-",'ORDENES'!$AC484))</f>
        <v/>
      </c>
      <c r="D506" s="3">
        <f>IF('ORDENES'!$A484="","",IF('ORDENES'!$V484="","-",'ORDENES'!$V484))</f>
        <v/>
      </c>
      <c r="E506" s="3">
        <f>IF('ORDENES'!$A484="","",IF('ORDENES'!$U484="","-",'ORDENES'!$U484))</f>
        <v/>
      </c>
      <c r="F506" s="3">
        <f>IF('ORDENES'!$A484="","",IF('ORDENES'!$W484="","-",'ORDENES'!$W484))</f>
        <v/>
      </c>
      <c r="G506" s="3">
        <f>IF('ORDENES'!$A484="","",IF('ORDENES'!$AB484="","-",'ORDENES'!$AB484))</f>
        <v/>
      </c>
      <c r="H506" s="3">
        <f>IF('ORDENES'!$A484="","",IF('ORDENES'!$AN484="","-",'ORDENES'!$AN484))</f>
        <v/>
      </c>
      <c r="I506" s="3">
        <f>IF('ORDENES'!$A484="","",IF('ORDENES'!$D484="","-",'ORDENES'!$D484))</f>
        <v/>
      </c>
      <c r="J506" s="3">
        <f>IF('ORDENES'!$A484="","",IF('ORDENES'!$E484="","-",'ORDENES'!$E484))</f>
        <v/>
      </c>
      <c r="K506" s="12">
        <f>IF('ORDENES'!$A484="","",IF('ORDENES'!$M484="",0,'ORDENES'!$M484))</f>
        <v/>
      </c>
      <c r="L506" s="3">
        <f>IF('ORDENES'!$A484="","",IF('ORDENES'!$N484="","-",'ORDENES'!$N484))</f>
        <v/>
      </c>
      <c r="M506" s="3">
        <f>IF('ORDENES'!$A484="","",'ORDENES'!$AA484)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IF('ORDENES'!$A485="","",IF('ORDENES'!$AC485="","-",'ORDENES'!$AC485))</f>
        <v/>
      </c>
      <c r="D507" s="3">
        <f>IF('ORDENES'!$A485="","",IF('ORDENES'!$V485="","-",'ORDENES'!$V485))</f>
        <v/>
      </c>
      <c r="E507" s="3">
        <f>IF('ORDENES'!$A485="","",IF('ORDENES'!$U485="","-",'ORDENES'!$U485))</f>
        <v/>
      </c>
      <c r="F507" s="3">
        <f>IF('ORDENES'!$A485="","",IF('ORDENES'!$W485="","-",'ORDENES'!$W485))</f>
        <v/>
      </c>
      <c r="G507" s="3">
        <f>IF('ORDENES'!$A485="","",IF('ORDENES'!$AB485="","-",'ORDENES'!$AB485))</f>
        <v/>
      </c>
      <c r="H507" s="3">
        <f>IF('ORDENES'!$A485="","",IF('ORDENES'!$AN485="","-",'ORDENES'!$AN485))</f>
        <v/>
      </c>
      <c r="I507" s="3">
        <f>IF('ORDENES'!$A485="","",IF('ORDENES'!$D485="","-",'ORDENES'!$D485))</f>
        <v/>
      </c>
      <c r="J507" s="3">
        <f>IF('ORDENES'!$A485="","",IF('ORDENES'!$E485="","-",'ORDENES'!$E485))</f>
        <v/>
      </c>
      <c r="K507" s="12">
        <f>IF('ORDENES'!$A485="","",IF('ORDENES'!$M485="",0,'ORDENES'!$M485))</f>
        <v/>
      </c>
      <c r="L507" s="3">
        <f>IF('ORDENES'!$A485="","",IF('ORDENES'!$N485="","-",'ORDENES'!$N485))</f>
        <v/>
      </c>
      <c r="M507" s="3">
        <f>IF('ORDENES'!$A485="","",'ORDENES'!$AA485)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IF('ORDENES'!$A486="","",IF('ORDENES'!$AC486="","-",'ORDENES'!$AC486))</f>
        <v/>
      </c>
      <c r="D508" s="3">
        <f>IF('ORDENES'!$A486="","",IF('ORDENES'!$V486="","-",'ORDENES'!$V486))</f>
        <v/>
      </c>
      <c r="E508" s="3">
        <f>IF('ORDENES'!$A486="","",IF('ORDENES'!$U486="","-",'ORDENES'!$U486))</f>
        <v/>
      </c>
      <c r="F508" s="3">
        <f>IF('ORDENES'!$A486="","",IF('ORDENES'!$W486="","-",'ORDENES'!$W486))</f>
        <v/>
      </c>
      <c r="G508" s="3">
        <f>IF('ORDENES'!$A486="","",IF('ORDENES'!$AB486="","-",'ORDENES'!$AB486))</f>
        <v/>
      </c>
      <c r="H508" s="3">
        <f>IF('ORDENES'!$A486="","",IF('ORDENES'!$AN486="","-",'ORDENES'!$AN486))</f>
        <v/>
      </c>
      <c r="I508" s="3">
        <f>IF('ORDENES'!$A486="","",IF('ORDENES'!$D486="","-",'ORDENES'!$D486))</f>
        <v/>
      </c>
      <c r="J508" s="3">
        <f>IF('ORDENES'!$A486="","",IF('ORDENES'!$E486="","-",'ORDENES'!$E486))</f>
        <v/>
      </c>
      <c r="K508" s="12">
        <f>IF('ORDENES'!$A486="","",IF('ORDENES'!$M486="",0,'ORDENES'!$M486))</f>
        <v/>
      </c>
      <c r="L508" s="3">
        <f>IF('ORDENES'!$A486="","",IF('ORDENES'!$N486="","-",'ORDENES'!$N486))</f>
        <v/>
      </c>
      <c r="M508" s="3">
        <f>IF('ORDENES'!$A486="","",'ORDENES'!$AA486)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IF('ORDENES'!$A487="","",IF('ORDENES'!$AC487="","-",'ORDENES'!$AC487))</f>
        <v/>
      </c>
      <c r="D509" s="3">
        <f>IF('ORDENES'!$A487="","",IF('ORDENES'!$V487="","-",'ORDENES'!$V487))</f>
        <v/>
      </c>
      <c r="E509" s="3">
        <f>IF('ORDENES'!$A487="","",IF('ORDENES'!$U487="","-",'ORDENES'!$U487))</f>
        <v/>
      </c>
      <c r="F509" s="3">
        <f>IF('ORDENES'!$A487="","",IF('ORDENES'!$W487="","-",'ORDENES'!$W487))</f>
        <v/>
      </c>
      <c r="G509" s="3">
        <f>IF('ORDENES'!$A487="","",IF('ORDENES'!$AB487="","-",'ORDENES'!$AB487))</f>
        <v/>
      </c>
      <c r="H509" s="3">
        <f>IF('ORDENES'!$A487="","",IF('ORDENES'!$AN487="","-",'ORDENES'!$AN487))</f>
        <v/>
      </c>
      <c r="I509" s="3">
        <f>IF('ORDENES'!$A487="","",IF('ORDENES'!$D487="","-",'ORDENES'!$D487))</f>
        <v/>
      </c>
      <c r="J509" s="3">
        <f>IF('ORDENES'!$A487="","",IF('ORDENES'!$E487="","-",'ORDENES'!$E487))</f>
        <v/>
      </c>
      <c r="K509" s="12">
        <f>IF('ORDENES'!$A487="","",IF('ORDENES'!$M487="",0,'ORDENES'!$M487))</f>
        <v/>
      </c>
      <c r="L509" s="3">
        <f>IF('ORDENES'!$A487="","",IF('ORDENES'!$N487="","-",'ORDENES'!$N487))</f>
        <v/>
      </c>
      <c r="M509" s="3">
        <f>IF('ORDENES'!$A487="","",'ORDENES'!$AA487)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IF('ORDENES'!$A488="","",IF('ORDENES'!$AC488="","-",'ORDENES'!$AC488))</f>
        <v/>
      </c>
      <c r="D510" s="3">
        <f>IF('ORDENES'!$A488="","",IF('ORDENES'!$V488="","-",'ORDENES'!$V488))</f>
        <v/>
      </c>
      <c r="E510" s="3">
        <f>IF('ORDENES'!$A488="","",IF('ORDENES'!$U488="","-",'ORDENES'!$U488))</f>
        <v/>
      </c>
      <c r="F510" s="3">
        <f>IF('ORDENES'!$A488="","",IF('ORDENES'!$W488="","-",'ORDENES'!$W488))</f>
        <v/>
      </c>
      <c r="G510" s="3">
        <f>IF('ORDENES'!$A488="","",IF('ORDENES'!$AB488="","-",'ORDENES'!$AB488))</f>
        <v/>
      </c>
      <c r="H510" s="3">
        <f>IF('ORDENES'!$A488="","",IF('ORDENES'!$AN488="","-",'ORDENES'!$AN488))</f>
        <v/>
      </c>
      <c r="I510" s="3">
        <f>IF('ORDENES'!$A488="","",IF('ORDENES'!$D488="","-",'ORDENES'!$D488))</f>
        <v/>
      </c>
      <c r="J510" s="3">
        <f>IF('ORDENES'!$A488="","",IF('ORDENES'!$E488="","-",'ORDENES'!$E488))</f>
        <v/>
      </c>
      <c r="K510" s="12">
        <f>IF('ORDENES'!$A488="","",IF('ORDENES'!$M488="",0,'ORDENES'!$M488))</f>
        <v/>
      </c>
      <c r="L510" s="3">
        <f>IF('ORDENES'!$A488="","",IF('ORDENES'!$N488="","-",'ORDENES'!$N488))</f>
        <v/>
      </c>
      <c r="M510" s="3">
        <f>IF('ORDENES'!$A488="","",'ORDENES'!$AA488)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IF('ORDENES'!$A489="","",IF('ORDENES'!$AC489="","-",'ORDENES'!$AC489))</f>
        <v/>
      </c>
      <c r="D511" s="3">
        <f>IF('ORDENES'!$A489="","",IF('ORDENES'!$V489="","-",'ORDENES'!$V489))</f>
        <v/>
      </c>
      <c r="E511" s="3">
        <f>IF('ORDENES'!$A489="","",IF('ORDENES'!$U489="","-",'ORDENES'!$U489))</f>
        <v/>
      </c>
      <c r="F511" s="3">
        <f>IF('ORDENES'!$A489="","",IF('ORDENES'!$W489="","-",'ORDENES'!$W489))</f>
        <v/>
      </c>
      <c r="G511" s="3">
        <f>IF('ORDENES'!$A489="","",IF('ORDENES'!$AB489="","-",'ORDENES'!$AB489))</f>
        <v/>
      </c>
      <c r="H511" s="3">
        <f>IF('ORDENES'!$A489="","",IF('ORDENES'!$AN489="","-",'ORDENES'!$AN489))</f>
        <v/>
      </c>
      <c r="I511" s="3">
        <f>IF('ORDENES'!$A489="","",IF('ORDENES'!$D489="","-",'ORDENES'!$D489))</f>
        <v/>
      </c>
      <c r="J511" s="3">
        <f>IF('ORDENES'!$A489="","",IF('ORDENES'!$E489="","-",'ORDENES'!$E489))</f>
        <v/>
      </c>
      <c r="K511" s="12">
        <f>IF('ORDENES'!$A489="","",IF('ORDENES'!$M489="",0,'ORDENES'!$M489))</f>
        <v/>
      </c>
      <c r="L511" s="3">
        <f>IF('ORDENES'!$A489="","",IF('ORDENES'!$N489="","-",'ORDENES'!$N489))</f>
        <v/>
      </c>
      <c r="M511" s="3">
        <f>IF('ORDENES'!$A489="","",'ORDENES'!$AA489)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IF('ORDENES'!$A490="","",IF('ORDENES'!$AC490="","-",'ORDENES'!$AC490))</f>
        <v/>
      </c>
      <c r="D512" s="3">
        <f>IF('ORDENES'!$A490="","",IF('ORDENES'!$V490="","-",'ORDENES'!$V490))</f>
        <v/>
      </c>
      <c r="E512" s="3">
        <f>IF('ORDENES'!$A490="","",IF('ORDENES'!$U490="","-",'ORDENES'!$U490))</f>
        <v/>
      </c>
      <c r="F512" s="3">
        <f>IF('ORDENES'!$A490="","",IF('ORDENES'!$W490="","-",'ORDENES'!$W490))</f>
        <v/>
      </c>
      <c r="G512" s="3">
        <f>IF('ORDENES'!$A490="","",IF('ORDENES'!$AB490="","-",'ORDENES'!$AB490))</f>
        <v/>
      </c>
      <c r="H512" s="3">
        <f>IF('ORDENES'!$A490="","",IF('ORDENES'!$AN490="","-",'ORDENES'!$AN490))</f>
        <v/>
      </c>
      <c r="I512" s="3">
        <f>IF('ORDENES'!$A490="","",IF('ORDENES'!$D490="","-",'ORDENES'!$D490))</f>
        <v/>
      </c>
      <c r="J512" s="3">
        <f>IF('ORDENES'!$A490="","",IF('ORDENES'!$E490="","-",'ORDENES'!$E490))</f>
        <v/>
      </c>
      <c r="K512" s="12">
        <f>IF('ORDENES'!$A490="","",IF('ORDENES'!$M490="",0,'ORDENES'!$M490))</f>
        <v/>
      </c>
      <c r="L512" s="3">
        <f>IF('ORDENES'!$A490="","",IF('ORDENES'!$N490="","-",'ORDENES'!$N490))</f>
        <v/>
      </c>
      <c r="M512" s="3">
        <f>IF('ORDENES'!$A490="","",'ORDENES'!$AA490)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IF('ORDENES'!$A491="","",IF('ORDENES'!$AC491="","-",'ORDENES'!$AC491))</f>
        <v/>
      </c>
      <c r="D513" s="3">
        <f>IF('ORDENES'!$A491="","",IF('ORDENES'!$V491="","-",'ORDENES'!$V491))</f>
        <v/>
      </c>
      <c r="E513" s="3">
        <f>IF('ORDENES'!$A491="","",IF('ORDENES'!$U491="","-",'ORDENES'!$U491))</f>
        <v/>
      </c>
      <c r="F513" s="3">
        <f>IF('ORDENES'!$A491="","",IF('ORDENES'!$W491="","-",'ORDENES'!$W491))</f>
        <v/>
      </c>
      <c r="G513" s="3">
        <f>IF('ORDENES'!$A491="","",IF('ORDENES'!$AB491="","-",'ORDENES'!$AB491))</f>
        <v/>
      </c>
      <c r="H513" s="3">
        <f>IF('ORDENES'!$A491="","",IF('ORDENES'!$AN491="","-",'ORDENES'!$AN491))</f>
        <v/>
      </c>
      <c r="I513" s="3">
        <f>IF('ORDENES'!$A491="","",IF('ORDENES'!$D491="","-",'ORDENES'!$D491))</f>
        <v/>
      </c>
      <c r="J513" s="3">
        <f>IF('ORDENES'!$A491="","",IF('ORDENES'!$E491="","-",'ORDENES'!$E491))</f>
        <v/>
      </c>
      <c r="K513" s="12">
        <f>IF('ORDENES'!$A491="","",IF('ORDENES'!$M491="",0,'ORDENES'!$M491))</f>
        <v/>
      </c>
      <c r="L513" s="3">
        <f>IF('ORDENES'!$A491="","",IF('ORDENES'!$N491="","-",'ORDENES'!$N491))</f>
        <v/>
      </c>
      <c r="M513" s="3">
        <f>IF('ORDENES'!$A491="","",'ORDENES'!$AA491)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IF('ORDENES'!$A492="","",IF('ORDENES'!$AC492="","-",'ORDENES'!$AC492))</f>
        <v/>
      </c>
      <c r="D514" s="3">
        <f>IF('ORDENES'!$A492="","",IF('ORDENES'!$V492="","-",'ORDENES'!$V492))</f>
        <v/>
      </c>
      <c r="E514" s="3">
        <f>IF('ORDENES'!$A492="","",IF('ORDENES'!$U492="","-",'ORDENES'!$U492))</f>
        <v/>
      </c>
      <c r="F514" s="3">
        <f>IF('ORDENES'!$A492="","",IF('ORDENES'!$W492="","-",'ORDENES'!$W492))</f>
        <v/>
      </c>
      <c r="G514" s="3">
        <f>IF('ORDENES'!$A492="","",IF('ORDENES'!$AB492="","-",'ORDENES'!$AB492))</f>
        <v/>
      </c>
      <c r="H514" s="3">
        <f>IF('ORDENES'!$A492="","",IF('ORDENES'!$AN492="","-",'ORDENES'!$AN492))</f>
        <v/>
      </c>
      <c r="I514" s="3">
        <f>IF('ORDENES'!$A492="","",IF('ORDENES'!$D492="","-",'ORDENES'!$D492))</f>
        <v/>
      </c>
      <c r="J514" s="3">
        <f>IF('ORDENES'!$A492="","",IF('ORDENES'!$E492="","-",'ORDENES'!$E492))</f>
        <v/>
      </c>
      <c r="K514" s="12">
        <f>IF('ORDENES'!$A492="","",IF('ORDENES'!$M492="",0,'ORDENES'!$M492))</f>
        <v/>
      </c>
      <c r="L514" s="3">
        <f>IF('ORDENES'!$A492="","",IF('ORDENES'!$N492="","-",'ORDENES'!$N492))</f>
        <v/>
      </c>
      <c r="M514" s="3">
        <f>IF('ORDENES'!$A492="","",'ORDENES'!$AA492)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IF('ORDENES'!$A493="","",IF('ORDENES'!$AC493="","-",'ORDENES'!$AC493))</f>
        <v/>
      </c>
      <c r="D515" s="3">
        <f>IF('ORDENES'!$A493="","",IF('ORDENES'!$V493="","-",'ORDENES'!$V493))</f>
        <v/>
      </c>
      <c r="E515" s="3">
        <f>IF('ORDENES'!$A493="","",IF('ORDENES'!$U493="","-",'ORDENES'!$U493))</f>
        <v/>
      </c>
      <c r="F515" s="3">
        <f>IF('ORDENES'!$A493="","",IF('ORDENES'!$W493="","-",'ORDENES'!$W493))</f>
        <v/>
      </c>
      <c r="G515" s="3">
        <f>IF('ORDENES'!$A493="","",IF('ORDENES'!$AB493="","-",'ORDENES'!$AB493))</f>
        <v/>
      </c>
      <c r="H515" s="3">
        <f>IF('ORDENES'!$A493="","",IF('ORDENES'!$AN493="","-",'ORDENES'!$AN493))</f>
        <v/>
      </c>
      <c r="I515" s="3">
        <f>IF('ORDENES'!$A493="","",IF('ORDENES'!$D493="","-",'ORDENES'!$D493))</f>
        <v/>
      </c>
      <c r="J515" s="3">
        <f>IF('ORDENES'!$A493="","",IF('ORDENES'!$E493="","-",'ORDENES'!$E493))</f>
        <v/>
      </c>
      <c r="K515" s="12">
        <f>IF('ORDENES'!$A493="","",IF('ORDENES'!$M493="",0,'ORDENES'!$M493))</f>
        <v/>
      </c>
      <c r="L515" s="3">
        <f>IF('ORDENES'!$A493="","",IF('ORDENES'!$N493="","-",'ORDENES'!$N493))</f>
        <v/>
      </c>
      <c r="M515" s="3">
        <f>IF('ORDENES'!$A493="","",'ORDENES'!$AA493)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IF('ORDENES'!$A494="","",IF('ORDENES'!$AC494="","-",'ORDENES'!$AC494))</f>
        <v/>
      </c>
      <c r="D516" s="3">
        <f>IF('ORDENES'!$A494="","",IF('ORDENES'!$V494="","-",'ORDENES'!$V494))</f>
        <v/>
      </c>
      <c r="E516" s="3">
        <f>IF('ORDENES'!$A494="","",IF('ORDENES'!$U494="","-",'ORDENES'!$U494))</f>
        <v/>
      </c>
      <c r="F516" s="3">
        <f>IF('ORDENES'!$A494="","",IF('ORDENES'!$W494="","-",'ORDENES'!$W494))</f>
        <v/>
      </c>
      <c r="G516" s="3">
        <f>IF('ORDENES'!$A494="","",IF('ORDENES'!$AB494="","-",'ORDENES'!$AB494))</f>
        <v/>
      </c>
      <c r="H516" s="3">
        <f>IF('ORDENES'!$A494="","",IF('ORDENES'!$AN494="","-",'ORDENES'!$AN494))</f>
        <v/>
      </c>
      <c r="I516" s="3">
        <f>IF('ORDENES'!$A494="","",IF('ORDENES'!$D494="","-",'ORDENES'!$D494))</f>
        <v/>
      </c>
      <c r="J516" s="3">
        <f>IF('ORDENES'!$A494="","",IF('ORDENES'!$E494="","-",'ORDENES'!$E494))</f>
        <v/>
      </c>
      <c r="K516" s="12">
        <f>IF('ORDENES'!$A494="","",IF('ORDENES'!$M494="",0,'ORDENES'!$M494))</f>
        <v/>
      </c>
      <c r="L516" s="3">
        <f>IF('ORDENES'!$A494="","",IF('ORDENES'!$N494="","-",'ORDENES'!$N494))</f>
        <v/>
      </c>
      <c r="M516" s="3">
        <f>IF('ORDENES'!$A494="","",'ORDENES'!$AA494)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IF('ORDENES'!$A495="","",IF('ORDENES'!$AC495="","-",'ORDENES'!$AC495))</f>
        <v/>
      </c>
      <c r="D517" s="3">
        <f>IF('ORDENES'!$A495="","",IF('ORDENES'!$V495="","-",'ORDENES'!$V495))</f>
        <v/>
      </c>
      <c r="E517" s="3">
        <f>IF('ORDENES'!$A495="","",IF('ORDENES'!$U495="","-",'ORDENES'!$U495))</f>
        <v/>
      </c>
      <c r="F517" s="3">
        <f>IF('ORDENES'!$A495="","",IF('ORDENES'!$W495="","-",'ORDENES'!$W495))</f>
        <v/>
      </c>
      <c r="G517" s="3">
        <f>IF('ORDENES'!$A495="","",IF('ORDENES'!$AB495="","-",'ORDENES'!$AB495))</f>
        <v/>
      </c>
      <c r="H517" s="3">
        <f>IF('ORDENES'!$A495="","",IF('ORDENES'!$AN495="","-",'ORDENES'!$AN495))</f>
        <v/>
      </c>
      <c r="I517" s="3">
        <f>IF('ORDENES'!$A495="","",IF('ORDENES'!$D495="","-",'ORDENES'!$D495))</f>
        <v/>
      </c>
      <c r="J517" s="3">
        <f>IF('ORDENES'!$A495="","",IF('ORDENES'!$E495="","-",'ORDENES'!$E495))</f>
        <v/>
      </c>
      <c r="K517" s="12">
        <f>IF('ORDENES'!$A495="","",IF('ORDENES'!$M495="",0,'ORDENES'!$M495))</f>
        <v/>
      </c>
      <c r="L517" s="3">
        <f>IF('ORDENES'!$A495="","",IF('ORDENES'!$N495="","-",'ORDENES'!$N495))</f>
        <v/>
      </c>
      <c r="M517" s="3">
        <f>IF('ORDENES'!$A495="","",'ORDENES'!$AA495)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IF('ORDENES'!$A496="","",IF('ORDENES'!$AC496="","-",'ORDENES'!$AC496))</f>
        <v/>
      </c>
      <c r="D518" s="3">
        <f>IF('ORDENES'!$A496="","",IF('ORDENES'!$V496="","-",'ORDENES'!$V496))</f>
        <v/>
      </c>
      <c r="E518" s="3">
        <f>IF('ORDENES'!$A496="","",IF('ORDENES'!$U496="","-",'ORDENES'!$U496))</f>
        <v/>
      </c>
      <c r="F518" s="3">
        <f>IF('ORDENES'!$A496="","",IF('ORDENES'!$W496="","-",'ORDENES'!$W496))</f>
        <v/>
      </c>
      <c r="G518" s="3">
        <f>IF('ORDENES'!$A496="","",IF('ORDENES'!$AB496="","-",'ORDENES'!$AB496))</f>
        <v/>
      </c>
      <c r="H518" s="3">
        <f>IF('ORDENES'!$A496="","",IF('ORDENES'!$AN496="","-",'ORDENES'!$AN496))</f>
        <v/>
      </c>
      <c r="I518" s="3">
        <f>IF('ORDENES'!$A496="","",IF('ORDENES'!$D496="","-",'ORDENES'!$D496))</f>
        <v/>
      </c>
      <c r="J518" s="3">
        <f>IF('ORDENES'!$A496="","",IF('ORDENES'!$E496="","-",'ORDENES'!$E496))</f>
        <v/>
      </c>
      <c r="K518" s="12">
        <f>IF('ORDENES'!$A496="","",IF('ORDENES'!$M496="",0,'ORDENES'!$M496))</f>
        <v/>
      </c>
      <c r="L518" s="3">
        <f>IF('ORDENES'!$A496="","",IF('ORDENES'!$N496="","-",'ORDENES'!$N496))</f>
        <v/>
      </c>
      <c r="M518" s="3">
        <f>IF('ORDENES'!$A496="","",'ORDENES'!$AA496)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IF('ORDENES'!$A497="","",IF('ORDENES'!$AC497="","-",'ORDENES'!$AC497))</f>
        <v/>
      </c>
      <c r="D519" s="3">
        <f>IF('ORDENES'!$A497="","",IF('ORDENES'!$V497="","-",'ORDENES'!$V497))</f>
        <v/>
      </c>
      <c r="E519" s="3">
        <f>IF('ORDENES'!$A497="","",IF('ORDENES'!$U497="","-",'ORDENES'!$U497))</f>
        <v/>
      </c>
      <c r="F519" s="3">
        <f>IF('ORDENES'!$A497="","",IF('ORDENES'!$W497="","-",'ORDENES'!$W497))</f>
        <v/>
      </c>
      <c r="G519" s="3">
        <f>IF('ORDENES'!$A497="","",IF('ORDENES'!$AB497="","-",'ORDENES'!$AB497))</f>
        <v/>
      </c>
      <c r="H519" s="3">
        <f>IF('ORDENES'!$A497="","",IF('ORDENES'!$AN497="","-",'ORDENES'!$AN497))</f>
        <v/>
      </c>
      <c r="I519" s="3">
        <f>IF('ORDENES'!$A497="","",IF('ORDENES'!$D497="","-",'ORDENES'!$D497))</f>
        <v/>
      </c>
      <c r="J519" s="3">
        <f>IF('ORDENES'!$A497="","",IF('ORDENES'!$E497="","-",'ORDENES'!$E497))</f>
        <v/>
      </c>
      <c r="K519" s="12">
        <f>IF('ORDENES'!$A497="","",IF('ORDENES'!$M497="",0,'ORDENES'!$M497))</f>
        <v/>
      </c>
      <c r="L519" s="3">
        <f>IF('ORDENES'!$A497="","",IF('ORDENES'!$N497="","-",'ORDENES'!$N497))</f>
        <v/>
      </c>
      <c r="M519" s="3">
        <f>IF('ORDENES'!$A497="","",'ORDENES'!$AA497)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IF('ORDENES'!$A498="","",IF('ORDENES'!$AC498="","-",'ORDENES'!$AC498))</f>
        <v/>
      </c>
      <c r="D520" s="3">
        <f>IF('ORDENES'!$A498="","",IF('ORDENES'!$V498="","-",'ORDENES'!$V498))</f>
        <v/>
      </c>
      <c r="E520" s="3">
        <f>IF('ORDENES'!$A498="","",IF('ORDENES'!$U498="","-",'ORDENES'!$U498))</f>
        <v/>
      </c>
      <c r="F520" s="3">
        <f>IF('ORDENES'!$A498="","",IF('ORDENES'!$W498="","-",'ORDENES'!$W498))</f>
        <v/>
      </c>
      <c r="G520" s="3">
        <f>IF('ORDENES'!$A498="","",IF('ORDENES'!$AB498="","-",'ORDENES'!$AB498))</f>
        <v/>
      </c>
      <c r="H520" s="3">
        <f>IF('ORDENES'!$A498="","",IF('ORDENES'!$AN498="","-",'ORDENES'!$AN498))</f>
        <v/>
      </c>
      <c r="I520" s="3">
        <f>IF('ORDENES'!$A498="","",IF('ORDENES'!$D498="","-",'ORDENES'!$D498))</f>
        <v/>
      </c>
      <c r="J520" s="3">
        <f>IF('ORDENES'!$A498="","",IF('ORDENES'!$E498="","-",'ORDENES'!$E498))</f>
        <v/>
      </c>
      <c r="K520" s="12">
        <f>IF('ORDENES'!$A498="","",IF('ORDENES'!$M498="",0,'ORDENES'!$M498))</f>
        <v/>
      </c>
      <c r="L520" s="3">
        <f>IF('ORDENES'!$A498="","",IF('ORDENES'!$N498="","-",'ORDENES'!$N498))</f>
        <v/>
      </c>
      <c r="M520" s="3">
        <f>IF('ORDENES'!$A498="","",'ORDENES'!$AA498)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IF('ORDENES'!$A499="","",IF('ORDENES'!$AC499="","-",'ORDENES'!$AC499))</f>
        <v/>
      </c>
      <c r="D521" s="3">
        <f>IF('ORDENES'!$A499="","",IF('ORDENES'!$V499="","-",'ORDENES'!$V499))</f>
        <v/>
      </c>
      <c r="E521" s="3">
        <f>IF('ORDENES'!$A499="","",IF('ORDENES'!$U499="","-",'ORDENES'!$U499))</f>
        <v/>
      </c>
      <c r="F521" s="3">
        <f>IF('ORDENES'!$A499="","",IF('ORDENES'!$W499="","-",'ORDENES'!$W499))</f>
        <v/>
      </c>
      <c r="G521" s="3">
        <f>IF('ORDENES'!$A499="","",IF('ORDENES'!$AB499="","-",'ORDENES'!$AB499))</f>
        <v/>
      </c>
      <c r="H521" s="3">
        <f>IF('ORDENES'!$A499="","",IF('ORDENES'!$AN499="","-",'ORDENES'!$AN499))</f>
        <v/>
      </c>
      <c r="I521" s="3">
        <f>IF('ORDENES'!$A499="","",IF('ORDENES'!$D499="","-",'ORDENES'!$D499))</f>
        <v/>
      </c>
      <c r="J521" s="3">
        <f>IF('ORDENES'!$A499="","",IF('ORDENES'!$E499="","-",'ORDENES'!$E499))</f>
        <v/>
      </c>
      <c r="K521" s="12">
        <f>IF('ORDENES'!$A499="","",IF('ORDENES'!$M499="",0,'ORDENES'!$M499))</f>
        <v/>
      </c>
      <c r="L521" s="3">
        <f>IF('ORDENES'!$A499="","",IF('ORDENES'!$N499="","-",'ORDENES'!$N499))</f>
        <v/>
      </c>
      <c r="M521" s="3">
        <f>IF('ORDENES'!$A499="","",'ORDENES'!$AA499)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IF('ORDENES'!$A500="","",IF('ORDENES'!$AC500="","-",'ORDENES'!$AC500))</f>
        <v/>
      </c>
      <c r="D522" s="3">
        <f>IF('ORDENES'!$A500="","",IF('ORDENES'!$V500="","-",'ORDENES'!$V500))</f>
        <v/>
      </c>
      <c r="E522" s="3">
        <f>IF('ORDENES'!$A500="","",IF('ORDENES'!$U500="","-",'ORDENES'!$U500))</f>
        <v/>
      </c>
      <c r="F522" s="3">
        <f>IF('ORDENES'!$A500="","",IF('ORDENES'!$W500="","-",'ORDENES'!$W500))</f>
        <v/>
      </c>
      <c r="G522" s="3">
        <f>IF('ORDENES'!$A500="","",IF('ORDENES'!$AB500="","-",'ORDENES'!$AB500))</f>
        <v/>
      </c>
      <c r="H522" s="3">
        <f>IF('ORDENES'!$A500="","",IF('ORDENES'!$AN500="","-",'ORDENES'!$AN500))</f>
        <v/>
      </c>
      <c r="I522" s="3">
        <f>IF('ORDENES'!$A500="","",IF('ORDENES'!$D500="","-",'ORDENES'!$D500))</f>
        <v/>
      </c>
      <c r="J522" s="3">
        <f>IF('ORDENES'!$A500="","",IF('ORDENES'!$E500="","-",'ORDENES'!$E500))</f>
        <v/>
      </c>
      <c r="K522" s="12">
        <f>IF('ORDENES'!$A500="","",IF('ORDENES'!$M500="",0,'ORDENES'!$M500))</f>
        <v/>
      </c>
      <c r="L522" s="3">
        <f>IF('ORDENES'!$A500="","",IF('ORDENES'!$N500="","-",'ORDENES'!$N500))</f>
        <v/>
      </c>
      <c r="M522" s="3">
        <f>IF('ORDENES'!$A500="","",'ORDENES'!$AA500)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IF('ORDENES'!$A501="","",IF('ORDENES'!$AC501="","-",'ORDENES'!$AC501))</f>
        <v/>
      </c>
      <c r="D523" s="3">
        <f>IF('ORDENES'!$A501="","",IF('ORDENES'!$V501="","-",'ORDENES'!$V501))</f>
        <v/>
      </c>
      <c r="E523" s="3">
        <f>IF('ORDENES'!$A501="","",IF('ORDENES'!$U501="","-",'ORDENES'!$U501))</f>
        <v/>
      </c>
      <c r="F523" s="3">
        <f>IF('ORDENES'!$A501="","",IF('ORDENES'!$W501="","-",'ORDENES'!$W501))</f>
        <v/>
      </c>
      <c r="G523" s="3">
        <f>IF('ORDENES'!$A501="","",IF('ORDENES'!$AB501="","-",'ORDENES'!$AB501))</f>
        <v/>
      </c>
      <c r="H523" s="3">
        <f>IF('ORDENES'!$A501="","",IF('ORDENES'!$AN501="","-",'ORDENES'!$AN501))</f>
        <v/>
      </c>
      <c r="I523" s="3">
        <f>IF('ORDENES'!$A501="","",IF('ORDENES'!$D501="","-",'ORDENES'!$D501))</f>
        <v/>
      </c>
      <c r="J523" s="3">
        <f>IF('ORDENES'!$A501="","",IF('ORDENES'!$E501="","-",'ORDENES'!$E501))</f>
        <v/>
      </c>
      <c r="K523" s="12">
        <f>IF('ORDENES'!$A501="","",IF('ORDENES'!$M501="",0,'ORDENES'!$M501))</f>
        <v/>
      </c>
      <c r="L523" s="3">
        <f>IF('ORDENES'!$A501="","",IF('ORDENES'!$N501="","-",'ORDENES'!$N501))</f>
        <v/>
      </c>
      <c r="M523" s="3">
        <f>IF('ORDENES'!$A501="","",'ORDENES'!$AA501)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IF('ORDENES'!$A502="","",IF('ORDENES'!$AC502="","-",'ORDENES'!$AC502))</f>
        <v/>
      </c>
      <c r="D524" s="3">
        <f>IF('ORDENES'!$A502="","",IF('ORDENES'!$V502="","-",'ORDENES'!$V502))</f>
        <v/>
      </c>
      <c r="E524" s="3">
        <f>IF('ORDENES'!$A502="","",IF('ORDENES'!$U502="","-",'ORDENES'!$U502))</f>
        <v/>
      </c>
      <c r="F524" s="3">
        <f>IF('ORDENES'!$A502="","",IF('ORDENES'!$W502="","-",'ORDENES'!$W502))</f>
        <v/>
      </c>
      <c r="G524" s="3">
        <f>IF('ORDENES'!$A502="","",IF('ORDENES'!$AB502="","-",'ORDENES'!$AB502))</f>
        <v/>
      </c>
      <c r="H524" s="3">
        <f>IF('ORDENES'!$A502="","",IF('ORDENES'!$AN502="","-",'ORDENES'!$AN502))</f>
        <v/>
      </c>
      <c r="I524" s="3">
        <f>IF('ORDENES'!$A502="","",IF('ORDENES'!$D502="","-",'ORDENES'!$D502))</f>
        <v/>
      </c>
      <c r="J524" s="3">
        <f>IF('ORDENES'!$A502="","",IF('ORDENES'!$E502="","-",'ORDENES'!$E502))</f>
        <v/>
      </c>
      <c r="K524" s="12">
        <f>IF('ORDENES'!$A502="","",IF('ORDENES'!$M502="",0,'ORDENES'!$M502))</f>
        <v/>
      </c>
      <c r="L524" s="3">
        <f>IF('ORDENES'!$A502="","",IF('ORDENES'!$N502="","-",'ORDENES'!$N502))</f>
        <v/>
      </c>
      <c r="M524" s="3">
        <f>IF('ORDENES'!$A502="","",'ORDENES'!$AA502)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IF('ORDENES'!$A503="","",IF('ORDENES'!$AC503="","-",'ORDENES'!$AC503))</f>
        <v/>
      </c>
      <c r="D525" s="3">
        <f>IF('ORDENES'!$A503="","",IF('ORDENES'!$V503="","-",'ORDENES'!$V503))</f>
        <v/>
      </c>
      <c r="E525" s="3">
        <f>IF('ORDENES'!$A503="","",IF('ORDENES'!$U503="","-",'ORDENES'!$U503))</f>
        <v/>
      </c>
      <c r="F525" s="3">
        <f>IF('ORDENES'!$A503="","",IF('ORDENES'!$W503="","-",'ORDENES'!$W503))</f>
        <v/>
      </c>
      <c r="G525" s="3">
        <f>IF('ORDENES'!$A503="","",IF('ORDENES'!$AB503="","-",'ORDENES'!$AB503))</f>
        <v/>
      </c>
      <c r="H525" s="3">
        <f>IF('ORDENES'!$A503="","",IF('ORDENES'!$AN503="","-",'ORDENES'!$AN503))</f>
        <v/>
      </c>
      <c r="I525" s="3">
        <f>IF('ORDENES'!$A503="","",IF('ORDENES'!$D503="","-",'ORDENES'!$D503))</f>
        <v/>
      </c>
      <c r="J525" s="3">
        <f>IF('ORDENES'!$A503="","",IF('ORDENES'!$E503="","-",'ORDENES'!$E503))</f>
        <v/>
      </c>
      <c r="K525" s="12">
        <f>IF('ORDENES'!$A503="","",IF('ORDENES'!$M503="",0,'ORDENES'!$M503))</f>
        <v/>
      </c>
      <c r="L525" s="3">
        <f>IF('ORDENES'!$A503="","",IF('ORDENES'!$N503="","-",'ORDENES'!$N503))</f>
        <v/>
      </c>
      <c r="M525" s="3">
        <f>IF('ORDENES'!$A503="","",'ORDENES'!$AA503)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IF('ORDENES'!$A504="","",IF('ORDENES'!$AC504="","-",'ORDENES'!$AC504))</f>
        <v/>
      </c>
      <c r="D526" s="3">
        <f>IF('ORDENES'!$A504="","",IF('ORDENES'!$V504="","-",'ORDENES'!$V504))</f>
        <v/>
      </c>
      <c r="E526" s="3">
        <f>IF('ORDENES'!$A504="","",IF('ORDENES'!$U504="","-",'ORDENES'!$U504))</f>
        <v/>
      </c>
      <c r="F526" s="3">
        <f>IF('ORDENES'!$A504="","",IF('ORDENES'!$W504="","-",'ORDENES'!$W504))</f>
        <v/>
      </c>
      <c r="G526" s="3">
        <f>IF('ORDENES'!$A504="","",IF('ORDENES'!$AB504="","-",'ORDENES'!$AB504))</f>
        <v/>
      </c>
      <c r="H526" s="3">
        <f>IF('ORDENES'!$A504="","",IF('ORDENES'!$AN504="","-",'ORDENES'!$AN504))</f>
        <v/>
      </c>
      <c r="I526" s="3">
        <f>IF('ORDENES'!$A504="","",IF('ORDENES'!$D504="","-",'ORDENES'!$D504))</f>
        <v/>
      </c>
      <c r="J526" s="3">
        <f>IF('ORDENES'!$A504="","",IF('ORDENES'!$E504="","-",'ORDENES'!$E504))</f>
        <v/>
      </c>
      <c r="K526" s="12">
        <f>IF('ORDENES'!$A504="","",IF('ORDENES'!$M504="",0,'ORDENES'!$M504))</f>
        <v/>
      </c>
      <c r="L526" s="3">
        <f>IF('ORDENES'!$A504="","",IF('ORDENES'!$N504="","-",'ORDENES'!$N504))</f>
        <v/>
      </c>
      <c r="M526" s="3">
        <f>IF('ORDENES'!$A504="","",'ORDENES'!$AA504)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IF('ORDENES'!$A505="","",IF('ORDENES'!$AC505="","-",'ORDENES'!$AC505))</f>
        <v/>
      </c>
      <c r="D527" s="3">
        <f>IF('ORDENES'!$A505="","",IF('ORDENES'!$V505="","-",'ORDENES'!$V505))</f>
        <v/>
      </c>
      <c r="E527" s="3">
        <f>IF('ORDENES'!$A505="","",IF('ORDENES'!$U505="","-",'ORDENES'!$U505))</f>
        <v/>
      </c>
      <c r="F527" s="3">
        <f>IF('ORDENES'!$A505="","",IF('ORDENES'!$W505="","-",'ORDENES'!$W505))</f>
        <v/>
      </c>
      <c r="G527" s="3">
        <f>IF('ORDENES'!$A505="","",IF('ORDENES'!$AB505="","-",'ORDENES'!$AB505))</f>
        <v/>
      </c>
      <c r="H527" s="3">
        <f>IF('ORDENES'!$A505="","",IF('ORDENES'!$AN505="","-",'ORDENES'!$AN505))</f>
        <v/>
      </c>
      <c r="I527" s="3">
        <f>IF('ORDENES'!$A505="","",IF('ORDENES'!$D505="","-",'ORDENES'!$D505))</f>
        <v/>
      </c>
      <c r="J527" s="3">
        <f>IF('ORDENES'!$A505="","",IF('ORDENES'!$E505="","-",'ORDENES'!$E505))</f>
        <v/>
      </c>
      <c r="K527" s="12">
        <f>IF('ORDENES'!$A505="","",IF('ORDENES'!$M505="",0,'ORDENES'!$M505))</f>
        <v/>
      </c>
      <c r="L527" s="3">
        <f>IF('ORDENES'!$A505="","",IF('ORDENES'!$N505="","-",'ORDENES'!$N505))</f>
        <v/>
      </c>
      <c r="M527" s="3">
        <f>IF('ORDENES'!$A505="","",'ORDENES'!$AA505)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IF('ORDENES'!$A506="","",IF('ORDENES'!$AC506="","-",'ORDENES'!$AC506))</f>
        <v/>
      </c>
      <c r="D528" s="3">
        <f>IF('ORDENES'!$A506="","",IF('ORDENES'!$V506="","-",'ORDENES'!$V506))</f>
        <v/>
      </c>
      <c r="E528" s="3">
        <f>IF('ORDENES'!$A506="","",IF('ORDENES'!$U506="","-",'ORDENES'!$U506))</f>
        <v/>
      </c>
      <c r="F528" s="3">
        <f>IF('ORDENES'!$A506="","",IF('ORDENES'!$W506="","-",'ORDENES'!$W506))</f>
        <v/>
      </c>
      <c r="G528" s="3">
        <f>IF('ORDENES'!$A506="","",IF('ORDENES'!$AB506="","-",'ORDENES'!$AB506))</f>
        <v/>
      </c>
      <c r="H528" s="3">
        <f>IF('ORDENES'!$A506="","",IF('ORDENES'!$AN506="","-",'ORDENES'!$AN506))</f>
        <v/>
      </c>
      <c r="I528" s="3">
        <f>IF('ORDENES'!$A506="","",IF('ORDENES'!$D506="","-",'ORDENES'!$D506))</f>
        <v/>
      </c>
      <c r="J528" s="3">
        <f>IF('ORDENES'!$A506="","",IF('ORDENES'!$E506="","-",'ORDENES'!$E506))</f>
        <v/>
      </c>
      <c r="K528" s="12">
        <f>IF('ORDENES'!$A506="","",IF('ORDENES'!$M506="",0,'ORDENES'!$M506))</f>
        <v/>
      </c>
      <c r="L528" s="3">
        <f>IF('ORDENES'!$A506="","",IF('ORDENES'!$N506="","-",'ORDENES'!$N506))</f>
        <v/>
      </c>
      <c r="M528" s="3">
        <f>IF('ORDENES'!$A506="","",'ORDENES'!$AA506)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IF('ORDENES'!$A507="","",IF('ORDENES'!$AC507="","-",'ORDENES'!$AC507))</f>
        <v/>
      </c>
      <c r="D529" s="3">
        <f>IF('ORDENES'!$A507="","",IF('ORDENES'!$V507="","-",'ORDENES'!$V507))</f>
        <v/>
      </c>
      <c r="E529" s="3">
        <f>IF('ORDENES'!$A507="","",IF('ORDENES'!$U507="","-",'ORDENES'!$U507))</f>
        <v/>
      </c>
      <c r="F529" s="3">
        <f>IF('ORDENES'!$A507="","",IF('ORDENES'!$W507="","-",'ORDENES'!$W507))</f>
        <v/>
      </c>
      <c r="G529" s="3">
        <f>IF('ORDENES'!$A507="","",IF('ORDENES'!$AB507="","-",'ORDENES'!$AB507))</f>
        <v/>
      </c>
      <c r="H529" s="3">
        <f>IF('ORDENES'!$A507="","",IF('ORDENES'!$AN507="","-",'ORDENES'!$AN507))</f>
        <v/>
      </c>
      <c r="I529" s="3">
        <f>IF('ORDENES'!$A507="","",IF('ORDENES'!$D507="","-",'ORDENES'!$D507))</f>
        <v/>
      </c>
      <c r="J529" s="3">
        <f>IF('ORDENES'!$A507="","",IF('ORDENES'!$E507="","-",'ORDENES'!$E507))</f>
        <v/>
      </c>
      <c r="K529" s="12">
        <f>IF('ORDENES'!$A507="","",IF('ORDENES'!$M507="",0,'ORDENES'!$M507))</f>
        <v/>
      </c>
      <c r="L529" s="3">
        <f>IF('ORDENES'!$A507="","",IF('ORDENES'!$N507="","-",'ORDENES'!$N507))</f>
        <v/>
      </c>
      <c r="M529" s="3">
        <f>IF('ORDENES'!$A507="","",'ORDENES'!$AA507)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IF('ORDENES'!$A508="","",IF('ORDENES'!$AC508="","-",'ORDENES'!$AC508))</f>
        <v/>
      </c>
      <c r="D530" s="3">
        <f>IF('ORDENES'!$A508="","",IF('ORDENES'!$V508="","-",'ORDENES'!$V508))</f>
        <v/>
      </c>
      <c r="E530" s="3">
        <f>IF('ORDENES'!$A508="","",IF('ORDENES'!$U508="","-",'ORDENES'!$U508))</f>
        <v/>
      </c>
      <c r="F530" s="3">
        <f>IF('ORDENES'!$A508="","",IF('ORDENES'!$W508="","-",'ORDENES'!$W508))</f>
        <v/>
      </c>
      <c r="G530" s="3">
        <f>IF('ORDENES'!$A508="","",IF('ORDENES'!$AB508="","-",'ORDENES'!$AB508))</f>
        <v/>
      </c>
      <c r="H530" s="3">
        <f>IF('ORDENES'!$A508="","",IF('ORDENES'!$AN508="","-",'ORDENES'!$AN508))</f>
        <v/>
      </c>
      <c r="I530" s="3">
        <f>IF('ORDENES'!$A508="","",IF('ORDENES'!$D508="","-",'ORDENES'!$D508))</f>
        <v/>
      </c>
      <c r="J530" s="3">
        <f>IF('ORDENES'!$A508="","",IF('ORDENES'!$E508="","-",'ORDENES'!$E508))</f>
        <v/>
      </c>
      <c r="K530" s="12">
        <f>IF('ORDENES'!$A508="","",IF('ORDENES'!$M508="",0,'ORDENES'!$M508))</f>
        <v/>
      </c>
      <c r="L530" s="3">
        <f>IF('ORDENES'!$A508="","",IF('ORDENES'!$N508="","-",'ORDENES'!$N508))</f>
        <v/>
      </c>
      <c r="M530" s="3">
        <f>IF('ORDENES'!$A508="","",'ORDENES'!$AA508)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IF('ORDENES'!$A509="","",IF('ORDENES'!$AC509="","-",'ORDENES'!$AC509))</f>
        <v/>
      </c>
      <c r="D531" s="3">
        <f>IF('ORDENES'!$A509="","",IF('ORDENES'!$V509="","-",'ORDENES'!$V509))</f>
        <v/>
      </c>
      <c r="E531" s="3">
        <f>IF('ORDENES'!$A509="","",IF('ORDENES'!$U509="","-",'ORDENES'!$U509))</f>
        <v/>
      </c>
      <c r="F531" s="3">
        <f>IF('ORDENES'!$A509="","",IF('ORDENES'!$W509="","-",'ORDENES'!$W509))</f>
        <v/>
      </c>
      <c r="G531" s="3">
        <f>IF('ORDENES'!$A509="","",IF('ORDENES'!$AB509="","-",'ORDENES'!$AB509))</f>
        <v/>
      </c>
      <c r="H531" s="3">
        <f>IF('ORDENES'!$A509="","",IF('ORDENES'!$AN509="","-",'ORDENES'!$AN509))</f>
        <v/>
      </c>
      <c r="I531" s="3">
        <f>IF('ORDENES'!$A509="","",IF('ORDENES'!$D509="","-",'ORDENES'!$D509))</f>
        <v/>
      </c>
      <c r="J531" s="3">
        <f>IF('ORDENES'!$A509="","",IF('ORDENES'!$E509="","-",'ORDENES'!$E509))</f>
        <v/>
      </c>
      <c r="K531" s="12">
        <f>IF('ORDENES'!$A509="","",IF('ORDENES'!$M509="",0,'ORDENES'!$M509))</f>
        <v/>
      </c>
      <c r="L531" s="3">
        <f>IF('ORDENES'!$A509="","",IF('ORDENES'!$N509="","-",'ORDENES'!$N509))</f>
        <v/>
      </c>
      <c r="M531" s="3">
        <f>IF('ORDENES'!$A509="","",'ORDENES'!$AA509)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IF('ORDENES'!$A510="","",IF('ORDENES'!$AC510="","-",'ORDENES'!$AC510))</f>
        <v/>
      </c>
      <c r="D532" s="3">
        <f>IF('ORDENES'!$A510="","",IF('ORDENES'!$V510="","-",'ORDENES'!$V510))</f>
        <v/>
      </c>
      <c r="E532" s="3">
        <f>IF('ORDENES'!$A510="","",IF('ORDENES'!$U510="","-",'ORDENES'!$U510))</f>
        <v/>
      </c>
      <c r="F532" s="3">
        <f>IF('ORDENES'!$A510="","",IF('ORDENES'!$W510="","-",'ORDENES'!$W510))</f>
        <v/>
      </c>
      <c r="G532" s="3">
        <f>IF('ORDENES'!$A510="","",IF('ORDENES'!$AB510="","-",'ORDENES'!$AB510))</f>
        <v/>
      </c>
      <c r="H532" s="3">
        <f>IF('ORDENES'!$A510="","",IF('ORDENES'!$AN510="","-",'ORDENES'!$AN510))</f>
        <v/>
      </c>
      <c r="I532" s="3">
        <f>IF('ORDENES'!$A510="","",IF('ORDENES'!$D510="","-",'ORDENES'!$D510))</f>
        <v/>
      </c>
      <c r="J532" s="3">
        <f>IF('ORDENES'!$A510="","",IF('ORDENES'!$E510="","-",'ORDENES'!$E510))</f>
        <v/>
      </c>
      <c r="K532" s="12">
        <f>IF('ORDENES'!$A510="","",IF('ORDENES'!$M510="",0,'ORDENES'!$M510))</f>
        <v/>
      </c>
      <c r="L532" s="3">
        <f>IF('ORDENES'!$A510="","",IF('ORDENES'!$N510="","-",'ORDENES'!$N510))</f>
        <v/>
      </c>
      <c r="M532" s="3">
        <f>IF('ORDENES'!$A510="","",'ORDENES'!$AA510)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IF('ORDENES'!$A511="","",IF('ORDENES'!$AC511="","-",'ORDENES'!$AC511))</f>
        <v/>
      </c>
      <c r="D533" s="3">
        <f>IF('ORDENES'!$A511="","",IF('ORDENES'!$V511="","-",'ORDENES'!$V511))</f>
        <v/>
      </c>
      <c r="E533" s="3">
        <f>IF('ORDENES'!$A511="","",IF('ORDENES'!$U511="","-",'ORDENES'!$U511))</f>
        <v/>
      </c>
      <c r="F533" s="3">
        <f>IF('ORDENES'!$A511="","",IF('ORDENES'!$W511="","-",'ORDENES'!$W511))</f>
        <v/>
      </c>
      <c r="G533" s="3">
        <f>IF('ORDENES'!$A511="","",IF('ORDENES'!$AB511="","-",'ORDENES'!$AB511))</f>
        <v/>
      </c>
      <c r="H533" s="3">
        <f>IF('ORDENES'!$A511="","",IF('ORDENES'!$AN511="","-",'ORDENES'!$AN511))</f>
        <v/>
      </c>
      <c r="I533" s="3">
        <f>IF('ORDENES'!$A511="","",IF('ORDENES'!$D511="","-",'ORDENES'!$D511))</f>
        <v/>
      </c>
      <c r="J533" s="3">
        <f>IF('ORDENES'!$A511="","",IF('ORDENES'!$E511="","-",'ORDENES'!$E511))</f>
        <v/>
      </c>
      <c r="K533" s="12">
        <f>IF('ORDENES'!$A511="","",IF('ORDENES'!$M511="",0,'ORDENES'!$M511))</f>
        <v/>
      </c>
      <c r="L533" s="3">
        <f>IF('ORDENES'!$A511="","",IF('ORDENES'!$N511="","-",'ORDENES'!$N511))</f>
        <v/>
      </c>
      <c r="M533" s="3">
        <f>IF('ORDENES'!$A511="","",'ORDENES'!$AA511)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IF('ORDENES'!$A512="","",IF('ORDENES'!$AC512="","-",'ORDENES'!$AC512))</f>
        <v/>
      </c>
      <c r="D534" s="3">
        <f>IF('ORDENES'!$A512="","",IF('ORDENES'!$V512="","-",'ORDENES'!$V512))</f>
        <v/>
      </c>
      <c r="E534" s="3">
        <f>IF('ORDENES'!$A512="","",IF('ORDENES'!$U512="","-",'ORDENES'!$U512))</f>
        <v/>
      </c>
      <c r="F534" s="3">
        <f>IF('ORDENES'!$A512="","",IF('ORDENES'!$W512="","-",'ORDENES'!$W512))</f>
        <v/>
      </c>
      <c r="G534" s="3">
        <f>IF('ORDENES'!$A512="","",IF('ORDENES'!$AB512="","-",'ORDENES'!$AB512))</f>
        <v/>
      </c>
      <c r="H534" s="3">
        <f>IF('ORDENES'!$A512="","",IF('ORDENES'!$AN512="","-",'ORDENES'!$AN512))</f>
        <v/>
      </c>
      <c r="I534" s="3">
        <f>IF('ORDENES'!$A512="","",IF('ORDENES'!$D512="","-",'ORDENES'!$D512))</f>
        <v/>
      </c>
      <c r="J534" s="3">
        <f>IF('ORDENES'!$A512="","",IF('ORDENES'!$E512="","-",'ORDENES'!$E512))</f>
        <v/>
      </c>
      <c r="K534" s="12">
        <f>IF('ORDENES'!$A512="","",IF('ORDENES'!$M512="",0,'ORDENES'!$M512))</f>
        <v/>
      </c>
      <c r="L534" s="3">
        <f>IF('ORDENES'!$A512="","",IF('ORDENES'!$N512="","-",'ORDENES'!$N512))</f>
        <v/>
      </c>
      <c r="M534" s="3">
        <f>IF('ORDENES'!$A512="","",'ORDENES'!$AA512)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IF('ORDENES'!$A513="","",IF('ORDENES'!$AC513="","-",'ORDENES'!$AC513))</f>
        <v/>
      </c>
      <c r="D535" s="3">
        <f>IF('ORDENES'!$A513="","",IF('ORDENES'!$V513="","-",'ORDENES'!$V513))</f>
        <v/>
      </c>
      <c r="E535" s="3">
        <f>IF('ORDENES'!$A513="","",IF('ORDENES'!$U513="","-",'ORDENES'!$U513))</f>
        <v/>
      </c>
      <c r="F535" s="3">
        <f>IF('ORDENES'!$A513="","",IF('ORDENES'!$W513="","-",'ORDENES'!$W513))</f>
        <v/>
      </c>
      <c r="G535" s="3">
        <f>IF('ORDENES'!$A513="","",IF('ORDENES'!$AB513="","-",'ORDENES'!$AB513))</f>
        <v/>
      </c>
      <c r="H535" s="3">
        <f>IF('ORDENES'!$A513="","",IF('ORDENES'!$AN513="","-",'ORDENES'!$AN513))</f>
        <v/>
      </c>
      <c r="I535" s="3">
        <f>IF('ORDENES'!$A513="","",IF('ORDENES'!$D513="","-",'ORDENES'!$D513))</f>
        <v/>
      </c>
      <c r="J535" s="3">
        <f>IF('ORDENES'!$A513="","",IF('ORDENES'!$E513="","-",'ORDENES'!$E513))</f>
        <v/>
      </c>
      <c r="K535" s="12">
        <f>IF('ORDENES'!$A513="","",IF('ORDENES'!$M513="",0,'ORDENES'!$M513))</f>
        <v/>
      </c>
      <c r="L535" s="3">
        <f>IF('ORDENES'!$A513="","",IF('ORDENES'!$N513="","-",'ORDENES'!$N513))</f>
        <v/>
      </c>
      <c r="M535" s="3">
        <f>IF('ORDENES'!$A513="","",'ORDENES'!$AA513)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IF('ORDENES'!$A514="","",IF('ORDENES'!$AC514="","-",'ORDENES'!$AC514))</f>
        <v/>
      </c>
      <c r="D536" s="3">
        <f>IF('ORDENES'!$A514="","",IF('ORDENES'!$V514="","-",'ORDENES'!$V514))</f>
        <v/>
      </c>
      <c r="E536" s="3">
        <f>IF('ORDENES'!$A514="","",IF('ORDENES'!$U514="","-",'ORDENES'!$U514))</f>
        <v/>
      </c>
      <c r="F536" s="3">
        <f>IF('ORDENES'!$A514="","",IF('ORDENES'!$W514="","-",'ORDENES'!$W514))</f>
        <v/>
      </c>
      <c r="G536" s="3">
        <f>IF('ORDENES'!$A514="","",IF('ORDENES'!$AB514="","-",'ORDENES'!$AB514))</f>
        <v/>
      </c>
      <c r="H536" s="3">
        <f>IF('ORDENES'!$A514="","",IF('ORDENES'!$AN514="","-",'ORDENES'!$AN514))</f>
        <v/>
      </c>
      <c r="I536" s="3">
        <f>IF('ORDENES'!$A514="","",IF('ORDENES'!$D514="","-",'ORDENES'!$D514))</f>
        <v/>
      </c>
      <c r="J536" s="3">
        <f>IF('ORDENES'!$A514="","",IF('ORDENES'!$E514="","-",'ORDENES'!$E514))</f>
        <v/>
      </c>
      <c r="K536" s="12">
        <f>IF('ORDENES'!$A514="","",IF('ORDENES'!$M514="",0,'ORDENES'!$M514))</f>
        <v/>
      </c>
      <c r="L536" s="3">
        <f>IF('ORDENES'!$A514="","",IF('ORDENES'!$N514="","-",'ORDENES'!$N514))</f>
        <v/>
      </c>
      <c r="M536" s="3">
        <f>IF('ORDENES'!$A514="","",'ORDENES'!$AA514)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IF('ORDENES'!$A515="","",IF('ORDENES'!$AC515="","-",'ORDENES'!$AC515))</f>
        <v/>
      </c>
      <c r="D537" s="3">
        <f>IF('ORDENES'!$A515="","",IF('ORDENES'!$V515="","-",'ORDENES'!$V515))</f>
        <v/>
      </c>
      <c r="E537" s="3">
        <f>IF('ORDENES'!$A515="","",IF('ORDENES'!$U515="","-",'ORDENES'!$U515))</f>
        <v/>
      </c>
      <c r="F537" s="3">
        <f>IF('ORDENES'!$A515="","",IF('ORDENES'!$W515="","-",'ORDENES'!$W515))</f>
        <v/>
      </c>
      <c r="G537" s="3">
        <f>IF('ORDENES'!$A515="","",IF('ORDENES'!$AB515="","-",'ORDENES'!$AB515))</f>
        <v/>
      </c>
      <c r="H537" s="3">
        <f>IF('ORDENES'!$A515="","",IF('ORDENES'!$AN515="","-",'ORDENES'!$AN515))</f>
        <v/>
      </c>
      <c r="I537" s="3">
        <f>IF('ORDENES'!$A515="","",IF('ORDENES'!$D515="","-",'ORDENES'!$D515))</f>
        <v/>
      </c>
      <c r="J537" s="3">
        <f>IF('ORDENES'!$A515="","",IF('ORDENES'!$E515="","-",'ORDENES'!$E515))</f>
        <v/>
      </c>
      <c r="K537" s="12">
        <f>IF('ORDENES'!$A515="","",IF('ORDENES'!$M515="",0,'ORDENES'!$M515))</f>
        <v/>
      </c>
      <c r="L537" s="3">
        <f>IF('ORDENES'!$A515="","",IF('ORDENES'!$N515="","-",'ORDENES'!$N515))</f>
        <v/>
      </c>
      <c r="M537" s="3">
        <f>IF('ORDENES'!$A515="","",'ORDENES'!$AA515)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IF('ORDENES'!$A516="","",IF('ORDENES'!$AC516="","-",'ORDENES'!$AC516))</f>
        <v/>
      </c>
      <c r="D538" s="3">
        <f>IF('ORDENES'!$A516="","",IF('ORDENES'!$V516="","-",'ORDENES'!$V516))</f>
        <v/>
      </c>
      <c r="E538" s="3">
        <f>IF('ORDENES'!$A516="","",IF('ORDENES'!$U516="","-",'ORDENES'!$U516))</f>
        <v/>
      </c>
      <c r="F538" s="3">
        <f>IF('ORDENES'!$A516="","",IF('ORDENES'!$W516="","-",'ORDENES'!$W516))</f>
        <v/>
      </c>
      <c r="G538" s="3">
        <f>IF('ORDENES'!$A516="","",IF('ORDENES'!$AB516="","-",'ORDENES'!$AB516))</f>
        <v/>
      </c>
      <c r="H538" s="3">
        <f>IF('ORDENES'!$A516="","",IF('ORDENES'!$AN516="","-",'ORDENES'!$AN516))</f>
        <v/>
      </c>
      <c r="I538" s="3">
        <f>IF('ORDENES'!$A516="","",IF('ORDENES'!$D516="","-",'ORDENES'!$D516))</f>
        <v/>
      </c>
      <c r="J538" s="3">
        <f>IF('ORDENES'!$A516="","",IF('ORDENES'!$E516="","-",'ORDENES'!$E516))</f>
        <v/>
      </c>
      <c r="K538" s="12">
        <f>IF('ORDENES'!$A516="","",IF('ORDENES'!$M516="",0,'ORDENES'!$M516))</f>
        <v/>
      </c>
      <c r="L538" s="3">
        <f>IF('ORDENES'!$A516="","",IF('ORDENES'!$N516="","-",'ORDENES'!$N516))</f>
        <v/>
      </c>
      <c r="M538" s="3">
        <f>IF('ORDENES'!$A516="","",'ORDENES'!$AA516)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IF('ORDENES'!$A517="","",IF('ORDENES'!$AC517="","-",'ORDENES'!$AC517))</f>
        <v/>
      </c>
      <c r="D539" s="3">
        <f>IF('ORDENES'!$A517="","",IF('ORDENES'!$V517="","-",'ORDENES'!$V517))</f>
        <v/>
      </c>
      <c r="E539" s="3">
        <f>IF('ORDENES'!$A517="","",IF('ORDENES'!$U517="","-",'ORDENES'!$U517))</f>
        <v/>
      </c>
      <c r="F539" s="3">
        <f>IF('ORDENES'!$A517="","",IF('ORDENES'!$W517="","-",'ORDENES'!$W517))</f>
        <v/>
      </c>
      <c r="G539" s="3">
        <f>IF('ORDENES'!$A517="","",IF('ORDENES'!$AB517="","-",'ORDENES'!$AB517))</f>
        <v/>
      </c>
      <c r="H539" s="3">
        <f>IF('ORDENES'!$A517="","",IF('ORDENES'!$AN517="","-",'ORDENES'!$AN517))</f>
        <v/>
      </c>
      <c r="I539" s="3">
        <f>IF('ORDENES'!$A517="","",IF('ORDENES'!$D517="","-",'ORDENES'!$D517))</f>
        <v/>
      </c>
      <c r="J539" s="3">
        <f>IF('ORDENES'!$A517="","",IF('ORDENES'!$E517="","-",'ORDENES'!$E517))</f>
        <v/>
      </c>
      <c r="K539" s="12">
        <f>IF('ORDENES'!$A517="","",IF('ORDENES'!$M517="",0,'ORDENES'!$M517))</f>
        <v/>
      </c>
      <c r="L539" s="3">
        <f>IF('ORDENES'!$A517="","",IF('ORDENES'!$N517="","-",'ORDENES'!$N517))</f>
        <v/>
      </c>
      <c r="M539" s="3">
        <f>IF('ORDENES'!$A517="","",'ORDENES'!$AA517)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IF('ORDENES'!$A518="","",IF('ORDENES'!$AC518="","-",'ORDENES'!$AC518))</f>
        <v/>
      </c>
      <c r="D540" s="3">
        <f>IF('ORDENES'!$A518="","",IF('ORDENES'!$V518="","-",'ORDENES'!$V518))</f>
        <v/>
      </c>
      <c r="E540" s="3">
        <f>IF('ORDENES'!$A518="","",IF('ORDENES'!$U518="","-",'ORDENES'!$U518))</f>
        <v/>
      </c>
      <c r="F540" s="3">
        <f>IF('ORDENES'!$A518="","",IF('ORDENES'!$W518="","-",'ORDENES'!$W518))</f>
        <v/>
      </c>
      <c r="G540" s="3">
        <f>IF('ORDENES'!$A518="","",IF('ORDENES'!$AB518="","-",'ORDENES'!$AB518))</f>
        <v/>
      </c>
      <c r="H540" s="3">
        <f>IF('ORDENES'!$A518="","",IF('ORDENES'!$AN518="","-",'ORDENES'!$AN518))</f>
        <v/>
      </c>
      <c r="I540" s="3">
        <f>IF('ORDENES'!$A518="","",IF('ORDENES'!$D518="","-",'ORDENES'!$D518))</f>
        <v/>
      </c>
      <c r="J540" s="3">
        <f>IF('ORDENES'!$A518="","",IF('ORDENES'!$E518="","-",'ORDENES'!$E518))</f>
        <v/>
      </c>
      <c r="K540" s="12">
        <f>IF('ORDENES'!$A518="","",IF('ORDENES'!$M518="",0,'ORDENES'!$M518))</f>
        <v/>
      </c>
      <c r="L540" s="3">
        <f>IF('ORDENES'!$A518="","",IF('ORDENES'!$N518="","-",'ORDENES'!$N518))</f>
        <v/>
      </c>
      <c r="M540" s="3">
        <f>IF('ORDENES'!$A518="","",'ORDENES'!$AA518)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IF('ORDENES'!$A519="","",IF('ORDENES'!$AC519="","-",'ORDENES'!$AC519))</f>
        <v/>
      </c>
      <c r="D541" s="3">
        <f>IF('ORDENES'!$A519="","",IF('ORDENES'!$V519="","-",'ORDENES'!$V519))</f>
        <v/>
      </c>
      <c r="E541" s="3">
        <f>IF('ORDENES'!$A519="","",IF('ORDENES'!$U519="","-",'ORDENES'!$U519))</f>
        <v/>
      </c>
      <c r="F541" s="3">
        <f>IF('ORDENES'!$A519="","",IF('ORDENES'!$W519="","-",'ORDENES'!$W519))</f>
        <v/>
      </c>
      <c r="G541" s="3">
        <f>IF('ORDENES'!$A519="","",IF('ORDENES'!$AB519="","-",'ORDENES'!$AB519))</f>
        <v/>
      </c>
      <c r="H541" s="3">
        <f>IF('ORDENES'!$A519="","",IF('ORDENES'!$AN519="","-",'ORDENES'!$AN519))</f>
        <v/>
      </c>
      <c r="I541" s="3">
        <f>IF('ORDENES'!$A519="","",IF('ORDENES'!$D519="","-",'ORDENES'!$D519))</f>
        <v/>
      </c>
      <c r="J541" s="3">
        <f>IF('ORDENES'!$A519="","",IF('ORDENES'!$E519="","-",'ORDENES'!$E519))</f>
        <v/>
      </c>
      <c r="K541" s="12">
        <f>IF('ORDENES'!$A519="","",IF('ORDENES'!$M519="",0,'ORDENES'!$M519))</f>
        <v/>
      </c>
      <c r="L541" s="3">
        <f>IF('ORDENES'!$A519="","",IF('ORDENES'!$N519="","-",'ORDENES'!$N519))</f>
        <v/>
      </c>
      <c r="M541" s="3">
        <f>IF('ORDENES'!$A519="","",'ORDENES'!$AA519)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IF('ORDENES'!$A520="","",IF('ORDENES'!$AC520="","-",'ORDENES'!$AC520))</f>
        <v/>
      </c>
      <c r="D542" s="3">
        <f>IF('ORDENES'!$A520="","",IF('ORDENES'!$V520="","-",'ORDENES'!$V520))</f>
        <v/>
      </c>
      <c r="E542" s="3">
        <f>IF('ORDENES'!$A520="","",IF('ORDENES'!$U520="","-",'ORDENES'!$U520))</f>
        <v/>
      </c>
      <c r="F542" s="3">
        <f>IF('ORDENES'!$A520="","",IF('ORDENES'!$W520="","-",'ORDENES'!$W520))</f>
        <v/>
      </c>
      <c r="G542" s="3">
        <f>IF('ORDENES'!$A520="","",IF('ORDENES'!$AB520="","-",'ORDENES'!$AB520))</f>
        <v/>
      </c>
      <c r="H542" s="3">
        <f>IF('ORDENES'!$A520="","",IF('ORDENES'!$AN520="","-",'ORDENES'!$AN520))</f>
        <v/>
      </c>
      <c r="I542" s="3">
        <f>IF('ORDENES'!$A520="","",IF('ORDENES'!$D520="","-",'ORDENES'!$D520))</f>
        <v/>
      </c>
      <c r="J542" s="3">
        <f>IF('ORDENES'!$A520="","",IF('ORDENES'!$E520="","-",'ORDENES'!$E520))</f>
        <v/>
      </c>
      <c r="K542" s="12">
        <f>IF('ORDENES'!$A520="","",IF('ORDENES'!$M520="",0,'ORDENES'!$M520))</f>
        <v/>
      </c>
      <c r="L542" s="3">
        <f>IF('ORDENES'!$A520="","",IF('ORDENES'!$N520="","-",'ORDENES'!$N520))</f>
        <v/>
      </c>
      <c r="M542" s="3">
        <f>IF('ORDENES'!$A520="","",'ORDENES'!$AA520)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IF('ORDENES'!$A521="","",IF('ORDENES'!$AC521="","-",'ORDENES'!$AC521))</f>
        <v/>
      </c>
      <c r="D543" s="3">
        <f>IF('ORDENES'!$A521="","",IF('ORDENES'!$V521="","-",'ORDENES'!$V521))</f>
        <v/>
      </c>
      <c r="E543" s="3">
        <f>IF('ORDENES'!$A521="","",IF('ORDENES'!$U521="","-",'ORDENES'!$U521))</f>
        <v/>
      </c>
      <c r="F543" s="3">
        <f>IF('ORDENES'!$A521="","",IF('ORDENES'!$W521="","-",'ORDENES'!$W521))</f>
        <v/>
      </c>
      <c r="G543" s="3">
        <f>IF('ORDENES'!$A521="","",IF('ORDENES'!$AB521="","-",'ORDENES'!$AB521))</f>
        <v/>
      </c>
      <c r="H543" s="3">
        <f>IF('ORDENES'!$A521="","",IF('ORDENES'!$AN521="","-",'ORDENES'!$AN521))</f>
        <v/>
      </c>
      <c r="I543" s="3">
        <f>IF('ORDENES'!$A521="","",IF('ORDENES'!$D521="","-",'ORDENES'!$D521))</f>
        <v/>
      </c>
      <c r="J543" s="3">
        <f>IF('ORDENES'!$A521="","",IF('ORDENES'!$E521="","-",'ORDENES'!$E521))</f>
        <v/>
      </c>
      <c r="K543" s="12">
        <f>IF('ORDENES'!$A521="","",IF('ORDENES'!$M521="",0,'ORDENES'!$M521))</f>
        <v/>
      </c>
      <c r="L543" s="3">
        <f>IF('ORDENES'!$A521="","",IF('ORDENES'!$N521="","-",'ORDENES'!$N521))</f>
        <v/>
      </c>
      <c r="M543" s="3">
        <f>IF('ORDENES'!$A521="","",'ORDENES'!$AA521)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IF('ORDENES'!$A522="","",IF('ORDENES'!$AC522="","-",'ORDENES'!$AC522))</f>
        <v/>
      </c>
      <c r="D544" s="3">
        <f>IF('ORDENES'!$A522="","",IF('ORDENES'!$V522="","-",'ORDENES'!$V522))</f>
        <v/>
      </c>
      <c r="E544" s="3">
        <f>IF('ORDENES'!$A522="","",IF('ORDENES'!$U522="","-",'ORDENES'!$U522))</f>
        <v/>
      </c>
      <c r="F544" s="3">
        <f>IF('ORDENES'!$A522="","",IF('ORDENES'!$W522="","-",'ORDENES'!$W522))</f>
        <v/>
      </c>
      <c r="G544" s="3">
        <f>IF('ORDENES'!$A522="","",IF('ORDENES'!$AB522="","-",'ORDENES'!$AB522))</f>
        <v/>
      </c>
      <c r="H544" s="3">
        <f>IF('ORDENES'!$A522="","",IF('ORDENES'!$AN522="","-",'ORDENES'!$AN522))</f>
        <v/>
      </c>
      <c r="I544" s="3">
        <f>IF('ORDENES'!$A522="","",IF('ORDENES'!$D522="","-",'ORDENES'!$D522))</f>
        <v/>
      </c>
      <c r="J544" s="3">
        <f>IF('ORDENES'!$A522="","",IF('ORDENES'!$E522="","-",'ORDENES'!$E522))</f>
        <v/>
      </c>
      <c r="K544" s="12">
        <f>IF('ORDENES'!$A522="","",IF('ORDENES'!$M522="",0,'ORDENES'!$M522))</f>
        <v/>
      </c>
      <c r="L544" s="3">
        <f>IF('ORDENES'!$A522="","",IF('ORDENES'!$N522="","-",'ORDENES'!$N522))</f>
        <v/>
      </c>
      <c r="M544" s="3">
        <f>IF('ORDENES'!$A522="","",'ORDENES'!$AA522)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IF('ORDENES'!$A523="","",IF('ORDENES'!$AC523="","-",'ORDENES'!$AC523))</f>
        <v/>
      </c>
      <c r="D545" s="3">
        <f>IF('ORDENES'!$A523="","",IF('ORDENES'!$V523="","-",'ORDENES'!$V523))</f>
        <v/>
      </c>
      <c r="E545" s="3">
        <f>IF('ORDENES'!$A523="","",IF('ORDENES'!$U523="","-",'ORDENES'!$U523))</f>
        <v/>
      </c>
      <c r="F545" s="3">
        <f>IF('ORDENES'!$A523="","",IF('ORDENES'!$W523="","-",'ORDENES'!$W523))</f>
        <v/>
      </c>
      <c r="G545" s="3">
        <f>IF('ORDENES'!$A523="","",IF('ORDENES'!$AB523="","-",'ORDENES'!$AB523))</f>
        <v/>
      </c>
      <c r="H545" s="3">
        <f>IF('ORDENES'!$A523="","",IF('ORDENES'!$AN523="","-",'ORDENES'!$AN523))</f>
        <v/>
      </c>
      <c r="I545" s="3">
        <f>IF('ORDENES'!$A523="","",IF('ORDENES'!$D523="","-",'ORDENES'!$D523))</f>
        <v/>
      </c>
      <c r="J545" s="3">
        <f>IF('ORDENES'!$A523="","",IF('ORDENES'!$E523="","-",'ORDENES'!$E523))</f>
        <v/>
      </c>
      <c r="K545" s="12">
        <f>IF('ORDENES'!$A523="","",IF('ORDENES'!$M523="",0,'ORDENES'!$M523))</f>
        <v/>
      </c>
      <c r="L545" s="3">
        <f>IF('ORDENES'!$A523="","",IF('ORDENES'!$N523="","-",'ORDENES'!$N523))</f>
        <v/>
      </c>
      <c r="M545" s="3">
        <f>IF('ORDENES'!$A523="","",'ORDENES'!$AA523)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IF('ORDENES'!$A524="","",IF('ORDENES'!$AC524="","-",'ORDENES'!$AC524))</f>
        <v/>
      </c>
      <c r="D546" s="3">
        <f>IF('ORDENES'!$A524="","",IF('ORDENES'!$V524="","-",'ORDENES'!$V524))</f>
        <v/>
      </c>
      <c r="E546" s="3">
        <f>IF('ORDENES'!$A524="","",IF('ORDENES'!$U524="","-",'ORDENES'!$U524))</f>
        <v/>
      </c>
      <c r="F546" s="3">
        <f>IF('ORDENES'!$A524="","",IF('ORDENES'!$W524="","-",'ORDENES'!$W524))</f>
        <v/>
      </c>
      <c r="G546" s="3">
        <f>IF('ORDENES'!$A524="","",IF('ORDENES'!$AB524="","-",'ORDENES'!$AB524))</f>
        <v/>
      </c>
      <c r="H546" s="3">
        <f>IF('ORDENES'!$A524="","",IF('ORDENES'!$AN524="","-",'ORDENES'!$AN524))</f>
        <v/>
      </c>
      <c r="I546" s="3">
        <f>IF('ORDENES'!$A524="","",IF('ORDENES'!$D524="","-",'ORDENES'!$D524))</f>
        <v/>
      </c>
      <c r="J546" s="3">
        <f>IF('ORDENES'!$A524="","",IF('ORDENES'!$E524="","-",'ORDENES'!$E524))</f>
        <v/>
      </c>
      <c r="K546" s="12">
        <f>IF('ORDENES'!$A524="","",IF('ORDENES'!$M524="",0,'ORDENES'!$M524))</f>
        <v/>
      </c>
      <c r="L546" s="3">
        <f>IF('ORDENES'!$A524="","",IF('ORDENES'!$N524="","-",'ORDENES'!$N524))</f>
        <v/>
      </c>
      <c r="M546" s="3">
        <f>IF('ORDENES'!$A524="","",'ORDENES'!$AA524)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IF('ORDENES'!$A525="","",IF('ORDENES'!$AC525="","-",'ORDENES'!$AC525))</f>
        <v/>
      </c>
      <c r="D547" s="3">
        <f>IF('ORDENES'!$A525="","",IF('ORDENES'!$V525="","-",'ORDENES'!$V525))</f>
        <v/>
      </c>
      <c r="E547" s="3">
        <f>IF('ORDENES'!$A525="","",IF('ORDENES'!$U525="","-",'ORDENES'!$U525))</f>
        <v/>
      </c>
      <c r="F547" s="3">
        <f>IF('ORDENES'!$A525="","",IF('ORDENES'!$W525="","-",'ORDENES'!$W525))</f>
        <v/>
      </c>
      <c r="G547" s="3">
        <f>IF('ORDENES'!$A525="","",IF('ORDENES'!$AB525="","-",'ORDENES'!$AB525))</f>
        <v/>
      </c>
      <c r="H547" s="3">
        <f>IF('ORDENES'!$A525="","",IF('ORDENES'!$AN525="","-",'ORDENES'!$AN525))</f>
        <v/>
      </c>
      <c r="I547" s="3">
        <f>IF('ORDENES'!$A525="","",IF('ORDENES'!$D525="","-",'ORDENES'!$D525))</f>
        <v/>
      </c>
      <c r="J547" s="3">
        <f>IF('ORDENES'!$A525="","",IF('ORDENES'!$E525="","-",'ORDENES'!$E525))</f>
        <v/>
      </c>
      <c r="K547" s="12">
        <f>IF('ORDENES'!$A525="","",IF('ORDENES'!$M525="",0,'ORDENES'!$M525))</f>
        <v/>
      </c>
      <c r="L547" s="3">
        <f>IF('ORDENES'!$A525="","",IF('ORDENES'!$N525="","-",'ORDENES'!$N525))</f>
        <v/>
      </c>
      <c r="M547" s="3">
        <f>IF('ORDENES'!$A525="","",'ORDENES'!$AA525)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IF('ORDENES'!$A526="","",IF('ORDENES'!$AC526="","-",'ORDENES'!$AC526))</f>
        <v/>
      </c>
      <c r="D548" s="3">
        <f>IF('ORDENES'!$A526="","",IF('ORDENES'!$V526="","-",'ORDENES'!$V526))</f>
        <v/>
      </c>
      <c r="E548" s="3">
        <f>IF('ORDENES'!$A526="","",IF('ORDENES'!$U526="","-",'ORDENES'!$U526))</f>
        <v/>
      </c>
      <c r="F548" s="3">
        <f>IF('ORDENES'!$A526="","",IF('ORDENES'!$W526="","-",'ORDENES'!$W526))</f>
        <v/>
      </c>
      <c r="G548" s="3">
        <f>IF('ORDENES'!$A526="","",IF('ORDENES'!$AB526="","-",'ORDENES'!$AB526))</f>
        <v/>
      </c>
      <c r="H548" s="3">
        <f>IF('ORDENES'!$A526="","",IF('ORDENES'!$AN526="","-",'ORDENES'!$AN526))</f>
        <v/>
      </c>
      <c r="I548" s="3">
        <f>IF('ORDENES'!$A526="","",IF('ORDENES'!$D526="","-",'ORDENES'!$D526))</f>
        <v/>
      </c>
      <c r="J548" s="3">
        <f>IF('ORDENES'!$A526="","",IF('ORDENES'!$E526="","-",'ORDENES'!$E526))</f>
        <v/>
      </c>
      <c r="K548" s="12">
        <f>IF('ORDENES'!$A526="","",IF('ORDENES'!$M526="",0,'ORDENES'!$M526))</f>
        <v/>
      </c>
      <c r="L548" s="3">
        <f>IF('ORDENES'!$A526="","",IF('ORDENES'!$N526="","-",'ORDENES'!$N526))</f>
        <v/>
      </c>
      <c r="M548" s="3">
        <f>IF('ORDENES'!$A526="","",'ORDENES'!$AA526)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IF('ORDENES'!$A527="","",IF('ORDENES'!$AC527="","-",'ORDENES'!$AC527))</f>
        <v/>
      </c>
      <c r="D549" s="3">
        <f>IF('ORDENES'!$A527="","",IF('ORDENES'!$V527="","-",'ORDENES'!$V527))</f>
        <v/>
      </c>
      <c r="E549" s="3">
        <f>IF('ORDENES'!$A527="","",IF('ORDENES'!$U527="","-",'ORDENES'!$U527))</f>
        <v/>
      </c>
      <c r="F549" s="3">
        <f>IF('ORDENES'!$A527="","",IF('ORDENES'!$W527="","-",'ORDENES'!$W527))</f>
        <v/>
      </c>
      <c r="G549" s="3">
        <f>IF('ORDENES'!$A527="","",IF('ORDENES'!$AB527="","-",'ORDENES'!$AB527))</f>
        <v/>
      </c>
      <c r="H549" s="3">
        <f>IF('ORDENES'!$A527="","",IF('ORDENES'!$AN527="","-",'ORDENES'!$AN527))</f>
        <v/>
      </c>
      <c r="I549" s="3">
        <f>IF('ORDENES'!$A527="","",IF('ORDENES'!$D527="","-",'ORDENES'!$D527))</f>
        <v/>
      </c>
      <c r="J549" s="3">
        <f>IF('ORDENES'!$A527="","",IF('ORDENES'!$E527="","-",'ORDENES'!$E527))</f>
        <v/>
      </c>
      <c r="K549" s="12">
        <f>IF('ORDENES'!$A527="","",IF('ORDENES'!$M527="",0,'ORDENES'!$M527))</f>
        <v/>
      </c>
      <c r="L549" s="3">
        <f>IF('ORDENES'!$A527="","",IF('ORDENES'!$N527="","-",'ORDENES'!$N527))</f>
        <v/>
      </c>
      <c r="M549" s="3">
        <f>IF('ORDENES'!$A527="","",'ORDENES'!$AA527)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IF('ORDENES'!$A528="","",IF('ORDENES'!$AC528="","-",'ORDENES'!$AC528))</f>
        <v/>
      </c>
      <c r="D550" s="3">
        <f>IF('ORDENES'!$A528="","",IF('ORDENES'!$V528="","-",'ORDENES'!$V528))</f>
        <v/>
      </c>
      <c r="E550" s="3">
        <f>IF('ORDENES'!$A528="","",IF('ORDENES'!$U528="","-",'ORDENES'!$U528))</f>
        <v/>
      </c>
      <c r="F550" s="3">
        <f>IF('ORDENES'!$A528="","",IF('ORDENES'!$W528="","-",'ORDENES'!$W528))</f>
        <v/>
      </c>
      <c r="G550" s="3">
        <f>IF('ORDENES'!$A528="","",IF('ORDENES'!$AB528="","-",'ORDENES'!$AB528))</f>
        <v/>
      </c>
      <c r="H550" s="3">
        <f>IF('ORDENES'!$A528="","",IF('ORDENES'!$AN528="","-",'ORDENES'!$AN528))</f>
        <v/>
      </c>
      <c r="I550" s="3">
        <f>IF('ORDENES'!$A528="","",IF('ORDENES'!$D528="","-",'ORDENES'!$D528))</f>
        <v/>
      </c>
      <c r="J550" s="3">
        <f>IF('ORDENES'!$A528="","",IF('ORDENES'!$E528="","-",'ORDENES'!$E528))</f>
        <v/>
      </c>
      <c r="K550" s="12">
        <f>IF('ORDENES'!$A528="","",IF('ORDENES'!$M528="",0,'ORDENES'!$M528))</f>
        <v/>
      </c>
      <c r="L550" s="3">
        <f>IF('ORDENES'!$A528="","",IF('ORDENES'!$N528="","-",'ORDENES'!$N528))</f>
        <v/>
      </c>
      <c r="M550" s="3">
        <f>IF('ORDENES'!$A528="","",'ORDENES'!$AA528)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IF('ORDENES'!$A529="","",IF('ORDENES'!$AC529="","-",'ORDENES'!$AC529))</f>
        <v/>
      </c>
      <c r="D551" s="3">
        <f>IF('ORDENES'!$A529="","",IF('ORDENES'!$V529="","-",'ORDENES'!$V529))</f>
        <v/>
      </c>
      <c r="E551" s="3">
        <f>IF('ORDENES'!$A529="","",IF('ORDENES'!$U529="","-",'ORDENES'!$U529))</f>
        <v/>
      </c>
      <c r="F551" s="3">
        <f>IF('ORDENES'!$A529="","",IF('ORDENES'!$W529="","-",'ORDENES'!$W529))</f>
        <v/>
      </c>
      <c r="G551" s="3">
        <f>IF('ORDENES'!$A529="","",IF('ORDENES'!$AB529="","-",'ORDENES'!$AB529))</f>
        <v/>
      </c>
      <c r="H551" s="3">
        <f>IF('ORDENES'!$A529="","",IF('ORDENES'!$AN529="","-",'ORDENES'!$AN529))</f>
        <v/>
      </c>
      <c r="I551" s="3">
        <f>IF('ORDENES'!$A529="","",IF('ORDENES'!$D529="","-",'ORDENES'!$D529))</f>
        <v/>
      </c>
      <c r="J551" s="3">
        <f>IF('ORDENES'!$A529="","",IF('ORDENES'!$E529="","-",'ORDENES'!$E529))</f>
        <v/>
      </c>
      <c r="K551" s="12">
        <f>IF('ORDENES'!$A529="","",IF('ORDENES'!$M529="",0,'ORDENES'!$M529))</f>
        <v/>
      </c>
      <c r="L551" s="3">
        <f>IF('ORDENES'!$A529="","",IF('ORDENES'!$N529="","-",'ORDENES'!$N529))</f>
        <v/>
      </c>
      <c r="M551" s="3">
        <f>IF('ORDENES'!$A529="","",'ORDENES'!$AA529)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IF('ORDENES'!$A530="","",IF('ORDENES'!$AC530="","-",'ORDENES'!$AC530))</f>
        <v/>
      </c>
      <c r="D552" s="3">
        <f>IF('ORDENES'!$A530="","",IF('ORDENES'!$V530="","-",'ORDENES'!$V530))</f>
        <v/>
      </c>
      <c r="E552" s="3">
        <f>IF('ORDENES'!$A530="","",IF('ORDENES'!$U530="","-",'ORDENES'!$U530))</f>
        <v/>
      </c>
      <c r="F552" s="3">
        <f>IF('ORDENES'!$A530="","",IF('ORDENES'!$W530="","-",'ORDENES'!$W530))</f>
        <v/>
      </c>
      <c r="G552" s="3">
        <f>IF('ORDENES'!$A530="","",IF('ORDENES'!$AB530="","-",'ORDENES'!$AB530))</f>
        <v/>
      </c>
      <c r="H552" s="3">
        <f>IF('ORDENES'!$A530="","",IF('ORDENES'!$AN530="","-",'ORDENES'!$AN530))</f>
        <v/>
      </c>
      <c r="I552" s="3">
        <f>IF('ORDENES'!$A530="","",IF('ORDENES'!$D530="","-",'ORDENES'!$D530))</f>
        <v/>
      </c>
      <c r="J552" s="3">
        <f>IF('ORDENES'!$A530="","",IF('ORDENES'!$E530="","-",'ORDENES'!$E530))</f>
        <v/>
      </c>
      <c r="K552" s="12">
        <f>IF('ORDENES'!$A530="","",IF('ORDENES'!$M530="",0,'ORDENES'!$M530))</f>
        <v/>
      </c>
      <c r="L552" s="3">
        <f>IF('ORDENES'!$A530="","",IF('ORDENES'!$N530="","-",'ORDENES'!$N530))</f>
        <v/>
      </c>
      <c r="M552" s="3">
        <f>IF('ORDENES'!$A530="","",'ORDENES'!$AA530)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IF('ORDENES'!$A531="","",IF('ORDENES'!$AC531="","-",'ORDENES'!$AC531))</f>
        <v/>
      </c>
      <c r="D553" s="3">
        <f>IF('ORDENES'!$A531="","",IF('ORDENES'!$V531="","-",'ORDENES'!$V531))</f>
        <v/>
      </c>
      <c r="E553" s="3">
        <f>IF('ORDENES'!$A531="","",IF('ORDENES'!$U531="","-",'ORDENES'!$U531))</f>
        <v/>
      </c>
      <c r="F553" s="3">
        <f>IF('ORDENES'!$A531="","",IF('ORDENES'!$W531="","-",'ORDENES'!$W531))</f>
        <v/>
      </c>
      <c r="G553" s="3">
        <f>IF('ORDENES'!$A531="","",IF('ORDENES'!$AB531="","-",'ORDENES'!$AB531))</f>
        <v/>
      </c>
      <c r="H553" s="3">
        <f>IF('ORDENES'!$A531="","",IF('ORDENES'!$AN531="","-",'ORDENES'!$AN531))</f>
        <v/>
      </c>
      <c r="I553" s="3">
        <f>IF('ORDENES'!$A531="","",IF('ORDENES'!$D531="","-",'ORDENES'!$D531))</f>
        <v/>
      </c>
      <c r="J553" s="3">
        <f>IF('ORDENES'!$A531="","",IF('ORDENES'!$E531="","-",'ORDENES'!$E531))</f>
        <v/>
      </c>
      <c r="K553" s="12">
        <f>IF('ORDENES'!$A531="","",IF('ORDENES'!$M531="",0,'ORDENES'!$M531))</f>
        <v/>
      </c>
      <c r="L553" s="3">
        <f>IF('ORDENES'!$A531="","",IF('ORDENES'!$N531="","-",'ORDENES'!$N531))</f>
        <v/>
      </c>
      <c r="M553" s="3">
        <f>IF('ORDENES'!$A531="","",'ORDENES'!$AA531)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IF('ORDENES'!$A532="","",IF('ORDENES'!$AC532="","-",'ORDENES'!$AC532))</f>
        <v/>
      </c>
      <c r="D554" s="3">
        <f>IF('ORDENES'!$A532="","",IF('ORDENES'!$V532="","-",'ORDENES'!$V532))</f>
        <v/>
      </c>
      <c r="E554" s="3">
        <f>IF('ORDENES'!$A532="","",IF('ORDENES'!$U532="","-",'ORDENES'!$U532))</f>
        <v/>
      </c>
      <c r="F554" s="3">
        <f>IF('ORDENES'!$A532="","",IF('ORDENES'!$W532="","-",'ORDENES'!$W532))</f>
        <v/>
      </c>
      <c r="G554" s="3">
        <f>IF('ORDENES'!$A532="","",IF('ORDENES'!$AB532="","-",'ORDENES'!$AB532))</f>
        <v/>
      </c>
      <c r="H554" s="3">
        <f>IF('ORDENES'!$A532="","",IF('ORDENES'!$AN532="","-",'ORDENES'!$AN532))</f>
        <v/>
      </c>
      <c r="I554" s="3">
        <f>IF('ORDENES'!$A532="","",IF('ORDENES'!$D532="","-",'ORDENES'!$D532))</f>
        <v/>
      </c>
      <c r="J554" s="3">
        <f>IF('ORDENES'!$A532="","",IF('ORDENES'!$E532="","-",'ORDENES'!$E532))</f>
        <v/>
      </c>
      <c r="K554" s="12">
        <f>IF('ORDENES'!$A532="","",IF('ORDENES'!$M532="",0,'ORDENES'!$M532))</f>
        <v/>
      </c>
      <c r="L554" s="3">
        <f>IF('ORDENES'!$A532="","",IF('ORDENES'!$N532="","-",'ORDENES'!$N532))</f>
        <v/>
      </c>
      <c r="M554" s="3">
        <f>IF('ORDENES'!$A532="","",'ORDENES'!$AA532)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IF('ORDENES'!$A533="","",IF('ORDENES'!$AC533="","-",'ORDENES'!$AC533))</f>
        <v/>
      </c>
      <c r="D555" s="3">
        <f>IF('ORDENES'!$A533="","",IF('ORDENES'!$V533="","-",'ORDENES'!$V533))</f>
        <v/>
      </c>
      <c r="E555" s="3">
        <f>IF('ORDENES'!$A533="","",IF('ORDENES'!$U533="","-",'ORDENES'!$U533))</f>
        <v/>
      </c>
      <c r="F555" s="3">
        <f>IF('ORDENES'!$A533="","",IF('ORDENES'!$W533="","-",'ORDENES'!$W533))</f>
        <v/>
      </c>
      <c r="G555" s="3">
        <f>IF('ORDENES'!$A533="","",IF('ORDENES'!$AB533="","-",'ORDENES'!$AB533))</f>
        <v/>
      </c>
      <c r="H555" s="3">
        <f>IF('ORDENES'!$A533="","",IF('ORDENES'!$AN533="","-",'ORDENES'!$AN533))</f>
        <v/>
      </c>
      <c r="I555" s="3">
        <f>IF('ORDENES'!$A533="","",IF('ORDENES'!$D533="","-",'ORDENES'!$D533))</f>
        <v/>
      </c>
      <c r="J555" s="3">
        <f>IF('ORDENES'!$A533="","",IF('ORDENES'!$E533="","-",'ORDENES'!$E533))</f>
        <v/>
      </c>
      <c r="K555" s="12">
        <f>IF('ORDENES'!$A533="","",IF('ORDENES'!$M533="",0,'ORDENES'!$M533))</f>
        <v/>
      </c>
      <c r="L555" s="3">
        <f>IF('ORDENES'!$A533="","",IF('ORDENES'!$N533="","-",'ORDENES'!$N533))</f>
        <v/>
      </c>
      <c r="M555" s="3">
        <f>IF('ORDENES'!$A533="","",'ORDENES'!$AA533)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IF('ORDENES'!$A534="","",IF('ORDENES'!$AC534="","-",'ORDENES'!$AC534))</f>
        <v/>
      </c>
      <c r="D556" s="3">
        <f>IF('ORDENES'!$A534="","",IF('ORDENES'!$V534="","-",'ORDENES'!$V534))</f>
        <v/>
      </c>
      <c r="E556" s="3">
        <f>IF('ORDENES'!$A534="","",IF('ORDENES'!$U534="","-",'ORDENES'!$U534))</f>
        <v/>
      </c>
      <c r="F556" s="3">
        <f>IF('ORDENES'!$A534="","",IF('ORDENES'!$W534="","-",'ORDENES'!$W534))</f>
        <v/>
      </c>
      <c r="G556" s="3">
        <f>IF('ORDENES'!$A534="","",IF('ORDENES'!$AB534="","-",'ORDENES'!$AB534))</f>
        <v/>
      </c>
      <c r="H556" s="3">
        <f>IF('ORDENES'!$A534="","",IF('ORDENES'!$AN534="","-",'ORDENES'!$AN534))</f>
        <v/>
      </c>
      <c r="I556" s="3">
        <f>IF('ORDENES'!$A534="","",IF('ORDENES'!$D534="","-",'ORDENES'!$D534))</f>
        <v/>
      </c>
      <c r="J556" s="3">
        <f>IF('ORDENES'!$A534="","",IF('ORDENES'!$E534="","-",'ORDENES'!$E534))</f>
        <v/>
      </c>
      <c r="K556" s="12">
        <f>IF('ORDENES'!$A534="","",IF('ORDENES'!$M534="",0,'ORDENES'!$M534))</f>
        <v/>
      </c>
      <c r="L556" s="3">
        <f>IF('ORDENES'!$A534="","",IF('ORDENES'!$N534="","-",'ORDENES'!$N534))</f>
        <v/>
      </c>
      <c r="M556" s="3">
        <f>IF('ORDENES'!$A534="","",'ORDENES'!$AA534)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IF('ORDENES'!$A535="","",IF('ORDENES'!$AC535="","-",'ORDENES'!$AC535))</f>
        <v/>
      </c>
      <c r="D557" s="3">
        <f>IF('ORDENES'!$A535="","",IF('ORDENES'!$V535="","-",'ORDENES'!$V535))</f>
        <v/>
      </c>
      <c r="E557" s="3">
        <f>IF('ORDENES'!$A535="","",IF('ORDENES'!$U535="","-",'ORDENES'!$U535))</f>
        <v/>
      </c>
      <c r="F557" s="3">
        <f>IF('ORDENES'!$A535="","",IF('ORDENES'!$W535="","-",'ORDENES'!$W535))</f>
        <v/>
      </c>
      <c r="G557" s="3">
        <f>IF('ORDENES'!$A535="","",IF('ORDENES'!$AB535="","-",'ORDENES'!$AB535))</f>
        <v/>
      </c>
      <c r="H557" s="3">
        <f>IF('ORDENES'!$A535="","",IF('ORDENES'!$AN535="","-",'ORDENES'!$AN535))</f>
        <v/>
      </c>
      <c r="I557" s="3">
        <f>IF('ORDENES'!$A535="","",IF('ORDENES'!$D535="","-",'ORDENES'!$D535))</f>
        <v/>
      </c>
      <c r="J557" s="3">
        <f>IF('ORDENES'!$A535="","",IF('ORDENES'!$E535="","-",'ORDENES'!$E535))</f>
        <v/>
      </c>
      <c r="K557" s="12">
        <f>IF('ORDENES'!$A535="","",IF('ORDENES'!$M535="",0,'ORDENES'!$M535))</f>
        <v/>
      </c>
      <c r="L557" s="3">
        <f>IF('ORDENES'!$A535="","",IF('ORDENES'!$N535="","-",'ORDENES'!$N535))</f>
        <v/>
      </c>
      <c r="M557" s="3">
        <f>IF('ORDENES'!$A535="","",'ORDENES'!$AA535)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IF('ORDENES'!$A536="","",IF('ORDENES'!$AC536="","-",'ORDENES'!$AC536))</f>
        <v/>
      </c>
      <c r="D558" s="3">
        <f>IF('ORDENES'!$A536="","",IF('ORDENES'!$V536="","-",'ORDENES'!$V536))</f>
        <v/>
      </c>
      <c r="E558" s="3">
        <f>IF('ORDENES'!$A536="","",IF('ORDENES'!$U536="","-",'ORDENES'!$U536))</f>
        <v/>
      </c>
      <c r="F558" s="3">
        <f>IF('ORDENES'!$A536="","",IF('ORDENES'!$W536="","-",'ORDENES'!$W536))</f>
        <v/>
      </c>
      <c r="G558" s="3">
        <f>IF('ORDENES'!$A536="","",IF('ORDENES'!$AB536="","-",'ORDENES'!$AB536))</f>
        <v/>
      </c>
      <c r="H558" s="3">
        <f>IF('ORDENES'!$A536="","",IF('ORDENES'!$AN536="","-",'ORDENES'!$AN536))</f>
        <v/>
      </c>
      <c r="I558" s="3">
        <f>IF('ORDENES'!$A536="","",IF('ORDENES'!$D536="","-",'ORDENES'!$D536))</f>
        <v/>
      </c>
      <c r="J558" s="3">
        <f>IF('ORDENES'!$A536="","",IF('ORDENES'!$E536="","-",'ORDENES'!$E536))</f>
        <v/>
      </c>
      <c r="K558" s="12">
        <f>IF('ORDENES'!$A536="","",IF('ORDENES'!$M536="",0,'ORDENES'!$M536))</f>
        <v/>
      </c>
      <c r="L558" s="3">
        <f>IF('ORDENES'!$A536="","",IF('ORDENES'!$N536="","-",'ORDENES'!$N536))</f>
        <v/>
      </c>
      <c r="M558" s="3">
        <f>IF('ORDENES'!$A536="","",'ORDENES'!$AA536)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IF('ORDENES'!$A537="","",IF('ORDENES'!$AC537="","-",'ORDENES'!$AC537))</f>
        <v/>
      </c>
      <c r="D559" s="3">
        <f>IF('ORDENES'!$A537="","",IF('ORDENES'!$V537="","-",'ORDENES'!$V537))</f>
        <v/>
      </c>
      <c r="E559" s="3">
        <f>IF('ORDENES'!$A537="","",IF('ORDENES'!$U537="","-",'ORDENES'!$U537))</f>
        <v/>
      </c>
      <c r="F559" s="3">
        <f>IF('ORDENES'!$A537="","",IF('ORDENES'!$W537="","-",'ORDENES'!$W537))</f>
        <v/>
      </c>
      <c r="G559" s="3">
        <f>IF('ORDENES'!$A537="","",IF('ORDENES'!$AB537="","-",'ORDENES'!$AB537))</f>
        <v/>
      </c>
      <c r="H559" s="3">
        <f>IF('ORDENES'!$A537="","",IF('ORDENES'!$AN537="","-",'ORDENES'!$AN537))</f>
        <v/>
      </c>
      <c r="I559" s="3">
        <f>IF('ORDENES'!$A537="","",IF('ORDENES'!$D537="","-",'ORDENES'!$D537))</f>
        <v/>
      </c>
      <c r="J559" s="3">
        <f>IF('ORDENES'!$A537="","",IF('ORDENES'!$E537="","-",'ORDENES'!$E537))</f>
        <v/>
      </c>
      <c r="K559" s="12">
        <f>IF('ORDENES'!$A537="","",IF('ORDENES'!$M537="",0,'ORDENES'!$M537))</f>
        <v/>
      </c>
      <c r="L559" s="3">
        <f>IF('ORDENES'!$A537="","",IF('ORDENES'!$N537="","-",'ORDENES'!$N537))</f>
        <v/>
      </c>
      <c r="M559" s="3">
        <f>IF('ORDENES'!$A537="","",'ORDENES'!$AA537)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IF('ORDENES'!$A538="","",IF('ORDENES'!$AC538="","-",'ORDENES'!$AC538))</f>
        <v/>
      </c>
      <c r="D560" s="3">
        <f>IF('ORDENES'!$A538="","",IF('ORDENES'!$V538="","-",'ORDENES'!$V538))</f>
        <v/>
      </c>
      <c r="E560" s="3">
        <f>IF('ORDENES'!$A538="","",IF('ORDENES'!$U538="","-",'ORDENES'!$U538))</f>
        <v/>
      </c>
      <c r="F560" s="3">
        <f>IF('ORDENES'!$A538="","",IF('ORDENES'!$W538="","-",'ORDENES'!$W538))</f>
        <v/>
      </c>
      <c r="G560" s="3">
        <f>IF('ORDENES'!$A538="","",IF('ORDENES'!$AB538="","-",'ORDENES'!$AB538))</f>
        <v/>
      </c>
      <c r="H560" s="3">
        <f>IF('ORDENES'!$A538="","",IF('ORDENES'!$AN538="","-",'ORDENES'!$AN538))</f>
        <v/>
      </c>
      <c r="I560" s="3">
        <f>IF('ORDENES'!$A538="","",IF('ORDENES'!$D538="","-",'ORDENES'!$D538))</f>
        <v/>
      </c>
      <c r="J560" s="3">
        <f>IF('ORDENES'!$A538="","",IF('ORDENES'!$E538="","-",'ORDENES'!$E538))</f>
        <v/>
      </c>
      <c r="K560" s="12">
        <f>IF('ORDENES'!$A538="","",IF('ORDENES'!$M538="",0,'ORDENES'!$M538))</f>
        <v/>
      </c>
      <c r="L560" s="3">
        <f>IF('ORDENES'!$A538="","",IF('ORDENES'!$N538="","-",'ORDENES'!$N538))</f>
        <v/>
      </c>
      <c r="M560" s="3">
        <f>IF('ORDENES'!$A538="","",'ORDENES'!$AA538)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IF('ORDENES'!$A539="","",IF('ORDENES'!$AC539="","-",'ORDENES'!$AC539))</f>
        <v/>
      </c>
      <c r="D561" s="3">
        <f>IF('ORDENES'!$A539="","",IF('ORDENES'!$V539="","-",'ORDENES'!$V539))</f>
        <v/>
      </c>
      <c r="E561" s="3">
        <f>IF('ORDENES'!$A539="","",IF('ORDENES'!$U539="","-",'ORDENES'!$U539))</f>
        <v/>
      </c>
      <c r="F561" s="3">
        <f>IF('ORDENES'!$A539="","",IF('ORDENES'!$W539="","-",'ORDENES'!$W539))</f>
        <v/>
      </c>
      <c r="G561" s="3">
        <f>IF('ORDENES'!$A539="","",IF('ORDENES'!$AB539="","-",'ORDENES'!$AB539))</f>
        <v/>
      </c>
      <c r="H561" s="3">
        <f>IF('ORDENES'!$A539="","",IF('ORDENES'!$AN539="","-",'ORDENES'!$AN539))</f>
        <v/>
      </c>
      <c r="I561" s="3">
        <f>IF('ORDENES'!$A539="","",IF('ORDENES'!$D539="","-",'ORDENES'!$D539))</f>
        <v/>
      </c>
      <c r="J561" s="3">
        <f>IF('ORDENES'!$A539="","",IF('ORDENES'!$E539="","-",'ORDENES'!$E539))</f>
        <v/>
      </c>
      <c r="K561" s="12">
        <f>IF('ORDENES'!$A539="","",IF('ORDENES'!$M539="",0,'ORDENES'!$M539))</f>
        <v/>
      </c>
      <c r="L561" s="3">
        <f>IF('ORDENES'!$A539="","",IF('ORDENES'!$N539="","-",'ORDENES'!$N539))</f>
        <v/>
      </c>
      <c r="M561" s="3">
        <f>IF('ORDENES'!$A539="","",'ORDENES'!$AA539)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IF('ORDENES'!$A540="","",IF('ORDENES'!$AC540="","-",'ORDENES'!$AC540))</f>
        <v/>
      </c>
      <c r="D562" s="3">
        <f>IF('ORDENES'!$A540="","",IF('ORDENES'!$V540="","-",'ORDENES'!$V540))</f>
        <v/>
      </c>
      <c r="E562" s="3">
        <f>IF('ORDENES'!$A540="","",IF('ORDENES'!$U540="","-",'ORDENES'!$U540))</f>
        <v/>
      </c>
      <c r="F562" s="3">
        <f>IF('ORDENES'!$A540="","",IF('ORDENES'!$W540="","-",'ORDENES'!$W540))</f>
        <v/>
      </c>
      <c r="G562" s="3">
        <f>IF('ORDENES'!$A540="","",IF('ORDENES'!$AB540="","-",'ORDENES'!$AB540))</f>
        <v/>
      </c>
      <c r="H562" s="3">
        <f>IF('ORDENES'!$A540="","",IF('ORDENES'!$AN540="","-",'ORDENES'!$AN540))</f>
        <v/>
      </c>
      <c r="I562" s="3">
        <f>IF('ORDENES'!$A540="","",IF('ORDENES'!$D540="","-",'ORDENES'!$D540))</f>
        <v/>
      </c>
      <c r="J562" s="3">
        <f>IF('ORDENES'!$A540="","",IF('ORDENES'!$E540="","-",'ORDENES'!$E540))</f>
        <v/>
      </c>
      <c r="K562" s="12">
        <f>IF('ORDENES'!$A540="","",IF('ORDENES'!$M540="",0,'ORDENES'!$M540))</f>
        <v/>
      </c>
      <c r="L562" s="3">
        <f>IF('ORDENES'!$A540="","",IF('ORDENES'!$N540="","-",'ORDENES'!$N540))</f>
        <v/>
      </c>
      <c r="M562" s="3">
        <f>IF('ORDENES'!$A540="","",'ORDENES'!$AA540)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IF('ORDENES'!$A541="","",IF('ORDENES'!$AC541="","-",'ORDENES'!$AC541))</f>
        <v/>
      </c>
      <c r="D563" s="3">
        <f>IF('ORDENES'!$A541="","",IF('ORDENES'!$V541="","-",'ORDENES'!$V541))</f>
        <v/>
      </c>
      <c r="E563" s="3">
        <f>IF('ORDENES'!$A541="","",IF('ORDENES'!$U541="","-",'ORDENES'!$U541))</f>
        <v/>
      </c>
      <c r="F563" s="3">
        <f>IF('ORDENES'!$A541="","",IF('ORDENES'!$W541="","-",'ORDENES'!$W541))</f>
        <v/>
      </c>
      <c r="G563" s="3">
        <f>IF('ORDENES'!$A541="","",IF('ORDENES'!$AB541="","-",'ORDENES'!$AB541))</f>
        <v/>
      </c>
      <c r="H563" s="3">
        <f>IF('ORDENES'!$A541="","",IF('ORDENES'!$AN541="","-",'ORDENES'!$AN541))</f>
        <v/>
      </c>
      <c r="I563" s="3">
        <f>IF('ORDENES'!$A541="","",IF('ORDENES'!$D541="","-",'ORDENES'!$D541))</f>
        <v/>
      </c>
      <c r="J563" s="3">
        <f>IF('ORDENES'!$A541="","",IF('ORDENES'!$E541="","-",'ORDENES'!$E541))</f>
        <v/>
      </c>
      <c r="K563" s="12">
        <f>IF('ORDENES'!$A541="","",IF('ORDENES'!$M541="",0,'ORDENES'!$M541))</f>
        <v/>
      </c>
      <c r="L563" s="3">
        <f>IF('ORDENES'!$A541="","",IF('ORDENES'!$N541="","-",'ORDENES'!$N541))</f>
        <v/>
      </c>
      <c r="M563" s="3">
        <f>IF('ORDENES'!$A541="","",'ORDENES'!$AA541)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IF('ORDENES'!$A542="","",IF('ORDENES'!$AC542="","-",'ORDENES'!$AC542))</f>
        <v/>
      </c>
      <c r="D564" s="3">
        <f>IF('ORDENES'!$A542="","",IF('ORDENES'!$V542="","-",'ORDENES'!$V542))</f>
        <v/>
      </c>
      <c r="E564" s="3">
        <f>IF('ORDENES'!$A542="","",IF('ORDENES'!$U542="","-",'ORDENES'!$U542))</f>
        <v/>
      </c>
      <c r="F564" s="3">
        <f>IF('ORDENES'!$A542="","",IF('ORDENES'!$W542="","-",'ORDENES'!$W542))</f>
        <v/>
      </c>
      <c r="G564" s="3">
        <f>IF('ORDENES'!$A542="","",IF('ORDENES'!$AB542="","-",'ORDENES'!$AB542))</f>
        <v/>
      </c>
      <c r="H564" s="3">
        <f>IF('ORDENES'!$A542="","",IF('ORDENES'!$AN542="","-",'ORDENES'!$AN542))</f>
        <v/>
      </c>
      <c r="I564" s="3">
        <f>IF('ORDENES'!$A542="","",IF('ORDENES'!$D542="","-",'ORDENES'!$D542))</f>
        <v/>
      </c>
      <c r="J564" s="3">
        <f>IF('ORDENES'!$A542="","",IF('ORDENES'!$E542="","-",'ORDENES'!$E542))</f>
        <v/>
      </c>
      <c r="K564" s="12">
        <f>IF('ORDENES'!$A542="","",IF('ORDENES'!$M542="",0,'ORDENES'!$M542))</f>
        <v/>
      </c>
      <c r="L564" s="3">
        <f>IF('ORDENES'!$A542="","",IF('ORDENES'!$N542="","-",'ORDENES'!$N542))</f>
        <v/>
      </c>
      <c r="M564" s="3">
        <f>IF('ORDENES'!$A542="","",'ORDENES'!$AA542)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IF('ORDENES'!$A543="","",IF('ORDENES'!$AC543="","-",'ORDENES'!$AC543))</f>
        <v/>
      </c>
      <c r="D565" s="3">
        <f>IF('ORDENES'!$A543="","",IF('ORDENES'!$V543="","-",'ORDENES'!$V543))</f>
        <v/>
      </c>
      <c r="E565" s="3">
        <f>IF('ORDENES'!$A543="","",IF('ORDENES'!$U543="","-",'ORDENES'!$U543))</f>
        <v/>
      </c>
      <c r="F565" s="3">
        <f>IF('ORDENES'!$A543="","",IF('ORDENES'!$W543="","-",'ORDENES'!$W543))</f>
        <v/>
      </c>
      <c r="G565" s="3">
        <f>IF('ORDENES'!$A543="","",IF('ORDENES'!$AB543="","-",'ORDENES'!$AB543))</f>
        <v/>
      </c>
      <c r="H565" s="3">
        <f>IF('ORDENES'!$A543="","",IF('ORDENES'!$AN543="","-",'ORDENES'!$AN543))</f>
        <v/>
      </c>
      <c r="I565" s="3">
        <f>IF('ORDENES'!$A543="","",IF('ORDENES'!$D543="","-",'ORDENES'!$D543))</f>
        <v/>
      </c>
      <c r="J565" s="3">
        <f>IF('ORDENES'!$A543="","",IF('ORDENES'!$E543="","-",'ORDENES'!$E543))</f>
        <v/>
      </c>
      <c r="K565" s="12">
        <f>IF('ORDENES'!$A543="","",IF('ORDENES'!$M543="",0,'ORDENES'!$M543))</f>
        <v/>
      </c>
      <c r="L565" s="3">
        <f>IF('ORDENES'!$A543="","",IF('ORDENES'!$N543="","-",'ORDENES'!$N543))</f>
        <v/>
      </c>
      <c r="M565" s="3">
        <f>IF('ORDENES'!$A543="","",'ORDENES'!$AA543)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IF('ORDENES'!$A544="","",IF('ORDENES'!$AC544="","-",'ORDENES'!$AC544))</f>
        <v/>
      </c>
      <c r="D566" s="3">
        <f>IF('ORDENES'!$A544="","",IF('ORDENES'!$V544="","-",'ORDENES'!$V544))</f>
        <v/>
      </c>
      <c r="E566" s="3">
        <f>IF('ORDENES'!$A544="","",IF('ORDENES'!$U544="","-",'ORDENES'!$U544))</f>
        <v/>
      </c>
      <c r="F566" s="3">
        <f>IF('ORDENES'!$A544="","",IF('ORDENES'!$W544="","-",'ORDENES'!$W544))</f>
        <v/>
      </c>
      <c r="G566" s="3">
        <f>IF('ORDENES'!$A544="","",IF('ORDENES'!$AB544="","-",'ORDENES'!$AB544))</f>
        <v/>
      </c>
      <c r="H566" s="3">
        <f>IF('ORDENES'!$A544="","",IF('ORDENES'!$AN544="","-",'ORDENES'!$AN544))</f>
        <v/>
      </c>
      <c r="I566" s="3">
        <f>IF('ORDENES'!$A544="","",IF('ORDENES'!$D544="","-",'ORDENES'!$D544))</f>
        <v/>
      </c>
      <c r="J566" s="3">
        <f>IF('ORDENES'!$A544="","",IF('ORDENES'!$E544="","-",'ORDENES'!$E544))</f>
        <v/>
      </c>
      <c r="K566" s="12">
        <f>IF('ORDENES'!$A544="","",IF('ORDENES'!$M544="",0,'ORDENES'!$M544))</f>
        <v/>
      </c>
      <c r="L566" s="3">
        <f>IF('ORDENES'!$A544="","",IF('ORDENES'!$N544="","-",'ORDENES'!$N544))</f>
        <v/>
      </c>
      <c r="M566" s="3">
        <f>IF('ORDENES'!$A544="","",'ORDENES'!$AA544)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IF('ORDENES'!$A545="","",IF('ORDENES'!$AC545="","-",'ORDENES'!$AC545))</f>
        <v/>
      </c>
      <c r="D567" s="3">
        <f>IF('ORDENES'!$A545="","",IF('ORDENES'!$V545="","-",'ORDENES'!$V545))</f>
        <v/>
      </c>
      <c r="E567" s="3">
        <f>IF('ORDENES'!$A545="","",IF('ORDENES'!$U545="","-",'ORDENES'!$U545))</f>
        <v/>
      </c>
      <c r="F567" s="3">
        <f>IF('ORDENES'!$A545="","",IF('ORDENES'!$W545="","-",'ORDENES'!$W545))</f>
        <v/>
      </c>
      <c r="G567" s="3">
        <f>IF('ORDENES'!$A545="","",IF('ORDENES'!$AB545="","-",'ORDENES'!$AB545))</f>
        <v/>
      </c>
      <c r="H567" s="3">
        <f>IF('ORDENES'!$A545="","",IF('ORDENES'!$AN545="","-",'ORDENES'!$AN545))</f>
        <v/>
      </c>
      <c r="I567" s="3">
        <f>IF('ORDENES'!$A545="","",IF('ORDENES'!$D545="","-",'ORDENES'!$D545))</f>
        <v/>
      </c>
      <c r="J567" s="3">
        <f>IF('ORDENES'!$A545="","",IF('ORDENES'!$E545="","-",'ORDENES'!$E545))</f>
        <v/>
      </c>
      <c r="K567" s="12">
        <f>IF('ORDENES'!$A545="","",IF('ORDENES'!$M545="",0,'ORDENES'!$M545))</f>
        <v/>
      </c>
      <c r="L567" s="3">
        <f>IF('ORDENES'!$A545="","",IF('ORDENES'!$N545="","-",'ORDENES'!$N545))</f>
        <v/>
      </c>
      <c r="M567" s="3">
        <f>IF('ORDENES'!$A545="","",'ORDENES'!$AA545)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IF('ORDENES'!$A546="","",IF('ORDENES'!$AC546="","-",'ORDENES'!$AC546))</f>
        <v/>
      </c>
      <c r="D568" s="3">
        <f>IF('ORDENES'!$A546="","",IF('ORDENES'!$V546="","-",'ORDENES'!$V546))</f>
        <v/>
      </c>
      <c r="E568" s="3">
        <f>IF('ORDENES'!$A546="","",IF('ORDENES'!$U546="","-",'ORDENES'!$U546))</f>
        <v/>
      </c>
      <c r="F568" s="3">
        <f>IF('ORDENES'!$A546="","",IF('ORDENES'!$W546="","-",'ORDENES'!$W546))</f>
        <v/>
      </c>
      <c r="G568" s="3">
        <f>IF('ORDENES'!$A546="","",IF('ORDENES'!$AB546="","-",'ORDENES'!$AB546))</f>
        <v/>
      </c>
      <c r="H568" s="3">
        <f>IF('ORDENES'!$A546="","",IF('ORDENES'!$AN546="","-",'ORDENES'!$AN546))</f>
        <v/>
      </c>
      <c r="I568" s="3">
        <f>IF('ORDENES'!$A546="","",IF('ORDENES'!$D546="","-",'ORDENES'!$D546))</f>
        <v/>
      </c>
      <c r="J568" s="3">
        <f>IF('ORDENES'!$A546="","",IF('ORDENES'!$E546="","-",'ORDENES'!$E546))</f>
        <v/>
      </c>
      <c r="K568" s="12">
        <f>IF('ORDENES'!$A546="","",IF('ORDENES'!$M546="",0,'ORDENES'!$M546))</f>
        <v/>
      </c>
      <c r="L568" s="3">
        <f>IF('ORDENES'!$A546="","",IF('ORDENES'!$N546="","-",'ORDENES'!$N546))</f>
        <v/>
      </c>
      <c r="M568" s="3">
        <f>IF('ORDENES'!$A546="","",'ORDENES'!$AA546)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IF('ORDENES'!$A547="","",IF('ORDENES'!$AC547="","-",'ORDENES'!$AC547))</f>
        <v/>
      </c>
      <c r="D569" s="3">
        <f>IF('ORDENES'!$A547="","",IF('ORDENES'!$V547="","-",'ORDENES'!$V547))</f>
        <v/>
      </c>
      <c r="E569" s="3">
        <f>IF('ORDENES'!$A547="","",IF('ORDENES'!$U547="","-",'ORDENES'!$U547))</f>
        <v/>
      </c>
      <c r="F569" s="3">
        <f>IF('ORDENES'!$A547="","",IF('ORDENES'!$W547="","-",'ORDENES'!$W547))</f>
        <v/>
      </c>
      <c r="G569" s="3">
        <f>IF('ORDENES'!$A547="","",IF('ORDENES'!$AB547="","-",'ORDENES'!$AB547))</f>
        <v/>
      </c>
      <c r="H569" s="3">
        <f>IF('ORDENES'!$A547="","",IF('ORDENES'!$AN547="","-",'ORDENES'!$AN547))</f>
        <v/>
      </c>
      <c r="I569" s="3">
        <f>IF('ORDENES'!$A547="","",IF('ORDENES'!$D547="","-",'ORDENES'!$D547))</f>
        <v/>
      </c>
      <c r="J569" s="3">
        <f>IF('ORDENES'!$A547="","",IF('ORDENES'!$E547="","-",'ORDENES'!$E547))</f>
        <v/>
      </c>
      <c r="K569" s="12">
        <f>IF('ORDENES'!$A547="","",IF('ORDENES'!$M547="",0,'ORDENES'!$M547))</f>
        <v/>
      </c>
      <c r="L569" s="3">
        <f>IF('ORDENES'!$A547="","",IF('ORDENES'!$N547="","-",'ORDENES'!$N547))</f>
        <v/>
      </c>
      <c r="M569" s="3">
        <f>IF('ORDENES'!$A547="","",'ORDENES'!$AA547)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IF('ORDENES'!$A548="","",IF('ORDENES'!$AC548="","-",'ORDENES'!$AC548))</f>
        <v/>
      </c>
      <c r="D570" s="3">
        <f>IF('ORDENES'!$A548="","",IF('ORDENES'!$V548="","-",'ORDENES'!$V548))</f>
        <v/>
      </c>
      <c r="E570" s="3">
        <f>IF('ORDENES'!$A548="","",IF('ORDENES'!$U548="","-",'ORDENES'!$U548))</f>
        <v/>
      </c>
      <c r="F570" s="3">
        <f>IF('ORDENES'!$A548="","",IF('ORDENES'!$W548="","-",'ORDENES'!$W548))</f>
        <v/>
      </c>
      <c r="G570" s="3">
        <f>IF('ORDENES'!$A548="","",IF('ORDENES'!$AB548="","-",'ORDENES'!$AB548))</f>
        <v/>
      </c>
      <c r="H570" s="3">
        <f>IF('ORDENES'!$A548="","",IF('ORDENES'!$AN548="","-",'ORDENES'!$AN548))</f>
        <v/>
      </c>
      <c r="I570" s="3">
        <f>IF('ORDENES'!$A548="","",IF('ORDENES'!$D548="","-",'ORDENES'!$D548))</f>
        <v/>
      </c>
      <c r="J570" s="3">
        <f>IF('ORDENES'!$A548="","",IF('ORDENES'!$E548="","-",'ORDENES'!$E548))</f>
        <v/>
      </c>
      <c r="K570" s="12">
        <f>IF('ORDENES'!$A548="","",IF('ORDENES'!$M548="",0,'ORDENES'!$M548))</f>
        <v/>
      </c>
      <c r="L570" s="3">
        <f>IF('ORDENES'!$A548="","",IF('ORDENES'!$N548="","-",'ORDENES'!$N548))</f>
        <v/>
      </c>
      <c r="M570" s="3">
        <f>IF('ORDENES'!$A548="","",'ORDENES'!$AA548)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IF('ORDENES'!$A549="","",IF('ORDENES'!$AC549="","-",'ORDENES'!$AC549))</f>
        <v/>
      </c>
      <c r="D571" s="3">
        <f>IF('ORDENES'!$A549="","",IF('ORDENES'!$V549="","-",'ORDENES'!$V549))</f>
        <v/>
      </c>
      <c r="E571" s="3">
        <f>IF('ORDENES'!$A549="","",IF('ORDENES'!$U549="","-",'ORDENES'!$U549))</f>
        <v/>
      </c>
      <c r="F571" s="3">
        <f>IF('ORDENES'!$A549="","",IF('ORDENES'!$W549="","-",'ORDENES'!$W549))</f>
        <v/>
      </c>
      <c r="G571" s="3">
        <f>IF('ORDENES'!$A549="","",IF('ORDENES'!$AB549="","-",'ORDENES'!$AB549))</f>
        <v/>
      </c>
      <c r="H571" s="3">
        <f>IF('ORDENES'!$A549="","",IF('ORDENES'!$AN549="","-",'ORDENES'!$AN549))</f>
        <v/>
      </c>
      <c r="I571" s="3">
        <f>IF('ORDENES'!$A549="","",IF('ORDENES'!$D549="","-",'ORDENES'!$D549))</f>
        <v/>
      </c>
      <c r="J571" s="3">
        <f>IF('ORDENES'!$A549="","",IF('ORDENES'!$E549="","-",'ORDENES'!$E549))</f>
        <v/>
      </c>
      <c r="K571" s="12">
        <f>IF('ORDENES'!$A549="","",IF('ORDENES'!$M549="",0,'ORDENES'!$M549))</f>
        <v/>
      </c>
      <c r="L571" s="3">
        <f>IF('ORDENES'!$A549="","",IF('ORDENES'!$N549="","-",'ORDENES'!$N549))</f>
        <v/>
      </c>
      <c r="M571" s="3">
        <f>IF('ORDENES'!$A549="","",'ORDENES'!$AA549)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IF('ORDENES'!$A550="","",IF('ORDENES'!$AC550="","-",'ORDENES'!$AC550))</f>
        <v/>
      </c>
      <c r="D572" s="3">
        <f>IF('ORDENES'!$A550="","",IF('ORDENES'!$V550="","-",'ORDENES'!$V550))</f>
        <v/>
      </c>
      <c r="E572" s="3">
        <f>IF('ORDENES'!$A550="","",IF('ORDENES'!$U550="","-",'ORDENES'!$U550))</f>
        <v/>
      </c>
      <c r="F572" s="3">
        <f>IF('ORDENES'!$A550="","",IF('ORDENES'!$W550="","-",'ORDENES'!$W550))</f>
        <v/>
      </c>
      <c r="G572" s="3">
        <f>IF('ORDENES'!$A550="","",IF('ORDENES'!$AB550="","-",'ORDENES'!$AB550))</f>
        <v/>
      </c>
      <c r="H572" s="3">
        <f>IF('ORDENES'!$A550="","",IF('ORDENES'!$AN550="","-",'ORDENES'!$AN550))</f>
        <v/>
      </c>
      <c r="I572" s="3">
        <f>IF('ORDENES'!$A550="","",IF('ORDENES'!$D550="","-",'ORDENES'!$D550))</f>
        <v/>
      </c>
      <c r="J572" s="3">
        <f>IF('ORDENES'!$A550="","",IF('ORDENES'!$E550="","-",'ORDENES'!$E550))</f>
        <v/>
      </c>
      <c r="K572" s="12">
        <f>IF('ORDENES'!$A550="","",IF('ORDENES'!$M550="",0,'ORDENES'!$M550))</f>
        <v/>
      </c>
      <c r="L572" s="3">
        <f>IF('ORDENES'!$A550="","",IF('ORDENES'!$N550="","-",'ORDENES'!$N550))</f>
        <v/>
      </c>
      <c r="M572" s="3">
        <f>IF('ORDENES'!$A550="","",'ORDENES'!$AA550)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IF('ORDENES'!$A551="","",IF('ORDENES'!$AC551="","-",'ORDENES'!$AC551))</f>
        <v/>
      </c>
      <c r="D573" s="3">
        <f>IF('ORDENES'!$A551="","",IF('ORDENES'!$V551="","-",'ORDENES'!$V551))</f>
        <v/>
      </c>
      <c r="E573" s="3">
        <f>IF('ORDENES'!$A551="","",IF('ORDENES'!$U551="","-",'ORDENES'!$U551))</f>
        <v/>
      </c>
      <c r="F573" s="3">
        <f>IF('ORDENES'!$A551="","",IF('ORDENES'!$W551="","-",'ORDENES'!$W551))</f>
        <v/>
      </c>
      <c r="G573" s="3">
        <f>IF('ORDENES'!$A551="","",IF('ORDENES'!$AB551="","-",'ORDENES'!$AB551))</f>
        <v/>
      </c>
      <c r="H573" s="3">
        <f>IF('ORDENES'!$A551="","",IF('ORDENES'!$AN551="","-",'ORDENES'!$AN551))</f>
        <v/>
      </c>
      <c r="I573" s="3">
        <f>IF('ORDENES'!$A551="","",IF('ORDENES'!$D551="","-",'ORDENES'!$D551))</f>
        <v/>
      </c>
      <c r="J573" s="3">
        <f>IF('ORDENES'!$A551="","",IF('ORDENES'!$E551="","-",'ORDENES'!$E551))</f>
        <v/>
      </c>
      <c r="K573" s="12">
        <f>IF('ORDENES'!$A551="","",IF('ORDENES'!$M551="",0,'ORDENES'!$M551))</f>
        <v/>
      </c>
      <c r="L573" s="3">
        <f>IF('ORDENES'!$A551="","",IF('ORDENES'!$N551="","-",'ORDENES'!$N551))</f>
        <v/>
      </c>
      <c r="M573" s="3">
        <f>IF('ORDENES'!$A551="","",'ORDENES'!$AA551)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IF('ORDENES'!$A552="","",IF('ORDENES'!$AC552="","-",'ORDENES'!$AC552))</f>
        <v/>
      </c>
      <c r="D574" s="3">
        <f>IF('ORDENES'!$A552="","",IF('ORDENES'!$V552="","-",'ORDENES'!$V552))</f>
        <v/>
      </c>
      <c r="E574" s="3">
        <f>IF('ORDENES'!$A552="","",IF('ORDENES'!$U552="","-",'ORDENES'!$U552))</f>
        <v/>
      </c>
      <c r="F574" s="3">
        <f>IF('ORDENES'!$A552="","",IF('ORDENES'!$W552="","-",'ORDENES'!$W552))</f>
        <v/>
      </c>
      <c r="G574" s="3">
        <f>IF('ORDENES'!$A552="","",IF('ORDENES'!$AB552="","-",'ORDENES'!$AB552))</f>
        <v/>
      </c>
      <c r="H574" s="3">
        <f>IF('ORDENES'!$A552="","",IF('ORDENES'!$AN552="","-",'ORDENES'!$AN552))</f>
        <v/>
      </c>
      <c r="I574" s="3">
        <f>IF('ORDENES'!$A552="","",IF('ORDENES'!$D552="","-",'ORDENES'!$D552))</f>
        <v/>
      </c>
      <c r="J574" s="3">
        <f>IF('ORDENES'!$A552="","",IF('ORDENES'!$E552="","-",'ORDENES'!$E552))</f>
        <v/>
      </c>
      <c r="K574" s="12">
        <f>IF('ORDENES'!$A552="","",IF('ORDENES'!$M552="",0,'ORDENES'!$M552))</f>
        <v/>
      </c>
      <c r="L574" s="3">
        <f>IF('ORDENES'!$A552="","",IF('ORDENES'!$N552="","-",'ORDENES'!$N552))</f>
        <v/>
      </c>
      <c r="M574" s="3">
        <f>IF('ORDENES'!$A552="","",'ORDENES'!$AA552)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IF('ORDENES'!$A553="","",IF('ORDENES'!$AC553="","-",'ORDENES'!$AC553))</f>
        <v/>
      </c>
      <c r="D575" s="3">
        <f>IF('ORDENES'!$A553="","",IF('ORDENES'!$V553="","-",'ORDENES'!$V553))</f>
        <v/>
      </c>
      <c r="E575" s="3">
        <f>IF('ORDENES'!$A553="","",IF('ORDENES'!$U553="","-",'ORDENES'!$U553))</f>
        <v/>
      </c>
      <c r="F575" s="3">
        <f>IF('ORDENES'!$A553="","",IF('ORDENES'!$W553="","-",'ORDENES'!$W553))</f>
        <v/>
      </c>
      <c r="G575" s="3">
        <f>IF('ORDENES'!$A553="","",IF('ORDENES'!$AB553="","-",'ORDENES'!$AB553))</f>
        <v/>
      </c>
      <c r="H575" s="3">
        <f>IF('ORDENES'!$A553="","",IF('ORDENES'!$AN553="","-",'ORDENES'!$AN553))</f>
        <v/>
      </c>
      <c r="I575" s="3">
        <f>IF('ORDENES'!$A553="","",IF('ORDENES'!$D553="","-",'ORDENES'!$D553))</f>
        <v/>
      </c>
      <c r="J575" s="3">
        <f>IF('ORDENES'!$A553="","",IF('ORDENES'!$E553="","-",'ORDENES'!$E553))</f>
        <v/>
      </c>
      <c r="K575" s="12">
        <f>IF('ORDENES'!$A553="","",IF('ORDENES'!$M553="",0,'ORDENES'!$M553))</f>
        <v/>
      </c>
      <c r="L575" s="3">
        <f>IF('ORDENES'!$A553="","",IF('ORDENES'!$N553="","-",'ORDENES'!$N553))</f>
        <v/>
      </c>
      <c r="M575" s="3">
        <f>IF('ORDENES'!$A553="","",'ORDENES'!$AA553)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IF('ORDENES'!$A554="","",IF('ORDENES'!$AC554="","-",'ORDENES'!$AC554))</f>
        <v/>
      </c>
      <c r="D576" s="3">
        <f>IF('ORDENES'!$A554="","",IF('ORDENES'!$V554="","-",'ORDENES'!$V554))</f>
        <v/>
      </c>
      <c r="E576" s="3">
        <f>IF('ORDENES'!$A554="","",IF('ORDENES'!$U554="","-",'ORDENES'!$U554))</f>
        <v/>
      </c>
      <c r="F576" s="3">
        <f>IF('ORDENES'!$A554="","",IF('ORDENES'!$W554="","-",'ORDENES'!$W554))</f>
        <v/>
      </c>
      <c r="G576" s="3">
        <f>IF('ORDENES'!$A554="","",IF('ORDENES'!$AB554="","-",'ORDENES'!$AB554))</f>
        <v/>
      </c>
      <c r="H576" s="3">
        <f>IF('ORDENES'!$A554="","",IF('ORDENES'!$AN554="","-",'ORDENES'!$AN554))</f>
        <v/>
      </c>
      <c r="I576" s="3">
        <f>IF('ORDENES'!$A554="","",IF('ORDENES'!$D554="","-",'ORDENES'!$D554))</f>
        <v/>
      </c>
      <c r="J576" s="3">
        <f>IF('ORDENES'!$A554="","",IF('ORDENES'!$E554="","-",'ORDENES'!$E554))</f>
        <v/>
      </c>
      <c r="K576" s="12">
        <f>IF('ORDENES'!$A554="","",IF('ORDENES'!$M554="",0,'ORDENES'!$M554))</f>
        <v/>
      </c>
      <c r="L576" s="3">
        <f>IF('ORDENES'!$A554="","",IF('ORDENES'!$N554="","-",'ORDENES'!$N554))</f>
        <v/>
      </c>
      <c r="M576" s="3">
        <f>IF('ORDENES'!$A554="","",'ORDENES'!$AA554)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IF('ORDENES'!$A555="","",IF('ORDENES'!$AC555="","-",'ORDENES'!$AC555))</f>
        <v/>
      </c>
      <c r="D577" s="3">
        <f>IF('ORDENES'!$A555="","",IF('ORDENES'!$V555="","-",'ORDENES'!$V555))</f>
        <v/>
      </c>
      <c r="E577" s="3">
        <f>IF('ORDENES'!$A555="","",IF('ORDENES'!$U555="","-",'ORDENES'!$U555))</f>
        <v/>
      </c>
      <c r="F577" s="3">
        <f>IF('ORDENES'!$A555="","",IF('ORDENES'!$W555="","-",'ORDENES'!$W555))</f>
        <v/>
      </c>
      <c r="G577" s="3">
        <f>IF('ORDENES'!$A555="","",IF('ORDENES'!$AB555="","-",'ORDENES'!$AB555))</f>
        <v/>
      </c>
      <c r="H577" s="3">
        <f>IF('ORDENES'!$A555="","",IF('ORDENES'!$AN555="","-",'ORDENES'!$AN555))</f>
        <v/>
      </c>
      <c r="I577" s="3">
        <f>IF('ORDENES'!$A555="","",IF('ORDENES'!$D555="","-",'ORDENES'!$D555))</f>
        <v/>
      </c>
      <c r="J577" s="3">
        <f>IF('ORDENES'!$A555="","",IF('ORDENES'!$E555="","-",'ORDENES'!$E555))</f>
        <v/>
      </c>
      <c r="K577" s="12">
        <f>IF('ORDENES'!$A555="","",IF('ORDENES'!$M555="",0,'ORDENES'!$M555))</f>
        <v/>
      </c>
      <c r="L577" s="3">
        <f>IF('ORDENES'!$A555="","",IF('ORDENES'!$N555="","-",'ORDENES'!$N555))</f>
        <v/>
      </c>
      <c r="M577" s="3">
        <f>IF('ORDENES'!$A555="","",'ORDENES'!$AA555)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IF('ORDENES'!$A556="","",IF('ORDENES'!$AC556="","-",'ORDENES'!$AC556))</f>
        <v/>
      </c>
      <c r="D578" s="3">
        <f>IF('ORDENES'!$A556="","",IF('ORDENES'!$V556="","-",'ORDENES'!$V556))</f>
        <v/>
      </c>
      <c r="E578" s="3">
        <f>IF('ORDENES'!$A556="","",IF('ORDENES'!$U556="","-",'ORDENES'!$U556))</f>
        <v/>
      </c>
      <c r="F578" s="3">
        <f>IF('ORDENES'!$A556="","",IF('ORDENES'!$W556="","-",'ORDENES'!$W556))</f>
        <v/>
      </c>
      <c r="G578" s="3">
        <f>IF('ORDENES'!$A556="","",IF('ORDENES'!$AB556="","-",'ORDENES'!$AB556))</f>
        <v/>
      </c>
      <c r="H578" s="3">
        <f>IF('ORDENES'!$A556="","",IF('ORDENES'!$AN556="","-",'ORDENES'!$AN556))</f>
        <v/>
      </c>
      <c r="I578" s="3">
        <f>IF('ORDENES'!$A556="","",IF('ORDENES'!$D556="","-",'ORDENES'!$D556))</f>
        <v/>
      </c>
      <c r="J578" s="3">
        <f>IF('ORDENES'!$A556="","",IF('ORDENES'!$E556="","-",'ORDENES'!$E556))</f>
        <v/>
      </c>
      <c r="K578" s="12">
        <f>IF('ORDENES'!$A556="","",IF('ORDENES'!$M556="",0,'ORDENES'!$M556))</f>
        <v/>
      </c>
      <c r="L578" s="3">
        <f>IF('ORDENES'!$A556="","",IF('ORDENES'!$N556="","-",'ORDENES'!$N556))</f>
        <v/>
      </c>
      <c r="M578" s="3">
        <f>IF('ORDENES'!$A556="","",'ORDENES'!$AA556)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IF('ORDENES'!$A557="","",IF('ORDENES'!$AC557="","-",'ORDENES'!$AC557))</f>
        <v/>
      </c>
      <c r="D579" s="3">
        <f>IF('ORDENES'!$A557="","",IF('ORDENES'!$V557="","-",'ORDENES'!$V557))</f>
        <v/>
      </c>
      <c r="E579" s="3">
        <f>IF('ORDENES'!$A557="","",IF('ORDENES'!$U557="","-",'ORDENES'!$U557))</f>
        <v/>
      </c>
      <c r="F579" s="3">
        <f>IF('ORDENES'!$A557="","",IF('ORDENES'!$W557="","-",'ORDENES'!$W557))</f>
        <v/>
      </c>
      <c r="G579" s="3">
        <f>IF('ORDENES'!$A557="","",IF('ORDENES'!$AB557="","-",'ORDENES'!$AB557))</f>
        <v/>
      </c>
      <c r="H579" s="3">
        <f>IF('ORDENES'!$A557="","",IF('ORDENES'!$AN557="","-",'ORDENES'!$AN557))</f>
        <v/>
      </c>
      <c r="I579" s="3">
        <f>IF('ORDENES'!$A557="","",IF('ORDENES'!$D557="","-",'ORDENES'!$D557))</f>
        <v/>
      </c>
      <c r="J579" s="3">
        <f>IF('ORDENES'!$A557="","",IF('ORDENES'!$E557="","-",'ORDENES'!$E557))</f>
        <v/>
      </c>
      <c r="K579" s="12">
        <f>IF('ORDENES'!$A557="","",IF('ORDENES'!$M557="",0,'ORDENES'!$M557))</f>
        <v/>
      </c>
      <c r="L579" s="3">
        <f>IF('ORDENES'!$A557="","",IF('ORDENES'!$N557="","-",'ORDENES'!$N557))</f>
        <v/>
      </c>
      <c r="M579" s="3">
        <f>IF('ORDENES'!$A557="","",'ORDENES'!$AA557)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IF('ORDENES'!$A558="","",IF('ORDENES'!$AC558="","-",'ORDENES'!$AC558))</f>
        <v/>
      </c>
      <c r="D580" s="3">
        <f>IF('ORDENES'!$A558="","",IF('ORDENES'!$V558="","-",'ORDENES'!$V558))</f>
        <v/>
      </c>
      <c r="E580" s="3">
        <f>IF('ORDENES'!$A558="","",IF('ORDENES'!$U558="","-",'ORDENES'!$U558))</f>
        <v/>
      </c>
      <c r="F580" s="3">
        <f>IF('ORDENES'!$A558="","",IF('ORDENES'!$W558="","-",'ORDENES'!$W558))</f>
        <v/>
      </c>
      <c r="G580" s="3">
        <f>IF('ORDENES'!$A558="","",IF('ORDENES'!$AB558="","-",'ORDENES'!$AB558))</f>
        <v/>
      </c>
      <c r="H580" s="3">
        <f>IF('ORDENES'!$A558="","",IF('ORDENES'!$AN558="","-",'ORDENES'!$AN558))</f>
        <v/>
      </c>
      <c r="I580" s="3">
        <f>IF('ORDENES'!$A558="","",IF('ORDENES'!$D558="","-",'ORDENES'!$D558))</f>
        <v/>
      </c>
      <c r="J580" s="3">
        <f>IF('ORDENES'!$A558="","",IF('ORDENES'!$E558="","-",'ORDENES'!$E558))</f>
        <v/>
      </c>
      <c r="K580" s="12">
        <f>IF('ORDENES'!$A558="","",IF('ORDENES'!$M558="",0,'ORDENES'!$M558))</f>
        <v/>
      </c>
      <c r="L580" s="3">
        <f>IF('ORDENES'!$A558="","",IF('ORDENES'!$N558="","-",'ORDENES'!$N558))</f>
        <v/>
      </c>
      <c r="M580" s="3">
        <f>IF('ORDENES'!$A558="","",'ORDENES'!$AA558)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IF('ORDENES'!$A559="","",IF('ORDENES'!$AC559="","-",'ORDENES'!$AC559))</f>
        <v/>
      </c>
      <c r="D581" s="3">
        <f>IF('ORDENES'!$A559="","",IF('ORDENES'!$V559="","-",'ORDENES'!$V559))</f>
        <v/>
      </c>
      <c r="E581" s="3">
        <f>IF('ORDENES'!$A559="","",IF('ORDENES'!$U559="","-",'ORDENES'!$U559))</f>
        <v/>
      </c>
      <c r="F581" s="3">
        <f>IF('ORDENES'!$A559="","",IF('ORDENES'!$W559="","-",'ORDENES'!$W559))</f>
        <v/>
      </c>
      <c r="G581" s="3">
        <f>IF('ORDENES'!$A559="","",IF('ORDENES'!$AB559="","-",'ORDENES'!$AB559))</f>
        <v/>
      </c>
      <c r="H581" s="3">
        <f>IF('ORDENES'!$A559="","",IF('ORDENES'!$AN559="","-",'ORDENES'!$AN559))</f>
        <v/>
      </c>
      <c r="I581" s="3">
        <f>IF('ORDENES'!$A559="","",IF('ORDENES'!$D559="","-",'ORDENES'!$D559))</f>
        <v/>
      </c>
      <c r="J581" s="3">
        <f>IF('ORDENES'!$A559="","",IF('ORDENES'!$E559="","-",'ORDENES'!$E559))</f>
        <v/>
      </c>
      <c r="K581" s="12">
        <f>IF('ORDENES'!$A559="","",IF('ORDENES'!$M559="",0,'ORDENES'!$M559))</f>
        <v/>
      </c>
      <c r="L581" s="3">
        <f>IF('ORDENES'!$A559="","",IF('ORDENES'!$N559="","-",'ORDENES'!$N559))</f>
        <v/>
      </c>
      <c r="M581" s="3">
        <f>IF('ORDENES'!$A559="","",'ORDENES'!$AA559)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IF('ORDENES'!$A560="","",IF('ORDENES'!$AC560="","-",'ORDENES'!$AC560))</f>
        <v/>
      </c>
      <c r="D582" s="3">
        <f>IF('ORDENES'!$A560="","",IF('ORDENES'!$V560="","-",'ORDENES'!$V560))</f>
        <v/>
      </c>
      <c r="E582" s="3">
        <f>IF('ORDENES'!$A560="","",IF('ORDENES'!$U560="","-",'ORDENES'!$U560))</f>
        <v/>
      </c>
      <c r="F582" s="3">
        <f>IF('ORDENES'!$A560="","",IF('ORDENES'!$W560="","-",'ORDENES'!$W560))</f>
        <v/>
      </c>
      <c r="G582" s="3">
        <f>IF('ORDENES'!$A560="","",IF('ORDENES'!$AB560="","-",'ORDENES'!$AB560))</f>
        <v/>
      </c>
      <c r="H582" s="3">
        <f>IF('ORDENES'!$A560="","",IF('ORDENES'!$AN560="","-",'ORDENES'!$AN560))</f>
        <v/>
      </c>
      <c r="I582" s="3">
        <f>IF('ORDENES'!$A560="","",IF('ORDENES'!$D560="","-",'ORDENES'!$D560))</f>
        <v/>
      </c>
      <c r="J582" s="3">
        <f>IF('ORDENES'!$A560="","",IF('ORDENES'!$E560="","-",'ORDENES'!$E560))</f>
        <v/>
      </c>
      <c r="K582" s="12">
        <f>IF('ORDENES'!$A560="","",IF('ORDENES'!$M560="",0,'ORDENES'!$M560))</f>
        <v/>
      </c>
      <c r="L582" s="3">
        <f>IF('ORDENES'!$A560="","",IF('ORDENES'!$N560="","-",'ORDENES'!$N560))</f>
        <v/>
      </c>
      <c r="M582" s="3">
        <f>IF('ORDENES'!$A560="","",'ORDENES'!$AA560)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IF('ORDENES'!$A561="","",IF('ORDENES'!$AC561="","-",'ORDENES'!$AC561))</f>
        <v/>
      </c>
      <c r="D583" s="3">
        <f>IF('ORDENES'!$A561="","",IF('ORDENES'!$V561="","-",'ORDENES'!$V561))</f>
        <v/>
      </c>
      <c r="E583" s="3">
        <f>IF('ORDENES'!$A561="","",IF('ORDENES'!$U561="","-",'ORDENES'!$U561))</f>
        <v/>
      </c>
      <c r="F583" s="3">
        <f>IF('ORDENES'!$A561="","",IF('ORDENES'!$W561="","-",'ORDENES'!$W561))</f>
        <v/>
      </c>
      <c r="G583" s="3">
        <f>IF('ORDENES'!$A561="","",IF('ORDENES'!$AB561="","-",'ORDENES'!$AB561))</f>
        <v/>
      </c>
      <c r="H583" s="3">
        <f>IF('ORDENES'!$A561="","",IF('ORDENES'!$AN561="","-",'ORDENES'!$AN561))</f>
        <v/>
      </c>
      <c r="I583" s="3">
        <f>IF('ORDENES'!$A561="","",IF('ORDENES'!$D561="","-",'ORDENES'!$D561))</f>
        <v/>
      </c>
      <c r="J583" s="3">
        <f>IF('ORDENES'!$A561="","",IF('ORDENES'!$E561="","-",'ORDENES'!$E561))</f>
        <v/>
      </c>
      <c r="K583" s="12">
        <f>IF('ORDENES'!$A561="","",IF('ORDENES'!$M561="",0,'ORDENES'!$M561))</f>
        <v/>
      </c>
      <c r="L583" s="3">
        <f>IF('ORDENES'!$A561="","",IF('ORDENES'!$N561="","-",'ORDENES'!$N561))</f>
        <v/>
      </c>
      <c r="M583" s="3">
        <f>IF('ORDENES'!$A561="","",'ORDENES'!$AA561)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IF('ORDENES'!$A562="","",IF('ORDENES'!$AC562="","-",'ORDENES'!$AC562))</f>
        <v/>
      </c>
      <c r="D584" s="3">
        <f>IF('ORDENES'!$A562="","",IF('ORDENES'!$V562="","-",'ORDENES'!$V562))</f>
        <v/>
      </c>
      <c r="E584" s="3">
        <f>IF('ORDENES'!$A562="","",IF('ORDENES'!$U562="","-",'ORDENES'!$U562))</f>
        <v/>
      </c>
      <c r="F584" s="3">
        <f>IF('ORDENES'!$A562="","",IF('ORDENES'!$W562="","-",'ORDENES'!$W562))</f>
        <v/>
      </c>
      <c r="G584" s="3">
        <f>IF('ORDENES'!$A562="","",IF('ORDENES'!$AB562="","-",'ORDENES'!$AB562))</f>
        <v/>
      </c>
      <c r="H584" s="3">
        <f>IF('ORDENES'!$A562="","",IF('ORDENES'!$AN562="","-",'ORDENES'!$AN562))</f>
        <v/>
      </c>
      <c r="I584" s="3">
        <f>IF('ORDENES'!$A562="","",IF('ORDENES'!$D562="","-",'ORDENES'!$D562))</f>
        <v/>
      </c>
      <c r="J584" s="3">
        <f>IF('ORDENES'!$A562="","",IF('ORDENES'!$E562="","-",'ORDENES'!$E562))</f>
        <v/>
      </c>
      <c r="K584" s="12">
        <f>IF('ORDENES'!$A562="","",IF('ORDENES'!$M562="",0,'ORDENES'!$M562))</f>
        <v/>
      </c>
      <c r="L584" s="3">
        <f>IF('ORDENES'!$A562="","",IF('ORDENES'!$N562="","-",'ORDENES'!$N562))</f>
        <v/>
      </c>
      <c r="M584" s="3">
        <f>IF('ORDENES'!$A562="","",'ORDENES'!$AA562)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IF('ORDENES'!$A563="","",IF('ORDENES'!$AC563="","-",'ORDENES'!$AC563))</f>
        <v/>
      </c>
      <c r="D585" s="3">
        <f>IF('ORDENES'!$A563="","",IF('ORDENES'!$V563="","-",'ORDENES'!$V563))</f>
        <v/>
      </c>
      <c r="E585" s="3">
        <f>IF('ORDENES'!$A563="","",IF('ORDENES'!$U563="","-",'ORDENES'!$U563))</f>
        <v/>
      </c>
      <c r="F585" s="3">
        <f>IF('ORDENES'!$A563="","",IF('ORDENES'!$W563="","-",'ORDENES'!$W563))</f>
        <v/>
      </c>
      <c r="G585" s="3">
        <f>IF('ORDENES'!$A563="","",IF('ORDENES'!$AB563="","-",'ORDENES'!$AB563))</f>
        <v/>
      </c>
      <c r="H585" s="3">
        <f>IF('ORDENES'!$A563="","",IF('ORDENES'!$AN563="","-",'ORDENES'!$AN563))</f>
        <v/>
      </c>
      <c r="I585" s="3">
        <f>IF('ORDENES'!$A563="","",IF('ORDENES'!$D563="","-",'ORDENES'!$D563))</f>
        <v/>
      </c>
      <c r="J585" s="3">
        <f>IF('ORDENES'!$A563="","",IF('ORDENES'!$E563="","-",'ORDENES'!$E563))</f>
        <v/>
      </c>
      <c r="K585" s="12">
        <f>IF('ORDENES'!$A563="","",IF('ORDENES'!$M563="",0,'ORDENES'!$M563))</f>
        <v/>
      </c>
      <c r="L585" s="3">
        <f>IF('ORDENES'!$A563="","",IF('ORDENES'!$N563="","-",'ORDENES'!$N563))</f>
        <v/>
      </c>
      <c r="M585" s="3">
        <f>IF('ORDENES'!$A563="","",'ORDENES'!$AA563)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IF('ORDENES'!$A564="","",IF('ORDENES'!$AC564="","-",'ORDENES'!$AC564))</f>
        <v/>
      </c>
      <c r="D586" s="3">
        <f>IF('ORDENES'!$A564="","",IF('ORDENES'!$V564="","-",'ORDENES'!$V564))</f>
        <v/>
      </c>
      <c r="E586" s="3">
        <f>IF('ORDENES'!$A564="","",IF('ORDENES'!$U564="","-",'ORDENES'!$U564))</f>
        <v/>
      </c>
      <c r="F586" s="3">
        <f>IF('ORDENES'!$A564="","",IF('ORDENES'!$W564="","-",'ORDENES'!$W564))</f>
        <v/>
      </c>
      <c r="G586" s="3">
        <f>IF('ORDENES'!$A564="","",IF('ORDENES'!$AB564="","-",'ORDENES'!$AB564))</f>
        <v/>
      </c>
      <c r="H586" s="3">
        <f>IF('ORDENES'!$A564="","",IF('ORDENES'!$AN564="","-",'ORDENES'!$AN564))</f>
        <v/>
      </c>
      <c r="I586" s="3">
        <f>IF('ORDENES'!$A564="","",IF('ORDENES'!$D564="","-",'ORDENES'!$D564))</f>
        <v/>
      </c>
      <c r="J586" s="3">
        <f>IF('ORDENES'!$A564="","",IF('ORDENES'!$E564="","-",'ORDENES'!$E564))</f>
        <v/>
      </c>
      <c r="K586" s="12">
        <f>IF('ORDENES'!$A564="","",IF('ORDENES'!$M564="",0,'ORDENES'!$M564))</f>
        <v/>
      </c>
      <c r="L586" s="3">
        <f>IF('ORDENES'!$A564="","",IF('ORDENES'!$N564="","-",'ORDENES'!$N564))</f>
        <v/>
      </c>
      <c r="M586" s="3">
        <f>IF('ORDENES'!$A564="","",'ORDENES'!$AA564)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IF('ORDENES'!$A565="","",IF('ORDENES'!$AC565="","-",'ORDENES'!$AC565))</f>
        <v/>
      </c>
      <c r="D587" s="3">
        <f>IF('ORDENES'!$A565="","",IF('ORDENES'!$V565="","-",'ORDENES'!$V565))</f>
        <v/>
      </c>
      <c r="E587" s="3">
        <f>IF('ORDENES'!$A565="","",IF('ORDENES'!$U565="","-",'ORDENES'!$U565))</f>
        <v/>
      </c>
      <c r="F587" s="3">
        <f>IF('ORDENES'!$A565="","",IF('ORDENES'!$W565="","-",'ORDENES'!$W565))</f>
        <v/>
      </c>
      <c r="G587" s="3">
        <f>IF('ORDENES'!$A565="","",IF('ORDENES'!$AB565="","-",'ORDENES'!$AB565))</f>
        <v/>
      </c>
      <c r="H587" s="3">
        <f>IF('ORDENES'!$A565="","",IF('ORDENES'!$AN565="","-",'ORDENES'!$AN565))</f>
        <v/>
      </c>
      <c r="I587" s="3">
        <f>IF('ORDENES'!$A565="","",IF('ORDENES'!$D565="","-",'ORDENES'!$D565))</f>
        <v/>
      </c>
      <c r="J587" s="3">
        <f>IF('ORDENES'!$A565="","",IF('ORDENES'!$E565="","-",'ORDENES'!$E565))</f>
        <v/>
      </c>
      <c r="K587" s="12">
        <f>IF('ORDENES'!$A565="","",IF('ORDENES'!$M565="",0,'ORDENES'!$M565))</f>
        <v/>
      </c>
      <c r="L587" s="3">
        <f>IF('ORDENES'!$A565="","",IF('ORDENES'!$N565="","-",'ORDENES'!$N565))</f>
        <v/>
      </c>
      <c r="M587" s="3">
        <f>IF('ORDENES'!$A565="","",'ORDENES'!$AA565)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IF('ORDENES'!$A566="","",IF('ORDENES'!$AC566="","-",'ORDENES'!$AC566))</f>
        <v/>
      </c>
      <c r="D588" s="3">
        <f>IF('ORDENES'!$A566="","",IF('ORDENES'!$V566="","-",'ORDENES'!$V566))</f>
        <v/>
      </c>
      <c r="E588" s="3">
        <f>IF('ORDENES'!$A566="","",IF('ORDENES'!$U566="","-",'ORDENES'!$U566))</f>
        <v/>
      </c>
      <c r="F588" s="3">
        <f>IF('ORDENES'!$A566="","",IF('ORDENES'!$W566="","-",'ORDENES'!$W566))</f>
        <v/>
      </c>
      <c r="G588" s="3">
        <f>IF('ORDENES'!$A566="","",IF('ORDENES'!$AB566="","-",'ORDENES'!$AB566))</f>
        <v/>
      </c>
      <c r="H588" s="3">
        <f>IF('ORDENES'!$A566="","",IF('ORDENES'!$AN566="","-",'ORDENES'!$AN566))</f>
        <v/>
      </c>
      <c r="I588" s="3">
        <f>IF('ORDENES'!$A566="","",IF('ORDENES'!$D566="","-",'ORDENES'!$D566))</f>
        <v/>
      </c>
      <c r="J588" s="3">
        <f>IF('ORDENES'!$A566="","",IF('ORDENES'!$E566="","-",'ORDENES'!$E566))</f>
        <v/>
      </c>
      <c r="K588" s="12">
        <f>IF('ORDENES'!$A566="","",IF('ORDENES'!$M566="",0,'ORDENES'!$M566))</f>
        <v/>
      </c>
      <c r="L588" s="3">
        <f>IF('ORDENES'!$A566="","",IF('ORDENES'!$N566="","-",'ORDENES'!$N566))</f>
        <v/>
      </c>
      <c r="M588" s="3">
        <f>IF('ORDENES'!$A566="","",'ORDENES'!$AA566)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IF('ORDENES'!$A567="","",IF('ORDENES'!$AC567="","-",'ORDENES'!$AC567))</f>
        <v/>
      </c>
      <c r="D589" s="3">
        <f>IF('ORDENES'!$A567="","",IF('ORDENES'!$V567="","-",'ORDENES'!$V567))</f>
        <v/>
      </c>
      <c r="E589" s="3">
        <f>IF('ORDENES'!$A567="","",IF('ORDENES'!$U567="","-",'ORDENES'!$U567))</f>
        <v/>
      </c>
      <c r="F589" s="3">
        <f>IF('ORDENES'!$A567="","",IF('ORDENES'!$W567="","-",'ORDENES'!$W567))</f>
        <v/>
      </c>
      <c r="G589" s="3">
        <f>IF('ORDENES'!$A567="","",IF('ORDENES'!$AB567="","-",'ORDENES'!$AB567))</f>
        <v/>
      </c>
      <c r="H589" s="3">
        <f>IF('ORDENES'!$A567="","",IF('ORDENES'!$AN567="","-",'ORDENES'!$AN567))</f>
        <v/>
      </c>
      <c r="I589" s="3">
        <f>IF('ORDENES'!$A567="","",IF('ORDENES'!$D567="","-",'ORDENES'!$D567))</f>
        <v/>
      </c>
      <c r="J589" s="3">
        <f>IF('ORDENES'!$A567="","",IF('ORDENES'!$E567="","-",'ORDENES'!$E567))</f>
        <v/>
      </c>
      <c r="K589" s="12">
        <f>IF('ORDENES'!$A567="","",IF('ORDENES'!$M567="",0,'ORDENES'!$M567))</f>
        <v/>
      </c>
      <c r="L589" s="3">
        <f>IF('ORDENES'!$A567="","",IF('ORDENES'!$N567="","-",'ORDENES'!$N567))</f>
        <v/>
      </c>
      <c r="M589" s="3">
        <f>IF('ORDENES'!$A567="","",'ORDENES'!$AA567)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IF('ORDENES'!$A568="","",IF('ORDENES'!$AC568="","-",'ORDENES'!$AC568))</f>
        <v/>
      </c>
      <c r="D590" s="3">
        <f>IF('ORDENES'!$A568="","",IF('ORDENES'!$V568="","-",'ORDENES'!$V568))</f>
        <v/>
      </c>
      <c r="E590" s="3">
        <f>IF('ORDENES'!$A568="","",IF('ORDENES'!$U568="","-",'ORDENES'!$U568))</f>
        <v/>
      </c>
      <c r="F590" s="3">
        <f>IF('ORDENES'!$A568="","",IF('ORDENES'!$W568="","-",'ORDENES'!$W568))</f>
        <v/>
      </c>
      <c r="G590" s="3">
        <f>IF('ORDENES'!$A568="","",IF('ORDENES'!$AB568="","-",'ORDENES'!$AB568))</f>
        <v/>
      </c>
      <c r="H590" s="3">
        <f>IF('ORDENES'!$A568="","",IF('ORDENES'!$AN568="","-",'ORDENES'!$AN568))</f>
        <v/>
      </c>
      <c r="I590" s="3">
        <f>IF('ORDENES'!$A568="","",IF('ORDENES'!$D568="","-",'ORDENES'!$D568))</f>
        <v/>
      </c>
      <c r="J590" s="3">
        <f>IF('ORDENES'!$A568="","",IF('ORDENES'!$E568="","-",'ORDENES'!$E568))</f>
        <v/>
      </c>
      <c r="K590" s="12">
        <f>IF('ORDENES'!$A568="","",IF('ORDENES'!$M568="",0,'ORDENES'!$M568))</f>
        <v/>
      </c>
      <c r="L590" s="3">
        <f>IF('ORDENES'!$A568="","",IF('ORDENES'!$N568="","-",'ORDENES'!$N568))</f>
        <v/>
      </c>
      <c r="M590" s="3">
        <f>IF('ORDENES'!$A568="","",'ORDENES'!$AA568)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IF('ORDENES'!$A569="","",IF('ORDENES'!$AC569="","-",'ORDENES'!$AC569))</f>
        <v/>
      </c>
      <c r="D591" s="3">
        <f>IF('ORDENES'!$A569="","",IF('ORDENES'!$V569="","-",'ORDENES'!$V569))</f>
        <v/>
      </c>
      <c r="E591" s="3">
        <f>IF('ORDENES'!$A569="","",IF('ORDENES'!$U569="","-",'ORDENES'!$U569))</f>
        <v/>
      </c>
      <c r="F591" s="3">
        <f>IF('ORDENES'!$A569="","",IF('ORDENES'!$W569="","-",'ORDENES'!$W569))</f>
        <v/>
      </c>
      <c r="G591" s="3">
        <f>IF('ORDENES'!$A569="","",IF('ORDENES'!$AB569="","-",'ORDENES'!$AB569))</f>
        <v/>
      </c>
      <c r="H591" s="3">
        <f>IF('ORDENES'!$A569="","",IF('ORDENES'!$AN569="","-",'ORDENES'!$AN569))</f>
        <v/>
      </c>
      <c r="I591" s="3">
        <f>IF('ORDENES'!$A569="","",IF('ORDENES'!$D569="","-",'ORDENES'!$D569))</f>
        <v/>
      </c>
      <c r="J591" s="3">
        <f>IF('ORDENES'!$A569="","",IF('ORDENES'!$E569="","-",'ORDENES'!$E569))</f>
        <v/>
      </c>
      <c r="K591" s="12">
        <f>IF('ORDENES'!$A569="","",IF('ORDENES'!$M569="",0,'ORDENES'!$M569))</f>
        <v/>
      </c>
      <c r="L591" s="3">
        <f>IF('ORDENES'!$A569="","",IF('ORDENES'!$N569="","-",'ORDENES'!$N569))</f>
        <v/>
      </c>
      <c r="M591" s="3">
        <f>IF('ORDENES'!$A569="","",'ORDENES'!$AA569)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IF('ORDENES'!$A570="","",IF('ORDENES'!$AC570="","-",'ORDENES'!$AC570))</f>
        <v/>
      </c>
      <c r="D592" s="3">
        <f>IF('ORDENES'!$A570="","",IF('ORDENES'!$V570="","-",'ORDENES'!$V570))</f>
        <v/>
      </c>
      <c r="E592" s="3">
        <f>IF('ORDENES'!$A570="","",IF('ORDENES'!$U570="","-",'ORDENES'!$U570))</f>
        <v/>
      </c>
      <c r="F592" s="3">
        <f>IF('ORDENES'!$A570="","",IF('ORDENES'!$W570="","-",'ORDENES'!$W570))</f>
        <v/>
      </c>
      <c r="G592" s="3">
        <f>IF('ORDENES'!$A570="","",IF('ORDENES'!$AB570="","-",'ORDENES'!$AB570))</f>
        <v/>
      </c>
      <c r="H592" s="3">
        <f>IF('ORDENES'!$A570="","",IF('ORDENES'!$AN570="","-",'ORDENES'!$AN570))</f>
        <v/>
      </c>
      <c r="I592" s="3">
        <f>IF('ORDENES'!$A570="","",IF('ORDENES'!$D570="","-",'ORDENES'!$D570))</f>
        <v/>
      </c>
      <c r="J592" s="3">
        <f>IF('ORDENES'!$A570="","",IF('ORDENES'!$E570="","-",'ORDENES'!$E570))</f>
        <v/>
      </c>
      <c r="K592" s="12">
        <f>IF('ORDENES'!$A570="","",IF('ORDENES'!$M570="",0,'ORDENES'!$M570))</f>
        <v/>
      </c>
      <c r="L592" s="3">
        <f>IF('ORDENES'!$A570="","",IF('ORDENES'!$N570="","-",'ORDENES'!$N570))</f>
        <v/>
      </c>
      <c r="M592" s="3">
        <f>IF('ORDENES'!$A570="","",'ORDENES'!$AA570)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IF('ORDENES'!$A571="","",IF('ORDENES'!$AC571="","-",'ORDENES'!$AC571))</f>
        <v/>
      </c>
      <c r="D593" s="3">
        <f>IF('ORDENES'!$A571="","",IF('ORDENES'!$V571="","-",'ORDENES'!$V571))</f>
        <v/>
      </c>
      <c r="E593" s="3">
        <f>IF('ORDENES'!$A571="","",IF('ORDENES'!$U571="","-",'ORDENES'!$U571))</f>
        <v/>
      </c>
      <c r="F593" s="3">
        <f>IF('ORDENES'!$A571="","",IF('ORDENES'!$W571="","-",'ORDENES'!$W571))</f>
        <v/>
      </c>
      <c r="G593" s="3">
        <f>IF('ORDENES'!$A571="","",IF('ORDENES'!$AB571="","-",'ORDENES'!$AB571))</f>
        <v/>
      </c>
      <c r="H593" s="3">
        <f>IF('ORDENES'!$A571="","",IF('ORDENES'!$AN571="","-",'ORDENES'!$AN571))</f>
        <v/>
      </c>
      <c r="I593" s="3">
        <f>IF('ORDENES'!$A571="","",IF('ORDENES'!$D571="","-",'ORDENES'!$D571))</f>
        <v/>
      </c>
      <c r="J593" s="3">
        <f>IF('ORDENES'!$A571="","",IF('ORDENES'!$E571="","-",'ORDENES'!$E571))</f>
        <v/>
      </c>
      <c r="K593" s="12">
        <f>IF('ORDENES'!$A571="","",IF('ORDENES'!$M571="",0,'ORDENES'!$M571))</f>
        <v/>
      </c>
      <c r="L593" s="3">
        <f>IF('ORDENES'!$A571="","",IF('ORDENES'!$N571="","-",'ORDENES'!$N571))</f>
        <v/>
      </c>
      <c r="M593" s="3">
        <f>IF('ORDENES'!$A571="","",'ORDENES'!$AA571)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IF('ORDENES'!$A572="","",IF('ORDENES'!$AC572="","-",'ORDENES'!$AC572))</f>
        <v/>
      </c>
      <c r="D594" s="3">
        <f>IF('ORDENES'!$A572="","",IF('ORDENES'!$V572="","-",'ORDENES'!$V572))</f>
        <v/>
      </c>
      <c r="E594" s="3">
        <f>IF('ORDENES'!$A572="","",IF('ORDENES'!$U572="","-",'ORDENES'!$U572))</f>
        <v/>
      </c>
      <c r="F594" s="3">
        <f>IF('ORDENES'!$A572="","",IF('ORDENES'!$W572="","-",'ORDENES'!$W572))</f>
        <v/>
      </c>
      <c r="G594" s="3">
        <f>IF('ORDENES'!$A572="","",IF('ORDENES'!$AB572="","-",'ORDENES'!$AB572))</f>
        <v/>
      </c>
      <c r="H594" s="3">
        <f>IF('ORDENES'!$A572="","",IF('ORDENES'!$AN572="","-",'ORDENES'!$AN572))</f>
        <v/>
      </c>
      <c r="I594" s="3">
        <f>IF('ORDENES'!$A572="","",IF('ORDENES'!$D572="","-",'ORDENES'!$D572))</f>
        <v/>
      </c>
      <c r="J594" s="3">
        <f>IF('ORDENES'!$A572="","",IF('ORDENES'!$E572="","-",'ORDENES'!$E572))</f>
        <v/>
      </c>
      <c r="K594" s="12">
        <f>IF('ORDENES'!$A572="","",IF('ORDENES'!$M572="",0,'ORDENES'!$M572))</f>
        <v/>
      </c>
      <c r="L594" s="3">
        <f>IF('ORDENES'!$A572="","",IF('ORDENES'!$N572="","-",'ORDENES'!$N572))</f>
        <v/>
      </c>
      <c r="M594" s="3">
        <f>IF('ORDENES'!$A572="","",'ORDENES'!$AA572)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IF('ORDENES'!$A573="","",IF('ORDENES'!$AC573="","-",'ORDENES'!$AC573))</f>
        <v/>
      </c>
      <c r="D595" s="3">
        <f>IF('ORDENES'!$A573="","",IF('ORDENES'!$V573="","-",'ORDENES'!$V573))</f>
        <v/>
      </c>
      <c r="E595" s="3">
        <f>IF('ORDENES'!$A573="","",IF('ORDENES'!$U573="","-",'ORDENES'!$U573))</f>
        <v/>
      </c>
      <c r="F595" s="3">
        <f>IF('ORDENES'!$A573="","",IF('ORDENES'!$W573="","-",'ORDENES'!$W573))</f>
        <v/>
      </c>
      <c r="G595" s="3">
        <f>IF('ORDENES'!$A573="","",IF('ORDENES'!$AB573="","-",'ORDENES'!$AB573))</f>
        <v/>
      </c>
      <c r="H595" s="3">
        <f>IF('ORDENES'!$A573="","",IF('ORDENES'!$AN573="","-",'ORDENES'!$AN573))</f>
        <v/>
      </c>
      <c r="I595" s="3">
        <f>IF('ORDENES'!$A573="","",IF('ORDENES'!$D573="","-",'ORDENES'!$D573))</f>
        <v/>
      </c>
      <c r="J595" s="3">
        <f>IF('ORDENES'!$A573="","",IF('ORDENES'!$E573="","-",'ORDENES'!$E573))</f>
        <v/>
      </c>
      <c r="K595" s="12">
        <f>IF('ORDENES'!$A573="","",IF('ORDENES'!$M573="",0,'ORDENES'!$M573))</f>
        <v/>
      </c>
      <c r="L595" s="3">
        <f>IF('ORDENES'!$A573="","",IF('ORDENES'!$N573="","-",'ORDENES'!$N573))</f>
        <v/>
      </c>
      <c r="M595" s="3">
        <f>IF('ORDENES'!$A573="","",'ORDENES'!$AA573)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IF('ORDENES'!$A574="","",IF('ORDENES'!$AC574="","-",'ORDENES'!$AC574))</f>
        <v/>
      </c>
      <c r="D596" s="3">
        <f>IF('ORDENES'!$A574="","",IF('ORDENES'!$V574="","-",'ORDENES'!$V574))</f>
        <v/>
      </c>
      <c r="E596" s="3">
        <f>IF('ORDENES'!$A574="","",IF('ORDENES'!$U574="","-",'ORDENES'!$U574))</f>
        <v/>
      </c>
      <c r="F596" s="3">
        <f>IF('ORDENES'!$A574="","",IF('ORDENES'!$W574="","-",'ORDENES'!$W574))</f>
        <v/>
      </c>
      <c r="G596" s="3">
        <f>IF('ORDENES'!$A574="","",IF('ORDENES'!$AB574="","-",'ORDENES'!$AB574))</f>
        <v/>
      </c>
      <c r="H596" s="3">
        <f>IF('ORDENES'!$A574="","",IF('ORDENES'!$AN574="","-",'ORDENES'!$AN574))</f>
        <v/>
      </c>
      <c r="I596" s="3">
        <f>IF('ORDENES'!$A574="","",IF('ORDENES'!$D574="","-",'ORDENES'!$D574))</f>
        <v/>
      </c>
      <c r="J596" s="3">
        <f>IF('ORDENES'!$A574="","",IF('ORDENES'!$E574="","-",'ORDENES'!$E574))</f>
        <v/>
      </c>
      <c r="K596" s="12">
        <f>IF('ORDENES'!$A574="","",IF('ORDENES'!$M574="",0,'ORDENES'!$M574))</f>
        <v/>
      </c>
      <c r="L596" s="3">
        <f>IF('ORDENES'!$A574="","",IF('ORDENES'!$N574="","-",'ORDENES'!$N574))</f>
        <v/>
      </c>
      <c r="M596" s="3">
        <f>IF('ORDENES'!$A574="","",'ORDENES'!$AA574)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IF('ORDENES'!$A575="","",IF('ORDENES'!$AC575="","-",'ORDENES'!$AC575))</f>
        <v/>
      </c>
      <c r="D597" s="3">
        <f>IF('ORDENES'!$A575="","",IF('ORDENES'!$V575="","-",'ORDENES'!$V575))</f>
        <v/>
      </c>
      <c r="E597" s="3">
        <f>IF('ORDENES'!$A575="","",IF('ORDENES'!$U575="","-",'ORDENES'!$U575))</f>
        <v/>
      </c>
      <c r="F597" s="3">
        <f>IF('ORDENES'!$A575="","",IF('ORDENES'!$W575="","-",'ORDENES'!$W575))</f>
        <v/>
      </c>
      <c r="G597" s="3">
        <f>IF('ORDENES'!$A575="","",IF('ORDENES'!$AB575="","-",'ORDENES'!$AB575))</f>
        <v/>
      </c>
      <c r="H597" s="3">
        <f>IF('ORDENES'!$A575="","",IF('ORDENES'!$AN575="","-",'ORDENES'!$AN575))</f>
        <v/>
      </c>
      <c r="I597" s="3">
        <f>IF('ORDENES'!$A575="","",IF('ORDENES'!$D575="","-",'ORDENES'!$D575))</f>
        <v/>
      </c>
      <c r="J597" s="3">
        <f>IF('ORDENES'!$A575="","",IF('ORDENES'!$E575="","-",'ORDENES'!$E575))</f>
        <v/>
      </c>
      <c r="K597" s="12">
        <f>IF('ORDENES'!$A575="","",IF('ORDENES'!$M575="",0,'ORDENES'!$M575))</f>
        <v/>
      </c>
      <c r="L597" s="3">
        <f>IF('ORDENES'!$A575="","",IF('ORDENES'!$N575="","-",'ORDENES'!$N575))</f>
        <v/>
      </c>
      <c r="M597" s="3">
        <f>IF('ORDENES'!$A575="","",'ORDENES'!$AA575)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IF('ORDENES'!$A576="","",IF('ORDENES'!$AC576="","-",'ORDENES'!$AC576))</f>
        <v/>
      </c>
      <c r="D598" s="3">
        <f>IF('ORDENES'!$A576="","",IF('ORDENES'!$V576="","-",'ORDENES'!$V576))</f>
        <v/>
      </c>
      <c r="E598" s="3">
        <f>IF('ORDENES'!$A576="","",IF('ORDENES'!$U576="","-",'ORDENES'!$U576))</f>
        <v/>
      </c>
      <c r="F598" s="3">
        <f>IF('ORDENES'!$A576="","",IF('ORDENES'!$W576="","-",'ORDENES'!$W576))</f>
        <v/>
      </c>
      <c r="G598" s="3">
        <f>IF('ORDENES'!$A576="","",IF('ORDENES'!$AB576="","-",'ORDENES'!$AB576))</f>
        <v/>
      </c>
      <c r="H598" s="3">
        <f>IF('ORDENES'!$A576="","",IF('ORDENES'!$AN576="","-",'ORDENES'!$AN576))</f>
        <v/>
      </c>
      <c r="I598" s="3">
        <f>IF('ORDENES'!$A576="","",IF('ORDENES'!$D576="","-",'ORDENES'!$D576))</f>
        <v/>
      </c>
      <c r="J598" s="3">
        <f>IF('ORDENES'!$A576="","",IF('ORDENES'!$E576="","-",'ORDENES'!$E576))</f>
        <v/>
      </c>
      <c r="K598" s="12">
        <f>IF('ORDENES'!$A576="","",IF('ORDENES'!$M576="",0,'ORDENES'!$M576))</f>
        <v/>
      </c>
      <c r="L598" s="3">
        <f>IF('ORDENES'!$A576="","",IF('ORDENES'!$N576="","-",'ORDENES'!$N576))</f>
        <v/>
      </c>
      <c r="M598" s="3">
        <f>IF('ORDENES'!$A576="","",'ORDENES'!$AA576)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IF('ORDENES'!$A577="","",IF('ORDENES'!$AC577="","-",'ORDENES'!$AC577))</f>
        <v/>
      </c>
      <c r="D599" s="3">
        <f>IF('ORDENES'!$A577="","",IF('ORDENES'!$V577="","-",'ORDENES'!$V577))</f>
        <v/>
      </c>
      <c r="E599" s="3">
        <f>IF('ORDENES'!$A577="","",IF('ORDENES'!$U577="","-",'ORDENES'!$U577))</f>
        <v/>
      </c>
      <c r="F599" s="3">
        <f>IF('ORDENES'!$A577="","",IF('ORDENES'!$W577="","-",'ORDENES'!$W577))</f>
        <v/>
      </c>
      <c r="G599" s="3">
        <f>IF('ORDENES'!$A577="","",IF('ORDENES'!$AB577="","-",'ORDENES'!$AB577))</f>
        <v/>
      </c>
      <c r="H599" s="3">
        <f>IF('ORDENES'!$A577="","",IF('ORDENES'!$AN577="","-",'ORDENES'!$AN577))</f>
        <v/>
      </c>
      <c r="I599" s="3">
        <f>IF('ORDENES'!$A577="","",IF('ORDENES'!$D577="","-",'ORDENES'!$D577))</f>
        <v/>
      </c>
      <c r="J599" s="3">
        <f>IF('ORDENES'!$A577="","",IF('ORDENES'!$E577="","-",'ORDENES'!$E577))</f>
        <v/>
      </c>
      <c r="K599" s="12">
        <f>IF('ORDENES'!$A577="","",IF('ORDENES'!$M577="",0,'ORDENES'!$M577))</f>
        <v/>
      </c>
      <c r="L599" s="3">
        <f>IF('ORDENES'!$A577="","",IF('ORDENES'!$N577="","-",'ORDENES'!$N577))</f>
        <v/>
      </c>
      <c r="M599" s="3">
        <f>IF('ORDENES'!$A577="","",'ORDENES'!$AA577)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IF('ORDENES'!$A578="","",IF('ORDENES'!$AC578="","-",'ORDENES'!$AC578))</f>
        <v/>
      </c>
      <c r="D600" s="3">
        <f>IF('ORDENES'!$A578="","",IF('ORDENES'!$V578="","-",'ORDENES'!$V578))</f>
        <v/>
      </c>
      <c r="E600" s="3">
        <f>IF('ORDENES'!$A578="","",IF('ORDENES'!$U578="","-",'ORDENES'!$U578))</f>
        <v/>
      </c>
      <c r="F600" s="3">
        <f>IF('ORDENES'!$A578="","",IF('ORDENES'!$W578="","-",'ORDENES'!$W578))</f>
        <v/>
      </c>
      <c r="G600" s="3">
        <f>IF('ORDENES'!$A578="","",IF('ORDENES'!$AB578="","-",'ORDENES'!$AB578))</f>
        <v/>
      </c>
      <c r="H600" s="3">
        <f>IF('ORDENES'!$A578="","",IF('ORDENES'!$AN578="","-",'ORDENES'!$AN578))</f>
        <v/>
      </c>
      <c r="I600" s="3">
        <f>IF('ORDENES'!$A578="","",IF('ORDENES'!$D578="","-",'ORDENES'!$D578))</f>
        <v/>
      </c>
      <c r="J600" s="3">
        <f>IF('ORDENES'!$A578="","",IF('ORDENES'!$E578="","-",'ORDENES'!$E578))</f>
        <v/>
      </c>
      <c r="K600" s="12">
        <f>IF('ORDENES'!$A578="","",IF('ORDENES'!$M578="",0,'ORDENES'!$M578))</f>
        <v/>
      </c>
      <c r="L600" s="3">
        <f>IF('ORDENES'!$A578="","",IF('ORDENES'!$N578="","-",'ORDENES'!$N578))</f>
        <v/>
      </c>
      <c r="M600" s="3">
        <f>IF('ORDENES'!$A578="","",'ORDENES'!$AA578)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IF('ORDENES'!$A579="","",IF('ORDENES'!$AC579="","-",'ORDENES'!$AC579))</f>
        <v/>
      </c>
      <c r="D601" s="3">
        <f>IF('ORDENES'!$A579="","",IF('ORDENES'!$V579="","-",'ORDENES'!$V579))</f>
        <v/>
      </c>
      <c r="E601" s="3">
        <f>IF('ORDENES'!$A579="","",IF('ORDENES'!$U579="","-",'ORDENES'!$U579))</f>
        <v/>
      </c>
      <c r="F601" s="3">
        <f>IF('ORDENES'!$A579="","",IF('ORDENES'!$W579="","-",'ORDENES'!$W579))</f>
        <v/>
      </c>
      <c r="G601" s="3">
        <f>IF('ORDENES'!$A579="","",IF('ORDENES'!$AB579="","-",'ORDENES'!$AB579))</f>
        <v/>
      </c>
      <c r="H601" s="3">
        <f>IF('ORDENES'!$A579="","",IF('ORDENES'!$AN579="","-",'ORDENES'!$AN579))</f>
        <v/>
      </c>
      <c r="I601" s="3">
        <f>IF('ORDENES'!$A579="","",IF('ORDENES'!$D579="","-",'ORDENES'!$D579))</f>
        <v/>
      </c>
      <c r="J601" s="3">
        <f>IF('ORDENES'!$A579="","",IF('ORDENES'!$E579="","-",'ORDENES'!$E579))</f>
        <v/>
      </c>
      <c r="K601" s="12">
        <f>IF('ORDENES'!$A579="","",IF('ORDENES'!$M579="",0,'ORDENES'!$M579))</f>
        <v/>
      </c>
      <c r="L601" s="3">
        <f>IF('ORDENES'!$A579="","",IF('ORDENES'!$N579="","-",'ORDENES'!$N579))</f>
        <v/>
      </c>
      <c r="M601" s="3">
        <f>IF('ORDENES'!$A579="","",'ORDENES'!$AA579)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IF('ORDENES'!$A580="","",IF('ORDENES'!$AC580="","-",'ORDENES'!$AC580))</f>
        <v/>
      </c>
      <c r="D602" s="3">
        <f>IF('ORDENES'!$A580="","",IF('ORDENES'!$V580="","-",'ORDENES'!$V580))</f>
        <v/>
      </c>
      <c r="E602" s="3">
        <f>IF('ORDENES'!$A580="","",IF('ORDENES'!$U580="","-",'ORDENES'!$U580))</f>
        <v/>
      </c>
      <c r="F602" s="3">
        <f>IF('ORDENES'!$A580="","",IF('ORDENES'!$W580="","-",'ORDENES'!$W580))</f>
        <v/>
      </c>
      <c r="G602" s="3">
        <f>IF('ORDENES'!$A580="","",IF('ORDENES'!$AB580="","-",'ORDENES'!$AB580))</f>
        <v/>
      </c>
      <c r="H602" s="3">
        <f>IF('ORDENES'!$A580="","",IF('ORDENES'!$AN580="","-",'ORDENES'!$AN580))</f>
        <v/>
      </c>
      <c r="I602" s="3">
        <f>IF('ORDENES'!$A580="","",IF('ORDENES'!$D580="","-",'ORDENES'!$D580))</f>
        <v/>
      </c>
      <c r="J602" s="3">
        <f>IF('ORDENES'!$A580="","",IF('ORDENES'!$E580="","-",'ORDENES'!$E580))</f>
        <v/>
      </c>
      <c r="K602" s="12">
        <f>IF('ORDENES'!$A580="","",IF('ORDENES'!$M580="",0,'ORDENES'!$M580))</f>
        <v/>
      </c>
      <c r="L602" s="3">
        <f>IF('ORDENES'!$A580="","",IF('ORDENES'!$N580="","-",'ORDENES'!$N580))</f>
        <v/>
      </c>
      <c r="M602" s="3">
        <f>IF('ORDENES'!$A580="","",'ORDENES'!$AA580)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IF('ORDENES'!$A581="","",IF('ORDENES'!$AC581="","-",'ORDENES'!$AC581))</f>
        <v/>
      </c>
      <c r="D603" s="3">
        <f>IF('ORDENES'!$A581="","",IF('ORDENES'!$V581="","-",'ORDENES'!$V581))</f>
        <v/>
      </c>
      <c r="E603" s="3">
        <f>IF('ORDENES'!$A581="","",IF('ORDENES'!$U581="","-",'ORDENES'!$U581))</f>
        <v/>
      </c>
      <c r="F603" s="3">
        <f>IF('ORDENES'!$A581="","",IF('ORDENES'!$W581="","-",'ORDENES'!$W581))</f>
        <v/>
      </c>
      <c r="G603" s="3">
        <f>IF('ORDENES'!$A581="","",IF('ORDENES'!$AB581="","-",'ORDENES'!$AB581))</f>
        <v/>
      </c>
      <c r="H603" s="3">
        <f>IF('ORDENES'!$A581="","",IF('ORDENES'!$AN581="","-",'ORDENES'!$AN581))</f>
        <v/>
      </c>
      <c r="I603" s="3">
        <f>IF('ORDENES'!$A581="","",IF('ORDENES'!$D581="","-",'ORDENES'!$D581))</f>
        <v/>
      </c>
      <c r="J603" s="3">
        <f>IF('ORDENES'!$A581="","",IF('ORDENES'!$E581="","-",'ORDENES'!$E581))</f>
        <v/>
      </c>
      <c r="K603" s="12">
        <f>IF('ORDENES'!$A581="","",IF('ORDENES'!$M581="",0,'ORDENES'!$M581))</f>
        <v/>
      </c>
      <c r="L603" s="3">
        <f>IF('ORDENES'!$A581="","",IF('ORDENES'!$N581="","-",'ORDENES'!$N581))</f>
        <v/>
      </c>
      <c r="M603" s="3">
        <f>IF('ORDENES'!$A581="","",'ORDENES'!$AA581)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IF('ORDENES'!$A582="","",IF('ORDENES'!$AC582="","-",'ORDENES'!$AC582))</f>
        <v/>
      </c>
      <c r="D604" s="3">
        <f>IF('ORDENES'!$A582="","",IF('ORDENES'!$V582="","-",'ORDENES'!$V582))</f>
        <v/>
      </c>
      <c r="E604" s="3">
        <f>IF('ORDENES'!$A582="","",IF('ORDENES'!$U582="","-",'ORDENES'!$U582))</f>
        <v/>
      </c>
      <c r="F604" s="3">
        <f>IF('ORDENES'!$A582="","",IF('ORDENES'!$W582="","-",'ORDENES'!$W582))</f>
        <v/>
      </c>
      <c r="G604" s="3">
        <f>IF('ORDENES'!$A582="","",IF('ORDENES'!$AB582="","-",'ORDENES'!$AB582))</f>
        <v/>
      </c>
      <c r="H604" s="3">
        <f>IF('ORDENES'!$A582="","",IF('ORDENES'!$AN582="","-",'ORDENES'!$AN582))</f>
        <v/>
      </c>
      <c r="I604" s="3">
        <f>IF('ORDENES'!$A582="","",IF('ORDENES'!$D582="","-",'ORDENES'!$D582))</f>
        <v/>
      </c>
      <c r="J604" s="3">
        <f>IF('ORDENES'!$A582="","",IF('ORDENES'!$E582="","-",'ORDENES'!$E582))</f>
        <v/>
      </c>
      <c r="K604" s="12">
        <f>IF('ORDENES'!$A582="","",IF('ORDENES'!$M582="",0,'ORDENES'!$M582))</f>
        <v/>
      </c>
      <c r="L604" s="3">
        <f>IF('ORDENES'!$A582="","",IF('ORDENES'!$N582="","-",'ORDENES'!$N582))</f>
        <v/>
      </c>
      <c r="M604" s="3">
        <f>IF('ORDENES'!$A582="","",'ORDENES'!$AA582)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IF('ORDENES'!$A583="","",IF('ORDENES'!$AC583="","-",'ORDENES'!$AC583))</f>
        <v/>
      </c>
      <c r="D605" s="3">
        <f>IF('ORDENES'!$A583="","",IF('ORDENES'!$V583="","-",'ORDENES'!$V583))</f>
        <v/>
      </c>
      <c r="E605" s="3">
        <f>IF('ORDENES'!$A583="","",IF('ORDENES'!$U583="","-",'ORDENES'!$U583))</f>
        <v/>
      </c>
      <c r="F605" s="3">
        <f>IF('ORDENES'!$A583="","",IF('ORDENES'!$W583="","-",'ORDENES'!$W583))</f>
        <v/>
      </c>
      <c r="G605" s="3">
        <f>IF('ORDENES'!$A583="","",IF('ORDENES'!$AB583="","-",'ORDENES'!$AB583))</f>
        <v/>
      </c>
      <c r="H605" s="3">
        <f>IF('ORDENES'!$A583="","",IF('ORDENES'!$AN583="","-",'ORDENES'!$AN583))</f>
        <v/>
      </c>
      <c r="I605" s="3">
        <f>IF('ORDENES'!$A583="","",IF('ORDENES'!$D583="","-",'ORDENES'!$D583))</f>
        <v/>
      </c>
      <c r="J605" s="3">
        <f>IF('ORDENES'!$A583="","",IF('ORDENES'!$E583="","-",'ORDENES'!$E583))</f>
        <v/>
      </c>
      <c r="K605" s="12">
        <f>IF('ORDENES'!$A583="","",IF('ORDENES'!$M583="",0,'ORDENES'!$M583))</f>
        <v/>
      </c>
      <c r="L605" s="3">
        <f>IF('ORDENES'!$A583="","",IF('ORDENES'!$N583="","-",'ORDENES'!$N583))</f>
        <v/>
      </c>
      <c r="M605" s="3">
        <f>IF('ORDENES'!$A583="","",'ORDENES'!$AA583)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IF('ORDENES'!$A584="","",IF('ORDENES'!$AC584="","-",'ORDENES'!$AC584))</f>
        <v/>
      </c>
      <c r="D606" s="3">
        <f>IF('ORDENES'!$A584="","",IF('ORDENES'!$V584="","-",'ORDENES'!$V584))</f>
        <v/>
      </c>
      <c r="E606" s="3">
        <f>IF('ORDENES'!$A584="","",IF('ORDENES'!$U584="","-",'ORDENES'!$U584))</f>
        <v/>
      </c>
      <c r="F606" s="3">
        <f>IF('ORDENES'!$A584="","",IF('ORDENES'!$W584="","-",'ORDENES'!$W584))</f>
        <v/>
      </c>
      <c r="G606" s="3">
        <f>IF('ORDENES'!$A584="","",IF('ORDENES'!$AB584="","-",'ORDENES'!$AB584))</f>
        <v/>
      </c>
      <c r="H606" s="3">
        <f>IF('ORDENES'!$A584="","",IF('ORDENES'!$AN584="","-",'ORDENES'!$AN584))</f>
        <v/>
      </c>
      <c r="I606" s="3">
        <f>IF('ORDENES'!$A584="","",IF('ORDENES'!$D584="","-",'ORDENES'!$D584))</f>
        <v/>
      </c>
      <c r="J606" s="3">
        <f>IF('ORDENES'!$A584="","",IF('ORDENES'!$E584="","-",'ORDENES'!$E584))</f>
        <v/>
      </c>
      <c r="K606" s="12">
        <f>IF('ORDENES'!$A584="","",IF('ORDENES'!$M584="",0,'ORDENES'!$M584))</f>
        <v/>
      </c>
      <c r="L606" s="3">
        <f>IF('ORDENES'!$A584="","",IF('ORDENES'!$N584="","-",'ORDENES'!$N584))</f>
        <v/>
      </c>
      <c r="M606" s="3">
        <f>IF('ORDENES'!$A584="","",'ORDENES'!$AA584)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IF('ORDENES'!$A585="","",IF('ORDENES'!$AC585="","-",'ORDENES'!$AC585))</f>
        <v/>
      </c>
      <c r="D607" s="3">
        <f>IF('ORDENES'!$A585="","",IF('ORDENES'!$V585="","-",'ORDENES'!$V585))</f>
        <v/>
      </c>
      <c r="E607" s="3">
        <f>IF('ORDENES'!$A585="","",IF('ORDENES'!$U585="","-",'ORDENES'!$U585))</f>
        <v/>
      </c>
      <c r="F607" s="3">
        <f>IF('ORDENES'!$A585="","",IF('ORDENES'!$W585="","-",'ORDENES'!$W585))</f>
        <v/>
      </c>
      <c r="G607" s="3">
        <f>IF('ORDENES'!$A585="","",IF('ORDENES'!$AB585="","-",'ORDENES'!$AB585))</f>
        <v/>
      </c>
      <c r="H607" s="3">
        <f>IF('ORDENES'!$A585="","",IF('ORDENES'!$AN585="","-",'ORDENES'!$AN585))</f>
        <v/>
      </c>
      <c r="I607" s="3">
        <f>IF('ORDENES'!$A585="","",IF('ORDENES'!$D585="","-",'ORDENES'!$D585))</f>
        <v/>
      </c>
      <c r="J607" s="3">
        <f>IF('ORDENES'!$A585="","",IF('ORDENES'!$E585="","-",'ORDENES'!$E585))</f>
        <v/>
      </c>
      <c r="K607" s="12">
        <f>IF('ORDENES'!$A585="","",IF('ORDENES'!$M585="",0,'ORDENES'!$M585))</f>
        <v/>
      </c>
      <c r="L607" s="3">
        <f>IF('ORDENES'!$A585="","",IF('ORDENES'!$N585="","-",'ORDENES'!$N585))</f>
        <v/>
      </c>
      <c r="M607" s="3">
        <f>IF('ORDENES'!$A585="","",'ORDENES'!$AA585)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IF('ORDENES'!$A586="","",IF('ORDENES'!$AC586="","-",'ORDENES'!$AC586))</f>
        <v/>
      </c>
      <c r="D608" s="3">
        <f>IF('ORDENES'!$A586="","",IF('ORDENES'!$V586="","-",'ORDENES'!$V586))</f>
        <v/>
      </c>
      <c r="E608" s="3">
        <f>IF('ORDENES'!$A586="","",IF('ORDENES'!$U586="","-",'ORDENES'!$U586))</f>
        <v/>
      </c>
      <c r="F608" s="3">
        <f>IF('ORDENES'!$A586="","",IF('ORDENES'!$W586="","-",'ORDENES'!$W586))</f>
        <v/>
      </c>
      <c r="G608" s="3">
        <f>IF('ORDENES'!$A586="","",IF('ORDENES'!$AB586="","-",'ORDENES'!$AB586))</f>
        <v/>
      </c>
      <c r="H608" s="3">
        <f>IF('ORDENES'!$A586="","",IF('ORDENES'!$AN586="","-",'ORDENES'!$AN586))</f>
        <v/>
      </c>
      <c r="I608" s="3">
        <f>IF('ORDENES'!$A586="","",IF('ORDENES'!$D586="","-",'ORDENES'!$D586))</f>
        <v/>
      </c>
      <c r="J608" s="3">
        <f>IF('ORDENES'!$A586="","",IF('ORDENES'!$E586="","-",'ORDENES'!$E586))</f>
        <v/>
      </c>
      <c r="K608" s="12">
        <f>IF('ORDENES'!$A586="","",IF('ORDENES'!$M586="",0,'ORDENES'!$M586))</f>
        <v/>
      </c>
      <c r="L608" s="3">
        <f>IF('ORDENES'!$A586="","",IF('ORDENES'!$N586="","-",'ORDENES'!$N586))</f>
        <v/>
      </c>
      <c r="M608" s="3">
        <f>IF('ORDENES'!$A586="","",'ORDENES'!$AA586)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IF('ORDENES'!$A587="","",IF('ORDENES'!$AC587="","-",'ORDENES'!$AC587))</f>
        <v/>
      </c>
      <c r="D609" s="3">
        <f>IF('ORDENES'!$A587="","",IF('ORDENES'!$V587="","-",'ORDENES'!$V587))</f>
        <v/>
      </c>
      <c r="E609" s="3">
        <f>IF('ORDENES'!$A587="","",IF('ORDENES'!$U587="","-",'ORDENES'!$U587))</f>
        <v/>
      </c>
      <c r="F609" s="3">
        <f>IF('ORDENES'!$A587="","",IF('ORDENES'!$W587="","-",'ORDENES'!$W587))</f>
        <v/>
      </c>
      <c r="G609" s="3">
        <f>IF('ORDENES'!$A587="","",IF('ORDENES'!$AB587="","-",'ORDENES'!$AB587))</f>
        <v/>
      </c>
      <c r="H609" s="3">
        <f>IF('ORDENES'!$A587="","",IF('ORDENES'!$AN587="","-",'ORDENES'!$AN587))</f>
        <v/>
      </c>
      <c r="I609" s="3">
        <f>IF('ORDENES'!$A587="","",IF('ORDENES'!$D587="","-",'ORDENES'!$D587))</f>
        <v/>
      </c>
      <c r="J609" s="3">
        <f>IF('ORDENES'!$A587="","",IF('ORDENES'!$E587="","-",'ORDENES'!$E587))</f>
        <v/>
      </c>
      <c r="K609" s="12">
        <f>IF('ORDENES'!$A587="","",IF('ORDENES'!$M587="",0,'ORDENES'!$M587))</f>
        <v/>
      </c>
      <c r="L609" s="3">
        <f>IF('ORDENES'!$A587="","",IF('ORDENES'!$N587="","-",'ORDENES'!$N587))</f>
        <v/>
      </c>
      <c r="M609" s="3">
        <f>IF('ORDENES'!$A587="","",'ORDENES'!$AA587)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IF('ORDENES'!$A588="","",IF('ORDENES'!$AC588="","-",'ORDENES'!$AC588))</f>
        <v/>
      </c>
      <c r="D610" s="3">
        <f>IF('ORDENES'!$A588="","",IF('ORDENES'!$V588="","-",'ORDENES'!$V588))</f>
        <v/>
      </c>
      <c r="E610" s="3">
        <f>IF('ORDENES'!$A588="","",IF('ORDENES'!$U588="","-",'ORDENES'!$U588))</f>
        <v/>
      </c>
      <c r="F610" s="3">
        <f>IF('ORDENES'!$A588="","",IF('ORDENES'!$W588="","-",'ORDENES'!$W588))</f>
        <v/>
      </c>
      <c r="G610" s="3">
        <f>IF('ORDENES'!$A588="","",IF('ORDENES'!$AB588="","-",'ORDENES'!$AB588))</f>
        <v/>
      </c>
      <c r="H610" s="3">
        <f>IF('ORDENES'!$A588="","",IF('ORDENES'!$AN588="","-",'ORDENES'!$AN588))</f>
        <v/>
      </c>
      <c r="I610" s="3">
        <f>IF('ORDENES'!$A588="","",IF('ORDENES'!$D588="","-",'ORDENES'!$D588))</f>
        <v/>
      </c>
      <c r="J610" s="3">
        <f>IF('ORDENES'!$A588="","",IF('ORDENES'!$E588="","-",'ORDENES'!$E588))</f>
        <v/>
      </c>
      <c r="K610" s="12">
        <f>IF('ORDENES'!$A588="","",IF('ORDENES'!$M588="",0,'ORDENES'!$M588))</f>
        <v/>
      </c>
      <c r="L610" s="3">
        <f>IF('ORDENES'!$A588="","",IF('ORDENES'!$N588="","-",'ORDENES'!$N588))</f>
        <v/>
      </c>
      <c r="M610" s="3">
        <f>IF('ORDENES'!$A588="","",'ORDENES'!$AA588)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IF('ORDENES'!$A589="","",IF('ORDENES'!$AC589="","-",'ORDENES'!$AC589))</f>
        <v/>
      </c>
      <c r="D611" s="3">
        <f>IF('ORDENES'!$A589="","",IF('ORDENES'!$V589="","-",'ORDENES'!$V589))</f>
        <v/>
      </c>
      <c r="E611" s="3">
        <f>IF('ORDENES'!$A589="","",IF('ORDENES'!$U589="","-",'ORDENES'!$U589))</f>
        <v/>
      </c>
      <c r="F611" s="3">
        <f>IF('ORDENES'!$A589="","",IF('ORDENES'!$W589="","-",'ORDENES'!$W589))</f>
        <v/>
      </c>
      <c r="G611" s="3">
        <f>IF('ORDENES'!$A589="","",IF('ORDENES'!$AB589="","-",'ORDENES'!$AB589))</f>
        <v/>
      </c>
      <c r="H611" s="3">
        <f>IF('ORDENES'!$A589="","",IF('ORDENES'!$AN589="","-",'ORDENES'!$AN589))</f>
        <v/>
      </c>
      <c r="I611" s="3">
        <f>IF('ORDENES'!$A589="","",IF('ORDENES'!$D589="","-",'ORDENES'!$D589))</f>
        <v/>
      </c>
      <c r="J611" s="3">
        <f>IF('ORDENES'!$A589="","",IF('ORDENES'!$E589="","-",'ORDENES'!$E589))</f>
        <v/>
      </c>
      <c r="K611" s="12">
        <f>IF('ORDENES'!$A589="","",IF('ORDENES'!$M589="",0,'ORDENES'!$M589))</f>
        <v/>
      </c>
      <c r="L611" s="3">
        <f>IF('ORDENES'!$A589="","",IF('ORDENES'!$N589="","-",'ORDENES'!$N589))</f>
        <v/>
      </c>
      <c r="M611" s="3">
        <f>IF('ORDENES'!$A589="","",'ORDENES'!$AA589)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IF('ORDENES'!$A590="","",IF('ORDENES'!$AC590="","-",'ORDENES'!$AC590))</f>
        <v/>
      </c>
      <c r="D612" s="3">
        <f>IF('ORDENES'!$A590="","",IF('ORDENES'!$V590="","-",'ORDENES'!$V590))</f>
        <v/>
      </c>
      <c r="E612" s="3">
        <f>IF('ORDENES'!$A590="","",IF('ORDENES'!$U590="","-",'ORDENES'!$U590))</f>
        <v/>
      </c>
      <c r="F612" s="3">
        <f>IF('ORDENES'!$A590="","",IF('ORDENES'!$W590="","-",'ORDENES'!$W590))</f>
        <v/>
      </c>
      <c r="G612" s="3">
        <f>IF('ORDENES'!$A590="","",IF('ORDENES'!$AB590="","-",'ORDENES'!$AB590))</f>
        <v/>
      </c>
      <c r="H612" s="3">
        <f>IF('ORDENES'!$A590="","",IF('ORDENES'!$AN590="","-",'ORDENES'!$AN590))</f>
        <v/>
      </c>
      <c r="I612" s="3">
        <f>IF('ORDENES'!$A590="","",IF('ORDENES'!$D590="","-",'ORDENES'!$D590))</f>
        <v/>
      </c>
      <c r="J612" s="3">
        <f>IF('ORDENES'!$A590="","",IF('ORDENES'!$E590="","-",'ORDENES'!$E590))</f>
        <v/>
      </c>
      <c r="K612" s="12">
        <f>IF('ORDENES'!$A590="","",IF('ORDENES'!$M590="",0,'ORDENES'!$M590))</f>
        <v/>
      </c>
      <c r="L612" s="3">
        <f>IF('ORDENES'!$A590="","",IF('ORDENES'!$N590="","-",'ORDENES'!$N590))</f>
        <v/>
      </c>
      <c r="M612" s="3">
        <f>IF('ORDENES'!$A590="","",'ORDENES'!$AA590)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IF('ORDENES'!$A591="","",IF('ORDENES'!$AC591="","-",'ORDENES'!$AC591))</f>
        <v/>
      </c>
      <c r="D613" s="3">
        <f>IF('ORDENES'!$A591="","",IF('ORDENES'!$V591="","-",'ORDENES'!$V591))</f>
        <v/>
      </c>
      <c r="E613" s="3">
        <f>IF('ORDENES'!$A591="","",IF('ORDENES'!$U591="","-",'ORDENES'!$U591))</f>
        <v/>
      </c>
      <c r="F613" s="3">
        <f>IF('ORDENES'!$A591="","",IF('ORDENES'!$W591="","-",'ORDENES'!$W591))</f>
        <v/>
      </c>
      <c r="G613" s="3">
        <f>IF('ORDENES'!$A591="","",IF('ORDENES'!$AB591="","-",'ORDENES'!$AB591))</f>
        <v/>
      </c>
      <c r="H613" s="3">
        <f>IF('ORDENES'!$A591="","",IF('ORDENES'!$AN591="","-",'ORDENES'!$AN591))</f>
        <v/>
      </c>
      <c r="I613" s="3">
        <f>IF('ORDENES'!$A591="","",IF('ORDENES'!$D591="","-",'ORDENES'!$D591))</f>
        <v/>
      </c>
      <c r="J613" s="3">
        <f>IF('ORDENES'!$A591="","",IF('ORDENES'!$E591="","-",'ORDENES'!$E591))</f>
        <v/>
      </c>
      <c r="K613" s="12">
        <f>IF('ORDENES'!$A591="","",IF('ORDENES'!$M591="",0,'ORDENES'!$M591))</f>
        <v/>
      </c>
      <c r="L613" s="3">
        <f>IF('ORDENES'!$A591="","",IF('ORDENES'!$N591="","-",'ORDENES'!$N591))</f>
        <v/>
      </c>
      <c r="M613" s="3">
        <f>IF('ORDENES'!$A591="","",'ORDENES'!$AA591)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IF('ORDENES'!$A592="","",IF('ORDENES'!$AC592="","-",'ORDENES'!$AC592))</f>
        <v/>
      </c>
      <c r="D614" s="3">
        <f>IF('ORDENES'!$A592="","",IF('ORDENES'!$V592="","-",'ORDENES'!$V592))</f>
        <v/>
      </c>
      <c r="E614" s="3">
        <f>IF('ORDENES'!$A592="","",IF('ORDENES'!$U592="","-",'ORDENES'!$U592))</f>
        <v/>
      </c>
      <c r="F614" s="3">
        <f>IF('ORDENES'!$A592="","",IF('ORDENES'!$W592="","-",'ORDENES'!$W592))</f>
        <v/>
      </c>
      <c r="G614" s="3">
        <f>IF('ORDENES'!$A592="","",IF('ORDENES'!$AB592="","-",'ORDENES'!$AB592))</f>
        <v/>
      </c>
      <c r="H614" s="3">
        <f>IF('ORDENES'!$A592="","",IF('ORDENES'!$AN592="","-",'ORDENES'!$AN592))</f>
        <v/>
      </c>
      <c r="I614" s="3">
        <f>IF('ORDENES'!$A592="","",IF('ORDENES'!$D592="","-",'ORDENES'!$D592))</f>
        <v/>
      </c>
      <c r="J614" s="3">
        <f>IF('ORDENES'!$A592="","",IF('ORDENES'!$E592="","-",'ORDENES'!$E592))</f>
        <v/>
      </c>
      <c r="K614" s="12">
        <f>IF('ORDENES'!$A592="","",IF('ORDENES'!$M592="",0,'ORDENES'!$M592))</f>
        <v/>
      </c>
      <c r="L614" s="3">
        <f>IF('ORDENES'!$A592="","",IF('ORDENES'!$N592="","-",'ORDENES'!$N592))</f>
        <v/>
      </c>
      <c r="M614" s="3">
        <f>IF('ORDENES'!$A592="","",'ORDENES'!$AA592)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IF('ORDENES'!$A593="","",IF('ORDENES'!$AC593="","-",'ORDENES'!$AC593))</f>
        <v/>
      </c>
      <c r="D615" s="3">
        <f>IF('ORDENES'!$A593="","",IF('ORDENES'!$V593="","-",'ORDENES'!$V593))</f>
        <v/>
      </c>
      <c r="E615" s="3">
        <f>IF('ORDENES'!$A593="","",IF('ORDENES'!$U593="","-",'ORDENES'!$U593))</f>
        <v/>
      </c>
      <c r="F615" s="3">
        <f>IF('ORDENES'!$A593="","",IF('ORDENES'!$W593="","-",'ORDENES'!$W593))</f>
        <v/>
      </c>
      <c r="G615" s="3">
        <f>IF('ORDENES'!$A593="","",IF('ORDENES'!$AB593="","-",'ORDENES'!$AB593))</f>
        <v/>
      </c>
      <c r="H615" s="3">
        <f>IF('ORDENES'!$A593="","",IF('ORDENES'!$AN593="","-",'ORDENES'!$AN593))</f>
        <v/>
      </c>
      <c r="I615" s="3">
        <f>IF('ORDENES'!$A593="","",IF('ORDENES'!$D593="","-",'ORDENES'!$D593))</f>
        <v/>
      </c>
      <c r="J615" s="3">
        <f>IF('ORDENES'!$A593="","",IF('ORDENES'!$E593="","-",'ORDENES'!$E593))</f>
        <v/>
      </c>
      <c r="K615" s="12">
        <f>IF('ORDENES'!$A593="","",IF('ORDENES'!$M593="",0,'ORDENES'!$M593))</f>
        <v/>
      </c>
      <c r="L615" s="3">
        <f>IF('ORDENES'!$A593="","",IF('ORDENES'!$N593="","-",'ORDENES'!$N593))</f>
        <v/>
      </c>
      <c r="M615" s="3">
        <f>IF('ORDENES'!$A593="","",'ORDENES'!$AA593)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IF('ORDENES'!$A594="","",IF('ORDENES'!$AC594="","-",'ORDENES'!$AC594))</f>
        <v/>
      </c>
      <c r="D616" s="3">
        <f>IF('ORDENES'!$A594="","",IF('ORDENES'!$V594="","-",'ORDENES'!$V594))</f>
        <v/>
      </c>
      <c r="E616" s="3">
        <f>IF('ORDENES'!$A594="","",IF('ORDENES'!$U594="","-",'ORDENES'!$U594))</f>
        <v/>
      </c>
      <c r="F616" s="3">
        <f>IF('ORDENES'!$A594="","",IF('ORDENES'!$W594="","-",'ORDENES'!$W594))</f>
        <v/>
      </c>
      <c r="G616" s="3">
        <f>IF('ORDENES'!$A594="","",IF('ORDENES'!$AB594="","-",'ORDENES'!$AB594))</f>
        <v/>
      </c>
      <c r="H616" s="3">
        <f>IF('ORDENES'!$A594="","",IF('ORDENES'!$AN594="","-",'ORDENES'!$AN594))</f>
        <v/>
      </c>
      <c r="I616" s="3">
        <f>IF('ORDENES'!$A594="","",IF('ORDENES'!$D594="","-",'ORDENES'!$D594))</f>
        <v/>
      </c>
      <c r="J616" s="3">
        <f>IF('ORDENES'!$A594="","",IF('ORDENES'!$E594="","-",'ORDENES'!$E594))</f>
        <v/>
      </c>
      <c r="K616" s="12">
        <f>IF('ORDENES'!$A594="","",IF('ORDENES'!$M594="",0,'ORDENES'!$M594))</f>
        <v/>
      </c>
      <c r="L616" s="3">
        <f>IF('ORDENES'!$A594="","",IF('ORDENES'!$N594="","-",'ORDENES'!$N594))</f>
        <v/>
      </c>
      <c r="M616" s="3">
        <f>IF('ORDENES'!$A594="","",'ORDENES'!$AA594)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IF('ORDENES'!$A595="","",IF('ORDENES'!$AC595="","-",'ORDENES'!$AC595))</f>
        <v/>
      </c>
      <c r="D617" s="3">
        <f>IF('ORDENES'!$A595="","",IF('ORDENES'!$V595="","-",'ORDENES'!$V595))</f>
        <v/>
      </c>
      <c r="E617" s="3">
        <f>IF('ORDENES'!$A595="","",IF('ORDENES'!$U595="","-",'ORDENES'!$U595))</f>
        <v/>
      </c>
      <c r="F617" s="3">
        <f>IF('ORDENES'!$A595="","",IF('ORDENES'!$W595="","-",'ORDENES'!$W595))</f>
        <v/>
      </c>
      <c r="G617" s="3">
        <f>IF('ORDENES'!$A595="","",IF('ORDENES'!$AB595="","-",'ORDENES'!$AB595))</f>
        <v/>
      </c>
      <c r="H617" s="3">
        <f>IF('ORDENES'!$A595="","",IF('ORDENES'!$AN595="","-",'ORDENES'!$AN595))</f>
        <v/>
      </c>
      <c r="I617" s="3">
        <f>IF('ORDENES'!$A595="","",IF('ORDENES'!$D595="","-",'ORDENES'!$D595))</f>
        <v/>
      </c>
      <c r="J617" s="3">
        <f>IF('ORDENES'!$A595="","",IF('ORDENES'!$E595="","-",'ORDENES'!$E595))</f>
        <v/>
      </c>
      <c r="K617" s="12">
        <f>IF('ORDENES'!$A595="","",IF('ORDENES'!$M595="",0,'ORDENES'!$M595))</f>
        <v/>
      </c>
      <c r="L617" s="3">
        <f>IF('ORDENES'!$A595="","",IF('ORDENES'!$N595="","-",'ORDENES'!$N595))</f>
        <v/>
      </c>
      <c r="M617" s="3">
        <f>IF('ORDENES'!$A595="","",'ORDENES'!$AA595)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IF('ORDENES'!$A596="","",IF('ORDENES'!$AC596="","-",'ORDENES'!$AC596))</f>
        <v/>
      </c>
      <c r="D618" s="3">
        <f>IF('ORDENES'!$A596="","",IF('ORDENES'!$V596="","-",'ORDENES'!$V596))</f>
        <v/>
      </c>
      <c r="E618" s="3">
        <f>IF('ORDENES'!$A596="","",IF('ORDENES'!$U596="","-",'ORDENES'!$U596))</f>
        <v/>
      </c>
      <c r="F618" s="3">
        <f>IF('ORDENES'!$A596="","",IF('ORDENES'!$W596="","-",'ORDENES'!$W596))</f>
        <v/>
      </c>
      <c r="G618" s="3">
        <f>IF('ORDENES'!$A596="","",IF('ORDENES'!$AB596="","-",'ORDENES'!$AB596))</f>
        <v/>
      </c>
      <c r="H618" s="3">
        <f>IF('ORDENES'!$A596="","",IF('ORDENES'!$AN596="","-",'ORDENES'!$AN596))</f>
        <v/>
      </c>
      <c r="I618" s="3">
        <f>IF('ORDENES'!$A596="","",IF('ORDENES'!$D596="","-",'ORDENES'!$D596))</f>
        <v/>
      </c>
      <c r="J618" s="3">
        <f>IF('ORDENES'!$A596="","",IF('ORDENES'!$E596="","-",'ORDENES'!$E596))</f>
        <v/>
      </c>
      <c r="K618" s="12">
        <f>IF('ORDENES'!$A596="","",IF('ORDENES'!$M596="",0,'ORDENES'!$M596))</f>
        <v/>
      </c>
      <c r="L618" s="3">
        <f>IF('ORDENES'!$A596="","",IF('ORDENES'!$N596="","-",'ORDENES'!$N596))</f>
        <v/>
      </c>
      <c r="M618" s="3">
        <f>IF('ORDENES'!$A596="","",'ORDENES'!$AA596)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IF('ORDENES'!$A597="","",IF('ORDENES'!$AC597="","-",'ORDENES'!$AC597))</f>
        <v/>
      </c>
      <c r="D619" s="3">
        <f>IF('ORDENES'!$A597="","",IF('ORDENES'!$V597="","-",'ORDENES'!$V597))</f>
        <v/>
      </c>
      <c r="E619" s="3">
        <f>IF('ORDENES'!$A597="","",IF('ORDENES'!$U597="","-",'ORDENES'!$U597))</f>
        <v/>
      </c>
      <c r="F619" s="3">
        <f>IF('ORDENES'!$A597="","",IF('ORDENES'!$W597="","-",'ORDENES'!$W597))</f>
        <v/>
      </c>
      <c r="G619" s="3">
        <f>IF('ORDENES'!$A597="","",IF('ORDENES'!$AB597="","-",'ORDENES'!$AB597))</f>
        <v/>
      </c>
      <c r="H619" s="3">
        <f>IF('ORDENES'!$A597="","",IF('ORDENES'!$AN597="","-",'ORDENES'!$AN597))</f>
        <v/>
      </c>
      <c r="I619" s="3">
        <f>IF('ORDENES'!$A597="","",IF('ORDENES'!$D597="","-",'ORDENES'!$D597))</f>
        <v/>
      </c>
      <c r="J619" s="3">
        <f>IF('ORDENES'!$A597="","",IF('ORDENES'!$E597="","-",'ORDENES'!$E597))</f>
        <v/>
      </c>
      <c r="K619" s="12">
        <f>IF('ORDENES'!$A597="","",IF('ORDENES'!$M597="",0,'ORDENES'!$M597))</f>
        <v/>
      </c>
      <c r="L619" s="3">
        <f>IF('ORDENES'!$A597="","",IF('ORDENES'!$N597="","-",'ORDENES'!$N597))</f>
        <v/>
      </c>
      <c r="M619" s="3">
        <f>IF('ORDENES'!$A597="","",'ORDENES'!$AA597)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IF('ORDENES'!$A598="","",IF('ORDENES'!$AC598="","-",'ORDENES'!$AC598))</f>
        <v/>
      </c>
      <c r="D620" s="3">
        <f>IF('ORDENES'!$A598="","",IF('ORDENES'!$V598="","-",'ORDENES'!$V598))</f>
        <v/>
      </c>
      <c r="E620" s="3">
        <f>IF('ORDENES'!$A598="","",IF('ORDENES'!$U598="","-",'ORDENES'!$U598))</f>
        <v/>
      </c>
      <c r="F620" s="3">
        <f>IF('ORDENES'!$A598="","",IF('ORDENES'!$W598="","-",'ORDENES'!$W598))</f>
        <v/>
      </c>
      <c r="G620" s="3">
        <f>IF('ORDENES'!$A598="","",IF('ORDENES'!$AB598="","-",'ORDENES'!$AB598))</f>
        <v/>
      </c>
      <c r="H620" s="3">
        <f>IF('ORDENES'!$A598="","",IF('ORDENES'!$AN598="","-",'ORDENES'!$AN598))</f>
        <v/>
      </c>
      <c r="I620" s="3">
        <f>IF('ORDENES'!$A598="","",IF('ORDENES'!$D598="","-",'ORDENES'!$D598))</f>
        <v/>
      </c>
      <c r="J620" s="3">
        <f>IF('ORDENES'!$A598="","",IF('ORDENES'!$E598="","-",'ORDENES'!$E598))</f>
        <v/>
      </c>
      <c r="K620" s="12">
        <f>IF('ORDENES'!$A598="","",IF('ORDENES'!$M598="",0,'ORDENES'!$M598))</f>
        <v/>
      </c>
      <c r="L620" s="3">
        <f>IF('ORDENES'!$A598="","",IF('ORDENES'!$N598="","-",'ORDENES'!$N598))</f>
        <v/>
      </c>
      <c r="M620" s="3">
        <f>IF('ORDENES'!$A598="","",'ORDENES'!$AA598)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IF('ORDENES'!$A599="","",IF('ORDENES'!$AC599="","-",'ORDENES'!$AC599))</f>
        <v/>
      </c>
      <c r="D621" s="3">
        <f>IF('ORDENES'!$A599="","",IF('ORDENES'!$V599="","-",'ORDENES'!$V599))</f>
        <v/>
      </c>
      <c r="E621" s="3">
        <f>IF('ORDENES'!$A599="","",IF('ORDENES'!$U599="","-",'ORDENES'!$U599))</f>
        <v/>
      </c>
      <c r="F621" s="3">
        <f>IF('ORDENES'!$A599="","",IF('ORDENES'!$W599="","-",'ORDENES'!$W599))</f>
        <v/>
      </c>
      <c r="G621" s="3">
        <f>IF('ORDENES'!$A599="","",IF('ORDENES'!$AB599="","-",'ORDENES'!$AB599))</f>
        <v/>
      </c>
      <c r="H621" s="3">
        <f>IF('ORDENES'!$A599="","",IF('ORDENES'!$AN599="","-",'ORDENES'!$AN599))</f>
        <v/>
      </c>
      <c r="I621" s="3">
        <f>IF('ORDENES'!$A599="","",IF('ORDENES'!$D599="","-",'ORDENES'!$D599))</f>
        <v/>
      </c>
      <c r="J621" s="3">
        <f>IF('ORDENES'!$A599="","",IF('ORDENES'!$E599="","-",'ORDENES'!$E599))</f>
        <v/>
      </c>
      <c r="K621" s="12">
        <f>IF('ORDENES'!$A599="","",IF('ORDENES'!$M599="",0,'ORDENES'!$M599))</f>
        <v/>
      </c>
      <c r="L621" s="3">
        <f>IF('ORDENES'!$A599="","",IF('ORDENES'!$N599="","-",'ORDENES'!$N599))</f>
        <v/>
      </c>
      <c r="M621" s="3">
        <f>IF('ORDENES'!$A599="","",'ORDENES'!$AA599)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IF('ORDENES'!$A600="","",IF('ORDENES'!$AC600="","-",'ORDENES'!$AC600))</f>
        <v/>
      </c>
      <c r="D622" s="3">
        <f>IF('ORDENES'!$A600="","",IF('ORDENES'!$V600="","-",'ORDENES'!$V600))</f>
        <v/>
      </c>
      <c r="E622" s="3">
        <f>IF('ORDENES'!$A600="","",IF('ORDENES'!$U600="","-",'ORDENES'!$U600))</f>
        <v/>
      </c>
      <c r="F622" s="3">
        <f>IF('ORDENES'!$A600="","",IF('ORDENES'!$W600="","-",'ORDENES'!$W600))</f>
        <v/>
      </c>
      <c r="G622" s="3">
        <f>IF('ORDENES'!$A600="","",IF('ORDENES'!$AB600="","-",'ORDENES'!$AB600))</f>
        <v/>
      </c>
      <c r="H622" s="3">
        <f>IF('ORDENES'!$A600="","",IF('ORDENES'!$AN600="","-",'ORDENES'!$AN600))</f>
        <v/>
      </c>
      <c r="I622" s="3">
        <f>IF('ORDENES'!$A600="","",IF('ORDENES'!$D600="","-",'ORDENES'!$D600))</f>
        <v/>
      </c>
      <c r="J622" s="3">
        <f>IF('ORDENES'!$A600="","",IF('ORDENES'!$E600="","-",'ORDENES'!$E600))</f>
        <v/>
      </c>
      <c r="K622" s="12">
        <f>IF('ORDENES'!$A600="","",IF('ORDENES'!$M600="",0,'ORDENES'!$M600))</f>
        <v/>
      </c>
      <c r="L622" s="3">
        <f>IF('ORDENES'!$A600="","",IF('ORDENES'!$N600="","-",'ORDENES'!$N600))</f>
        <v/>
      </c>
      <c r="M622" s="3">
        <f>IF('ORDENES'!$A600="","",'ORDENES'!$AA600)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IF('ORDENES'!$A601="","",IF('ORDENES'!$AC601="","-",'ORDENES'!$AC601))</f>
        <v/>
      </c>
      <c r="D623" s="3">
        <f>IF('ORDENES'!$A601="","",IF('ORDENES'!$V601="","-",'ORDENES'!$V601))</f>
        <v/>
      </c>
      <c r="E623" s="3">
        <f>IF('ORDENES'!$A601="","",IF('ORDENES'!$U601="","-",'ORDENES'!$U601))</f>
        <v/>
      </c>
      <c r="F623" s="3">
        <f>IF('ORDENES'!$A601="","",IF('ORDENES'!$W601="","-",'ORDENES'!$W601))</f>
        <v/>
      </c>
      <c r="G623" s="3">
        <f>IF('ORDENES'!$A601="","",IF('ORDENES'!$AB601="","-",'ORDENES'!$AB601))</f>
        <v/>
      </c>
      <c r="H623" s="3">
        <f>IF('ORDENES'!$A601="","",IF('ORDENES'!$AN601="","-",'ORDENES'!$AN601))</f>
        <v/>
      </c>
      <c r="I623" s="3">
        <f>IF('ORDENES'!$A601="","",IF('ORDENES'!$D601="","-",'ORDENES'!$D601))</f>
        <v/>
      </c>
      <c r="J623" s="3">
        <f>IF('ORDENES'!$A601="","",IF('ORDENES'!$E601="","-",'ORDENES'!$E601))</f>
        <v/>
      </c>
      <c r="K623" s="12">
        <f>IF('ORDENES'!$A601="","",IF('ORDENES'!$M601="",0,'ORDENES'!$M601))</f>
        <v/>
      </c>
      <c r="L623" s="3">
        <f>IF('ORDENES'!$A601="","",IF('ORDENES'!$N601="","-",'ORDENES'!$N601))</f>
        <v/>
      </c>
      <c r="M623" s="3">
        <f>IF('ORDENES'!$A601="","",'ORDENES'!$AA601)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IF('ORDENES'!$A602="","",IF('ORDENES'!$AC602="","-",'ORDENES'!$AC602))</f>
        <v/>
      </c>
      <c r="D624" s="3">
        <f>IF('ORDENES'!$A602="","",IF('ORDENES'!$V602="","-",'ORDENES'!$V602))</f>
        <v/>
      </c>
      <c r="E624" s="3">
        <f>IF('ORDENES'!$A602="","",IF('ORDENES'!$U602="","-",'ORDENES'!$U602))</f>
        <v/>
      </c>
      <c r="F624" s="3">
        <f>IF('ORDENES'!$A602="","",IF('ORDENES'!$W602="","-",'ORDENES'!$W602))</f>
        <v/>
      </c>
      <c r="G624" s="3">
        <f>IF('ORDENES'!$A602="","",IF('ORDENES'!$AB602="","-",'ORDENES'!$AB602))</f>
        <v/>
      </c>
      <c r="H624" s="3">
        <f>IF('ORDENES'!$A602="","",IF('ORDENES'!$AN602="","-",'ORDENES'!$AN602))</f>
        <v/>
      </c>
      <c r="I624" s="3">
        <f>IF('ORDENES'!$A602="","",IF('ORDENES'!$D602="","-",'ORDENES'!$D602))</f>
        <v/>
      </c>
      <c r="J624" s="3">
        <f>IF('ORDENES'!$A602="","",IF('ORDENES'!$E602="","-",'ORDENES'!$E602))</f>
        <v/>
      </c>
      <c r="K624" s="12">
        <f>IF('ORDENES'!$A602="","",IF('ORDENES'!$M602="",0,'ORDENES'!$M602))</f>
        <v/>
      </c>
      <c r="L624" s="3">
        <f>IF('ORDENES'!$A602="","",IF('ORDENES'!$N602="","-",'ORDENES'!$N602))</f>
        <v/>
      </c>
      <c r="M624" s="3">
        <f>IF('ORDENES'!$A602="","",'ORDENES'!$AA602)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IF('ORDENES'!$A603="","",IF('ORDENES'!$AC603="","-",'ORDENES'!$AC603))</f>
        <v/>
      </c>
      <c r="D625" s="3">
        <f>IF('ORDENES'!$A603="","",IF('ORDENES'!$V603="","-",'ORDENES'!$V603))</f>
        <v/>
      </c>
      <c r="E625" s="3">
        <f>IF('ORDENES'!$A603="","",IF('ORDENES'!$U603="","-",'ORDENES'!$U603))</f>
        <v/>
      </c>
      <c r="F625" s="3">
        <f>IF('ORDENES'!$A603="","",IF('ORDENES'!$W603="","-",'ORDENES'!$W603))</f>
        <v/>
      </c>
      <c r="G625" s="3">
        <f>IF('ORDENES'!$A603="","",IF('ORDENES'!$AB603="","-",'ORDENES'!$AB603))</f>
        <v/>
      </c>
      <c r="H625" s="3">
        <f>IF('ORDENES'!$A603="","",IF('ORDENES'!$AN603="","-",'ORDENES'!$AN603))</f>
        <v/>
      </c>
      <c r="I625" s="3">
        <f>IF('ORDENES'!$A603="","",IF('ORDENES'!$D603="","-",'ORDENES'!$D603))</f>
        <v/>
      </c>
      <c r="J625" s="3">
        <f>IF('ORDENES'!$A603="","",IF('ORDENES'!$E603="","-",'ORDENES'!$E603))</f>
        <v/>
      </c>
      <c r="K625" s="12">
        <f>IF('ORDENES'!$A603="","",IF('ORDENES'!$M603="",0,'ORDENES'!$M603))</f>
        <v/>
      </c>
      <c r="L625" s="3">
        <f>IF('ORDENES'!$A603="","",IF('ORDENES'!$N603="","-",'ORDENES'!$N603))</f>
        <v/>
      </c>
      <c r="M625" s="3">
        <f>IF('ORDENES'!$A603="","",'ORDENES'!$AA603)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IF('ORDENES'!$A604="","",IF('ORDENES'!$AC604="","-",'ORDENES'!$AC604))</f>
        <v/>
      </c>
      <c r="D626" s="3">
        <f>IF('ORDENES'!$A604="","",IF('ORDENES'!$V604="","-",'ORDENES'!$V604))</f>
        <v/>
      </c>
      <c r="E626" s="3">
        <f>IF('ORDENES'!$A604="","",IF('ORDENES'!$U604="","-",'ORDENES'!$U604))</f>
        <v/>
      </c>
      <c r="F626" s="3">
        <f>IF('ORDENES'!$A604="","",IF('ORDENES'!$W604="","-",'ORDENES'!$W604))</f>
        <v/>
      </c>
      <c r="G626" s="3">
        <f>IF('ORDENES'!$A604="","",IF('ORDENES'!$AB604="","-",'ORDENES'!$AB604))</f>
        <v/>
      </c>
      <c r="H626" s="3">
        <f>IF('ORDENES'!$A604="","",IF('ORDENES'!$AN604="","-",'ORDENES'!$AN604))</f>
        <v/>
      </c>
      <c r="I626" s="3">
        <f>IF('ORDENES'!$A604="","",IF('ORDENES'!$D604="","-",'ORDENES'!$D604))</f>
        <v/>
      </c>
      <c r="J626" s="3">
        <f>IF('ORDENES'!$A604="","",IF('ORDENES'!$E604="","-",'ORDENES'!$E604))</f>
        <v/>
      </c>
      <c r="K626" s="12">
        <f>IF('ORDENES'!$A604="","",IF('ORDENES'!$M604="",0,'ORDENES'!$M604))</f>
        <v/>
      </c>
      <c r="L626" s="3">
        <f>IF('ORDENES'!$A604="","",IF('ORDENES'!$N604="","-",'ORDENES'!$N604))</f>
        <v/>
      </c>
      <c r="M626" s="3">
        <f>IF('ORDENES'!$A604="","",'ORDENES'!$AA604)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IF('ORDENES'!$A605="","",IF('ORDENES'!$AC605="","-",'ORDENES'!$AC605))</f>
        <v/>
      </c>
      <c r="D627" s="3">
        <f>IF('ORDENES'!$A605="","",IF('ORDENES'!$V605="","-",'ORDENES'!$V605))</f>
        <v/>
      </c>
      <c r="E627" s="3">
        <f>IF('ORDENES'!$A605="","",IF('ORDENES'!$U605="","-",'ORDENES'!$U605))</f>
        <v/>
      </c>
      <c r="F627" s="3">
        <f>IF('ORDENES'!$A605="","",IF('ORDENES'!$W605="","-",'ORDENES'!$W605))</f>
        <v/>
      </c>
      <c r="G627" s="3">
        <f>IF('ORDENES'!$A605="","",IF('ORDENES'!$AB605="","-",'ORDENES'!$AB605))</f>
        <v/>
      </c>
      <c r="H627" s="3">
        <f>IF('ORDENES'!$A605="","",IF('ORDENES'!$AN605="","-",'ORDENES'!$AN605))</f>
        <v/>
      </c>
      <c r="I627" s="3">
        <f>IF('ORDENES'!$A605="","",IF('ORDENES'!$D605="","-",'ORDENES'!$D605))</f>
        <v/>
      </c>
      <c r="J627" s="3">
        <f>IF('ORDENES'!$A605="","",IF('ORDENES'!$E605="","-",'ORDENES'!$E605))</f>
        <v/>
      </c>
      <c r="K627" s="12">
        <f>IF('ORDENES'!$A605="","",IF('ORDENES'!$M605="",0,'ORDENES'!$M605))</f>
        <v/>
      </c>
      <c r="L627" s="3">
        <f>IF('ORDENES'!$A605="","",IF('ORDENES'!$N605="","-",'ORDENES'!$N605))</f>
        <v/>
      </c>
      <c r="M627" s="3">
        <f>IF('ORDENES'!$A605="","",'ORDENES'!$AA605)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IF('ORDENES'!$A606="","",IF('ORDENES'!$AC606="","-",'ORDENES'!$AC606))</f>
        <v/>
      </c>
      <c r="D628" s="3">
        <f>IF('ORDENES'!$A606="","",IF('ORDENES'!$V606="","-",'ORDENES'!$V606))</f>
        <v/>
      </c>
      <c r="E628" s="3">
        <f>IF('ORDENES'!$A606="","",IF('ORDENES'!$U606="","-",'ORDENES'!$U606))</f>
        <v/>
      </c>
      <c r="F628" s="3">
        <f>IF('ORDENES'!$A606="","",IF('ORDENES'!$W606="","-",'ORDENES'!$W606))</f>
        <v/>
      </c>
      <c r="G628" s="3">
        <f>IF('ORDENES'!$A606="","",IF('ORDENES'!$AB606="","-",'ORDENES'!$AB606))</f>
        <v/>
      </c>
      <c r="H628" s="3">
        <f>IF('ORDENES'!$A606="","",IF('ORDENES'!$AN606="","-",'ORDENES'!$AN606))</f>
        <v/>
      </c>
      <c r="I628" s="3">
        <f>IF('ORDENES'!$A606="","",IF('ORDENES'!$D606="","-",'ORDENES'!$D606))</f>
        <v/>
      </c>
      <c r="J628" s="3">
        <f>IF('ORDENES'!$A606="","",IF('ORDENES'!$E606="","-",'ORDENES'!$E606))</f>
        <v/>
      </c>
      <c r="K628" s="12">
        <f>IF('ORDENES'!$A606="","",IF('ORDENES'!$M606="",0,'ORDENES'!$M606))</f>
        <v/>
      </c>
      <c r="L628" s="3">
        <f>IF('ORDENES'!$A606="","",IF('ORDENES'!$N606="","-",'ORDENES'!$N606))</f>
        <v/>
      </c>
      <c r="M628" s="3">
        <f>IF('ORDENES'!$A606="","",'ORDENES'!$AA606)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IF('ORDENES'!$A607="","",IF('ORDENES'!$AC607="","-",'ORDENES'!$AC607))</f>
        <v/>
      </c>
      <c r="D629" s="3">
        <f>IF('ORDENES'!$A607="","",IF('ORDENES'!$V607="","-",'ORDENES'!$V607))</f>
        <v/>
      </c>
      <c r="E629" s="3">
        <f>IF('ORDENES'!$A607="","",IF('ORDENES'!$U607="","-",'ORDENES'!$U607))</f>
        <v/>
      </c>
      <c r="F629" s="3">
        <f>IF('ORDENES'!$A607="","",IF('ORDENES'!$W607="","-",'ORDENES'!$W607))</f>
        <v/>
      </c>
      <c r="G629" s="3">
        <f>IF('ORDENES'!$A607="","",IF('ORDENES'!$AB607="","-",'ORDENES'!$AB607))</f>
        <v/>
      </c>
      <c r="H629" s="3">
        <f>IF('ORDENES'!$A607="","",IF('ORDENES'!$AN607="","-",'ORDENES'!$AN607))</f>
        <v/>
      </c>
      <c r="I629" s="3">
        <f>IF('ORDENES'!$A607="","",IF('ORDENES'!$D607="","-",'ORDENES'!$D607))</f>
        <v/>
      </c>
      <c r="J629" s="3">
        <f>IF('ORDENES'!$A607="","",IF('ORDENES'!$E607="","-",'ORDENES'!$E607))</f>
        <v/>
      </c>
      <c r="K629" s="12">
        <f>IF('ORDENES'!$A607="","",IF('ORDENES'!$M607="",0,'ORDENES'!$M607))</f>
        <v/>
      </c>
      <c r="L629" s="3">
        <f>IF('ORDENES'!$A607="","",IF('ORDENES'!$N607="","-",'ORDENES'!$N607))</f>
        <v/>
      </c>
      <c r="M629" s="3">
        <f>IF('ORDENES'!$A607="","",'ORDENES'!$AA607)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IF('ORDENES'!$A608="","",IF('ORDENES'!$AC608="","-",'ORDENES'!$AC608))</f>
        <v/>
      </c>
      <c r="D630" s="3">
        <f>IF('ORDENES'!$A608="","",IF('ORDENES'!$V608="","-",'ORDENES'!$V608))</f>
        <v/>
      </c>
      <c r="E630" s="3">
        <f>IF('ORDENES'!$A608="","",IF('ORDENES'!$U608="","-",'ORDENES'!$U608))</f>
        <v/>
      </c>
      <c r="F630" s="3">
        <f>IF('ORDENES'!$A608="","",IF('ORDENES'!$W608="","-",'ORDENES'!$W608))</f>
        <v/>
      </c>
      <c r="G630" s="3">
        <f>IF('ORDENES'!$A608="","",IF('ORDENES'!$AB608="","-",'ORDENES'!$AB608))</f>
        <v/>
      </c>
      <c r="H630" s="3">
        <f>IF('ORDENES'!$A608="","",IF('ORDENES'!$AN608="","-",'ORDENES'!$AN608))</f>
        <v/>
      </c>
      <c r="I630" s="3">
        <f>IF('ORDENES'!$A608="","",IF('ORDENES'!$D608="","-",'ORDENES'!$D608))</f>
        <v/>
      </c>
      <c r="J630" s="3">
        <f>IF('ORDENES'!$A608="","",IF('ORDENES'!$E608="","-",'ORDENES'!$E608))</f>
        <v/>
      </c>
      <c r="K630" s="12">
        <f>IF('ORDENES'!$A608="","",IF('ORDENES'!$M608="",0,'ORDENES'!$M608))</f>
        <v/>
      </c>
      <c r="L630" s="3">
        <f>IF('ORDENES'!$A608="","",IF('ORDENES'!$N608="","-",'ORDENES'!$N608))</f>
        <v/>
      </c>
      <c r="M630" s="3">
        <f>IF('ORDENES'!$A608="","",'ORDENES'!$AA608)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IF('ORDENES'!$A609="","",IF('ORDENES'!$AC609="","-",'ORDENES'!$AC609))</f>
        <v/>
      </c>
      <c r="D631" s="3">
        <f>IF('ORDENES'!$A609="","",IF('ORDENES'!$V609="","-",'ORDENES'!$V609))</f>
        <v/>
      </c>
      <c r="E631" s="3">
        <f>IF('ORDENES'!$A609="","",IF('ORDENES'!$U609="","-",'ORDENES'!$U609))</f>
        <v/>
      </c>
      <c r="F631" s="3">
        <f>IF('ORDENES'!$A609="","",IF('ORDENES'!$W609="","-",'ORDENES'!$W609))</f>
        <v/>
      </c>
      <c r="G631" s="3">
        <f>IF('ORDENES'!$A609="","",IF('ORDENES'!$AB609="","-",'ORDENES'!$AB609))</f>
        <v/>
      </c>
      <c r="H631" s="3">
        <f>IF('ORDENES'!$A609="","",IF('ORDENES'!$AN609="","-",'ORDENES'!$AN609))</f>
        <v/>
      </c>
      <c r="I631" s="3">
        <f>IF('ORDENES'!$A609="","",IF('ORDENES'!$D609="","-",'ORDENES'!$D609))</f>
        <v/>
      </c>
      <c r="J631" s="3">
        <f>IF('ORDENES'!$A609="","",IF('ORDENES'!$E609="","-",'ORDENES'!$E609))</f>
        <v/>
      </c>
      <c r="K631" s="12">
        <f>IF('ORDENES'!$A609="","",IF('ORDENES'!$M609="",0,'ORDENES'!$M609))</f>
        <v/>
      </c>
      <c r="L631" s="3">
        <f>IF('ORDENES'!$A609="","",IF('ORDENES'!$N609="","-",'ORDENES'!$N609))</f>
        <v/>
      </c>
      <c r="M631" s="3">
        <f>IF('ORDENES'!$A609="","",'ORDENES'!$AA609)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IF('ORDENES'!$A610="","",IF('ORDENES'!$AC610="","-",'ORDENES'!$AC610))</f>
        <v/>
      </c>
      <c r="D632" s="3">
        <f>IF('ORDENES'!$A610="","",IF('ORDENES'!$V610="","-",'ORDENES'!$V610))</f>
        <v/>
      </c>
      <c r="E632" s="3">
        <f>IF('ORDENES'!$A610="","",IF('ORDENES'!$U610="","-",'ORDENES'!$U610))</f>
        <v/>
      </c>
      <c r="F632" s="3">
        <f>IF('ORDENES'!$A610="","",IF('ORDENES'!$W610="","-",'ORDENES'!$W610))</f>
        <v/>
      </c>
      <c r="G632" s="3">
        <f>IF('ORDENES'!$A610="","",IF('ORDENES'!$AB610="","-",'ORDENES'!$AB610))</f>
        <v/>
      </c>
      <c r="H632" s="3">
        <f>IF('ORDENES'!$A610="","",IF('ORDENES'!$AN610="","-",'ORDENES'!$AN610))</f>
        <v/>
      </c>
      <c r="I632" s="3">
        <f>IF('ORDENES'!$A610="","",IF('ORDENES'!$D610="","-",'ORDENES'!$D610))</f>
        <v/>
      </c>
      <c r="J632" s="3">
        <f>IF('ORDENES'!$A610="","",IF('ORDENES'!$E610="","-",'ORDENES'!$E610))</f>
        <v/>
      </c>
      <c r="K632" s="12">
        <f>IF('ORDENES'!$A610="","",IF('ORDENES'!$M610="",0,'ORDENES'!$M610))</f>
        <v/>
      </c>
      <c r="L632" s="3">
        <f>IF('ORDENES'!$A610="","",IF('ORDENES'!$N610="","-",'ORDENES'!$N610))</f>
        <v/>
      </c>
      <c r="M632" s="3">
        <f>IF('ORDENES'!$A610="","",'ORDENES'!$AA610)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IF('ORDENES'!$A611="","",IF('ORDENES'!$AC611="","-",'ORDENES'!$AC611))</f>
        <v/>
      </c>
      <c r="D633" s="3">
        <f>IF('ORDENES'!$A611="","",IF('ORDENES'!$V611="","-",'ORDENES'!$V611))</f>
        <v/>
      </c>
      <c r="E633" s="3">
        <f>IF('ORDENES'!$A611="","",IF('ORDENES'!$U611="","-",'ORDENES'!$U611))</f>
        <v/>
      </c>
      <c r="F633" s="3">
        <f>IF('ORDENES'!$A611="","",IF('ORDENES'!$W611="","-",'ORDENES'!$W611))</f>
        <v/>
      </c>
      <c r="G633" s="3">
        <f>IF('ORDENES'!$A611="","",IF('ORDENES'!$AB611="","-",'ORDENES'!$AB611))</f>
        <v/>
      </c>
      <c r="H633" s="3">
        <f>IF('ORDENES'!$A611="","",IF('ORDENES'!$AN611="","-",'ORDENES'!$AN611))</f>
        <v/>
      </c>
      <c r="I633" s="3">
        <f>IF('ORDENES'!$A611="","",IF('ORDENES'!$D611="","-",'ORDENES'!$D611))</f>
        <v/>
      </c>
      <c r="J633" s="3">
        <f>IF('ORDENES'!$A611="","",IF('ORDENES'!$E611="","-",'ORDENES'!$E611))</f>
        <v/>
      </c>
      <c r="K633" s="12">
        <f>IF('ORDENES'!$A611="","",IF('ORDENES'!$M611="",0,'ORDENES'!$M611))</f>
        <v/>
      </c>
      <c r="L633" s="3">
        <f>IF('ORDENES'!$A611="","",IF('ORDENES'!$N611="","-",'ORDENES'!$N611))</f>
        <v/>
      </c>
      <c r="M633" s="3">
        <f>IF('ORDENES'!$A611="","",'ORDENES'!$AA611)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IF('ORDENES'!$A612="","",IF('ORDENES'!$AC612="","-",'ORDENES'!$AC612))</f>
        <v/>
      </c>
      <c r="D634" s="3">
        <f>IF('ORDENES'!$A612="","",IF('ORDENES'!$V612="","-",'ORDENES'!$V612))</f>
        <v/>
      </c>
      <c r="E634" s="3">
        <f>IF('ORDENES'!$A612="","",IF('ORDENES'!$U612="","-",'ORDENES'!$U612))</f>
        <v/>
      </c>
      <c r="F634" s="3">
        <f>IF('ORDENES'!$A612="","",IF('ORDENES'!$W612="","-",'ORDENES'!$W612))</f>
        <v/>
      </c>
      <c r="G634" s="3">
        <f>IF('ORDENES'!$A612="","",IF('ORDENES'!$AB612="","-",'ORDENES'!$AB612))</f>
        <v/>
      </c>
      <c r="H634" s="3">
        <f>IF('ORDENES'!$A612="","",IF('ORDENES'!$AN612="","-",'ORDENES'!$AN612))</f>
        <v/>
      </c>
      <c r="I634" s="3">
        <f>IF('ORDENES'!$A612="","",IF('ORDENES'!$D612="","-",'ORDENES'!$D612))</f>
        <v/>
      </c>
      <c r="J634" s="3">
        <f>IF('ORDENES'!$A612="","",IF('ORDENES'!$E612="","-",'ORDENES'!$E612))</f>
        <v/>
      </c>
      <c r="K634" s="12">
        <f>IF('ORDENES'!$A612="","",IF('ORDENES'!$M612="",0,'ORDENES'!$M612))</f>
        <v/>
      </c>
      <c r="L634" s="3">
        <f>IF('ORDENES'!$A612="","",IF('ORDENES'!$N612="","-",'ORDENES'!$N612))</f>
        <v/>
      </c>
      <c r="M634" s="3">
        <f>IF('ORDENES'!$A612="","",'ORDENES'!$AA612)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IF('ORDENES'!$A613="","",IF('ORDENES'!$AC613="","-",'ORDENES'!$AC613))</f>
        <v/>
      </c>
      <c r="D635" s="3">
        <f>IF('ORDENES'!$A613="","",IF('ORDENES'!$V613="","-",'ORDENES'!$V613))</f>
        <v/>
      </c>
      <c r="E635" s="3">
        <f>IF('ORDENES'!$A613="","",IF('ORDENES'!$U613="","-",'ORDENES'!$U613))</f>
        <v/>
      </c>
      <c r="F635" s="3">
        <f>IF('ORDENES'!$A613="","",IF('ORDENES'!$W613="","-",'ORDENES'!$W613))</f>
        <v/>
      </c>
      <c r="G635" s="3">
        <f>IF('ORDENES'!$A613="","",IF('ORDENES'!$AB613="","-",'ORDENES'!$AB613))</f>
        <v/>
      </c>
      <c r="H635" s="3">
        <f>IF('ORDENES'!$A613="","",IF('ORDENES'!$AN613="","-",'ORDENES'!$AN613))</f>
        <v/>
      </c>
      <c r="I635" s="3">
        <f>IF('ORDENES'!$A613="","",IF('ORDENES'!$D613="","-",'ORDENES'!$D613))</f>
        <v/>
      </c>
      <c r="J635" s="3">
        <f>IF('ORDENES'!$A613="","",IF('ORDENES'!$E613="","-",'ORDENES'!$E613))</f>
        <v/>
      </c>
      <c r="K635" s="12">
        <f>IF('ORDENES'!$A613="","",IF('ORDENES'!$M613="",0,'ORDENES'!$M613))</f>
        <v/>
      </c>
      <c r="L635" s="3">
        <f>IF('ORDENES'!$A613="","",IF('ORDENES'!$N613="","-",'ORDENES'!$N613))</f>
        <v/>
      </c>
      <c r="M635" s="3">
        <f>IF('ORDENES'!$A613="","",'ORDENES'!$AA613)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IF('ORDENES'!$A614="","",IF('ORDENES'!$AC614="","-",'ORDENES'!$AC614))</f>
        <v/>
      </c>
      <c r="D636" s="3">
        <f>IF('ORDENES'!$A614="","",IF('ORDENES'!$V614="","-",'ORDENES'!$V614))</f>
        <v/>
      </c>
      <c r="E636" s="3">
        <f>IF('ORDENES'!$A614="","",IF('ORDENES'!$U614="","-",'ORDENES'!$U614))</f>
        <v/>
      </c>
      <c r="F636" s="3">
        <f>IF('ORDENES'!$A614="","",IF('ORDENES'!$W614="","-",'ORDENES'!$W614))</f>
        <v/>
      </c>
      <c r="G636" s="3">
        <f>IF('ORDENES'!$A614="","",IF('ORDENES'!$AB614="","-",'ORDENES'!$AB614))</f>
        <v/>
      </c>
      <c r="H636" s="3">
        <f>IF('ORDENES'!$A614="","",IF('ORDENES'!$AN614="","-",'ORDENES'!$AN614))</f>
        <v/>
      </c>
      <c r="I636" s="3">
        <f>IF('ORDENES'!$A614="","",IF('ORDENES'!$D614="","-",'ORDENES'!$D614))</f>
        <v/>
      </c>
      <c r="J636" s="3">
        <f>IF('ORDENES'!$A614="","",IF('ORDENES'!$E614="","-",'ORDENES'!$E614))</f>
        <v/>
      </c>
      <c r="K636" s="12">
        <f>IF('ORDENES'!$A614="","",IF('ORDENES'!$M614="",0,'ORDENES'!$M614))</f>
        <v/>
      </c>
      <c r="L636" s="3">
        <f>IF('ORDENES'!$A614="","",IF('ORDENES'!$N614="","-",'ORDENES'!$N614))</f>
        <v/>
      </c>
      <c r="M636" s="3">
        <f>IF('ORDENES'!$A614="","",'ORDENES'!$AA614)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IF('ORDENES'!$A615="","",IF('ORDENES'!$AC615="","-",'ORDENES'!$AC615))</f>
        <v/>
      </c>
      <c r="D637" s="3">
        <f>IF('ORDENES'!$A615="","",IF('ORDENES'!$V615="","-",'ORDENES'!$V615))</f>
        <v/>
      </c>
      <c r="E637" s="3">
        <f>IF('ORDENES'!$A615="","",IF('ORDENES'!$U615="","-",'ORDENES'!$U615))</f>
        <v/>
      </c>
      <c r="F637" s="3">
        <f>IF('ORDENES'!$A615="","",IF('ORDENES'!$W615="","-",'ORDENES'!$W615))</f>
        <v/>
      </c>
      <c r="G637" s="3">
        <f>IF('ORDENES'!$A615="","",IF('ORDENES'!$AB615="","-",'ORDENES'!$AB615))</f>
        <v/>
      </c>
      <c r="H637" s="3">
        <f>IF('ORDENES'!$A615="","",IF('ORDENES'!$AN615="","-",'ORDENES'!$AN615))</f>
        <v/>
      </c>
      <c r="I637" s="3">
        <f>IF('ORDENES'!$A615="","",IF('ORDENES'!$D615="","-",'ORDENES'!$D615))</f>
        <v/>
      </c>
      <c r="J637" s="3">
        <f>IF('ORDENES'!$A615="","",IF('ORDENES'!$E615="","-",'ORDENES'!$E615))</f>
        <v/>
      </c>
      <c r="K637" s="12">
        <f>IF('ORDENES'!$A615="","",IF('ORDENES'!$M615="",0,'ORDENES'!$M615))</f>
        <v/>
      </c>
      <c r="L637" s="3">
        <f>IF('ORDENES'!$A615="","",IF('ORDENES'!$N615="","-",'ORDENES'!$N615))</f>
        <v/>
      </c>
      <c r="M637" s="3">
        <f>IF('ORDENES'!$A615="","",'ORDENES'!$AA615)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IF('ORDENES'!$A616="","",IF('ORDENES'!$AC616="","-",'ORDENES'!$AC616))</f>
        <v/>
      </c>
      <c r="D638" s="3">
        <f>IF('ORDENES'!$A616="","",IF('ORDENES'!$V616="","-",'ORDENES'!$V616))</f>
        <v/>
      </c>
      <c r="E638" s="3">
        <f>IF('ORDENES'!$A616="","",IF('ORDENES'!$U616="","-",'ORDENES'!$U616))</f>
        <v/>
      </c>
      <c r="F638" s="3">
        <f>IF('ORDENES'!$A616="","",IF('ORDENES'!$W616="","-",'ORDENES'!$W616))</f>
        <v/>
      </c>
      <c r="G638" s="3">
        <f>IF('ORDENES'!$A616="","",IF('ORDENES'!$AB616="","-",'ORDENES'!$AB616))</f>
        <v/>
      </c>
      <c r="H638" s="3">
        <f>IF('ORDENES'!$A616="","",IF('ORDENES'!$AN616="","-",'ORDENES'!$AN616))</f>
        <v/>
      </c>
      <c r="I638" s="3">
        <f>IF('ORDENES'!$A616="","",IF('ORDENES'!$D616="","-",'ORDENES'!$D616))</f>
        <v/>
      </c>
      <c r="J638" s="3">
        <f>IF('ORDENES'!$A616="","",IF('ORDENES'!$E616="","-",'ORDENES'!$E616))</f>
        <v/>
      </c>
      <c r="K638" s="12">
        <f>IF('ORDENES'!$A616="","",IF('ORDENES'!$M616="",0,'ORDENES'!$M616))</f>
        <v/>
      </c>
      <c r="L638" s="3">
        <f>IF('ORDENES'!$A616="","",IF('ORDENES'!$N616="","-",'ORDENES'!$N616))</f>
        <v/>
      </c>
      <c r="M638" s="3">
        <f>IF('ORDENES'!$A616="","",'ORDENES'!$AA616)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IF('ORDENES'!$A617="","",IF('ORDENES'!$AC617="","-",'ORDENES'!$AC617))</f>
        <v/>
      </c>
      <c r="D639" s="3">
        <f>IF('ORDENES'!$A617="","",IF('ORDENES'!$V617="","-",'ORDENES'!$V617))</f>
        <v/>
      </c>
      <c r="E639" s="3">
        <f>IF('ORDENES'!$A617="","",IF('ORDENES'!$U617="","-",'ORDENES'!$U617))</f>
        <v/>
      </c>
      <c r="F639" s="3">
        <f>IF('ORDENES'!$A617="","",IF('ORDENES'!$W617="","-",'ORDENES'!$W617))</f>
        <v/>
      </c>
      <c r="G639" s="3">
        <f>IF('ORDENES'!$A617="","",IF('ORDENES'!$AB617="","-",'ORDENES'!$AB617))</f>
        <v/>
      </c>
      <c r="H639" s="3">
        <f>IF('ORDENES'!$A617="","",IF('ORDENES'!$AN617="","-",'ORDENES'!$AN617))</f>
        <v/>
      </c>
      <c r="I639" s="3">
        <f>IF('ORDENES'!$A617="","",IF('ORDENES'!$D617="","-",'ORDENES'!$D617))</f>
        <v/>
      </c>
      <c r="J639" s="3">
        <f>IF('ORDENES'!$A617="","",IF('ORDENES'!$E617="","-",'ORDENES'!$E617))</f>
        <v/>
      </c>
      <c r="K639" s="12">
        <f>IF('ORDENES'!$A617="","",IF('ORDENES'!$M617="",0,'ORDENES'!$M617))</f>
        <v/>
      </c>
      <c r="L639" s="3">
        <f>IF('ORDENES'!$A617="","",IF('ORDENES'!$N617="","-",'ORDENES'!$N617))</f>
        <v/>
      </c>
      <c r="M639" s="3">
        <f>IF('ORDENES'!$A617="","",'ORDENES'!$AA617)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IF('ORDENES'!$A618="","",IF('ORDENES'!$AC618="","-",'ORDENES'!$AC618))</f>
        <v/>
      </c>
      <c r="D640" s="3">
        <f>IF('ORDENES'!$A618="","",IF('ORDENES'!$V618="","-",'ORDENES'!$V618))</f>
        <v/>
      </c>
      <c r="E640" s="3">
        <f>IF('ORDENES'!$A618="","",IF('ORDENES'!$U618="","-",'ORDENES'!$U618))</f>
        <v/>
      </c>
      <c r="F640" s="3">
        <f>IF('ORDENES'!$A618="","",IF('ORDENES'!$W618="","-",'ORDENES'!$W618))</f>
        <v/>
      </c>
      <c r="G640" s="3">
        <f>IF('ORDENES'!$A618="","",IF('ORDENES'!$AB618="","-",'ORDENES'!$AB618))</f>
        <v/>
      </c>
      <c r="H640" s="3">
        <f>IF('ORDENES'!$A618="","",IF('ORDENES'!$AN618="","-",'ORDENES'!$AN618))</f>
        <v/>
      </c>
      <c r="I640" s="3">
        <f>IF('ORDENES'!$A618="","",IF('ORDENES'!$D618="","-",'ORDENES'!$D618))</f>
        <v/>
      </c>
      <c r="J640" s="3">
        <f>IF('ORDENES'!$A618="","",IF('ORDENES'!$E618="","-",'ORDENES'!$E618))</f>
        <v/>
      </c>
      <c r="K640" s="12">
        <f>IF('ORDENES'!$A618="","",IF('ORDENES'!$M618="",0,'ORDENES'!$M618))</f>
        <v/>
      </c>
      <c r="L640" s="3">
        <f>IF('ORDENES'!$A618="","",IF('ORDENES'!$N618="","-",'ORDENES'!$N618))</f>
        <v/>
      </c>
      <c r="M640" s="3">
        <f>IF('ORDENES'!$A618="","",'ORDENES'!$AA618)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IF('ORDENES'!$A619="","",IF('ORDENES'!$AC619="","-",'ORDENES'!$AC619))</f>
        <v/>
      </c>
      <c r="D641" s="3">
        <f>IF('ORDENES'!$A619="","",IF('ORDENES'!$V619="","-",'ORDENES'!$V619))</f>
        <v/>
      </c>
      <c r="E641" s="3">
        <f>IF('ORDENES'!$A619="","",IF('ORDENES'!$U619="","-",'ORDENES'!$U619))</f>
        <v/>
      </c>
      <c r="F641" s="3">
        <f>IF('ORDENES'!$A619="","",IF('ORDENES'!$W619="","-",'ORDENES'!$W619))</f>
        <v/>
      </c>
      <c r="G641" s="3">
        <f>IF('ORDENES'!$A619="","",IF('ORDENES'!$AB619="","-",'ORDENES'!$AB619))</f>
        <v/>
      </c>
      <c r="H641" s="3">
        <f>IF('ORDENES'!$A619="","",IF('ORDENES'!$AN619="","-",'ORDENES'!$AN619))</f>
        <v/>
      </c>
      <c r="I641" s="3">
        <f>IF('ORDENES'!$A619="","",IF('ORDENES'!$D619="","-",'ORDENES'!$D619))</f>
        <v/>
      </c>
      <c r="J641" s="3">
        <f>IF('ORDENES'!$A619="","",IF('ORDENES'!$E619="","-",'ORDENES'!$E619))</f>
        <v/>
      </c>
      <c r="K641" s="12">
        <f>IF('ORDENES'!$A619="","",IF('ORDENES'!$M619="",0,'ORDENES'!$M619))</f>
        <v/>
      </c>
      <c r="L641" s="3">
        <f>IF('ORDENES'!$A619="","",IF('ORDENES'!$N619="","-",'ORDENES'!$N619))</f>
        <v/>
      </c>
      <c r="M641" s="3">
        <f>IF('ORDENES'!$A619="","",'ORDENES'!$AA619)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IF('ORDENES'!$A620="","",IF('ORDENES'!$AC620="","-",'ORDENES'!$AC620))</f>
        <v/>
      </c>
      <c r="D642" s="3">
        <f>IF('ORDENES'!$A620="","",IF('ORDENES'!$V620="","-",'ORDENES'!$V620))</f>
        <v/>
      </c>
      <c r="E642" s="3">
        <f>IF('ORDENES'!$A620="","",IF('ORDENES'!$U620="","-",'ORDENES'!$U620))</f>
        <v/>
      </c>
      <c r="F642" s="3">
        <f>IF('ORDENES'!$A620="","",IF('ORDENES'!$W620="","-",'ORDENES'!$W620))</f>
        <v/>
      </c>
      <c r="G642" s="3">
        <f>IF('ORDENES'!$A620="","",IF('ORDENES'!$AB620="","-",'ORDENES'!$AB620))</f>
        <v/>
      </c>
      <c r="H642" s="3">
        <f>IF('ORDENES'!$A620="","",IF('ORDENES'!$AN620="","-",'ORDENES'!$AN620))</f>
        <v/>
      </c>
      <c r="I642" s="3">
        <f>IF('ORDENES'!$A620="","",IF('ORDENES'!$D620="","-",'ORDENES'!$D620))</f>
        <v/>
      </c>
      <c r="J642" s="3">
        <f>IF('ORDENES'!$A620="","",IF('ORDENES'!$E620="","-",'ORDENES'!$E620))</f>
        <v/>
      </c>
      <c r="K642" s="12">
        <f>IF('ORDENES'!$A620="","",IF('ORDENES'!$M620="",0,'ORDENES'!$M620))</f>
        <v/>
      </c>
      <c r="L642" s="3">
        <f>IF('ORDENES'!$A620="","",IF('ORDENES'!$N620="","-",'ORDENES'!$N620))</f>
        <v/>
      </c>
      <c r="M642" s="3">
        <f>IF('ORDENES'!$A620="","",'ORDENES'!$AA620)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IF('ORDENES'!$A621="","",IF('ORDENES'!$AC621="","-",'ORDENES'!$AC621))</f>
        <v/>
      </c>
      <c r="D643" s="3">
        <f>IF('ORDENES'!$A621="","",IF('ORDENES'!$V621="","-",'ORDENES'!$V621))</f>
        <v/>
      </c>
      <c r="E643" s="3">
        <f>IF('ORDENES'!$A621="","",IF('ORDENES'!$U621="","-",'ORDENES'!$U621))</f>
        <v/>
      </c>
      <c r="F643" s="3">
        <f>IF('ORDENES'!$A621="","",IF('ORDENES'!$W621="","-",'ORDENES'!$W621))</f>
        <v/>
      </c>
      <c r="G643" s="3">
        <f>IF('ORDENES'!$A621="","",IF('ORDENES'!$AB621="","-",'ORDENES'!$AB621))</f>
        <v/>
      </c>
      <c r="H643" s="3">
        <f>IF('ORDENES'!$A621="","",IF('ORDENES'!$AN621="","-",'ORDENES'!$AN621))</f>
        <v/>
      </c>
      <c r="I643" s="3">
        <f>IF('ORDENES'!$A621="","",IF('ORDENES'!$D621="","-",'ORDENES'!$D621))</f>
        <v/>
      </c>
      <c r="J643" s="3">
        <f>IF('ORDENES'!$A621="","",IF('ORDENES'!$E621="","-",'ORDENES'!$E621))</f>
        <v/>
      </c>
      <c r="K643" s="12">
        <f>IF('ORDENES'!$A621="","",IF('ORDENES'!$M621="",0,'ORDENES'!$M621))</f>
        <v/>
      </c>
      <c r="L643" s="3">
        <f>IF('ORDENES'!$A621="","",IF('ORDENES'!$N621="","-",'ORDENES'!$N621))</f>
        <v/>
      </c>
      <c r="M643" s="3">
        <f>IF('ORDENES'!$A621="","",'ORDENES'!$AA621)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IF('ORDENES'!$A622="","",IF('ORDENES'!$AC622="","-",'ORDENES'!$AC622))</f>
        <v/>
      </c>
      <c r="D644" s="3">
        <f>IF('ORDENES'!$A622="","",IF('ORDENES'!$V622="","-",'ORDENES'!$V622))</f>
        <v/>
      </c>
      <c r="E644" s="3">
        <f>IF('ORDENES'!$A622="","",IF('ORDENES'!$U622="","-",'ORDENES'!$U622))</f>
        <v/>
      </c>
      <c r="F644" s="3">
        <f>IF('ORDENES'!$A622="","",IF('ORDENES'!$W622="","-",'ORDENES'!$W622))</f>
        <v/>
      </c>
      <c r="G644" s="3">
        <f>IF('ORDENES'!$A622="","",IF('ORDENES'!$AB622="","-",'ORDENES'!$AB622))</f>
        <v/>
      </c>
      <c r="H644" s="3">
        <f>IF('ORDENES'!$A622="","",IF('ORDENES'!$AN622="","-",'ORDENES'!$AN622))</f>
        <v/>
      </c>
      <c r="I644" s="3">
        <f>IF('ORDENES'!$A622="","",IF('ORDENES'!$D622="","-",'ORDENES'!$D622))</f>
        <v/>
      </c>
      <c r="J644" s="3">
        <f>IF('ORDENES'!$A622="","",IF('ORDENES'!$E622="","-",'ORDENES'!$E622))</f>
        <v/>
      </c>
      <c r="K644" s="12">
        <f>IF('ORDENES'!$A622="","",IF('ORDENES'!$M622="",0,'ORDENES'!$M622))</f>
        <v/>
      </c>
      <c r="L644" s="3">
        <f>IF('ORDENES'!$A622="","",IF('ORDENES'!$N622="","-",'ORDENES'!$N622))</f>
        <v/>
      </c>
      <c r="M644" s="3">
        <f>IF('ORDENES'!$A622="","",'ORDENES'!$AA622)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IF('ORDENES'!$A623="","",IF('ORDENES'!$AC623="","-",'ORDENES'!$AC623))</f>
        <v/>
      </c>
      <c r="D645" s="3">
        <f>IF('ORDENES'!$A623="","",IF('ORDENES'!$V623="","-",'ORDENES'!$V623))</f>
        <v/>
      </c>
      <c r="E645" s="3">
        <f>IF('ORDENES'!$A623="","",IF('ORDENES'!$U623="","-",'ORDENES'!$U623))</f>
        <v/>
      </c>
      <c r="F645" s="3">
        <f>IF('ORDENES'!$A623="","",IF('ORDENES'!$W623="","-",'ORDENES'!$W623))</f>
        <v/>
      </c>
      <c r="G645" s="3">
        <f>IF('ORDENES'!$A623="","",IF('ORDENES'!$AB623="","-",'ORDENES'!$AB623))</f>
        <v/>
      </c>
      <c r="H645" s="3">
        <f>IF('ORDENES'!$A623="","",IF('ORDENES'!$AN623="","-",'ORDENES'!$AN623))</f>
        <v/>
      </c>
      <c r="I645" s="3">
        <f>IF('ORDENES'!$A623="","",IF('ORDENES'!$D623="","-",'ORDENES'!$D623))</f>
        <v/>
      </c>
      <c r="J645" s="3">
        <f>IF('ORDENES'!$A623="","",IF('ORDENES'!$E623="","-",'ORDENES'!$E623))</f>
        <v/>
      </c>
      <c r="K645" s="12">
        <f>IF('ORDENES'!$A623="","",IF('ORDENES'!$M623="",0,'ORDENES'!$M623))</f>
        <v/>
      </c>
      <c r="L645" s="3">
        <f>IF('ORDENES'!$A623="","",IF('ORDENES'!$N623="","-",'ORDENES'!$N623))</f>
        <v/>
      </c>
      <c r="M645" s="3">
        <f>IF('ORDENES'!$A623="","",'ORDENES'!$AA623)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IF('ORDENES'!$A624="","",IF('ORDENES'!$AC624="","-",'ORDENES'!$AC624))</f>
        <v/>
      </c>
      <c r="D646" s="3">
        <f>IF('ORDENES'!$A624="","",IF('ORDENES'!$V624="","-",'ORDENES'!$V624))</f>
        <v/>
      </c>
      <c r="E646" s="3">
        <f>IF('ORDENES'!$A624="","",IF('ORDENES'!$U624="","-",'ORDENES'!$U624))</f>
        <v/>
      </c>
      <c r="F646" s="3">
        <f>IF('ORDENES'!$A624="","",IF('ORDENES'!$W624="","-",'ORDENES'!$W624))</f>
        <v/>
      </c>
      <c r="G646" s="3">
        <f>IF('ORDENES'!$A624="","",IF('ORDENES'!$AB624="","-",'ORDENES'!$AB624))</f>
        <v/>
      </c>
      <c r="H646" s="3">
        <f>IF('ORDENES'!$A624="","",IF('ORDENES'!$AN624="","-",'ORDENES'!$AN624))</f>
        <v/>
      </c>
      <c r="I646" s="3">
        <f>IF('ORDENES'!$A624="","",IF('ORDENES'!$D624="","-",'ORDENES'!$D624))</f>
        <v/>
      </c>
      <c r="J646" s="3">
        <f>IF('ORDENES'!$A624="","",IF('ORDENES'!$E624="","-",'ORDENES'!$E624))</f>
        <v/>
      </c>
      <c r="K646" s="12">
        <f>IF('ORDENES'!$A624="","",IF('ORDENES'!$M624="",0,'ORDENES'!$M624))</f>
        <v/>
      </c>
      <c r="L646" s="3">
        <f>IF('ORDENES'!$A624="","",IF('ORDENES'!$N624="","-",'ORDENES'!$N624))</f>
        <v/>
      </c>
      <c r="M646" s="3">
        <f>IF('ORDENES'!$A624="","",'ORDENES'!$AA624)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IF('ORDENES'!$A625="","",IF('ORDENES'!$AC625="","-",'ORDENES'!$AC625))</f>
        <v/>
      </c>
      <c r="D647" s="3">
        <f>IF('ORDENES'!$A625="","",IF('ORDENES'!$V625="","-",'ORDENES'!$V625))</f>
        <v/>
      </c>
      <c r="E647" s="3">
        <f>IF('ORDENES'!$A625="","",IF('ORDENES'!$U625="","-",'ORDENES'!$U625))</f>
        <v/>
      </c>
      <c r="F647" s="3">
        <f>IF('ORDENES'!$A625="","",IF('ORDENES'!$W625="","-",'ORDENES'!$W625))</f>
        <v/>
      </c>
      <c r="G647" s="3">
        <f>IF('ORDENES'!$A625="","",IF('ORDENES'!$AB625="","-",'ORDENES'!$AB625))</f>
        <v/>
      </c>
      <c r="H647" s="3">
        <f>IF('ORDENES'!$A625="","",IF('ORDENES'!$AN625="","-",'ORDENES'!$AN625))</f>
        <v/>
      </c>
      <c r="I647" s="3">
        <f>IF('ORDENES'!$A625="","",IF('ORDENES'!$D625="","-",'ORDENES'!$D625))</f>
        <v/>
      </c>
      <c r="J647" s="3">
        <f>IF('ORDENES'!$A625="","",IF('ORDENES'!$E625="","-",'ORDENES'!$E625))</f>
        <v/>
      </c>
      <c r="K647" s="12">
        <f>IF('ORDENES'!$A625="","",IF('ORDENES'!$M625="",0,'ORDENES'!$M625))</f>
        <v/>
      </c>
      <c r="L647" s="3">
        <f>IF('ORDENES'!$A625="","",IF('ORDENES'!$N625="","-",'ORDENES'!$N625))</f>
        <v/>
      </c>
      <c r="M647" s="3">
        <f>IF('ORDENES'!$A625="","",'ORDENES'!$AA625)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IF('ORDENES'!$A626="","",IF('ORDENES'!$AC626="","-",'ORDENES'!$AC626))</f>
        <v/>
      </c>
      <c r="D648" s="3">
        <f>IF('ORDENES'!$A626="","",IF('ORDENES'!$V626="","-",'ORDENES'!$V626))</f>
        <v/>
      </c>
      <c r="E648" s="3">
        <f>IF('ORDENES'!$A626="","",IF('ORDENES'!$U626="","-",'ORDENES'!$U626))</f>
        <v/>
      </c>
      <c r="F648" s="3">
        <f>IF('ORDENES'!$A626="","",IF('ORDENES'!$W626="","-",'ORDENES'!$W626))</f>
        <v/>
      </c>
      <c r="G648" s="3">
        <f>IF('ORDENES'!$A626="","",IF('ORDENES'!$AB626="","-",'ORDENES'!$AB626))</f>
        <v/>
      </c>
      <c r="H648" s="3">
        <f>IF('ORDENES'!$A626="","",IF('ORDENES'!$AN626="","-",'ORDENES'!$AN626))</f>
        <v/>
      </c>
      <c r="I648" s="3">
        <f>IF('ORDENES'!$A626="","",IF('ORDENES'!$D626="","-",'ORDENES'!$D626))</f>
        <v/>
      </c>
      <c r="J648" s="3">
        <f>IF('ORDENES'!$A626="","",IF('ORDENES'!$E626="","-",'ORDENES'!$E626))</f>
        <v/>
      </c>
      <c r="K648" s="12">
        <f>IF('ORDENES'!$A626="","",IF('ORDENES'!$M626="",0,'ORDENES'!$M626))</f>
        <v/>
      </c>
      <c r="L648" s="3">
        <f>IF('ORDENES'!$A626="","",IF('ORDENES'!$N626="","-",'ORDENES'!$N626))</f>
        <v/>
      </c>
      <c r="M648" s="3">
        <f>IF('ORDENES'!$A626="","",'ORDENES'!$AA626)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IF('ORDENES'!$A627="","",IF('ORDENES'!$AC627="","-",'ORDENES'!$AC627))</f>
        <v/>
      </c>
      <c r="D649" s="3">
        <f>IF('ORDENES'!$A627="","",IF('ORDENES'!$V627="","-",'ORDENES'!$V627))</f>
        <v/>
      </c>
      <c r="E649" s="3">
        <f>IF('ORDENES'!$A627="","",IF('ORDENES'!$U627="","-",'ORDENES'!$U627))</f>
        <v/>
      </c>
      <c r="F649" s="3">
        <f>IF('ORDENES'!$A627="","",IF('ORDENES'!$W627="","-",'ORDENES'!$W627))</f>
        <v/>
      </c>
      <c r="G649" s="3">
        <f>IF('ORDENES'!$A627="","",IF('ORDENES'!$AB627="","-",'ORDENES'!$AB627))</f>
        <v/>
      </c>
      <c r="H649" s="3">
        <f>IF('ORDENES'!$A627="","",IF('ORDENES'!$AN627="","-",'ORDENES'!$AN627))</f>
        <v/>
      </c>
      <c r="I649" s="3">
        <f>IF('ORDENES'!$A627="","",IF('ORDENES'!$D627="","-",'ORDENES'!$D627))</f>
        <v/>
      </c>
      <c r="J649" s="3">
        <f>IF('ORDENES'!$A627="","",IF('ORDENES'!$E627="","-",'ORDENES'!$E627))</f>
        <v/>
      </c>
      <c r="K649" s="12">
        <f>IF('ORDENES'!$A627="","",IF('ORDENES'!$M627="",0,'ORDENES'!$M627))</f>
        <v/>
      </c>
      <c r="L649" s="3">
        <f>IF('ORDENES'!$A627="","",IF('ORDENES'!$N627="","-",'ORDENES'!$N627))</f>
        <v/>
      </c>
      <c r="M649" s="3">
        <f>IF('ORDENES'!$A627="","",'ORDENES'!$AA627)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IF('ORDENES'!$A628="","",IF('ORDENES'!$AC628="","-",'ORDENES'!$AC628))</f>
        <v/>
      </c>
      <c r="D650" s="3">
        <f>IF('ORDENES'!$A628="","",IF('ORDENES'!$V628="","-",'ORDENES'!$V628))</f>
        <v/>
      </c>
      <c r="E650" s="3">
        <f>IF('ORDENES'!$A628="","",IF('ORDENES'!$U628="","-",'ORDENES'!$U628))</f>
        <v/>
      </c>
      <c r="F650" s="3">
        <f>IF('ORDENES'!$A628="","",IF('ORDENES'!$W628="","-",'ORDENES'!$W628))</f>
        <v/>
      </c>
      <c r="G650" s="3">
        <f>IF('ORDENES'!$A628="","",IF('ORDENES'!$AB628="","-",'ORDENES'!$AB628))</f>
        <v/>
      </c>
      <c r="H650" s="3">
        <f>IF('ORDENES'!$A628="","",IF('ORDENES'!$AN628="","-",'ORDENES'!$AN628))</f>
        <v/>
      </c>
      <c r="I650" s="3">
        <f>IF('ORDENES'!$A628="","",IF('ORDENES'!$D628="","-",'ORDENES'!$D628))</f>
        <v/>
      </c>
      <c r="J650" s="3">
        <f>IF('ORDENES'!$A628="","",IF('ORDENES'!$E628="","-",'ORDENES'!$E628))</f>
        <v/>
      </c>
      <c r="K650" s="12">
        <f>IF('ORDENES'!$A628="","",IF('ORDENES'!$M628="",0,'ORDENES'!$M628))</f>
        <v/>
      </c>
      <c r="L650" s="3">
        <f>IF('ORDENES'!$A628="","",IF('ORDENES'!$N628="","-",'ORDENES'!$N628))</f>
        <v/>
      </c>
      <c r="M650" s="3">
        <f>IF('ORDENES'!$A628="","",'ORDENES'!$AA628)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IF('ORDENES'!$A629="","",IF('ORDENES'!$AC629="","-",'ORDENES'!$AC629))</f>
        <v/>
      </c>
      <c r="D651" s="3">
        <f>IF('ORDENES'!$A629="","",IF('ORDENES'!$V629="","-",'ORDENES'!$V629))</f>
        <v/>
      </c>
      <c r="E651" s="3">
        <f>IF('ORDENES'!$A629="","",IF('ORDENES'!$U629="","-",'ORDENES'!$U629))</f>
        <v/>
      </c>
      <c r="F651" s="3">
        <f>IF('ORDENES'!$A629="","",IF('ORDENES'!$W629="","-",'ORDENES'!$W629))</f>
        <v/>
      </c>
      <c r="G651" s="3">
        <f>IF('ORDENES'!$A629="","",IF('ORDENES'!$AB629="","-",'ORDENES'!$AB629))</f>
        <v/>
      </c>
      <c r="H651" s="3">
        <f>IF('ORDENES'!$A629="","",IF('ORDENES'!$AN629="","-",'ORDENES'!$AN629))</f>
        <v/>
      </c>
      <c r="I651" s="3">
        <f>IF('ORDENES'!$A629="","",IF('ORDENES'!$D629="","-",'ORDENES'!$D629))</f>
        <v/>
      </c>
      <c r="J651" s="3">
        <f>IF('ORDENES'!$A629="","",IF('ORDENES'!$E629="","-",'ORDENES'!$E629))</f>
        <v/>
      </c>
      <c r="K651" s="12">
        <f>IF('ORDENES'!$A629="","",IF('ORDENES'!$M629="",0,'ORDENES'!$M629))</f>
        <v/>
      </c>
      <c r="L651" s="3">
        <f>IF('ORDENES'!$A629="","",IF('ORDENES'!$N629="","-",'ORDENES'!$N629))</f>
        <v/>
      </c>
      <c r="M651" s="3">
        <f>IF('ORDENES'!$A629="","",'ORDENES'!$AA629)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IF('ORDENES'!$A630="","",IF('ORDENES'!$AC630="","-",'ORDENES'!$AC630))</f>
        <v/>
      </c>
      <c r="D652" s="3">
        <f>IF('ORDENES'!$A630="","",IF('ORDENES'!$V630="","-",'ORDENES'!$V630))</f>
        <v/>
      </c>
      <c r="E652" s="3">
        <f>IF('ORDENES'!$A630="","",IF('ORDENES'!$U630="","-",'ORDENES'!$U630))</f>
        <v/>
      </c>
      <c r="F652" s="3">
        <f>IF('ORDENES'!$A630="","",IF('ORDENES'!$W630="","-",'ORDENES'!$W630))</f>
        <v/>
      </c>
      <c r="G652" s="3">
        <f>IF('ORDENES'!$A630="","",IF('ORDENES'!$AB630="","-",'ORDENES'!$AB630))</f>
        <v/>
      </c>
      <c r="H652" s="3">
        <f>IF('ORDENES'!$A630="","",IF('ORDENES'!$AN630="","-",'ORDENES'!$AN630))</f>
        <v/>
      </c>
      <c r="I652" s="3">
        <f>IF('ORDENES'!$A630="","",IF('ORDENES'!$D630="","-",'ORDENES'!$D630))</f>
        <v/>
      </c>
      <c r="J652" s="3">
        <f>IF('ORDENES'!$A630="","",IF('ORDENES'!$E630="","-",'ORDENES'!$E630))</f>
        <v/>
      </c>
      <c r="K652" s="12">
        <f>IF('ORDENES'!$A630="","",IF('ORDENES'!$M630="",0,'ORDENES'!$M630))</f>
        <v/>
      </c>
      <c r="L652" s="3">
        <f>IF('ORDENES'!$A630="","",IF('ORDENES'!$N630="","-",'ORDENES'!$N630))</f>
        <v/>
      </c>
      <c r="M652" s="3">
        <f>IF('ORDENES'!$A630="","",'ORDENES'!$AA630)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IF('ORDENES'!$A631="","",IF('ORDENES'!$AC631="","-",'ORDENES'!$AC631))</f>
        <v/>
      </c>
      <c r="D653" s="3">
        <f>IF('ORDENES'!$A631="","",IF('ORDENES'!$V631="","-",'ORDENES'!$V631))</f>
        <v/>
      </c>
      <c r="E653" s="3">
        <f>IF('ORDENES'!$A631="","",IF('ORDENES'!$U631="","-",'ORDENES'!$U631))</f>
        <v/>
      </c>
      <c r="F653" s="3">
        <f>IF('ORDENES'!$A631="","",IF('ORDENES'!$W631="","-",'ORDENES'!$W631))</f>
        <v/>
      </c>
      <c r="G653" s="3">
        <f>IF('ORDENES'!$A631="","",IF('ORDENES'!$AB631="","-",'ORDENES'!$AB631))</f>
        <v/>
      </c>
      <c r="H653" s="3">
        <f>IF('ORDENES'!$A631="","",IF('ORDENES'!$AN631="","-",'ORDENES'!$AN631))</f>
        <v/>
      </c>
      <c r="I653" s="3">
        <f>IF('ORDENES'!$A631="","",IF('ORDENES'!$D631="","-",'ORDENES'!$D631))</f>
        <v/>
      </c>
      <c r="J653" s="3">
        <f>IF('ORDENES'!$A631="","",IF('ORDENES'!$E631="","-",'ORDENES'!$E631))</f>
        <v/>
      </c>
      <c r="K653" s="12">
        <f>IF('ORDENES'!$A631="","",IF('ORDENES'!$M631="",0,'ORDENES'!$M631))</f>
        <v/>
      </c>
      <c r="L653" s="3">
        <f>IF('ORDENES'!$A631="","",IF('ORDENES'!$N631="","-",'ORDENES'!$N631))</f>
        <v/>
      </c>
      <c r="M653" s="3">
        <f>IF('ORDENES'!$A631="","",'ORDENES'!$AA631)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IF('ORDENES'!$A632="","",IF('ORDENES'!$AC632="","-",'ORDENES'!$AC632))</f>
        <v/>
      </c>
      <c r="D654" s="3">
        <f>IF('ORDENES'!$A632="","",IF('ORDENES'!$V632="","-",'ORDENES'!$V632))</f>
        <v/>
      </c>
      <c r="E654" s="3">
        <f>IF('ORDENES'!$A632="","",IF('ORDENES'!$U632="","-",'ORDENES'!$U632))</f>
        <v/>
      </c>
      <c r="F654" s="3">
        <f>IF('ORDENES'!$A632="","",IF('ORDENES'!$W632="","-",'ORDENES'!$W632))</f>
        <v/>
      </c>
      <c r="G654" s="3">
        <f>IF('ORDENES'!$A632="","",IF('ORDENES'!$AB632="","-",'ORDENES'!$AB632))</f>
        <v/>
      </c>
      <c r="H654" s="3">
        <f>IF('ORDENES'!$A632="","",IF('ORDENES'!$AN632="","-",'ORDENES'!$AN632))</f>
        <v/>
      </c>
      <c r="I654" s="3">
        <f>IF('ORDENES'!$A632="","",IF('ORDENES'!$D632="","-",'ORDENES'!$D632))</f>
        <v/>
      </c>
      <c r="J654" s="3">
        <f>IF('ORDENES'!$A632="","",IF('ORDENES'!$E632="","-",'ORDENES'!$E632))</f>
        <v/>
      </c>
      <c r="K654" s="12">
        <f>IF('ORDENES'!$A632="","",IF('ORDENES'!$M632="",0,'ORDENES'!$M632))</f>
        <v/>
      </c>
      <c r="L654" s="3">
        <f>IF('ORDENES'!$A632="","",IF('ORDENES'!$N632="","-",'ORDENES'!$N632))</f>
        <v/>
      </c>
      <c r="M654" s="3">
        <f>IF('ORDENES'!$A632="","",'ORDENES'!$AA632)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IF('ORDENES'!$A633="","",IF('ORDENES'!$AC633="","-",'ORDENES'!$AC633))</f>
        <v/>
      </c>
      <c r="D655" s="3">
        <f>IF('ORDENES'!$A633="","",IF('ORDENES'!$V633="","-",'ORDENES'!$V633))</f>
        <v/>
      </c>
      <c r="E655" s="3">
        <f>IF('ORDENES'!$A633="","",IF('ORDENES'!$U633="","-",'ORDENES'!$U633))</f>
        <v/>
      </c>
      <c r="F655" s="3">
        <f>IF('ORDENES'!$A633="","",IF('ORDENES'!$W633="","-",'ORDENES'!$W633))</f>
        <v/>
      </c>
      <c r="G655" s="3">
        <f>IF('ORDENES'!$A633="","",IF('ORDENES'!$AB633="","-",'ORDENES'!$AB633))</f>
        <v/>
      </c>
      <c r="H655" s="3">
        <f>IF('ORDENES'!$A633="","",IF('ORDENES'!$AN633="","-",'ORDENES'!$AN633))</f>
        <v/>
      </c>
      <c r="I655" s="3">
        <f>IF('ORDENES'!$A633="","",IF('ORDENES'!$D633="","-",'ORDENES'!$D633))</f>
        <v/>
      </c>
      <c r="J655" s="3">
        <f>IF('ORDENES'!$A633="","",IF('ORDENES'!$E633="","-",'ORDENES'!$E633))</f>
        <v/>
      </c>
      <c r="K655" s="12">
        <f>IF('ORDENES'!$A633="","",IF('ORDENES'!$M633="",0,'ORDENES'!$M633))</f>
        <v/>
      </c>
      <c r="L655" s="3">
        <f>IF('ORDENES'!$A633="","",IF('ORDENES'!$N633="","-",'ORDENES'!$N633))</f>
        <v/>
      </c>
      <c r="M655" s="3">
        <f>IF('ORDENES'!$A633="","",'ORDENES'!$AA633)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IF('ORDENES'!$A634="","",IF('ORDENES'!$AC634="","-",'ORDENES'!$AC634))</f>
        <v/>
      </c>
      <c r="D656" s="3">
        <f>IF('ORDENES'!$A634="","",IF('ORDENES'!$V634="","-",'ORDENES'!$V634))</f>
        <v/>
      </c>
      <c r="E656" s="3">
        <f>IF('ORDENES'!$A634="","",IF('ORDENES'!$U634="","-",'ORDENES'!$U634))</f>
        <v/>
      </c>
      <c r="F656" s="3">
        <f>IF('ORDENES'!$A634="","",IF('ORDENES'!$W634="","-",'ORDENES'!$W634))</f>
        <v/>
      </c>
      <c r="G656" s="3">
        <f>IF('ORDENES'!$A634="","",IF('ORDENES'!$AB634="","-",'ORDENES'!$AB634))</f>
        <v/>
      </c>
      <c r="H656" s="3">
        <f>IF('ORDENES'!$A634="","",IF('ORDENES'!$AN634="","-",'ORDENES'!$AN634))</f>
        <v/>
      </c>
      <c r="I656" s="3">
        <f>IF('ORDENES'!$A634="","",IF('ORDENES'!$D634="","-",'ORDENES'!$D634))</f>
        <v/>
      </c>
      <c r="J656" s="3">
        <f>IF('ORDENES'!$A634="","",IF('ORDENES'!$E634="","-",'ORDENES'!$E634))</f>
        <v/>
      </c>
      <c r="K656" s="12">
        <f>IF('ORDENES'!$A634="","",IF('ORDENES'!$M634="",0,'ORDENES'!$M634))</f>
        <v/>
      </c>
      <c r="L656" s="3">
        <f>IF('ORDENES'!$A634="","",IF('ORDENES'!$N634="","-",'ORDENES'!$N634))</f>
        <v/>
      </c>
      <c r="M656" s="3">
        <f>IF('ORDENES'!$A634="","",'ORDENES'!$AA634)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IF('ORDENES'!$A635="","",IF('ORDENES'!$AC635="","-",'ORDENES'!$AC635))</f>
        <v/>
      </c>
      <c r="D657" s="3">
        <f>IF('ORDENES'!$A635="","",IF('ORDENES'!$V635="","-",'ORDENES'!$V635))</f>
        <v/>
      </c>
      <c r="E657" s="3">
        <f>IF('ORDENES'!$A635="","",IF('ORDENES'!$U635="","-",'ORDENES'!$U635))</f>
        <v/>
      </c>
      <c r="F657" s="3">
        <f>IF('ORDENES'!$A635="","",IF('ORDENES'!$W635="","-",'ORDENES'!$W635))</f>
        <v/>
      </c>
      <c r="G657" s="3">
        <f>IF('ORDENES'!$A635="","",IF('ORDENES'!$AB635="","-",'ORDENES'!$AB635))</f>
        <v/>
      </c>
      <c r="H657" s="3">
        <f>IF('ORDENES'!$A635="","",IF('ORDENES'!$AN635="","-",'ORDENES'!$AN635))</f>
        <v/>
      </c>
      <c r="I657" s="3">
        <f>IF('ORDENES'!$A635="","",IF('ORDENES'!$D635="","-",'ORDENES'!$D635))</f>
        <v/>
      </c>
      <c r="J657" s="3">
        <f>IF('ORDENES'!$A635="","",IF('ORDENES'!$E635="","-",'ORDENES'!$E635))</f>
        <v/>
      </c>
      <c r="K657" s="12">
        <f>IF('ORDENES'!$A635="","",IF('ORDENES'!$M635="",0,'ORDENES'!$M635))</f>
        <v/>
      </c>
      <c r="L657" s="3">
        <f>IF('ORDENES'!$A635="","",IF('ORDENES'!$N635="","-",'ORDENES'!$N635))</f>
        <v/>
      </c>
      <c r="M657" s="3">
        <f>IF('ORDENES'!$A635="","",'ORDENES'!$AA635)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IF('ORDENES'!$A636="","",IF('ORDENES'!$AC636="","-",'ORDENES'!$AC636))</f>
        <v/>
      </c>
      <c r="D658" s="3">
        <f>IF('ORDENES'!$A636="","",IF('ORDENES'!$V636="","-",'ORDENES'!$V636))</f>
        <v/>
      </c>
      <c r="E658" s="3">
        <f>IF('ORDENES'!$A636="","",IF('ORDENES'!$U636="","-",'ORDENES'!$U636))</f>
        <v/>
      </c>
      <c r="F658" s="3">
        <f>IF('ORDENES'!$A636="","",IF('ORDENES'!$W636="","-",'ORDENES'!$W636))</f>
        <v/>
      </c>
      <c r="G658" s="3">
        <f>IF('ORDENES'!$A636="","",IF('ORDENES'!$AB636="","-",'ORDENES'!$AB636))</f>
        <v/>
      </c>
      <c r="H658" s="3">
        <f>IF('ORDENES'!$A636="","",IF('ORDENES'!$AN636="","-",'ORDENES'!$AN636))</f>
        <v/>
      </c>
      <c r="I658" s="3">
        <f>IF('ORDENES'!$A636="","",IF('ORDENES'!$D636="","-",'ORDENES'!$D636))</f>
        <v/>
      </c>
      <c r="J658" s="3">
        <f>IF('ORDENES'!$A636="","",IF('ORDENES'!$E636="","-",'ORDENES'!$E636))</f>
        <v/>
      </c>
      <c r="K658" s="12">
        <f>IF('ORDENES'!$A636="","",IF('ORDENES'!$M636="",0,'ORDENES'!$M636))</f>
        <v/>
      </c>
      <c r="L658" s="3">
        <f>IF('ORDENES'!$A636="","",IF('ORDENES'!$N636="","-",'ORDENES'!$N636))</f>
        <v/>
      </c>
      <c r="M658" s="3">
        <f>IF('ORDENES'!$A636="","",'ORDENES'!$AA636)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IF('ORDENES'!$A637="","",IF('ORDENES'!$AC637="","-",'ORDENES'!$AC637))</f>
        <v/>
      </c>
      <c r="D659" s="3">
        <f>IF('ORDENES'!$A637="","",IF('ORDENES'!$V637="","-",'ORDENES'!$V637))</f>
        <v/>
      </c>
      <c r="E659" s="3">
        <f>IF('ORDENES'!$A637="","",IF('ORDENES'!$U637="","-",'ORDENES'!$U637))</f>
        <v/>
      </c>
      <c r="F659" s="3">
        <f>IF('ORDENES'!$A637="","",IF('ORDENES'!$W637="","-",'ORDENES'!$W637))</f>
        <v/>
      </c>
      <c r="G659" s="3">
        <f>IF('ORDENES'!$A637="","",IF('ORDENES'!$AB637="","-",'ORDENES'!$AB637))</f>
        <v/>
      </c>
      <c r="H659" s="3">
        <f>IF('ORDENES'!$A637="","",IF('ORDENES'!$AN637="","-",'ORDENES'!$AN637))</f>
        <v/>
      </c>
      <c r="I659" s="3">
        <f>IF('ORDENES'!$A637="","",IF('ORDENES'!$D637="","-",'ORDENES'!$D637))</f>
        <v/>
      </c>
      <c r="J659" s="3">
        <f>IF('ORDENES'!$A637="","",IF('ORDENES'!$E637="","-",'ORDENES'!$E637))</f>
        <v/>
      </c>
      <c r="K659" s="12">
        <f>IF('ORDENES'!$A637="","",IF('ORDENES'!$M637="",0,'ORDENES'!$M637))</f>
        <v/>
      </c>
      <c r="L659" s="3">
        <f>IF('ORDENES'!$A637="","",IF('ORDENES'!$N637="","-",'ORDENES'!$N637))</f>
        <v/>
      </c>
      <c r="M659" s="3">
        <f>IF('ORDENES'!$A637="","",'ORDENES'!$AA637)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IF('ORDENES'!$A638="","",IF('ORDENES'!$AC638="","-",'ORDENES'!$AC638))</f>
        <v/>
      </c>
      <c r="D660" s="3">
        <f>IF('ORDENES'!$A638="","",IF('ORDENES'!$V638="","-",'ORDENES'!$V638))</f>
        <v/>
      </c>
      <c r="E660" s="3">
        <f>IF('ORDENES'!$A638="","",IF('ORDENES'!$U638="","-",'ORDENES'!$U638))</f>
        <v/>
      </c>
      <c r="F660" s="3">
        <f>IF('ORDENES'!$A638="","",IF('ORDENES'!$W638="","-",'ORDENES'!$W638))</f>
        <v/>
      </c>
      <c r="G660" s="3">
        <f>IF('ORDENES'!$A638="","",IF('ORDENES'!$AB638="","-",'ORDENES'!$AB638))</f>
        <v/>
      </c>
      <c r="H660" s="3">
        <f>IF('ORDENES'!$A638="","",IF('ORDENES'!$AN638="","-",'ORDENES'!$AN638))</f>
        <v/>
      </c>
      <c r="I660" s="3">
        <f>IF('ORDENES'!$A638="","",IF('ORDENES'!$D638="","-",'ORDENES'!$D638))</f>
        <v/>
      </c>
      <c r="J660" s="3">
        <f>IF('ORDENES'!$A638="","",IF('ORDENES'!$E638="","-",'ORDENES'!$E638))</f>
        <v/>
      </c>
      <c r="K660" s="12">
        <f>IF('ORDENES'!$A638="","",IF('ORDENES'!$M638="",0,'ORDENES'!$M638))</f>
        <v/>
      </c>
      <c r="L660" s="3">
        <f>IF('ORDENES'!$A638="","",IF('ORDENES'!$N638="","-",'ORDENES'!$N638))</f>
        <v/>
      </c>
      <c r="M660" s="3">
        <f>IF('ORDENES'!$A638="","",'ORDENES'!$AA638)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IF('ORDENES'!$A639="","",IF('ORDENES'!$AC639="","-",'ORDENES'!$AC639))</f>
        <v/>
      </c>
      <c r="D661" s="3">
        <f>IF('ORDENES'!$A639="","",IF('ORDENES'!$V639="","-",'ORDENES'!$V639))</f>
        <v/>
      </c>
      <c r="E661" s="3">
        <f>IF('ORDENES'!$A639="","",IF('ORDENES'!$U639="","-",'ORDENES'!$U639))</f>
        <v/>
      </c>
      <c r="F661" s="3">
        <f>IF('ORDENES'!$A639="","",IF('ORDENES'!$W639="","-",'ORDENES'!$W639))</f>
        <v/>
      </c>
      <c r="G661" s="3">
        <f>IF('ORDENES'!$A639="","",IF('ORDENES'!$AB639="","-",'ORDENES'!$AB639))</f>
        <v/>
      </c>
      <c r="H661" s="3">
        <f>IF('ORDENES'!$A639="","",IF('ORDENES'!$AN639="","-",'ORDENES'!$AN639))</f>
        <v/>
      </c>
      <c r="I661" s="3">
        <f>IF('ORDENES'!$A639="","",IF('ORDENES'!$D639="","-",'ORDENES'!$D639))</f>
        <v/>
      </c>
      <c r="J661" s="3">
        <f>IF('ORDENES'!$A639="","",IF('ORDENES'!$E639="","-",'ORDENES'!$E639))</f>
        <v/>
      </c>
      <c r="K661" s="12">
        <f>IF('ORDENES'!$A639="","",IF('ORDENES'!$M639="",0,'ORDENES'!$M639))</f>
        <v/>
      </c>
      <c r="L661" s="3">
        <f>IF('ORDENES'!$A639="","",IF('ORDENES'!$N639="","-",'ORDENES'!$N639))</f>
        <v/>
      </c>
      <c r="M661" s="3">
        <f>IF('ORDENES'!$A639="","",'ORDENES'!$AA639)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IF('ORDENES'!$A640="","",IF('ORDENES'!$AC640="","-",'ORDENES'!$AC640))</f>
        <v/>
      </c>
      <c r="D662" s="3">
        <f>IF('ORDENES'!$A640="","",IF('ORDENES'!$V640="","-",'ORDENES'!$V640))</f>
        <v/>
      </c>
      <c r="E662" s="3">
        <f>IF('ORDENES'!$A640="","",IF('ORDENES'!$U640="","-",'ORDENES'!$U640))</f>
        <v/>
      </c>
      <c r="F662" s="3">
        <f>IF('ORDENES'!$A640="","",IF('ORDENES'!$W640="","-",'ORDENES'!$W640))</f>
        <v/>
      </c>
      <c r="G662" s="3">
        <f>IF('ORDENES'!$A640="","",IF('ORDENES'!$AB640="","-",'ORDENES'!$AB640))</f>
        <v/>
      </c>
      <c r="H662" s="3">
        <f>IF('ORDENES'!$A640="","",IF('ORDENES'!$AN640="","-",'ORDENES'!$AN640))</f>
        <v/>
      </c>
      <c r="I662" s="3">
        <f>IF('ORDENES'!$A640="","",IF('ORDENES'!$D640="","-",'ORDENES'!$D640))</f>
        <v/>
      </c>
      <c r="J662" s="3">
        <f>IF('ORDENES'!$A640="","",IF('ORDENES'!$E640="","-",'ORDENES'!$E640))</f>
        <v/>
      </c>
      <c r="K662" s="12">
        <f>IF('ORDENES'!$A640="","",IF('ORDENES'!$M640="",0,'ORDENES'!$M640))</f>
        <v/>
      </c>
      <c r="L662" s="3">
        <f>IF('ORDENES'!$A640="","",IF('ORDENES'!$N640="","-",'ORDENES'!$N640))</f>
        <v/>
      </c>
      <c r="M662" s="3">
        <f>IF('ORDENES'!$A640="","",'ORDENES'!$AA640)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IF('ORDENES'!$A641="","",IF('ORDENES'!$AC641="","-",'ORDENES'!$AC641))</f>
        <v/>
      </c>
      <c r="D663" s="3">
        <f>IF('ORDENES'!$A641="","",IF('ORDENES'!$V641="","-",'ORDENES'!$V641))</f>
        <v/>
      </c>
      <c r="E663" s="3">
        <f>IF('ORDENES'!$A641="","",IF('ORDENES'!$U641="","-",'ORDENES'!$U641))</f>
        <v/>
      </c>
      <c r="F663" s="3">
        <f>IF('ORDENES'!$A641="","",IF('ORDENES'!$W641="","-",'ORDENES'!$W641))</f>
        <v/>
      </c>
      <c r="G663" s="3">
        <f>IF('ORDENES'!$A641="","",IF('ORDENES'!$AB641="","-",'ORDENES'!$AB641))</f>
        <v/>
      </c>
      <c r="H663" s="3">
        <f>IF('ORDENES'!$A641="","",IF('ORDENES'!$AN641="","-",'ORDENES'!$AN641))</f>
        <v/>
      </c>
      <c r="I663" s="3">
        <f>IF('ORDENES'!$A641="","",IF('ORDENES'!$D641="","-",'ORDENES'!$D641))</f>
        <v/>
      </c>
      <c r="J663" s="3">
        <f>IF('ORDENES'!$A641="","",IF('ORDENES'!$E641="","-",'ORDENES'!$E641))</f>
        <v/>
      </c>
      <c r="K663" s="12">
        <f>IF('ORDENES'!$A641="","",IF('ORDENES'!$M641="",0,'ORDENES'!$M641))</f>
        <v/>
      </c>
      <c r="L663" s="3">
        <f>IF('ORDENES'!$A641="","",IF('ORDENES'!$N641="","-",'ORDENES'!$N641))</f>
        <v/>
      </c>
      <c r="M663" s="3">
        <f>IF('ORDENES'!$A641="","",'ORDENES'!$AA641)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IF('ORDENES'!$A642="","",IF('ORDENES'!$AC642="","-",'ORDENES'!$AC642))</f>
        <v/>
      </c>
      <c r="D664" s="3">
        <f>IF('ORDENES'!$A642="","",IF('ORDENES'!$V642="","-",'ORDENES'!$V642))</f>
        <v/>
      </c>
      <c r="E664" s="3">
        <f>IF('ORDENES'!$A642="","",IF('ORDENES'!$U642="","-",'ORDENES'!$U642))</f>
        <v/>
      </c>
      <c r="F664" s="3">
        <f>IF('ORDENES'!$A642="","",IF('ORDENES'!$W642="","-",'ORDENES'!$W642))</f>
        <v/>
      </c>
      <c r="G664" s="3">
        <f>IF('ORDENES'!$A642="","",IF('ORDENES'!$AB642="","-",'ORDENES'!$AB642))</f>
        <v/>
      </c>
      <c r="H664" s="3">
        <f>IF('ORDENES'!$A642="","",IF('ORDENES'!$AN642="","-",'ORDENES'!$AN642))</f>
        <v/>
      </c>
      <c r="I664" s="3">
        <f>IF('ORDENES'!$A642="","",IF('ORDENES'!$D642="","-",'ORDENES'!$D642))</f>
        <v/>
      </c>
      <c r="J664" s="3">
        <f>IF('ORDENES'!$A642="","",IF('ORDENES'!$E642="","-",'ORDENES'!$E642))</f>
        <v/>
      </c>
      <c r="K664" s="12">
        <f>IF('ORDENES'!$A642="","",IF('ORDENES'!$M642="",0,'ORDENES'!$M642))</f>
        <v/>
      </c>
      <c r="L664" s="3">
        <f>IF('ORDENES'!$A642="","",IF('ORDENES'!$N642="","-",'ORDENES'!$N642))</f>
        <v/>
      </c>
      <c r="M664" s="3">
        <f>IF('ORDENES'!$A642="","",'ORDENES'!$AA642)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IF('ORDENES'!$A643="","",IF('ORDENES'!$AC643="","-",'ORDENES'!$AC643))</f>
        <v/>
      </c>
      <c r="D665" s="3">
        <f>IF('ORDENES'!$A643="","",IF('ORDENES'!$V643="","-",'ORDENES'!$V643))</f>
        <v/>
      </c>
      <c r="E665" s="3">
        <f>IF('ORDENES'!$A643="","",IF('ORDENES'!$U643="","-",'ORDENES'!$U643))</f>
        <v/>
      </c>
      <c r="F665" s="3">
        <f>IF('ORDENES'!$A643="","",IF('ORDENES'!$W643="","-",'ORDENES'!$W643))</f>
        <v/>
      </c>
      <c r="G665" s="3">
        <f>IF('ORDENES'!$A643="","",IF('ORDENES'!$AB643="","-",'ORDENES'!$AB643))</f>
        <v/>
      </c>
      <c r="H665" s="3">
        <f>IF('ORDENES'!$A643="","",IF('ORDENES'!$AN643="","-",'ORDENES'!$AN643))</f>
        <v/>
      </c>
      <c r="I665" s="3">
        <f>IF('ORDENES'!$A643="","",IF('ORDENES'!$D643="","-",'ORDENES'!$D643))</f>
        <v/>
      </c>
      <c r="J665" s="3">
        <f>IF('ORDENES'!$A643="","",IF('ORDENES'!$E643="","-",'ORDENES'!$E643))</f>
        <v/>
      </c>
      <c r="K665" s="12">
        <f>IF('ORDENES'!$A643="","",IF('ORDENES'!$M643="",0,'ORDENES'!$M643))</f>
        <v/>
      </c>
      <c r="L665" s="3">
        <f>IF('ORDENES'!$A643="","",IF('ORDENES'!$N643="","-",'ORDENES'!$N643))</f>
        <v/>
      </c>
      <c r="M665" s="3">
        <f>IF('ORDENES'!$A643="","",'ORDENES'!$AA643)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IF('ORDENES'!$A644="","",IF('ORDENES'!$AC644="","-",'ORDENES'!$AC644))</f>
        <v/>
      </c>
      <c r="D666" s="3">
        <f>IF('ORDENES'!$A644="","",IF('ORDENES'!$V644="","-",'ORDENES'!$V644))</f>
        <v/>
      </c>
      <c r="E666" s="3">
        <f>IF('ORDENES'!$A644="","",IF('ORDENES'!$U644="","-",'ORDENES'!$U644))</f>
        <v/>
      </c>
      <c r="F666" s="3">
        <f>IF('ORDENES'!$A644="","",IF('ORDENES'!$W644="","-",'ORDENES'!$W644))</f>
        <v/>
      </c>
      <c r="G666" s="3">
        <f>IF('ORDENES'!$A644="","",IF('ORDENES'!$AB644="","-",'ORDENES'!$AB644))</f>
        <v/>
      </c>
      <c r="H666" s="3">
        <f>IF('ORDENES'!$A644="","",IF('ORDENES'!$AN644="","-",'ORDENES'!$AN644))</f>
        <v/>
      </c>
      <c r="I666" s="3">
        <f>IF('ORDENES'!$A644="","",IF('ORDENES'!$D644="","-",'ORDENES'!$D644))</f>
        <v/>
      </c>
      <c r="J666" s="3">
        <f>IF('ORDENES'!$A644="","",IF('ORDENES'!$E644="","-",'ORDENES'!$E644))</f>
        <v/>
      </c>
      <c r="K666" s="12">
        <f>IF('ORDENES'!$A644="","",IF('ORDENES'!$M644="",0,'ORDENES'!$M644))</f>
        <v/>
      </c>
      <c r="L666" s="3">
        <f>IF('ORDENES'!$A644="","",IF('ORDENES'!$N644="","-",'ORDENES'!$N644))</f>
        <v/>
      </c>
      <c r="M666" s="3">
        <f>IF('ORDENES'!$A644="","",'ORDENES'!$AA644)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IF('ORDENES'!$A645="","",IF('ORDENES'!$AC645="","-",'ORDENES'!$AC645))</f>
        <v/>
      </c>
      <c r="D667" s="3">
        <f>IF('ORDENES'!$A645="","",IF('ORDENES'!$V645="","-",'ORDENES'!$V645))</f>
        <v/>
      </c>
      <c r="E667" s="3">
        <f>IF('ORDENES'!$A645="","",IF('ORDENES'!$U645="","-",'ORDENES'!$U645))</f>
        <v/>
      </c>
      <c r="F667" s="3">
        <f>IF('ORDENES'!$A645="","",IF('ORDENES'!$W645="","-",'ORDENES'!$W645))</f>
        <v/>
      </c>
      <c r="G667" s="3">
        <f>IF('ORDENES'!$A645="","",IF('ORDENES'!$AB645="","-",'ORDENES'!$AB645))</f>
        <v/>
      </c>
      <c r="H667" s="3">
        <f>IF('ORDENES'!$A645="","",IF('ORDENES'!$AN645="","-",'ORDENES'!$AN645))</f>
        <v/>
      </c>
      <c r="I667" s="3">
        <f>IF('ORDENES'!$A645="","",IF('ORDENES'!$D645="","-",'ORDENES'!$D645))</f>
        <v/>
      </c>
      <c r="J667" s="3">
        <f>IF('ORDENES'!$A645="","",IF('ORDENES'!$E645="","-",'ORDENES'!$E645))</f>
        <v/>
      </c>
      <c r="K667" s="12">
        <f>IF('ORDENES'!$A645="","",IF('ORDENES'!$M645="",0,'ORDENES'!$M645))</f>
        <v/>
      </c>
      <c r="L667" s="3">
        <f>IF('ORDENES'!$A645="","",IF('ORDENES'!$N645="","-",'ORDENES'!$N645))</f>
        <v/>
      </c>
      <c r="M667" s="3">
        <f>IF('ORDENES'!$A645="","",'ORDENES'!$AA645)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IF('ORDENES'!$A646="","",IF('ORDENES'!$AC646="","-",'ORDENES'!$AC646))</f>
        <v/>
      </c>
      <c r="D668" s="3">
        <f>IF('ORDENES'!$A646="","",IF('ORDENES'!$V646="","-",'ORDENES'!$V646))</f>
        <v/>
      </c>
      <c r="E668" s="3">
        <f>IF('ORDENES'!$A646="","",IF('ORDENES'!$U646="","-",'ORDENES'!$U646))</f>
        <v/>
      </c>
      <c r="F668" s="3">
        <f>IF('ORDENES'!$A646="","",IF('ORDENES'!$W646="","-",'ORDENES'!$W646))</f>
        <v/>
      </c>
      <c r="G668" s="3">
        <f>IF('ORDENES'!$A646="","",IF('ORDENES'!$AB646="","-",'ORDENES'!$AB646))</f>
        <v/>
      </c>
      <c r="H668" s="3">
        <f>IF('ORDENES'!$A646="","",IF('ORDENES'!$AN646="","-",'ORDENES'!$AN646))</f>
        <v/>
      </c>
      <c r="I668" s="3">
        <f>IF('ORDENES'!$A646="","",IF('ORDENES'!$D646="","-",'ORDENES'!$D646))</f>
        <v/>
      </c>
      <c r="J668" s="3">
        <f>IF('ORDENES'!$A646="","",IF('ORDENES'!$E646="","-",'ORDENES'!$E646))</f>
        <v/>
      </c>
      <c r="K668" s="12">
        <f>IF('ORDENES'!$A646="","",IF('ORDENES'!$M646="",0,'ORDENES'!$M646))</f>
        <v/>
      </c>
      <c r="L668" s="3">
        <f>IF('ORDENES'!$A646="","",IF('ORDENES'!$N646="","-",'ORDENES'!$N646))</f>
        <v/>
      </c>
      <c r="M668" s="3">
        <f>IF('ORDENES'!$A646="","",'ORDENES'!$AA646)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IF('ORDENES'!$A647="","",IF('ORDENES'!$AC647="","-",'ORDENES'!$AC647))</f>
        <v/>
      </c>
      <c r="D669" s="3">
        <f>IF('ORDENES'!$A647="","",IF('ORDENES'!$V647="","-",'ORDENES'!$V647))</f>
        <v/>
      </c>
      <c r="E669" s="3">
        <f>IF('ORDENES'!$A647="","",IF('ORDENES'!$U647="","-",'ORDENES'!$U647))</f>
        <v/>
      </c>
      <c r="F669" s="3">
        <f>IF('ORDENES'!$A647="","",IF('ORDENES'!$W647="","-",'ORDENES'!$W647))</f>
        <v/>
      </c>
      <c r="G669" s="3">
        <f>IF('ORDENES'!$A647="","",IF('ORDENES'!$AB647="","-",'ORDENES'!$AB647))</f>
        <v/>
      </c>
      <c r="H669" s="3">
        <f>IF('ORDENES'!$A647="","",IF('ORDENES'!$AN647="","-",'ORDENES'!$AN647))</f>
        <v/>
      </c>
      <c r="I669" s="3">
        <f>IF('ORDENES'!$A647="","",IF('ORDENES'!$D647="","-",'ORDENES'!$D647))</f>
        <v/>
      </c>
      <c r="J669" s="3">
        <f>IF('ORDENES'!$A647="","",IF('ORDENES'!$E647="","-",'ORDENES'!$E647))</f>
        <v/>
      </c>
      <c r="K669" s="12">
        <f>IF('ORDENES'!$A647="","",IF('ORDENES'!$M647="",0,'ORDENES'!$M647))</f>
        <v/>
      </c>
      <c r="L669" s="3">
        <f>IF('ORDENES'!$A647="","",IF('ORDENES'!$N647="","-",'ORDENES'!$N647))</f>
        <v/>
      </c>
      <c r="M669" s="3">
        <f>IF('ORDENES'!$A647="","",'ORDENES'!$AA647)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IF('ORDENES'!$A648="","",IF('ORDENES'!$AC648="","-",'ORDENES'!$AC648))</f>
        <v/>
      </c>
      <c r="D670" s="3">
        <f>IF('ORDENES'!$A648="","",IF('ORDENES'!$V648="","-",'ORDENES'!$V648))</f>
        <v/>
      </c>
      <c r="E670" s="3">
        <f>IF('ORDENES'!$A648="","",IF('ORDENES'!$U648="","-",'ORDENES'!$U648))</f>
        <v/>
      </c>
      <c r="F670" s="3">
        <f>IF('ORDENES'!$A648="","",IF('ORDENES'!$W648="","-",'ORDENES'!$W648))</f>
        <v/>
      </c>
      <c r="G670" s="3">
        <f>IF('ORDENES'!$A648="","",IF('ORDENES'!$AB648="","-",'ORDENES'!$AB648))</f>
        <v/>
      </c>
      <c r="H670" s="3">
        <f>IF('ORDENES'!$A648="","",IF('ORDENES'!$AN648="","-",'ORDENES'!$AN648))</f>
        <v/>
      </c>
      <c r="I670" s="3">
        <f>IF('ORDENES'!$A648="","",IF('ORDENES'!$D648="","-",'ORDENES'!$D648))</f>
        <v/>
      </c>
      <c r="J670" s="3">
        <f>IF('ORDENES'!$A648="","",IF('ORDENES'!$E648="","-",'ORDENES'!$E648))</f>
        <v/>
      </c>
      <c r="K670" s="12">
        <f>IF('ORDENES'!$A648="","",IF('ORDENES'!$M648="",0,'ORDENES'!$M648))</f>
        <v/>
      </c>
      <c r="L670" s="3">
        <f>IF('ORDENES'!$A648="","",IF('ORDENES'!$N648="","-",'ORDENES'!$N648))</f>
        <v/>
      </c>
      <c r="M670" s="3">
        <f>IF('ORDENES'!$A648="","",'ORDENES'!$AA648)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IF('ORDENES'!$A649="","",IF('ORDENES'!$AC649="","-",'ORDENES'!$AC649))</f>
        <v/>
      </c>
      <c r="D671" s="3">
        <f>IF('ORDENES'!$A649="","",IF('ORDENES'!$V649="","-",'ORDENES'!$V649))</f>
        <v/>
      </c>
      <c r="E671" s="3">
        <f>IF('ORDENES'!$A649="","",IF('ORDENES'!$U649="","-",'ORDENES'!$U649))</f>
        <v/>
      </c>
      <c r="F671" s="3">
        <f>IF('ORDENES'!$A649="","",IF('ORDENES'!$W649="","-",'ORDENES'!$W649))</f>
        <v/>
      </c>
      <c r="G671" s="3">
        <f>IF('ORDENES'!$A649="","",IF('ORDENES'!$AB649="","-",'ORDENES'!$AB649))</f>
        <v/>
      </c>
      <c r="H671" s="3">
        <f>IF('ORDENES'!$A649="","",IF('ORDENES'!$AN649="","-",'ORDENES'!$AN649))</f>
        <v/>
      </c>
      <c r="I671" s="3">
        <f>IF('ORDENES'!$A649="","",IF('ORDENES'!$D649="","-",'ORDENES'!$D649))</f>
        <v/>
      </c>
      <c r="J671" s="3">
        <f>IF('ORDENES'!$A649="","",IF('ORDENES'!$E649="","-",'ORDENES'!$E649))</f>
        <v/>
      </c>
      <c r="K671" s="12">
        <f>IF('ORDENES'!$A649="","",IF('ORDENES'!$M649="",0,'ORDENES'!$M649))</f>
        <v/>
      </c>
      <c r="L671" s="3">
        <f>IF('ORDENES'!$A649="","",IF('ORDENES'!$N649="","-",'ORDENES'!$N649))</f>
        <v/>
      </c>
      <c r="M671" s="3">
        <f>IF('ORDENES'!$A649="","",'ORDENES'!$AA649)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IF('ORDENES'!$A650="","",IF('ORDENES'!$AC650="","-",'ORDENES'!$AC650))</f>
        <v/>
      </c>
      <c r="D672" s="3">
        <f>IF('ORDENES'!$A650="","",IF('ORDENES'!$V650="","-",'ORDENES'!$V650))</f>
        <v/>
      </c>
      <c r="E672" s="3">
        <f>IF('ORDENES'!$A650="","",IF('ORDENES'!$U650="","-",'ORDENES'!$U650))</f>
        <v/>
      </c>
      <c r="F672" s="3">
        <f>IF('ORDENES'!$A650="","",IF('ORDENES'!$W650="","-",'ORDENES'!$W650))</f>
        <v/>
      </c>
      <c r="G672" s="3">
        <f>IF('ORDENES'!$A650="","",IF('ORDENES'!$AB650="","-",'ORDENES'!$AB650))</f>
        <v/>
      </c>
      <c r="H672" s="3">
        <f>IF('ORDENES'!$A650="","",IF('ORDENES'!$AN650="","-",'ORDENES'!$AN650))</f>
        <v/>
      </c>
      <c r="I672" s="3">
        <f>IF('ORDENES'!$A650="","",IF('ORDENES'!$D650="","-",'ORDENES'!$D650))</f>
        <v/>
      </c>
      <c r="J672" s="3">
        <f>IF('ORDENES'!$A650="","",IF('ORDENES'!$E650="","-",'ORDENES'!$E650))</f>
        <v/>
      </c>
      <c r="K672" s="12">
        <f>IF('ORDENES'!$A650="","",IF('ORDENES'!$M650="",0,'ORDENES'!$M650))</f>
        <v/>
      </c>
      <c r="L672" s="3">
        <f>IF('ORDENES'!$A650="","",IF('ORDENES'!$N650="","-",'ORDENES'!$N650))</f>
        <v/>
      </c>
      <c r="M672" s="3">
        <f>IF('ORDENES'!$A650="","",'ORDENES'!$AA650)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IF('ORDENES'!$A651="","",IF('ORDENES'!$AC651="","-",'ORDENES'!$AC651))</f>
        <v/>
      </c>
      <c r="D673" s="3">
        <f>IF('ORDENES'!$A651="","",IF('ORDENES'!$V651="","-",'ORDENES'!$V651))</f>
        <v/>
      </c>
      <c r="E673" s="3">
        <f>IF('ORDENES'!$A651="","",IF('ORDENES'!$U651="","-",'ORDENES'!$U651))</f>
        <v/>
      </c>
      <c r="F673" s="3">
        <f>IF('ORDENES'!$A651="","",IF('ORDENES'!$W651="","-",'ORDENES'!$W651))</f>
        <v/>
      </c>
      <c r="G673" s="3">
        <f>IF('ORDENES'!$A651="","",IF('ORDENES'!$AB651="","-",'ORDENES'!$AB651))</f>
        <v/>
      </c>
      <c r="H673" s="3">
        <f>IF('ORDENES'!$A651="","",IF('ORDENES'!$AN651="","-",'ORDENES'!$AN651))</f>
        <v/>
      </c>
      <c r="I673" s="3">
        <f>IF('ORDENES'!$A651="","",IF('ORDENES'!$D651="","-",'ORDENES'!$D651))</f>
        <v/>
      </c>
      <c r="J673" s="3">
        <f>IF('ORDENES'!$A651="","",IF('ORDENES'!$E651="","-",'ORDENES'!$E651))</f>
        <v/>
      </c>
      <c r="K673" s="12">
        <f>IF('ORDENES'!$A651="","",IF('ORDENES'!$M651="",0,'ORDENES'!$M651))</f>
        <v/>
      </c>
      <c r="L673" s="3">
        <f>IF('ORDENES'!$A651="","",IF('ORDENES'!$N651="","-",'ORDENES'!$N651))</f>
        <v/>
      </c>
      <c r="M673" s="3">
        <f>IF('ORDENES'!$A651="","",'ORDENES'!$AA651)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IF('ORDENES'!$A652="","",IF('ORDENES'!$AC652="","-",'ORDENES'!$AC652))</f>
        <v/>
      </c>
      <c r="D674" s="3">
        <f>IF('ORDENES'!$A652="","",IF('ORDENES'!$V652="","-",'ORDENES'!$V652))</f>
        <v/>
      </c>
      <c r="E674" s="3">
        <f>IF('ORDENES'!$A652="","",IF('ORDENES'!$U652="","-",'ORDENES'!$U652))</f>
        <v/>
      </c>
      <c r="F674" s="3">
        <f>IF('ORDENES'!$A652="","",IF('ORDENES'!$W652="","-",'ORDENES'!$W652))</f>
        <v/>
      </c>
      <c r="G674" s="3">
        <f>IF('ORDENES'!$A652="","",IF('ORDENES'!$AB652="","-",'ORDENES'!$AB652))</f>
        <v/>
      </c>
      <c r="H674" s="3">
        <f>IF('ORDENES'!$A652="","",IF('ORDENES'!$AN652="","-",'ORDENES'!$AN652))</f>
        <v/>
      </c>
      <c r="I674" s="3">
        <f>IF('ORDENES'!$A652="","",IF('ORDENES'!$D652="","-",'ORDENES'!$D652))</f>
        <v/>
      </c>
      <c r="J674" s="3">
        <f>IF('ORDENES'!$A652="","",IF('ORDENES'!$E652="","-",'ORDENES'!$E652))</f>
        <v/>
      </c>
      <c r="K674" s="12">
        <f>IF('ORDENES'!$A652="","",IF('ORDENES'!$M652="",0,'ORDENES'!$M652))</f>
        <v/>
      </c>
      <c r="L674" s="3">
        <f>IF('ORDENES'!$A652="","",IF('ORDENES'!$N652="","-",'ORDENES'!$N652))</f>
        <v/>
      </c>
      <c r="M674" s="3">
        <f>IF('ORDENES'!$A652="","",'ORDENES'!$AA652)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IF('ORDENES'!$A653="","",IF('ORDENES'!$AC653="","-",'ORDENES'!$AC653))</f>
        <v/>
      </c>
      <c r="D675" s="3">
        <f>IF('ORDENES'!$A653="","",IF('ORDENES'!$V653="","-",'ORDENES'!$V653))</f>
        <v/>
      </c>
      <c r="E675" s="3">
        <f>IF('ORDENES'!$A653="","",IF('ORDENES'!$U653="","-",'ORDENES'!$U653))</f>
        <v/>
      </c>
      <c r="F675" s="3">
        <f>IF('ORDENES'!$A653="","",IF('ORDENES'!$W653="","-",'ORDENES'!$W653))</f>
        <v/>
      </c>
      <c r="G675" s="3">
        <f>IF('ORDENES'!$A653="","",IF('ORDENES'!$AB653="","-",'ORDENES'!$AB653))</f>
        <v/>
      </c>
      <c r="H675" s="3">
        <f>IF('ORDENES'!$A653="","",IF('ORDENES'!$AN653="","-",'ORDENES'!$AN653))</f>
        <v/>
      </c>
      <c r="I675" s="3">
        <f>IF('ORDENES'!$A653="","",IF('ORDENES'!$D653="","-",'ORDENES'!$D653))</f>
        <v/>
      </c>
      <c r="J675" s="3">
        <f>IF('ORDENES'!$A653="","",IF('ORDENES'!$E653="","-",'ORDENES'!$E653))</f>
        <v/>
      </c>
      <c r="K675" s="12">
        <f>IF('ORDENES'!$A653="","",IF('ORDENES'!$M653="",0,'ORDENES'!$M653))</f>
        <v/>
      </c>
      <c r="L675" s="3">
        <f>IF('ORDENES'!$A653="","",IF('ORDENES'!$N653="","-",'ORDENES'!$N653))</f>
        <v/>
      </c>
      <c r="M675" s="3">
        <f>IF('ORDENES'!$A653="","",'ORDENES'!$AA653)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IF('ORDENES'!$A654="","",IF('ORDENES'!$AC654="","-",'ORDENES'!$AC654))</f>
        <v/>
      </c>
      <c r="D676" s="3">
        <f>IF('ORDENES'!$A654="","",IF('ORDENES'!$V654="","-",'ORDENES'!$V654))</f>
        <v/>
      </c>
      <c r="E676" s="3">
        <f>IF('ORDENES'!$A654="","",IF('ORDENES'!$U654="","-",'ORDENES'!$U654))</f>
        <v/>
      </c>
      <c r="F676" s="3">
        <f>IF('ORDENES'!$A654="","",IF('ORDENES'!$W654="","-",'ORDENES'!$W654))</f>
        <v/>
      </c>
      <c r="G676" s="3">
        <f>IF('ORDENES'!$A654="","",IF('ORDENES'!$AB654="","-",'ORDENES'!$AB654))</f>
        <v/>
      </c>
      <c r="H676" s="3">
        <f>IF('ORDENES'!$A654="","",IF('ORDENES'!$AN654="","-",'ORDENES'!$AN654))</f>
        <v/>
      </c>
      <c r="I676" s="3">
        <f>IF('ORDENES'!$A654="","",IF('ORDENES'!$D654="","-",'ORDENES'!$D654))</f>
        <v/>
      </c>
      <c r="J676" s="3">
        <f>IF('ORDENES'!$A654="","",IF('ORDENES'!$E654="","-",'ORDENES'!$E654))</f>
        <v/>
      </c>
      <c r="K676" s="12">
        <f>IF('ORDENES'!$A654="","",IF('ORDENES'!$M654="",0,'ORDENES'!$M654))</f>
        <v/>
      </c>
      <c r="L676" s="3">
        <f>IF('ORDENES'!$A654="","",IF('ORDENES'!$N654="","-",'ORDENES'!$N654))</f>
        <v/>
      </c>
      <c r="M676" s="3">
        <f>IF('ORDENES'!$A654="","",'ORDENES'!$AA654)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IF('ORDENES'!$A655="","",IF('ORDENES'!$AC655="","-",'ORDENES'!$AC655))</f>
        <v/>
      </c>
      <c r="D677" s="3">
        <f>IF('ORDENES'!$A655="","",IF('ORDENES'!$V655="","-",'ORDENES'!$V655))</f>
        <v/>
      </c>
      <c r="E677" s="3">
        <f>IF('ORDENES'!$A655="","",IF('ORDENES'!$U655="","-",'ORDENES'!$U655))</f>
        <v/>
      </c>
      <c r="F677" s="3">
        <f>IF('ORDENES'!$A655="","",IF('ORDENES'!$W655="","-",'ORDENES'!$W655))</f>
        <v/>
      </c>
      <c r="G677" s="3">
        <f>IF('ORDENES'!$A655="","",IF('ORDENES'!$AB655="","-",'ORDENES'!$AB655))</f>
        <v/>
      </c>
      <c r="H677" s="3">
        <f>IF('ORDENES'!$A655="","",IF('ORDENES'!$AN655="","-",'ORDENES'!$AN655))</f>
        <v/>
      </c>
      <c r="I677" s="3">
        <f>IF('ORDENES'!$A655="","",IF('ORDENES'!$D655="","-",'ORDENES'!$D655))</f>
        <v/>
      </c>
      <c r="J677" s="3">
        <f>IF('ORDENES'!$A655="","",IF('ORDENES'!$E655="","-",'ORDENES'!$E655))</f>
        <v/>
      </c>
      <c r="K677" s="12">
        <f>IF('ORDENES'!$A655="","",IF('ORDENES'!$M655="",0,'ORDENES'!$M655))</f>
        <v/>
      </c>
      <c r="L677" s="3">
        <f>IF('ORDENES'!$A655="","",IF('ORDENES'!$N655="","-",'ORDENES'!$N655))</f>
        <v/>
      </c>
      <c r="M677" s="3">
        <f>IF('ORDENES'!$A655="","",'ORDENES'!$AA655)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IF('ORDENES'!$A656="","",IF('ORDENES'!$AC656="","-",'ORDENES'!$AC656))</f>
        <v/>
      </c>
      <c r="D678" s="3">
        <f>IF('ORDENES'!$A656="","",IF('ORDENES'!$V656="","-",'ORDENES'!$V656))</f>
        <v/>
      </c>
      <c r="E678" s="3">
        <f>IF('ORDENES'!$A656="","",IF('ORDENES'!$U656="","-",'ORDENES'!$U656))</f>
        <v/>
      </c>
      <c r="F678" s="3">
        <f>IF('ORDENES'!$A656="","",IF('ORDENES'!$W656="","-",'ORDENES'!$W656))</f>
        <v/>
      </c>
      <c r="G678" s="3">
        <f>IF('ORDENES'!$A656="","",IF('ORDENES'!$AB656="","-",'ORDENES'!$AB656))</f>
        <v/>
      </c>
      <c r="H678" s="3">
        <f>IF('ORDENES'!$A656="","",IF('ORDENES'!$AN656="","-",'ORDENES'!$AN656))</f>
        <v/>
      </c>
      <c r="I678" s="3">
        <f>IF('ORDENES'!$A656="","",IF('ORDENES'!$D656="","-",'ORDENES'!$D656))</f>
        <v/>
      </c>
      <c r="J678" s="3">
        <f>IF('ORDENES'!$A656="","",IF('ORDENES'!$E656="","-",'ORDENES'!$E656))</f>
        <v/>
      </c>
      <c r="K678" s="12">
        <f>IF('ORDENES'!$A656="","",IF('ORDENES'!$M656="",0,'ORDENES'!$M656))</f>
        <v/>
      </c>
      <c r="L678" s="3">
        <f>IF('ORDENES'!$A656="","",IF('ORDENES'!$N656="","-",'ORDENES'!$N656))</f>
        <v/>
      </c>
      <c r="M678" s="3">
        <f>IF('ORDENES'!$A656="","",'ORDENES'!$AA656)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IF('ORDENES'!$A657="","",IF('ORDENES'!$AC657="","-",'ORDENES'!$AC657))</f>
        <v/>
      </c>
      <c r="D679" s="3">
        <f>IF('ORDENES'!$A657="","",IF('ORDENES'!$V657="","-",'ORDENES'!$V657))</f>
        <v/>
      </c>
      <c r="E679" s="3">
        <f>IF('ORDENES'!$A657="","",IF('ORDENES'!$U657="","-",'ORDENES'!$U657))</f>
        <v/>
      </c>
      <c r="F679" s="3">
        <f>IF('ORDENES'!$A657="","",IF('ORDENES'!$W657="","-",'ORDENES'!$W657))</f>
        <v/>
      </c>
      <c r="G679" s="3">
        <f>IF('ORDENES'!$A657="","",IF('ORDENES'!$AB657="","-",'ORDENES'!$AB657))</f>
        <v/>
      </c>
      <c r="H679" s="3">
        <f>IF('ORDENES'!$A657="","",IF('ORDENES'!$AN657="","-",'ORDENES'!$AN657))</f>
        <v/>
      </c>
      <c r="I679" s="3">
        <f>IF('ORDENES'!$A657="","",IF('ORDENES'!$D657="","-",'ORDENES'!$D657))</f>
        <v/>
      </c>
      <c r="J679" s="3">
        <f>IF('ORDENES'!$A657="","",IF('ORDENES'!$E657="","-",'ORDENES'!$E657))</f>
        <v/>
      </c>
      <c r="K679" s="12">
        <f>IF('ORDENES'!$A657="","",IF('ORDENES'!$M657="",0,'ORDENES'!$M657))</f>
        <v/>
      </c>
      <c r="L679" s="3">
        <f>IF('ORDENES'!$A657="","",IF('ORDENES'!$N657="","-",'ORDENES'!$N657))</f>
        <v/>
      </c>
      <c r="M679" s="3">
        <f>IF('ORDENES'!$A657="","",'ORDENES'!$AA657)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IF('ORDENES'!$A658="","",IF('ORDENES'!$AC658="","-",'ORDENES'!$AC658))</f>
        <v/>
      </c>
      <c r="D680" s="3">
        <f>IF('ORDENES'!$A658="","",IF('ORDENES'!$V658="","-",'ORDENES'!$V658))</f>
        <v/>
      </c>
      <c r="E680" s="3">
        <f>IF('ORDENES'!$A658="","",IF('ORDENES'!$U658="","-",'ORDENES'!$U658))</f>
        <v/>
      </c>
      <c r="F680" s="3">
        <f>IF('ORDENES'!$A658="","",IF('ORDENES'!$W658="","-",'ORDENES'!$W658))</f>
        <v/>
      </c>
      <c r="G680" s="3">
        <f>IF('ORDENES'!$A658="","",IF('ORDENES'!$AB658="","-",'ORDENES'!$AB658))</f>
        <v/>
      </c>
      <c r="H680" s="3">
        <f>IF('ORDENES'!$A658="","",IF('ORDENES'!$AN658="","-",'ORDENES'!$AN658))</f>
        <v/>
      </c>
      <c r="I680" s="3">
        <f>IF('ORDENES'!$A658="","",IF('ORDENES'!$D658="","-",'ORDENES'!$D658))</f>
        <v/>
      </c>
      <c r="J680" s="3">
        <f>IF('ORDENES'!$A658="","",IF('ORDENES'!$E658="","-",'ORDENES'!$E658))</f>
        <v/>
      </c>
      <c r="K680" s="12">
        <f>IF('ORDENES'!$A658="","",IF('ORDENES'!$M658="",0,'ORDENES'!$M658))</f>
        <v/>
      </c>
      <c r="L680" s="3">
        <f>IF('ORDENES'!$A658="","",IF('ORDENES'!$N658="","-",'ORDENES'!$N658))</f>
        <v/>
      </c>
      <c r="M680" s="3">
        <f>IF('ORDENES'!$A658="","",'ORDENES'!$AA658)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IF('ORDENES'!$A659="","",IF('ORDENES'!$AC659="","-",'ORDENES'!$AC659))</f>
        <v/>
      </c>
      <c r="D681" s="3">
        <f>IF('ORDENES'!$A659="","",IF('ORDENES'!$V659="","-",'ORDENES'!$V659))</f>
        <v/>
      </c>
      <c r="E681" s="3">
        <f>IF('ORDENES'!$A659="","",IF('ORDENES'!$U659="","-",'ORDENES'!$U659))</f>
        <v/>
      </c>
      <c r="F681" s="3">
        <f>IF('ORDENES'!$A659="","",IF('ORDENES'!$W659="","-",'ORDENES'!$W659))</f>
        <v/>
      </c>
      <c r="G681" s="3">
        <f>IF('ORDENES'!$A659="","",IF('ORDENES'!$AB659="","-",'ORDENES'!$AB659))</f>
        <v/>
      </c>
      <c r="H681" s="3">
        <f>IF('ORDENES'!$A659="","",IF('ORDENES'!$AN659="","-",'ORDENES'!$AN659))</f>
        <v/>
      </c>
      <c r="I681" s="3">
        <f>IF('ORDENES'!$A659="","",IF('ORDENES'!$D659="","-",'ORDENES'!$D659))</f>
        <v/>
      </c>
      <c r="J681" s="3">
        <f>IF('ORDENES'!$A659="","",IF('ORDENES'!$E659="","-",'ORDENES'!$E659))</f>
        <v/>
      </c>
      <c r="K681" s="12">
        <f>IF('ORDENES'!$A659="","",IF('ORDENES'!$M659="",0,'ORDENES'!$M659))</f>
        <v/>
      </c>
      <c r="L681" s="3">
        <f>IF('ORDENES'!$A659="","",IF('ORDENES'!$N659="","-",'ORDENES'!$N659))</f>
        <v/>
      </c>
      <c r="M681" s="3">
        <f>IF('ORDENES'!$A659="","",'ORDENES'!$AA659)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IF('ORDENES'!$A660="","",IF('ORDENES'!$AC660="","-",'ORDENES'!$AC660))</f>
        <v/>
      </c>
      <c r="D682" s="3">
        <f>IF('ORDENES'!$A660="","",IF('ORDENES'!$V660="","-",'ORDENES'!$V660))</f>
        <v/>
      </c>
      <c r="E682" s="3">
        <f>IF('ORDENES'!$A660="","",IF('ORDENES'!$U660="","-",'ORDENES'!$U660))</f>
        <v/>
      </c>
      <c r="F682" s="3">
        <f>IF('ORDENES'!$A660="","",IF('ORDENES'!$W660="","-",'ORDENES'!$W660))</f>
        <v/>
      </c>
      <c r="G682" s="3">
        <f>IF('ORDENES'!$A660="","",IF('ORDENES'!$AB660="","-",'ORDENES'!$AB660))</f>
        <v/>
      </c>
      <c r="H682" s="3">
        <f>IF('ORDENES'!$A660="","",IF('ORDENES'!$AN660="","-",'ORDENES'!$AN660))</f>
        <v/>
      </c>
      <c r="I682" s="3">
        <f>IF('ORDENES'!$A660="","",IF('ORDENES'!$D660="","-",'ORDENES'!$D660))</f>
        <v/>
      </c>
      <c r="J682" s="3">
        <f>IF('ORDENES'!$A660="","",IF('ORDENES'!$E660="","-",'ORDENES'!$E660))</f>
        <v/>
      </c>
      <c r="K682" s="12">
        <f>IF('ORDENES'!$A660="","",IF('ORDENES'!$M660="",0,'ORDENES'!$M660))</f>
        <v/>
      </c>
      <c r="L682" s="3">
        <f>IF('ORDENES'!$A660="","",IF('ORDENES'!$N660="","-",'ORDENES'!$N660))</f>
        <v/>
      </c>
      <c r="M682" s="3">
        <f>IF('ORDENES'!$A660="","",'ORDENES'!$AA660)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IF('ORDENES'!$A661="","",IF('ORDENES'!$AC661="","-",'ORDENES'!$AC661))</f>
        <v/>
      </c>
      <c r="D683" s="3">
        <f>IF('ORDENES'!$A661="","",IF('ORDENES'!$V661="","-",'ORDENES'!$V661))</f>
        <v/>
      </c>
      <c r="E683" s="3">
        <f>IF('ORDENES'!$A661="","",IF('ORDENES'!$U661="","-",'ORDENES'!$U661))</f>
        <v/>
      </c>
      <c r="F683" s="3">
        <f>IF('ORDENES'!$A661="","",IF('ORDENES'!$W661="","-",'ORDENES'!$W661))</f>
        <v/>
      </c>
      <c r="G683" s="3">
        <f>IF('ORDENES'!$A661="","",IF('ORDENES'!$AB661="","-",'ORDENES'!$AB661))</f>
        <v/>
      </c>
      <c r="H683" s="3">
        <f>IF('ORDENES'!$A661="","",IF('ORDENES'!$AN661="","-",'ORDENES'!$AN661))</f>
        <v/>
      </c>
      <c r="I683" s="3">
        <f>IF('ORDENES'!$A661="","",IF('ORDENES'!$D661="","-",'ORDENES'!$D661))</f>
        <v/>
      </c>
      <c r="J683" s="3">
        <f>IF('ORDENES'!$A661="","",IF('ORDENES'!$E661="","-",'ORDENES'!$E661))</f>
        <v/>
      </c>
      <c r="K683" s="12">
        <f>IF('ORDENES'!$A661="","",IF('ORDENES'!$M661="",0,'ORDENES'!$M661))</f>
        <v/>
      </c>
      <c r="L683" s="3">
        <f>IF('ORDENES'!$A661="","",IF('ORDENES'!$N661="","-",'ORDENES'!$N661))</f>
        <v/>
      </c>
      <c r="M683" s="3">
        <f>IF('ORDENES'!$A661="","",'ORDENES'!$AA661)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IF('ORDENES'!$A662="","",IF('ORDENES'!$AC662="","-",'ORDENES'!$AC662))</f>
        <v/>
      </c>
      <c r="D684" s="3">
        <f>IF('ORDENES'!$A662="","",IF('ORDENES'!$V662="","-",'ORDENES'!$V662))</f>
        <v/>
      </c>
      <c r="E684" s="3">
        <f>IF('ORDENES'!$A662="","",IF('ORDENES'!$U662="","-",'ORDENES'!$U662))</f>
        <v/>
      </c>
      <c r="F684" s="3">
        <f>IF('ORDENES'!$A662="","",IF('ORDENES'!$W662="","-",'ORDENES'!$W662))</f>
        <v/>
      </c>
      <c r="G684" s="3">
        <f>IF('ORDENES'!$A662="","",IF('ORDENES'!$AB662="","-",'ORDENES'!$AB662))</f>
        <v/>
      </c>
      <c r="H684" s="3">
        <f>IF('ORDENES'!$A662="","",IF('ORDENES'!$AN662="","-",'ORDENES'!$AN662))</f>
        <v/>
      </c>
      <c r="I684" s="3">
        <f>IF('ORDENES'!$A662="","",IF('ORDENES'!$D662="","-",'ORDENES'!$D662))</f>
        <v/>
      </c>
      <c r="J684" s="3">
        <f>IF('ORDENES'!$A662="","",IF('ORDENES'!$E662="","-",'ORDENES'!$E662))</f>
        <v/>
      </c>
      <c r="K684" s="12">
        <f>IF('ORDENES'!$A662="","",IF('ORDENES'!$M662="",0,'ORDENES'!$M662))</f>
        <v/>
      </c>
      <c r="L684" s="3">
        <f>IF('ORDENES'!$A662="","",IF('ORDENES'!$N662="","-",'ORDENES'!$N662))</f>
        <v/>
      </c>
      <c r="M684" s="3">
        <f>IF('ORDENES'!$A662="","",'ORDENES'!$AA662)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IF('ORDENES'!$A663="","",IF('ORDENES'!$AC663="","-",'ORDENES'!$AC663))</f>
        <v/>
      </c>
      <c r="D685" s="3">
        <f>IF('ORDENES'!$A663="","",IF('ORDENES'!$V663="","-",'ORDENES'!$V663))</f>
        <v/>
      </c>
      <c r="E685" s="3">
        <f>IF('ORDENES'!$A663="","",IF('ORDENES'!$U663="","-",'ORDENES'!$U663))</f>
        <v/>
      </c>
      <c r="F685" s="3">
        <f>IF('ORDENES'!$A663="","",IF('ORDENES'!$W663="","-",'ORDENES'!$W663))</f>
        <v/>
      </c>
      <c r="G685" s="3">
        <f>IF('ORDENES'!$A663="","",IF('ORDENES'!$AB663="","-",'ORDENES'!$AB663))</f>
        <v/>
      </c>
      <c r="H685" s="3">
        <f>IF('ORDENES'!$A663="","",IF('ORDENES'!$AN663="","-",'ORDENES'!$AN663))</f>
        <v/>
      </c>
      <c r="I685" s="3">
        <f>IF('ORDENES'!$A663="","",IF('ORDENES'!$D663="","-",'ORDENES'!$D663))</f>
        <v/>
      </c>
      <c r="J685" s="3">
        <f>IF('ORDENES'!$A663="","",IF('ORDENES'!$E663="","-",'ORDENES'!$E663))</f>
        <v/>
      </c>
      <c r="K685" s="12">
        <f>IF('ORDENES'!$A663="","",IF('ORDENES'!$M663="",0,'ORDENES'!$M663))</f>
        <v/>
      </c>
      <c r="L685" s="3">
        <f>IF('ORDENES'!$A663="","",IF('ORDENES'!$N663="","-",'ORDENES'!$N663))</f>
        <v/>
      </c>
      <c r="M685" s="3">
        <f>IF('ORDENES'!$A663="","",'ORDENES'!$AA663)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IF('ORDENES'!$A664="","",IF('ORDENES'!$AC664="","-",'ORDENES'!$AC664))</f>
        <v/>
      </c>
      <c r="D686" s="3">
        <f>IF('ORDENES'!$A664="","",IF('ORDENES'!$V664="","-",'ORDENES'!$V664))</f>
        <v/>
      </c>
      <c r="E686" s="3">
        <f>IF('ORDENES'!$A664="","",IF('ORDENES'!$U664="","-",'ORDENES'!$U664))</f>
        <v/>
      </c>
      <c r="F686" s="3">
        <f>IF('ORDENES'!$A664="","",IF('ORDENES'!$W664="","-",'ORDENES'!$W664))</f>
        <v/>
      </c>
      <c r="G686" s="3">
        <f>IF('ORDENES'!$A664="","",IF('ORDENES'!$AB664="","-",'ORDENES'!$AB664))</f>
        <v/>
      </c>
      <c r="H686" s="3">
        <f>IF('ORDENES'!$A664="","",IF('ORDENES'!$AN664="","-",'ORDENES'!$AN664))</f>
        <v/>
      </c>
      <c r="I686" s="3">
        <f>IF('ORDENES'!$A664="","",IF('ORDENES'!$D664="","-",'ORDENES'!$D664))</f>
        <v/>
      </c>
      <c r="J686" s="3">
        <f>IF('ORDENES'!$A664="","",IF('ORDENES'!$E664="","-",'ORDENES'!$E664))</f>
        <v/>
      </c>
      <c r="K686" s="12">
        <f>IF('ORDENES'!$A664="","",IF('ORDENES'!$M664="",0,'ORDENES'!$M664))</f>
        <v/>
      </c>
      <c r="L686" s="3">
        <f>IF('ORDENES'!$A664="","",IF('ORDENES'!$N664="","-",'ORDENES'!$N664))</f>
        <v/>
      </c>
      <c r="M686" s="3">
        <f>IF('ORDENES'!$A664="","",'ORDENES'!$AA664)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IF('ORDENES'!$A665="","",IF('ORDENES'!$AC665="","-",'ORDENES'!$AC665))</f>
        <v/>
      </c>
      <c r="D687" s="3">
        <f>IF('ORDENES'!$A665="","",IF('ORDENES'!$V665="","-",'ORDENES'!$V665))</f>
        <v/>
      </c>
      <c r="E687" s="3">
        <f>IF('ORDENES'!$A665="","",IF('ORDENES'!$U665="","-",'ORDENES'!$U665))</f>
        <v/>
      </c>
      <c r="F687" s="3">
        <f>IF('ORDENES'!$A665="","",IF('ORDENES'!$W665="","-",'ORDENES'!$W665))</f>
        <v/>
      </c>
      <c r="G687" s="3">
        <f>IF('ORDENES'!$A665="","",IF('ORDENES'!$AB665="","-",'ORDENES'!$AB665))</f>
        <v/>
      </c>
      <c r="H687" s="3">
        <f>IF('ORDENES'!$A665="","",IF('ORDENES'!$AN665="","-",'ORDENES'!$AN665))</f>
        <v/>
      </c>
      <c r="I687" s="3">
        <f>IF('ORDENES'!$A665="","",IF('ORDENES'!$D665="","-",'ORDENES'!$D665))</f>
        <v/>
      </c>
      <c r="J687" s="3">
        <f>IF('ORDENES'!$A665="","",IF('ORDENES'!$E665="","-",'ORDENES'!$E665))</f>
        <v/>
      </c>
      <c r="K687" s="12">
        <f>IF('ORDENES'!$A665="","",IF('ORDENES'!$M665="",0,'ORDENES'!$M665))</f>
        <v/>
      </c>
      <c r="L687" s="3">
        <f>IF('ORDENES'!$A665="","",IF('ORDENES'!$N665="","-",'ORDENES'!$N665))</f>
        <v/>
      </c>
      <c r="M687" s="3">
        <f>IF('ORDENES'!$A665="","",'ORDENES'!$AA665)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IF('ORDENES'!$A666="","",IF('ORDENES'!$AC666="","-",'ORDENES'!$AC666))</f>
        <v/>
      </c>
      <c r="D688" s="3">
        <f>IF('ORDENES'!$A666="","",IF('ORDENES'!$V666="","-",'ORDENES'!$V666))</f>
        <v/>
      </c>
      <c r="E688" s="3">
        <f>IF('ORDENES'!$A666="","",IF('ORDENES'!$U666="","-",'ORDENES'!$U666))</f>
        <v/>
      </c>
      <c r="F688" s="3">
        <f>IF('ORDENES'!$A666="","",IF('ORDENES'!$W666="","-",'ORDENES'!$W666))</f>
        <v/>
      </c>
      <c r="G688" s="3">
        <f>IF('ORDENES'!$A666="","",IF('ORDENES'!$AB666="","-",'ORDENES'!$AB666))</f>
        <v/>
      </c>
      <c r="H688" s="3">
        <f>IF('ORDENES'!$A666="","",IF('ORDENES'!$AN666="","-",'ORDENES'!$AN666))</f>
        <v/>
      </c>
      <c r="I688" s="3">
        <f>IF('ORDENES'!$A666="","",IF('ORDENES'!$D666="","-",'ORDENES'!$D666))</f>
        <v/>
      </c>
      <c r="J688" s="3">
        <f>IF('ORDENES'!$A666="","",IF('ORDENES'!$E666="","-",'ORDENES'!$E666))</f>
        <v/>
      </c>
      <c r="K688" s="12">
        <f>IF('ORDENES'!$A666="","",IF('ORDENES'!$M666="",0,'ORDENES'!$M666))</f>
        <v/>
      </c>
      <c r="L688" s="3">
        <f>IF('ORDENES'!$A666="","",IF('ORDENES'!$N666="","-",'ORDENES'!$N666))</f>
        <v/>
      </c>
      <c r="M688" s="3">
        <f>IF('ORDENES'!$A666="","",'ORDENES'!$AA666)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IF('ORDENES'!$A667="","",IF('ORDENES'!$AC667="","-",'ORDENES'!$AC667))</f>
        <v/>
      </c>
      <c r="D689" s="3">
        <f>IF('ORDENES'!$A667="","",IF('ORDENES'!$V667="","-",'ORDENES'!$V667))</f>
        <v/>
      </c>
      <c r="E689" s="3">
        <f>IF('ORDENES'!$A667="","",IF('ORDENES'!$U667="","-",'ORDENES'!$U667))</f>
        <v/>
      </c>
      <c r="F689" s="3">
        <f>IF('ORDENES'!$A667="","",IF('ORDENES'!$W667="","-",'ORDENES'!$W667))</f>
        <v/>
      </c>
      <c r="G689" s="3">
        <f>IF('ORDENES'!$A667="","",IF('ORDENES'!$AB667="","-",'ORDENES'!$AB667))</f>
        <v/>
      </c>
      <c r="H689" s="3">
        <f>IF('ORDENES'!$A667="","",IF('ORDENES'!$AN667="","-",'ORDENES'!$AN667))</f>
        <v/>
      </c>
      <c r="I689" s="3">
        <f>IF('ORDENES'!$A667="","",IF('ORDENES'!$D667="","-",'ORDENES'!$D667))</f>
        <v/>
      </c>
      <c r="J689" s="3">
        <f>IF('ORDENES'!$A667="","",IF('ORDENES'!$E667="","-",'ORDENES'!$E667))</f>
        <v/>
      </c>
      <c r="K689" s="12">
        <f>IF('ORDENES'!$A667="","",IF('ORDENES'!$M667="",0,'ORDENES'!$M667))</f>
        <v/>
      </c>
      <c r="L689" s="3">
        <f>IF('ORDENES'!$A667="","",IF('ORDENES'!$N667="","-",'ORDENES'!$N667))</f>
        <v/>
      </c>
      <c r="M689" s="3">
        <f>IF('ORDENES'!$A667="","",'ORDENES'!$AA667)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IF('ORDENES'!$A668="","",IF('ORDENES'!$AC668="","-",'ORDENES'!$AC668))</f>
        <v/>
      </c>
      <c r="D690" s="3">
        <f>IF('ORDENES'!$A668="","",IF('ORDENES'!$V668="","-",'ORDENES'!$V668))</f>
        <v/>
      </c>
      <c r="E690" s="3">
        <f>IF('ORDENES'!$A668="","",IF('ORDENES'!$U668="","-",'ORDENES'!$U668))</f>
        <v/>
      </c>
      <c r="F690" s="3">
        <f>IF('ORDENES'!$A668="","",IF('ORDENES'!$W668="","-",'ORDENES'!$W668))</f>
        <v/>
      </c>
      <c r="G690" s="3">
        <f>IF('ORDENES'!$A668="","",IF('ORDENES'!$AB668="","-",'ORDENES'!$AB668))</f>
        <v/>
      </c>
      <c r="H690" s="3">
        <f>IF('ORDENES'!$A668="","",IF('ORDENES'!$AN668="","-",'ORDENES'!$AN668))</f>
        <v/>
      </c>
      <c r="I690" s="3">
        <f>IF('ORDENES'!$A668="","",IF('ORDENES'!$D668="","-",'ORDENES'!$D668))</f>
        <v/>
      </c>
      <c r="J690" s="3">
        <f>IF('ORDENES'!$A668="","",IF('ORDENES'!$E668="","-",'ORDENES'!$E668))</f>
        <v/>
      </c>
      <c r="K690" s="12">
        <f>IF('ORDENES'!$A668="","",IF('ORDENES'!$M668="",0,'ORDENES'!$M668))</f>
        <v/>
      </c>
      <c r="L690" s="3">
        <f>IF('ORDENES'!$A668="","",IF('ORDENES'!$N668="","-",'ORDENES'!$N668))</f>
        <v/>
      </c>
      <c r="M690" s="3">
        <f>IF('ORDENES'!$A668="","",'ORDENES'!$AA668)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IF('ORDENES'!$A669="","",IF('ORDENES'!$AC669="","-",'ORDENES'!$AC669))</f>
        <v/>
      </c>
      <c r="D691" s="3">
        <f>IF('ORDENES'!$A669="","",IF('ORDENES'!$V669="","-",'ORDENES'!$V669))</f>
        <v/>
      </c>
      <c r="E691" s="3">
        <f>IF('ORDENES'!$A669="","",IF('ORDENES'!$U669="","-",'ORDENES'!$U669))</f>
        <v/>
      </c>
      <c r="F691" s="3">
        <f>IF('ORDENES'!$A669="","",IF('ORDENES'!$W669="","-",'ORDENES'!$W669))</f>
        <v/>
      </c>
      <c r="G691" s="3">
        <f>IF('ORDENES'!$A669="","",IF('ORDENES'!$AB669="","-",'ORDENES'!$AB669))</f>
        <v/>
      </c>
      <c r="H691" s="3">
        <f>IF('ORDENES'!$A669="","",IF('ORDENES'!$AN669="","-",'ORDENES'!$AN669))</f>
        <v/>
      </c>
      <c r="I691" s="3">
        <f>IF('ORDENES'!$A669="","",IF('ORDENES'!$D669="","-",'ORDENES'!$D669))</f>
        <v/>
      </c>
      <c r="J691" s="3">
        <f>IF('ORDENES'!$A669="","",IF('ORDENES'!$E669="","-",'ORDENES'!$E669))</f>
        <v/>
      </c>
      <c r="K691" s="12">
        <f>IF('ORDENES'!$A669="","",IF('ORDENES'!$M669="",0,'ORDENES'!$M669))</f>
        <v/>
      </c>
      <c r="L691" s="3">
        <f>IF('ORDENES'!$A669="","",IF('ORDENES'!$N669="","-",'ORDENES'!$N669))</f>
        <v/>
      </c>
      <c r="M691" s="3">
        <f>IF('ORDENES'!$A669="","",'ORDENES'!$AA669)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IF('ORDENES'!$A670="","",IF('ORDENES'!$AC670="","-",'ORDENES'!$AC670))</f>
        <v/>
      </c>
      <c r="D692" s="3">
        <f>IF('ORDENES'!$A670="","",IF('ORDENES'!$V670="","-",'ORDENES'!$V670))</f>
        <v/>
      </c>
      <c r="E692" s="3">
        <f>IF('ORDENES'!$A670="","",IF('ORDENES'!$U670="","-",'ORDENES'!$U670))</f>
        <v/>
      </c>
      <c r="F692" s="3">
        <f>IF('ORDENES'!$A670="","",IF('ORDENES'!$W670="","-",'ORDENES'!$W670))</f>
        <v/>
      </c>
      <c r="G692" s="3">
        <f>IF('ORDENES'!$A670="","",IF('ORDENES'!$AB670="","-",'ORDENES'!$AB670))</f>
        <v/>
      </c>
      <c r="H692" s="3">
        <f>IF('ORDENES'!$A670="","",IF('ORDENES'!$AN670="","-",'ORDENES'!$AN670))</f>
        <v/>
      </c>
      <c r="I692" s="3">
        <f>IF('ORDENES'!$A670="","",IF('ORDENES'!$D670="","-",'ORDENES'!$D670))</f>
        <v/>
      </c>
      <c r="J692" s="3">
        <f>IF('ORDENES'!$A670="","",IF('ORDENES'!$E670="","-",'ORDENES'!$E670))</f>
        <v/>
      </c>
      <c r="K692" s="12">
        <f>IF('ORDENES'!$A670="","",IF('ORDENES'!$M670="",0,'ORDENES'!$M670))</f>
        <v/>
      </c>
      <c r="L692" s="3">
        <f>IF('ORDENES'!$A670="","",IF('ORDENES'!$N670="","-",'ORDENES'!$N670))</f>
        <v/>
      </c>
      <c r="M692" s="3">
        <f>IF('ORDENES'!$A670="","",'ORDENES'!$AA670)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IF('ORDENES'!$A671="","",IF('ORDENES'!$AC671="","-",'ORDENES'!$AC671))</f>
        <v/>
      </c>
      <c r="D693" s="3">
        <f>IF('ORDENES'!$A671="","",IF('ORDENES'!$V671="","-",'ORDENES'!$V671))</f>
        <v/>
      </c>
      <c r="E693" s="3">
        <f>IF('ORDENES'!$A671="","",IF('ORDENES'!$U671="","-",'ORDENES'!$U671))</f>
        <v/>
      </c>
      <c r="F693" s="3">
        <f>IF('ORDENES'!$A671="","",IF('ORDENES'!$W671="","-",'ORDENES'!$W671))</f>
        <v/>
      </c>
      <c r="G693" s="3">
        <f>IF('ORDENES'!$A671="","",IF('ORDENES'!$AB671="","-",'ORDENES'!$AB671))</f>
        <v/>
      </c>
      <c r="H693" s="3">
        <f>IF('ORDENES'!$A671="","",IF('ORDENES'!$AN671="","-",'ORDENES'!$AN671))</f>
        <v/>
      </c>
      <c r="I693" s="3">
        <f>IF('ORDENES'!$A671="","",IF('ORDENES'!$D671="","-",'ORDENES'!$D671))</f>
        <v/>
      </c>
      <c r="J693" s="3">
        <f>IF('ORDENES'!$A671="","",IF('ORDENES'!$E671="","-",'ORDENES'!$E671))</f>
        <v/>
      </c>
      <c r="K693" s="12">
        <f>IF('ORDENES'!$A671="","",IF('ORDENES'!$M671="",0,'ORDENES'!$M671))</f>
        <v/>
      </c>
      <c r="L693" s="3">
        <f>IF('ORDENES'!$A671="","",IF('ORDENES'!$N671="","-",'ORDENES'!$N671))</f>
        <v/>
      </c>
      <c r="M693" s="3">
        <f>IF('ORDENES'!$A671="","",'ORDENES'!$AA671)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IF('ORDENES'!$A672="","",IF('ORDENES'!$AC672="","-",'ORDENES'!$AC672))</f>
        <v/>
      </c>
      <c r="D694" s="3">
        <f>IF('ORDENES'!$A672="","",IF('ORDENES'!$V672="","-",'ORDENES'!$V672))</f>
        <v/>
      </c>
      <c r="E694" s="3">
        <f>IF('ORDENES'!$A672="","",IF('ORDENES'!$U672="","-",'ORDENES'!$U672))</f>
        <v/>
      </c>
      <c r="F694" s="3">
        <f>IF('ORDENES'!$A672="","",IF('ORDENES'!$W672="","-",'ORDENES'!$W672))</f>
        <v/>
      </c>
      <c r="G694" s="3">
        <f>IF('ORDENES'!$A672="","",IF('ORDENES'!$AB672="","-",'ORDENES'!$AB672))</f>
        <v/>
      </c>
      <c r="H694" s="3">
        <f>IF('ORDENES'!$A672="","",IF('ORDENES'!$AN672="","-",'ORDENES'!$AN672))</f>
        <v/>
      </c>
      <c r="I694" s="3">
        <f>IF('ORDENES'!$A672="","",IF('ORDENES'!$D672="","-",'ORDENES'!$D672))</f>
        <v/>
      </c>
      <c r="J694" s="3">
        <f>IF('ORDENES'!$A672="","",IF('ORDENES'!$E672="","-",'ORDENES'!$E672))</f>
        <v/>
      </c>
      <c r="K694" s="12">
        <f>IF('ORDENES'!$A672="","",IF('ORDENES'!$M672="",0,'ORDENES'!$M672))</f>
        <v/>
      </c>
      <c r="L694" s="3">
        <f>IF('ORDENES'!$A672="","",IF('ORDENES'!$N672="","-",'ORDENES'!$N672))</f>
        <v/>
      </c>
      <c r="M694" s="3">
        <f>IF('ORDENES'!$A672="","",'ORDENES'!$AA672)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IF('ORDENES'!$A673="","",IF('ORDENES'!$AC673="","-",'ORDENES'!$AC673))</f>
        <v/>
      </c>
      <c r="D695" s="3">
        <f>IF('ORDENES'!$A673="","",IF('ORDENES'!$V673="","-",'ORDENES'!$V673))</f>
        <v/>
      </c>
      <c r="E695" s="3">
        <f>IF('ORDENES'!$A673="","",IF('ORDENES'!$U673="","-",'ORDENES'!$U673))</f>
        <v/>
      </c>
      <c r="F695" s="3">
        <f>IF('ORDENES'!$A673="","",IF('ORDENES'!$W673="","-",'ORDENES'!$W673))</f>
        <v/>
      </c>
      <c r="G695" s="3">
        <f>IF('ORDENES'!$A673="","",IF('ORDENES'!$AB673="","-",'ORDENES'!$AB673))</f>
        <v/>
      </c>
      <c r="H695" s="3">
        <f>IF('ORDENES'!$A673="","",IF('ORDENES'!$AN673="","-",'ORDENES'!$AN673))</f>
        <v/>
      </c>
      <c r="I695" s="3">
        <f>IF('ORDENES'!$A673="","",IF('ORDENES'!$D673="","-",'ORDENES'!$D673))</f>
        <v/>
      </c>
      <c r="J695" s="3">
        <f>IF('ORDENES'!$A673="","",IF('ORDENES'!$E673="","-",'ORDENES'!$E673))</f>
        <v/>
      </c>
      <c r="K695" s="12">
        <f>IF('ORDENES'!$A673="","",IF('ORDENES'!$M673="",0,'ORDENES'!$M673))</f>
        <v/>
      </c>
      <c r="L695" s="3">
        <f>IF('ORDENES'!$A673="","",IF('ORDENES'!$N673="","-",'ORDENES'!$N673))</f>
        <v/>
      </c>
      <c r="M695" s="3">
        <f>IF('ORDENES'!$A673="","",'ORDENES'!$AA673)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IF('ORDENES'!$A674="","",IF('ORDENES'!$AC674="","-",'ORDENES'!$AC674))</f>
        <v/>
      </c>
      <c r="D696" s="3">
        <f>IF('ORDENES'!$A674="","",IF('ORDENES'!$V674="","-",'ORDENES'!$V674))</f>
        <v/>
      </c>
      <c r="E696" s="3">
        <f>IF('ORDENES'!$A674="","",IF('ORDENES'!$U674="","-",'ORDENES'!$U674))</f>
        <v/>
      </c>
      <c r="F696" s="3">
        <f>IF('ORDENES'!$A674="","",IF('ORDENES'!$W674="","-",'ORDENES'!$W674))</f>
        <v/>
      </c>
      <c r="G696" s="3">
        <f>IF('ORDENES'!$A674="","",IF('ORDENES'!$AB674="","-",'ORDENES'!$AB674))</f>
        <v/>
      </c>
      <c r="H696" s="3">
        <f>IF('ORDENES'!$A674="","",IF('ORDENES'!$AN674="","-",'ORDENES'!$AN674))</f>
        <v/>
      </c>
      <c r="I696" s="3">
        <f>IF('ORDENES'!$A674="","",IF('ORDENES'!$D674="","-",'ORDENES'!$D674))</f>
        <v/>
      </c>
      <c r="J696" s="3">
        <f>IF('ORDENES'!$A674="","",IF('ORDENES'!$E674="","-",'ORDENES'!$E674))</f>
        <v/>
      </c>
      <c r="K696" s="12">
        <f>IF('ORDENES'!$A674="","",IF('ORDENES'!$M674="",0,'ORDENES'!$M674))</f>
        <v/>
      </c>
      <c r="L696" s="3">
        <f>IF('ORDENES'!$A674="","",IF('ORDENES'!$N674="","-",'ORDENES'!$N674))</f>
        <v/>
      </c>
      <c r="M696" s="3">
        <f>IF('ORDENES'!$A674="","",'ORDENES'!$AA674)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IF('ORDENES'!$A675="","",IF('ORDENES'!$AC675="","-",'ORDENES'!$AC675))</f>
        <v/>
      </c>
      <c r="D697" s="3">
        <f>IF('ORDENES'!$A675="","",IF('ORDENES'!$V675="","-",'ORDENES'!$V675))</f>
        <v/>
      </c>
      <c r="E697" s="3">
        <f>IF('ORDENES'!$A675="","",IF('ORDENES'!$U675="","-",'ORDENES'!$U675))</f>
        <v/>
      </c>
      <c r="F697" s="3">
        <f>IF('ORDENES'!$A675="","",IF('ORDENES'!$W675="","-",'ORDENES'!$W675))</f>
        <v/>
      </c>
      <c r="G697" s="3">
        <f>IF('ORDENES'!$A675="","",IF('ORDENES'!$AB675="","-",'ORDENES'!$AB675))</f>
        <v/>
      </c>
      <c r="H697" s="3">
        <f>IF('ORDENES'!$A675="","",IF('ORDENES'!$AN675="","-",'ORDENES'!$AN675))</f>
        <v/>
      </c>
      <c r="I697" s="3">
        <f>IF('ORDENES'!$A675="","",IF('ORDENES'!$D675="","-",'ORDENES'!$D675))</f>
        <v/>
      </c>
      <c r="J697" s="3">
        <f>IF('ORDENES'!$A675="","",IF('ORDENES'!$E675="","-",'ORDENES'!$E675))</f>
        <v/>
      </c>
      <c r="K697" s="12">
        <f>IF('ORDENES'!$A675="","",IF('ORDENES'!$M675="",0,'ORDENES'!$M675))</f>
        <v/>
      </c>
      <c r="L697" s="3">
        <f>IF('ORDENES'!$A675="","",IF('ORDENES'!$N675="","-",'ORDENES'!$N675))</f>
        <v/>
      </c>
      <c r="M697" s="3">
        <f>IF('ORDENES'!$A675="","",'ORDENES'!$AA675)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IF('ORDENES'!$A676="","",IF('ORDENES'!$AC676="","-",'ORDENES'!$AC676))</f>
        <v/>
      </c>
      <c r="D698" s="3">
        <f>IF('ORDENES'!$A676="","",IF('ORDENES'!$V676="","-",'ORDENES'!$V676))</f>
        <v/>
      </c>
      <c r="E698" s="3">
        <f>IF('ORDENES'!$A676="","",IF('ORDENES'!$U676="","-",'ORDENES'!$U676))</f>
        <v/>
      </c>
      <c r="F698" s="3">
        <f>IF('ORDENES'!$A676="","",IF('ORDENES'!$W676="","-",'ORDENES'!$W676))</f>
        <v/>
      </c>
      <c r="G698" s="3">
        <f>IF('ORDENES'!$A676="","",IF('ORDENES'!$AB676="","-",'ORDENES'!$AB676))</f>
        <v/>
      </c>
      <c r="H698" s="3">
        <f>IF('ORDENES'!$A676="","",IF('ORDENES'!$AN676="","-",'ORDENES'!$AN676))</f>
        <v/>
      </c>
      <c r="I698" s="3">
        <f>IF('ORDENES'!$A676="","",IF('ORDENES'!$D676="","-",'ORDENES'!$D676))</f>
        <v/>
      </c>
      <c r="J698" s="3">
        <f>IF('ORDENES'!$A676="","",IF('ORDENES'!$E676="","-",'ORDENES'!$E676))</f>
        <v/>
      </c>
      <c r="K698" s="12">
        <f>IF('ORDENES'!$A676="","",IF('ORDENES'!$M676="",0,'ORDENES'!$M676))</f>
        <v/>
      </c>
      <c r="L698" s="3">
        <f>IF('ORDENES'!$A676="","",IF('ORDENES'!$N676="","-",'ORDENES'!$N676))</f>
        <v/>
      </c>
      <c r="M698" s="3">
        <f>IF('ORDENES'!$A676="","",'ORDENES'!$AA676)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IF('ORDENES'!$A677="","",IF('ORDENES'!$AC677="","-",'ORDENES'!$AC677))</f>
        <v/>
      </c>
      <c r="D699" s="3">
        <f>IF('ORDENES'!$A677="","",IF('ORDENES'!$V677="","-",'ORDENES'!$V677))</f>
        <v/>
      </c>
      <c r="E699" s="3">
        <f>IF('ORDENES'!$A677="","",IF('ORDENES'!$U677="","-",'ORDENES'!$U677))</f>
        <v/>
      </c>
      <c r="F699" s="3">
        <f>IF('ORDENES'!$A677="","",IF('ORDENES'!$W677="","-",'ORDENES'!$W677))</f>
        <v/>
      </c>
      <c r="G699" s="3">
        <f>IF('ORDENES'!$A677="","",IF('ORDENES'!$AB677="","-",'ORDENES'!$AB677))</f>
        <v/>
      </c>
      <c r="H699" s="3">
        <f>IF('ORDENES'!$A677="","",IF('ORDENES'!$AN677="","-",'ORDENES'!$AN677))</f>
        <v/>
      </c>
      <c r="I699" s="3">
        <f>IF('ORDENES'!$A677="","",IF('ORDENES'!$D677="","-",'ORDENES'!$D677))</f>
        <v/>
      </c>
      <c r="J699" s="3">
        <f>IF('ORDENES'!$A677="","",IF('ORDENES'!$E677="","-",'ORDENES'!$E677))</f>
        <v/>
      </c>
      <c r="K699" s="12">
        <f>IF('ORDENES'!$A677="","",IF('ORDENES'!$M677="",0,'ORDENES'!$M677))</f>
        <v/>
      </c>
      <c r="L699" s="3">
        <f>IF('ORDENES'!$A677="","",IF('ORDENES'!$N677="","-",'ORDENES'!$N677))</f>
        <v/>
      </c>
      <c r="M699" s="3">
        <f>IF('ORDENES'!$A677="","",'ORDENES'!$AA677)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IF('ORDENES'!$A678="","",IF('ORDENES'!$AC678="","-",'ORDENES'!$AC678))</f>
        <v/>
      </c>
      <c r="D700" s="3">
        <f>IF('ORDENES'!$A678="","",IF('ORDENES'!$V678="","-",'ORDENES'!$V678))</f>
        <v/>
      </c>
      <c r="E700" s="3">
        <f>IF('ORDENES'!$A678="","",IF('ORDENES'!$U678="","-",'ORDENES'!$U678))</f>
        <v/>
      </c>
      <c r="F700" s="3">
        <f>IF('ORDENES'!$A678="","",IF('ORDENES'!$W678="","-",'ORDENES'!$W678))</f>
        <v/>
      </c>
      <c r="G700" s="3">
        <f>IF('ORDENES'!$A678="","",IF('ORDENES'!$AB678="","-",'ORDENES'!$AB678))</f>
        <v/>
      </c>
      <c r="H700" s="3">
        <f>IF('ORDENES'!$A678="","",IF('ORDENES'!$AN678="","-",'ORDENES'!$AN678))</f>
        <v/>
      </c>
      <c r="I700" s="3">
        <f>IF('ORDENES'!$A678="","",IF('ORDENES'!$D678="","-",'ORDENES'!$D678))</f>
        <v/>
      </c>
      <c r="J700" s="3">
        <f>IF('ORDENES'!$A678="","",IF('ORDENES'!$E678="","-",'ORDENES'!$E678))</f>
        <v/>
      </c>
      <c r="K700" s="12">
        <f>IF('ORDENES'!$A678="","",IF('ORDENES'!$M678="",0,'ORDENES'!$M678))</f>
        <v/>
      </c>
      <c r="L700" s="3">
        <f>IF('ORDENES'!$A678="","",IF('ORDENES'!$N678="","-",'ORDENES'!$N678))</f>
        <v/>
      </c>
      <c r="M700" s="3">
        <f>IF('ORDENES'!$A678="","",'ORDENES'!$AA678)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IF('ORDENES'!$A679="","",IF('ORDENES'!$AC679="","-",'ORDENES'!$AC679))</f>
        <v/>
      </c>
      <c r="D701" s="3">
        <f>IF('ORDENES'!$A679="","",IF('ORDENES'!$V679="","-",'ORDENES'!$V679))</f>
        <v/>
      </c>
      <c r="E701" s="3">
        <f>IF('ORDENES'!$A679="","",IF('ORDENES'!$U679="","-",'ORDENES'!$U679))</f>
        <v/>
      </c>
      <c r="F701" s="3">
        <f>IF('ORDENES'!$A679="","",IF('ORDENES'!$W679="","-",'ORDENES'!$W679))</f>
        <v/>
      </c>
      <c r="G701" s="3">
        <f>IF('ORDENES'!$A679="","",IF('ORDENES'!$AB679="","-",'ORDENES'!$AB679))</f>
        <v/>
      </c>
      <c r="H701" s="3">
        <f>IF('ORDENES'!$A679="","",IF('ORDENES'!$AN679="","-",'ORDENES'!$AN679))</f>
        <v/>
      </c>
      <c r="I701" s="3">
        <f>IF('ORDENES'!$A679="","",IF('ORDENES'!$D679="","-",'ORDENES'!$D679))</f>
        <v/>
      </c>
      <c r="J701" s="3">
        <f>IF('ORDENES'!$A679="","",IF('ORDENES'!$E679="","-",'ORDENES'!$E679))</f>
        <v/>
      </c>
      <c r="K701" s="12">
        <f>IF('ORDENES'!$A679="","",IF('ORDENES'!$M679="",0,'ORDENES'!$M679))</f>
        <v/>
      </c>
      <c r="L701" s="3">
        <f>IF('ORDENES'!$A679="","",IF('ORDENES'!$N679="","-",'ORDENES'!$N679))</f>
        <v/>
      </c>
      <c r="M701" s="3">
        <f>IF('ORDENES'!$A679="","",'ORDENES'!$AA679)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IF('ORDENES'!$A680="","",IF('ORDENES'!$AC680="","-",'ORDENES'!$AC680))</f>
        <v/>
      </c>
      <c r="D702" s="3">
        <f>IF('ORDENES'!$A680="","",IF('ORDENES'!$V680="","-",'ORDENES'!$V680))</f>
        <v/>
      </c>
      <c r="E702" s="3">
        <f>IF('ORDENES'!$A680="","",IF('ORDENES'!$U680="","-",'ORDENES'!$U680))</f>
        <v/>
      </c>
      <c r="F702" s="3">
        <f>IF('ORDENES'!$A680="","",IF('ORDENES'!$W680="","-",'ORDENES'!$W680))</f>
        <v/>
      </c>
      <c r="G702" s="3">
        <f>IF('ORDENES'!$A680="","",IF('ORDENES'!$AB680="","-",'ORDENES'!$AB680))</f>
        <v/>
      </c>
      <c r="H702" s="3">
        <f>IF('ORDENES'!$A680="","",IF('ORDENES'!$AN680="","-",'ORDENES'!$AN680))</f>
        <v/>
      </c>
      <c r="I702" s="3">
        <f>IF('ORDENES'!$A680="","",IF('ORDENES'!$D680="","-",'ORDENES'!$D680))</f>
        <v/>
      </c>
      <c r="J702" s="3">
        <f>IF('ORDENES'!$A680="","",IF('ORDENES'!$E680="","-",'ORDENES'!$E680))</f>
        <v/>
      </c>
      <c r="K702" s="12">
        <f>IF('ORDENES'!$A680="","",IF('ORDENES'!$M680="",0,'ORDENES'!$M680))</f>
        <v/>
      </c>
      <c r="L702" s="3">
        <f>IF('ORDENES'!$A680="","",IF('ORDENES'!$N680="","-",'ORDENES'!$N680))</f>
        <v/>
      </c>
      <c r="M702" s="3">
        <f>IF('ORDENES'!$A680="","",'ORDENES'!$AA680)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IF('ORDENES'!$A681="","",IF('ORDENES'!$AC681="","-",'ORDENES'!$AC681))</f>
        <v/>
      </c>
      <c r="D703" s="3">
        <f>IF('ORDENES'!$A681="","",IF('ORDENES'!$V681="","-",'ORDENES'!$V681))</f>
        <v/>
      </c>
      <c r="E703" s="3">
        <f>IF('ORDENES'!$A681="","",IF('ORDENES'!$U681="","-",'ORDENES'!$U681))</f>
        <v/>
      </c>
      <c r="F703" s="3">
        <f>IF('ORDENES'!$A681="","",IF('ORDENES'!$W681="","-",'ORDENES'!$W681))</f>
        <v/>
      </c>
      <c r="G703" s="3">
        <f>IF('ORDENES'!$A681="","",IF('ORDENES'!$AB681="","-",'ORDENES'!$AB681))</f>
        <v/>
      </c>
      <c r="H703" s="3">
        <f>IF('ORDENES'!$A681="","",IF('ORDENES'!$AN681="","-",'ORDENES'!$AN681))</f>
        <v/>
      </c>
      <c r="I703" s="3">
        <f>IF('ORDENES'!$A681="","",IF('ORDENES'!$D681="","-",'ORDENES'!$D681))</f>
        <v/>
      </c>
      <c r="J703" s="3">
        <f>IF('ORDENES'!$A681="","",IF('ORDENES'!$E681="","-",'ORDENES'!$E681))</f>
        <v/>
      </c>
      <c r="K703" s="12">
        <f>IF('ORDENES'!$A681="","",IF('ORDENES'!$M681="",0,'ORDENES'!$M681))</f>
        <v/>
      </c>
      <c r="L703" s="3">
        <f>IF('ORDENES'!$A681="","",IF('ORDENES'!$N681="","-",'ORDENES'!$N681))</f>
        <v/>
      </c>
      <c r="M703" s="3">
        <f>IF('ORDENES'!$A681="","",'ORDENES'!$AA681)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IF('ORDENES'!$A682="","",IF('ORDENES'!$AC682="","-",'ORDENES'!$AC682))</f>
        <v/>
      </c>
      <c r="D704" s="3">
        <f>IF('ORDENES'!$A682="","",IF('ORDENES'!$V682="","-",'ORDENES'!$V682))</f>
        <v/>
      </c>
      <c r="E704" s="3">
        <f>IF('ORDENES'!$A682="","",IF('ORDENES'!$U682="","-",'ORDENES'!$U682))</f>
        <v/>
      </c>
      <c r="F704" s="3">
        <f>IF('ORDENES'!$A682="","",IF('ORDENES'!$W682="","-",'ORDENES'!$W682))</f>
        <v/>
      </c>
      <c r="G704" s="3">
        <f>IF('ORDENES'!$A682="","",IF('ORDENES'!$AB682="","-",'ORDENES'!$AB682))</f>
        <v/>
      </c>
      <c r="H704" s="3">
        <f>IF('ORDENES'!$A682="","",IF('ORDENES'!$AN682="","-",'ORDENES'!$AN682))</f>
        <v/>
      </c>
      <c r="I704" s="3">
        <f>IF('ORDENES'!$A682="","",IF('ORDENES'!$D682="","-",'ORDENES'!$D682))</f>
        <v/>
      </c>
      <c r="J704" s="3">
        <f>IF('ORDENES'!$A682="","",IF('ORDENES'!$E682="","-",'ORDENES'!$E682))</f>
        <v/>
      </c>
      <c r="K704" s="12">
        <f>IF('ORDENES'!$A682="","",IF('ORDENES'!$M682="",0,'ORDENES'!$M682))</f>
        <v/>
      </c>
      <c r="L704" s="3">
        <f>IF('ORDENES'!$A682="","",IF('ORDENES'!$N682="","-",'ORDENES'!$N682))</f>
        <v/>
      </c>
      <c r="M704" s="3">
        <f>IF('ORDENES'!$A682="","",'ORDENES'!$AA682)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IF('ORDENES'!$A683="","",IF('ORDENES'!$AC683="","-",'ORDENES'!$AC683))</f>
        <v/>
      </c>
      <c r="D705" s="3">
        <f>IF('ORDENES'!$A683="","",IF('ORDENES'!$V683="","-",'ORDENES'!$V683))</f>
        <v/>
      </c>
      <c r="E705" s="3">
        <f>IF('ORDENES'!$A683="","",IF('ORDENES'!$U683="","-",'ORDENES'!$U683))</f>
        <v/>
      </c>
      <c r="F705" s="3">
        <f>IF('ORDENES'!$A683="","",IF('ORDENES'!$W683="","-",'ORDENES'!$W683))</f>
        <v/>
      </c>
      <c r="G705" s="3">
        <f>IF('ORDENES'!$A683="","",IF('ORDENES'!$AB683="","-",'ORDENES'!$AB683))</f>
        <v/>
      </c>
      <c r="H705" s="3">
        <f>IF('ORDENES'!$A683="","",IF('ORDENES'!$AN683="","-",'ORDENES'!$AN683))</f>
        <v/>
      </c>
      <c r="I705" s="3">
        <f>IF('ORDENES'!$A683="","",IF('ORDENES'!$D683="","-",'ORDENES'!$D683))</f>
        <v/>
      </c>
      <c r="J705" s="3">
        <f>IF('ORDENES'!$A683="","",IF('ORDENES'!$E683="","-",'ORDENES'!$E683))</f>
        <v/>
      </c>
      <c r="K705" s="12">
        <f>IF('ORDENES'!$A683="","",IF('ORDENES'!$M683="",0,'ORDENES'!$M683))</f>
        <v/>
      </c>
      <c r="L705" s="3">
        <f>IF('ORDENES'!$A683="","",IF('ORDENES'!$N683="","-",'ORDENES'!$N683))</f>
        <v/>
      </c>
      <c r="M705" s="3">
        <f>IF('ORDENES'!$A683="","",'ORDENES'!$AA683)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IF('ORDENES'!$A684="","",IF('ORDENES'!$AC684="","-",'ORDENES'!$AC684))</f>
        <v/>
      </c>
      <c r="D706" s="3">
        <f>IF('ORDENES'!$A684="","",IF('ORDENES'!$V684="","-",'ORDENES'!$V684))</f>
        <v/>
      </c>
      <c r="E706" s="3">
        <f>IF('ORDENES'!$A684="","",IF('ORDENES'!$U684="","-",'ORDENES'!$U684))</f>
        <v/>
      </c>
      <c r="F706" s="3">
        <f>IF('ORDENES'!$A684="","",IF('ORDENES'!$W684="","-",'ORDENES'!$W684))</f>
        <v/>
      </c>
      <c r="G706" s="3">
        <f>IF('ORDENES'!$A684="","",IF('ORDENES'!$AB684="","-",'ORDENES'!$AB684))</f>
        <v/>
      </c>
      <c r="H706" s="3">
        <f>IF('ORDENES'!$A684="","",IF('ORDENES'!$AN684="","-",'ORDENES'!$AN684))</f>
        <v/>
      </c>
      <c r="I706" s="3">
        <f>IF('ORDENES'!$A684="","",IF('ORDENES'!$D684="","-",'ORDENES'!$D684))</f>
        <v/>
      </c>
      <c r="J706" s="3">
        <f>IF('ORDENES'!$A684="","",IF('ORDENES'!$E684="","-",'ORDENES'!$E684))</f>
        <v/>
      </c>
      <c r="K706" s="12">
        <f>IF('ORDENES'!$A684="","",IF('ORDENES'!$M684="",0,'ORDENES'!$M684))</f>
        <v/>
      </c>
      <c r="L706" s="3">
        <f>IF('ORDENES'!$A684="","",IF('ORDENES'!$N684="","-",'ORDENES'!$N684))</f>
        <v/>
      </c>
      <c r="M706" s="3">
        <f>IF('ORDENES'!$A684="","",'ORDENES'!$AA684)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IF('ORDENES'!$A685="","",IF('ORDENES'!$AC685="","-",'ORDENES'!$AC685))</f>
        <v/>
      </c>
      <c r="D707" s="3">
        <f>IF('ORDENES'!$A685="","",IF('ORDENES'!$V685="","-",'ORDENES'!$V685))</f>
        <v/>
      </c>
      <c r="E707" s="3">
        <f>IF('ORDENES'!$A685="","",IF('ORDENES'!$U685="","-",'ORDENES'!$U685))</f>
        <v/>
      </c>
      <c r="F707" s="3">
        <f>IF('ORDENES'!$A685="","",IF('ORDENES'!$W685="","-",'ORDENES'!$W685))</f>
        <v/>
      </c>
      <c r="G707" s="3">
        <f>IF('ORDENES'!$A685="","",IF('ORDENES'!$AB685="","-",'ORDENES'!$AB685))</f>
        <v/>
      </c>
      <c r="H707" s="3">
        <f>IF('ORDENES'!$A685="","",IF('ORDENES'!$AN685="","-",'ORDENES'!$AN685))</f>
        <v/>
      </c>
      <c r="I707" s="3">
        <f>IF('ORDENES'!$A685="","",IF('ORDENES'!$D685="","-",'ORDENES'!$D685))</f>
        <v/>
      </c>
      <c r="J707" s="3">
        <f>IF('ORDENES'!$A685="","",IF('ORDENES'!$E685="","-",'ORDENES'!$E685))</f>
        <v/>
      </c>
      <c r="K707" s="12">
        <f>IF('ORDENES'!$A685="","",IF('ORDENES'!$M685="",0,'ORDENES'!$M685))</f>
        <v/>
      </c>
      <c r="L707" s="3">
        <f>IF('ORDENES'!$A685="","",IF('ORDENES'!$N685="","-",'ORDENES'!$N685))</f>
        <v/>
      </c>
      <c r="M707" s="3">
        <f>IF('ORDENES'!$A685="","",'ORDENES'!$AA685)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IF('ORDENES'!$A686="","",IF('ORDENES'!$AC686="","-",'ORDENES'!$AC686))</f>
        <v/>
      </c>
      <c r="D708" s="3">
        <f>IF('ORDENES'!$A686="","",IF('ORDENES'!$V686="","-",'ORDENES'!$V686))</f>
        <v/>
      </c>
      <c r="E708" s="3">
        <f>IF('ORDENES'!$A686="","",IF('ORDENES'!$U686="","-",'ORDENES'!$U686))</f>
        <v/>
      </c>
      <c r="F708" s="3">
        <f>IF('ORDENES'!$A686="","",IF('ORDENES'!$W686="","-",'ORDENES'!$W686))</f>
        <v/>
      </c>
      <c r="G708" s="3">
        <f>IF('ORDENES'!$A686="","",IF('ORDENES'!$AB686="","-",'ORDENES'!$AB686))</f>
        <v/>
      </c>
      <c r="H708" s="3">
        <f>IF('ORDENES'!$A686="","",IF('ORDENES'!$AN686="","-",'ORDENES'!$AN686))</f>
        <v/>
      </c>
      <c r="I708" s="3">
        <f>IF('ORDENES'!$A686="","",IF('ORDENES'!$D686="","-",'ORDENES'!$D686))</f>
        <v/>
      </c>
      <c r="J708" s="3">
        <f>IF('ORDENES'!$A686="","",IF('ORDENES'!$E686="","-",'ORDENES'!$E686))</f>
        <v/>
      </c>
      <c r="K708" s="12">
        <f>IF('ORDENES'!$A686="","",IF('ORDENES'!$M686="",0,'ORDENES'!$M686))</f>
        <v/>
      </c>
      <c r="L708" s="3">
        <f>IF('ORDENES'!$A686="","",IF('ORDENES'!$N686="","-",'ORDENES'!$N686))</f>
        <v/>
      </c>
      <c r="M708" s="3">
        <f>IF('ORDENES'!$A686="","",'ORDENES'!$AA686)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IF('ORDENES'!$A687="","",IF('ORDENES'!$AC687="","-",'ORDENES'!$AC687))</f>
        <v/>
      </c>
      <c r="D709" s="3">
        <f>IF('ORDENES'!$A687="","",IF('ORDENES'!$V687="","-",'ORDENES'!$V687))</f>
        <v/>
      </c>
      <c r="E709" s="3">
        <f>IF('ORDENES'!$A687="","",IF('ORDENES'!$U687="","-",'ORDENES'!$U687))</f>
        <v/>
      </c>
      <c r="F709" s="3">
        <f>IF('ORDENES'!$A687="","",IF('ORDENES'!$W687="","-",'ORDENES'!$W687))</f>
        <v/>
      </c>
      <c r="G709" s="3">
        <f>IF('ORDENES'!$A687="","",IF('ORDENES'!$AB687="","-",'ORDENES'!$AB687))</f>
        <v/>
      </c>
      <c r="H709" s="3">
        <f>IF('ORDENES'!$A687="","",IF('ORDENES'!$AN687="","-",'ORDENES'!$AN687))</f>
        <v/>
      </c>
      <c r="I709" s="3">
        <f>IF('ORDENES'!$A687="","",IF('ORDENES'!$D687="","-",'ORDENES'!$D687))</f>
        <v/>
      </c>
      <c r="J709" s="3">
        <f>IF('ORDENES'!$A687="","",IF('ORDENES'!$E687="","-",'ORDENES'!$E687))</f>
        <v/>
      </c>
      <c r="K709" s="12">
        <f>IF('ORDENES'!$A687="","",IF('ORDENES'!$M687="",0,'ORDENES'!$M687))</f>
        <v/>
      </c>
      <c r="L709" s="3">
        <f>IF('ORDENES'!$A687="","",IF('ORDENES'!$N687="","-",'ORDENES'!$N687))</f>
        <v/>
      </c>
      <c r="M709" s="3">
        <f>IF('ORDENES'!$A687="","",'ORDENES'!$AA687)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IF('ORDENES'!$A688="","",IF('ORDENES'!$AC688="","-",'ORDENES'!$AC688))</f>
        <v/>
      </c>
      <c r="D710" s="3">
        <f>IF('ORDENES'!$A688="","",IF('ORDENES'!$V688="","-",'ORDENES'!$V688))</f>
        <v/>
      </c>
      <c r="E710" s="3">
        <f>IF('ORDENES'!$A688="","",IF('ORDENES'!$U688="","-",'ORDENES'!$U688))</f>
        <v/>
      </c>
      <c r="F710" s="3">
        <f>IF('ORDENES'!$A688="","",IF('ORDENES'!$W688="","-",'ORDENES'!$W688))</f>
        <v/>
      </c>
      <c r="G710" s="3">
        <f>IF('ORDENES'!$A688="","",IF('ORDENES'!$AB688="","-",'ORDENES'!$AB688))</f>
        <v/>
      </c>
      <c r="H710" s="3">
        <f>IF('ORDENES'!$A688="","",IF('ORDENES'!$AN688="","-",'ORDENES'!$AN688))</f>
        <v/>
      </c>
      <c r="I710" s="3">
        <f>IF('ORDENES'!$A688="","",IF('ORDENES'!$D688="","-",'ORDENES'!$D688))</f>
        <v/>
      </c>
      <c r="J710" s="3">
        <f>IF('ORDENES'!$A688="","",IF('ORDENES'!$E688="","-",'ORDENES'!$E688))</f>
        <v/>
      </c>
      <c r="K710" s="12">
        <f>IF('ORDENES'!$A688="","",IF('ORDENES'!$M688="",0,'ORDENES'!$M688))</f>
        <v/>
      </c>
      <c r="L710" s="3">
        <f>IF('ORDENES'!$A688="","",IF('ORDENES'!$N688="","-",'ORDENES'!$N688))</f>
        <v/>
      </c>
      <c r="M710" s="3">
        <f>IF('ORDENES'!$A688="","",'ORDENES'!$AA688)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IF('ORDENES'!$A689="","",IF('ORDENES'!$AC689="","-",'ORDENES'!$AC689))</f>
        <v/>
      </c>
      <c r="D711" s="3">
        <f>IF('ORDENES'!$A689="","",IF('ORDENES'!$V689="","-",'ORDENES'!$V689))</f>
        <v/>
      </c>
      <c r="E711" s="3">
        <f>IF('ORDENES'!$A689="","",IF('ORDENES'!$U689="","-",'ORDENES'!$U689))</f>
        <v/>
      </c>
      <c r="F711" s="3">
        <f>IF('ORDENES'!$A689="","",IF('ORDENES'!$W689="","-",'ORDENES'!$W689))</f>
        <v/>
      </c>
      <c r="G711" s="3">
        <f>IF('ORDENES'!$A689="","",IF('ORDENES'!$AB689="","-",'ORDENES'!$AB689))</f>
        <v/>
      </c>
      <c r="H711" s="3">
        <f>IF('ORDENES'!$A689="","",IF('ORDENES'!$AN689="","-",'ORDENES'!$AN689))</f>
        <v/>
      </c>
      <c r="I711" s="3">
        <f>IF('ORDENES'!$A689="","",IF('ORDENES'!$D689="","-",'ORDENES'!$D689))</f>
        <v/>
      </c>
      <c r="J711" s="3">
        <f>IF('ORDENES'!$A689="","",IF('ORDENES'!$E689="","-",'ORDENES'!$E689))</f>
        <v/>
      </c>
      <c r="K711" s="12">
        <f>IF('ORDENES'!$A689="","",IF('ORDENES'!$M689="",0,'ORDENES'!$M689))</f>
        <v/>
      </c>
      <c r="L711" s="3">
        <f>IF('ORDENES'!$A689="","",IF('ORDENES'!$N689="","-",'ORDENES'!$N689))</f>
        <v/>
      </c>
      <c r="M711" s="3">
        <f>IF('ORDENES'!$A689="","",'ORDENES'!$AA689)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IF('ORDENES'!$A690="","",IF('ORDENES'!$AC690="","-",'ORDENES'!$AC690))</f>
        <v/>
      </c>
      <c r="D712" s="3">
        <f>IF('ORDENES'!$A690="","",IF('ORDENES'!$V690="","-",'ORDENES'!$V690))</f>
        <v/>
      </c>
      <c r="E712" s="3">
        <f>IF('ORDENES'!$A690="","",IF('ORDENES'!$U690="","-",'ORDENES'!$U690))</f>
        <v/>
      </c>
      <c r="F712" s="3">
        <f>IF('ORDENES'!$A690="","",IF('ORDENES'!$W690="","-",'ORDENES'!$W690))</f>
        <v/>
      </c>
      <c r="G712" s="3">
        <f>IF('ORDENES'!$A690="","",IF('ORDENES'!$AB690="","-",'ORDENES'!$AB690))</f>
        <v/>
      </c>
      <c r="H712" s="3">
        <f>IF('ORDENES'!$A690="","",IF('ORDENES'!$AN690="","-",'ORDENES'!$AN690))</f>
        <v/>
      </c>
      <c r="I712" s="3">
        <f>IF('ORDENES'!$A690="","",IF('ORDENES'!$D690="","-",'ORDENES'!$D690))</f>
        <v/>
      </c>
      <c r="J712" s="3">
        <f>IF('ORDENES'!$A690="","",IF('ORDENES'!$E690="","-",'ORDENES'!$E690))</f>
        <v/>
      </c>
      <c r="K712" s="12">
        <f>IF('ORDENES'!$A690="","",IF('ORDENES'!$M690="",0,'ORDENES'!$M690))</f>
        <v/>
      </c>
      <c r="L712" s="3">
        <f>IF('ORDENES'!$A690="","",IF('ORDENES'!$N690="","-",'ORDENES'!$N690))</f>
        <v/>
      </c>
      <c r="M712" s="3">
        <f>IF('ORDENES'!$A690="","",'ORDENES'!$AA690)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IF('ORDENES'!$A691="","",IF('ORDENES'!$AC691="","-",'ORDENES'!$AC691))</f>
        <v/>
      </c>
      <c r="D713" s="3">
        <f>IF('ORDENES'!$A691="","",IF('ORDENES'!$V691="","-",'ORDENES'!$V691))</f>
        <v/>
      </c>
      <c r="E713" s="3">
        <f>IF('ORDENES'!$A691="","",IF('ORDENES'!$U691="","-",'ORDENES'!$U691))</f>
        <v/>
      </c>
      <c r="F713" s="3">
        <f>IF('ORDENES'!$A691="","",IF('ORDENES'!$W691="","-",'ORDENES'!$W691))</f>
        <v/>
      </c>
      <c r="G713" s="3">
        <f>IF('ORDENES'!$A691="","",IF('ORDENES'!$AB691="","-",'ORDENES'!$AB691))</f>
        <v/>
      </c>
      <c r="H713" s="3">
        <f>IF('ORDENES'!$A691="","",IF('ORDENES'!$AN691="","-",'ORDENES'!$AN691))</f>
        <v/>
      </c>
      <c r="I713" s="3">
        <f>IF('ORDENES'!$A691="","",IF('ORDENES'!$D691="","-",'ORDENES'!$D691))</f>
        <v/>
      </c>
      <c r="J713" s="3">
        <f>IF('ORDENES'!$A691="","",IF('ORDENES'!$E691="","-",'ORDENES'!$E691))</f>
        <v/>
      </c>
      <c r="K713" s="12">
        <f>IF('ORDENES'!$A691="","",IF('ORDENES'!$M691="",0,'ORDENES'!$M691))</f>
        <v/>
      </c>
      <c r="L713" s="3">
        <f>IF('ORDENES'!$A691="","",IF('ORDENES'!$N691="","-",'ORDENES'!$N691))</f>
        <v/>
      </c>
      <c r="M713" s="3">
        <f>IF('ORDENES'!$A691="","",'ORDENES'!$AA691)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IF('ORDENES'!$A692="","",IF('ORDENES'!$AC692="","-",'ORDENES'!$AC692))</f>
        <v/>
      </c>
      <c r="D714" s="3">
        <f>IF('ORDENES'!$A692="","",IF('ORDENES'!$V692="","-",'ORDENES'!$V692))</f>
        <v/>
      </c>
      <c r="E714" s="3">
        <f>IF('ORDENES'!$A692="","",IF('ORDENES'!$U692="","-",'ORDENES'!$U692))</f>
        <v/>
      </c>
      <c r="F714" s="3">
        <f>IF('ORDENES'!$A692="","",IF('ORDENES'!$W692="","-",'ORDENES'!$W692))</f>
        <v/>
      </c>
      <c r="G714" s="3">
        <f>IF('ORDENES'!$A692="","",IF('ORDENES'!$AB692="","-",'ORDENES'!$AB692))</f>
        <v/>
      </c>
      <c r="H714" s="3">
        <f>IF('ORDENES'!$A692="","",IF('ORDENES'!$AN692="","-",'ORDENES'!$AN692))</f>
        <v/>
      </c>
      <c r="I714" s="3">
        <f>IF('ORDENES'!$A692="","",IF('ORDENES'!$D692="","-",'ORDENES'!$D692))</f>
        <v/>
      </c>
      <c r="J714" s="3">
        <f>IF('ORDENES'!$A692="","",IF('ORDENES'!$E692="","-",'ORDENES'!$E692))</f>
        <v/>
      </c>
      <c r="K714" s="12">
        <f>IF('ORDENES'!$A692="","",IF('ORDENES'!$M692="",0,'ORDENES'!$M692))</f>
        <v/>
      </c>
      <c r="L714" s="3">
        <f>IF('ORDENES'!$A692="","",IF('ORDENES'!$N692="","-",'ORDENES'!$N692))</f>
        <v/>
      </c>
      <c r="M714" s="3">
        <f>IF('ORDENES'!$A692="","",'ORDENES'!$AA692)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IF('ORDENES'!$A693="","",IF('ORDENES'!$AC693="","-",'ORDENES'!$AC693))</f>
        <v/>
      </c>
      <c r="D715" s="3">
        <f>IF('ORDENES'!$A693="","",IF('ORDENES'!$V693="","-",'ORDENES'!$V693))</f>
        <v/>
      </c>
      <c r="E715" s="3">
        <f>IF('ORDENES'!$A693="","",IF('ORDENES'!$U693="","-",'ORDENES'!$U693))</f>
        <v/>
      </c>
      <c r="F715" s="3">
        <f>IF('ORDENES'!$A693="","",IF('ORDENES'!$W693="","-",'ORDENES'!$W693))</f>
        <v/>
      </c>
      <c r="G715" s="3">
        <f>IF('ORDENES'!$A693="","",IF('ORDENES'!$AB693="","-",'ORDENES'!$AB693))</f>
        <v/>
      </c>
      <c r="H715" s="3">
        <f>IF('ORDENES'!$A693="","",IF('ORDENES'!$AN693="","-",'ORDENES'!$AN693))</f>
        <v/>
      </c>
      <c r="I715" s="3">
        <f>IF('ORDENES'!$A693="","",IF('ORDENES'!$D693="","-",'ORDENES'!$D693))</f>
        <v/>
      </c>
      <c r="J715" s="3">
        <f>IF('ORDENES'!$A693="","",IF('ORDENES'!$E693="","-",'ORDENES'!$E693))</f>
        <v/>
      </c>
      <c r="K715" s="12">
        <f>IF('ORDENES'!$A693="","",IF('ORDENES'!$M693="",0,'ORDENES'!$M693))</f>
        <v/>
      </c>
      <c r="L715" s="3">
        <f>IF('ORDENES'!$A693="","",IF('ORDENES'!$N693="","-",'ORDENES'!$N693))</f>
        <v/>
      </c>
      <c r="M715" s="3">
        <f>IF('ORDENES'!$A693="","",'ORDENES'!$AA693)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IF('ORDENES'!$A694="","",IF('ORDENES'!$AC694="","-",'ORDENES'!$AC694))</f>
        <v/>
      </c>
      <c r="D716" s="3">
        <f>IF('ORDENES'!$A694="","",IF('ORDENES'!$V694="","-",'ORDENES'!$V694))</f>
        <v/>
      </c>
      <c r="E716" s="3">
        <f>IF('ORDENES'!$A694="","",IF('ORDENES'!$U694="","-",'ORDENES'!$U694))</f>
        <v/>
      </c>
      <c r="F716" s="3">
        <f>IF('ORDENES'!$A694="","",IF('ORDENES'!$W694="","-",'ORDENES'!$W694))</f>
        <v/>
      </c>
      <c r="G716" s="3">
        <f>IF('ORDENES'!$A694="","",IF('ORDENES'!$AB694="","-",'ORDENES'!$AB694))</f>
        <v/>
      </c>
      <c r="H716" s="3">
        <f>IF('ORDENES'!$A694="","",IF('ORDENES'!$AN694="","-",'ORDENES'!$AN694))</f>
        <v/>
      </c>
      <c r="I716" s="3">
        <f>IF('ORDENES'!$A694="","",IF('ORDENES'!$D694="","-",'ORDENES'!$D694))</f>
        <v/>
      </c>
      <c r="J716" s="3">
        <f>IF('ORDENES'!$A694="","",IF('ORDENES'!$E694="","-",'ORDENES'!$E694))</f>
        <v/>
      </c>
      <c r="K716" s="12">
        <f>IF('ORDENES'!$A694="","",IF('ORDENES'!$M694="",0,'ORDENES'!$M694))</f>
        <v/>
      </c>
      <c r="L716" s="3">
        <f>IF('ORDENES'!$A694="","",IF('ORDENES'!$N694="","-",'ORDENES'!$N694))</f>
        <v/>
      </c>
      <c r="M716" s="3">
        <f>IF('ORDENES'!$A694="","",'ORDENES'!$AA694)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IF('ORDENES'!$A695="","",IF('ORDENES'!$AC695="","-",'ORDENES'!$AC695))</f>
        <v/>
      </c>
      <c r="D717" s="3">
        <f>IF('ORDENES'!$A695="","",IF('ORDENES'!$V695="","-",'ORDENES'!$V695))</f>
        <v/>
      </c>
      <c r="E717" s="3">
        <f>IF('ORDENES'!$A695="","",IF('ORDENES'!$U695="","-",'ORDENES'!$U695))</f>
        <v/>
      </c>
      <c r="F717" s="3">
        <f>IF('ORDENES'!$A695="","",IF('ORDENES'!$W695="","-",'ORDENES'!$W695))</f>
        <v/>
      </c>
      <c r="G717" s="3">
        <f>IF('ORDENES'!$A695="","",IF('ORDENES'!$AB695="","-",'ORDENES'!$AB695))</f>
        <v/>
      </c>
      <c r="H717" s="3">
        <f>IF('ORDENES'!$A695="","",IF('ORDENES'!$AN695="","-",'ORDENES'!$AN695))</f>
        <v/>
      </c>
      <c r="I717" s="3">
        <f>IF('ORDENES'!$A695="","",IF('ORDENES'!$D695="","-",'ORDENES'!$D695))</f>
        <v/>
      </c>
      <c r="J717" s="3">
        <f>IF('ORDENES'!$A695="","",IF('ORDENES'!$E695="","-",'ORDENES'!$E695))</f>
        <v/>
      </c>
      <c r="K717" s="12">
        <f>IF('ORDENES'!$A695="","",IF('ORDENES'!$M695="",0,'ORDENES'!$M695))</f>
        <v/>
      </c>
      <c r="L717" s="3">
        <f>IF('ORDENES'!$A695="","",IF('ORDENES'!$N695="","-",'ORDENES'!$N695))</f>
        <v/>
      </c>
      <c r="M717" s="3">
        <f>IF('ORDENES'!$A695="","",'ORDENES'!$AA695)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IF('ORDENES'!$A696="","",IF('ORDENES'!$AC696="","-",'ORDENES'!$AC696))</f>
        <v/>
      </c>
      <c r="D718" s="3">
        <f>IF('ORDENES'!$A696="","",IF('ORDENES'!$V696="","-",'ORDENES'!$V696))</f>
        <v/>
      </c>
      <c r="E718" s="3">
        <f>IF('ORDENES'!$A696="","",IF('ORDENES'!$U696="","-",'ORDENES'!$U696))</f>
        <v/>
      </c>
      <c r="F718" s="3">
        <f>IF('ORDENES'!$A696="","",IF('ORDENES'!$W696="","-",'ORDENES'!$W696))</f>
        <v/>
      </c>
      <c r="G718" s="3">
        <f>IF('ORDENES'!$A696="","",IF('ORDENES'!$AB696="","-",'ORDENES'!$AB696))</f>
        <v/>
      </c>
      <c r="H718" s="3">
        <f>IF('ORDENES'!$A696="","",IF('ORDENES'!$AN696="","-",'ORDENES'!$AN696))</f>
        <v/>
      </c>
      <c r="I718" s="3">
        <f>IF('ORDENES'!$A696="","",IF('ORDENES'!$D696="","-",'ORDENES'!$D696))</f>
        <v/>
      </c>
      <c r="J718" s="3">
        <f>IF('ORDENES'!$A696="","",IF('ORDENES'!$E696="","-",'ORDENES'!$E696))</f>
        <v/>
      </c>
      <c r="K718" s="12">
        <f>IF('ORDENES'!$A696="","",IF('ORDENES'!$M696="",0,'ORDENES'!$M696))</f>
        <v/>
      </c>
      <c r="L718" s="3">
        <f>IF('ORDENES'!$A696="","",IF('ORDENES'!$N696="","-",'ORDENES'!$N696))</f>
        <v/>
      </c>
      <c r="M718" s="3">
        <f>IF('ORDENES'!$A696="","",'ORDENES'!$AA696)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IF('ORDENES'!$A697="","",IF('ORDENES'!$AC697="","-",'ORDENES'!$AC697))</f>
        <v/>
      </c>
      <c r="D719" s="3">
        <f>IF('ORDENES'!$A697="","",IF('ORDENES'!$V697="","-",'ORDENES'!$V697))</f>
        <v/>
      </c>
      <c r="E719" s="3">
        <f>IF('ORDENES'!$A697="","",IF('ORDENES'!$U697="","-",'ORDENES'!$U697))</f>
        <v/>
      </c>
      <c r="F719" s="3">
        <f>IF('ORDENES'!$A697="","",IF('ORDENES'!$W697="","-",'ORDENES'!$W697))</f>
        <v/>
      </c>
      <c r="G719" s="3">
        <f>IF('ORDENES'!$A697="","",IF('ORDENES'!$AB697="","-",'ORDENES'!$AB697))</f>
        <v/>
      </c>
      <c r="H719" s="3">
        <f>IF('ORDENES'!$A697="","",IF('ORDENES'!$AN697="","-",'ORDENES'!$AN697))</f>
        <v/>
      </c>
      <c r="I719" s="3">
        <f>IF('ORDENES'!$A697="","",IF('ORDENES'!$D697="","-",'ORDENES'!$D697))</f>
        <v/>
      </c>
      <c r="J719" s="3">
        <f>IF('ORDENES'!$A697="","",IF('ORDENES'!$E697="","-",'ORDENES'!$E697))</f>
        <v/>
      </c>
      <c r="K719" s="12">
        <f>IF('ORDENES'!$A697="","",IF('ORDENES'!$M697="",0,'ORDENES'!$M697))</f>
        <v/>
      </c>
      <c r="L719" s="3">
        <f>IF('ORDENES'!$A697="","",IF('ORDENES'!$N697="","-",'ORDENES'!$N697))</f>
        <v/>
      </c>
      <c r="M719" s="3">
        <f>IF('ORDENES'!$A697="","",'ORDENES'!$AA697)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IF('ORDENES'!$A698="","",IF('ORDENES'!$AC698="","-",'ORDENES'!$AC698))</f>
        <v/>
      </c>
      <c r="D720" s="3">
        <f>IF('ORDENES'!$A698="","",IF('ORDENES'!$V698="","-",'ORDENES'!$V698))</f>
        <v/>
      </c>
      <c r="E720" s="3">
        <f>IF('ORDENES'!$A698="","",IF('ORDENES'!$U698="","-",'ORDENES'!$U698))</f>
        <v/>
      </c>
      <c r="F720" s="3">
        <f>IF('ORDENES'!$A698="","",IF('ORDENES'!$W698="","-",'ORDENES'!$W698))</f>
        <v/>
      </c>
      <c r="G720" s="3">
        <f>IF('ORDENES'!$A698="","",IF('ORDENES'!$AB698="","-",'ORDENES'!$AB698))</f>
        <v/>
      </c>
      <c r="H720" s="3">
        <f>IF('ORDENES'!$A698="","",IF('ORDENES'!$AN698="","-",'ORDENES'!$AN698))</f>
        <v/>
      </c>
      <c r="I720" s="3">
        <f>IF('ORDENES'!$A698="","",IF('ORDENES'!$D698="","-",'ORDENES'!$D698))</f>
        <v/>
      </c>
      <c r="J720" s="3">
        <f>IF('ORDENES'!$A698="","",IF('ORDENES'!$E698="","-",'ORDENES'!$E698))</f>
        <v/>
      </c>
      <c r="K720" s="12">
        <f>IF('ORDENES'!$A698="","",IF('ORDENES'!$M698="",0,'ORDENES'!$M698))</f>
        <v/>
      </c>
      <c r="L720" s="3">
        <f>IF('ORDENES'!$A698="","",IF('ORDENES'!$N698="","-",'ORDENES'!$N698))</f>
        <v/>
      </c>
      <c r="M720" s="3">
        <f>IF('ORDENES'!$A698="","",'ORDENES'!$AA698)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IF('ORDENES'!$A699="","",IF('ORDENES'!$AC699="","-",'ORDENES'!$AC699))</f>
        <v/>
      </c>
      <c r="D721" s="3">
        <f>IF('ORDENES'!$A699="","",IF('ORDENES'!$V699="","-",'ORDENES'!$V699))</f>
        <v/>
      </c>
      <c r="E721" s="3">
        <f>IF('ORDENES'!$A699="","",IF('ORDENES'!$U699="","-",'ORDENES'!$U699))</f>
        <v/>
      </c>
      <c r="F721" s="3">
        <f>IF('ORDENES'!$A699="","",IF('ORDENES'!$W699="","-",'ORDENES'!$W699))</f>
        <v/>
      </c>
      <c r="G721" s="3">
        <f>IF('ORDENES'!$A699="","",IF('ORDENES'!$AB699="","-",'ORDENES'!$AB699))</f>
        <v/>
      </c>
      <c r="H721" s="3">
        <f>IF('ORDENES'!$A699="","",IF('ORDENES'!$AN699="","-",'ORDENES'!$AN699))</f>
        <v/>
      </c>
      <c r="I721" s="3">
        <f>IF('ORDENES'!$A699="","",IF('ORDENES'!$D699="","-",'ORDENES'!$D699))</f>
        <v/>
      </c>
      <c r="J721" s="3">
        <f>IF('ORDENES'!$A699="","",IF('ORDENES'!$E699="","-",'ORDENES'!$E699))</f>
        <v/>
      </c>
      <c r="K721" s="12">
        <f>IF('ORDENES'!$A699="","",IF('ORDENES'!$M699="",0,'ORDENES'!$M699))</f>
        <v/>
      </c>
      <c r="L721" s="3">
        <f>IF('ORDENES'!$A699="","",IF('ORDENES'!$N699="","-",'ORDENES'!$N699))</f>
        <v/>
      </c>
      <c r="M721" s="3">
        <f>IF('ORDENES'!$A699="","",'ORDENES'!$AA699)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IF('ORDENES'!$A700="","",IF('ORDENES'!$AC700="","-",'ORDENES'!$AC700))</f>
        <v/>
      </c>
      <c r="D722" s="3">
        <f>IF('ORDENES'!$A700="","",IF('ORDENES'!$V700="","-",'ORDENES'!$V700))</f>
        <v/>
      </c>
      <c r="E722" s="3">
        <f>IF('ORDENES'!$A700="","",IF('ORDENES'!$U700="","-",'ORDENES'!$U700))</f>
        <v/>
      </c>
      <c r="F722" s="3">
        <f>IF('ORDENES'!$A700="","",IF('ORDENES'!$W700="","-",'ORDENES'!$W700))</f>
        <v/>
      </c>
      <c r="G722" s="3">
        <f>IF('ORDENES'!$A700="","",IF('ORDENES'!$AB700="","-",'ORDENES'!$AB700))</f>
        <v/>
      </c>
      <c r="H722" s="3">
        <f>IF('ORDENES'!$A700="","",IF('ORDENES'!$AN700="","-",'ORDENES'!$AN700))</f>
        <v/>
      </c>
      <c r="I722" s="3">
        <f>IF('ORDENES'!$A700="","",IF('ORDENES'!$D700="","-",'ORDENES'!$D700))</f>
        <v/>
      </c>
      <c r="J722" s="3">
        <f>IF('ORDENES'!$A700="","",IF('ORDENES'!$E700="","-",'ORDENES'!$E700))</f>
        <v/>
      </c>
      <c r="K722" s="12">
        <f>IF('ORDENES'!$A700="","",IF('ORDENES'!$M700="",0,'ORDENES'!$M700))</f>
        <v/>
      </c>
      <c r="L722" s="3">
        <f>IF('ORDENES'!$A700="","",IF('ORDENES'!$N700="","-",'ORDENES'!$N700))</f>
        <v/>
      </c>
      <c r="M722" s="3">
        <f>IF('ORDENES'!$A700="","",'ORDENES'!$AA700)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IF('ORDENES'!$A701="","",IF('ORDENES'!$AC701="","-",'ORDENES'!$AC701))</f>
        <v/>
      </c>
      <c r="D723" s="3">
        <f>IF('ORDENES'!$A701="","",IF('ORDENES'!$V701="","-",'ORDENES'!$V701))</f>
        <v/>
      </c>
      <c r="E723" s="3">
        <f>IF('ORDENES'!$A701="","",IF('ORDENES'!$U701="","-",'ORDENES'!$U701))</f>
        <v/>
      </c>
      <c r="F723" s="3">
        <f>IF('ORDENES'!$A701="","",IF('ORDENES'!$W701="","-",'ORDENES'!$W701))</f>
        <v/>
      </c>
      <c r="G723" s="3">
        <f>IF('ORDENES'!$A701="","",IF('ORDENES'!$AB701="","-",'ORDENES'!$AB701))</f>
        <v/>
      </c>
      <c r="H723" s="3">
        <f>IF('ORDENES'!$A701="","",IF('ORDENES'!$AN701="","-",'ORDENES'!$AN701))</f>
        <v/>
      </c>
      <c r="I723" s="3">
        <f>IF('ORDENES'!$A701="","",IF('ORDENES'!$D701="","-",'ORDENES'!$D701))</f>
        <v/>
      </c>
      <c r="J723" s="3">
        <f>IF('ORDENES'!$A701="","",IF('ORDENES'!$E701="","-",'ORDENES'!$E701))</f>
        <v/>
      </c>
      <c r="K723" s="12">
        <f>IF('ORDENES'!$A701="","",IF('ORDENES'!$M701="",0,'ORDENES'!$M701))</f>
        <v/>
      </c>
      <c r="L723" s="3">
        <f>IF('ORDENES'!$A701="","",IF('ORDENES'!$N701="","-",'ORDENES'!$N701))</f>
        <v/>
      </c>
      <c r="M723" s="3">
        <f>IF('ORDENES'!$A701="","",'ORDENES'!$AA701)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IF('ORDENES'!$A702="","",IF('ORDENES'!$AC702="","-",'ORDENES'!$AC702))</f>
        <v/>
      </c>
      <c r="D724" s="3">
        <f>IF('ORDENES'!$A702="","",IF('ORDENES'!$V702="","-",'ORDENES'!$V702))</f>
        <v/>
      </c>
      <c r="E724" s="3">
        <f>IF('ORDENES'!$A702="","",IF('ORDENES'!$U702="","-",'ORDENES'!$U702))</f>
        <v/>
      </c>
      <c r="F724" s="3">
        <f>IF('ORDENES'!$A702="","",IF('ORDENES'!$W702="","-",'ORDENES'!$W702))</f>
        <v/>
      </c>
      <c r="G724" s="3">
        <f>IF('ORDENES'!$A702="","",IF('ORDENES'!$AB702="","-",'ORDENES'!$AB702))</f>
        <v/>
      </c>
      <c r="H724" s="3">
        <f>IF('ORDENES'!$A702="","",IF('ORDENES'!$AN702="","-",'ORDENES'!$AN702))</f>
        <v/>
      </c>
      <c r="I724" s="3">
        <f>IF('ORDENES'!$A702="","",IF('ORDENES'!$D702="","-",'ORDENES'!$D702))</f>
        <v/>
      </c>
      <c r="J724" s="3">
        <f>IF('ORDENES'!$A702="","",IF('ORDENES'!$E702="","-",'ORDENES'!$E702))</f>
        <v/>
      </c>
      <c r="K724" s="12">
        <f>IF('ORDENES'!$A702="","",IF('ORDENES'!$M702="",0,'ORDENES'!$M702))</f>
        <v/>
      </c>
      <c r="L724" s="3">
        <f>IF('ORDENES'!$A702="","",IF('ORDENES'!$N702="","-",'ORDENES'!$N702))</f>
        <v/>
      </c>
      <c r="M724" s="3">
        <f>IF('ORDENES'!$A702="","",'ORDENES'!$AA702)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IF('ORDENES'!$A703="","",IF('ORDENES'!$AC703="","-",'ORDENES'!$AC703))</f>
        <v/>
      </c>
      <c r="D725" s="3">
        <f>IF('ORDENES'!$A703="","",IF('ORDENES'!$V703="","-",'ORDENES'!$V703))</f>
        <v/>
      </c>
      <c r="E725" s="3">
        <f>IF('ORDENES'!$A703="","",IF('ORDENES'!$U703="","-",'ORDENES'!$U703))</f>
        <v/>
      </c>
      <c r="F725" s="3">
        <f>IF('ORDENES'!$A703="","",IF('ORDENES'!$W703="","-",'ORDENES'!$W703))</f>
        <v/>
      </c>
      <c r="G725" s="3">
        <f>IF('ORDENES'!$A703="","",IF('ORDENES'!$AB703="","-",'ORDENES'!$AB703))</f>
        <v/>
      </c>
      <c r="H725" s="3">
        <f>IF('ORDENES'!$A703="","",IF('ORDENES'!$AN703="","-",'ORDENES'!$AN703))</f>
        <v/>
      </c>
      <c r="I725" s="3">
        <f>IF('ORDENES'!$A703="","",IF('ORDENES'!$D703="","-",'ORDENES'!$D703))</f>
        <v/>
      </c>
      <c r="J725" s="3">
        <f>IF('ORDENES'!$A703="","",IF('ORDENES'!$E703="","-",'ORDENES'!$E703))</f>
        <v/>
      </c>
      <c r="K725" s="12">
        <f>IF('ORDENES'!$A703="","",IF('ORDENES'!$M703="",0,'ORDENES'!$M703))</f>
        <v/>
      </c>
      <c r="L725" s="3">
        <f>IF('ORDENES'!$A703="","",IF('ORDENES'!$N703="","-",'ORDENES'!$N703))</f>
        <v/>
      </c>
      <c r="M725" s="3">
        <f>IF('ORDENES'!$A703="","",'ORDENES'!$AA703)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IF('ORDENES'!$A704="","",IF('ORDENES'!$AC704="","-",'ORDENES'!$AC704))</f>
        <v/>
      </c>
      <c r="D726" s="3">
        <f>IF('ORDENES'!$A704="","",IF('ORDENES'!$V704="","-",'ORDENES'!$V704))</f>
        <v/>
      </c>
      <c r="E726" s="3">
        <f>IF('ORDENES'!$A704="","",IF('ORDENES'!$U704="","-",'ORDENES'!$U704))</f>
        <v/>
      </c>
      <c r="F726" s="3">
        <f>IF('ORDENES'!$A704="","",IF('ORDENES'!$W704="","-",'ORDENES'!$W704))</f>
        <v/>
      </c>
      <c r="G726" s="3">
        <f>IF('ORDENES'!$A704="","",IF('ORDENES'!$AB704="","-",'ORDENES'!$AB704))</f>
        <v/>
      </c>
      <c r="H726" s="3">
        <f>IF('ORDENES'!$A704="","",IF('ORDENES'!$AN704="","-",'ORDENES'!$AN704))</f>
        <v/>
      </c>
      <c r="I726" s="3">
        <f>IF('ORDENES'!$A704="","",IF('ORDENES'!$D704="","-",'ORDENES'!$D704))</f>
        <v/>
      </c>
      <c r="J726" s="3">
        <f>IF('ORDENES'!$A704="","",IF('ORDENES'!$E704="","-",'ORDENES'!$E704))</f>
        <v/>
      </c>
      <c r="K726" s="12">
        <f>IF('ORDENES'!$A704="","",IF('ORDENES'!$M704="",0,'ORDENES'!$M704))</f>
        <v/>
      </c>
      <c r="L726" s="3">
        <f>IF('ORDENES'!$A704="","",IF('ORDENES'!$N704="","-",'ORDENES'!$N704))</f>
        <v/>
      </c>
      <c r="M726" s="3">
        <f>IF('ORDENES'!$A704="","",'ORDENES'!$AA704)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IF('ORDENES'!$A705="","",IF('ORDENES'!$AC705="","-",'ORDENES'!$AC705))</f>
        <v/>
      </c>
      <c r="D727" s="3">
        <f>IF('ORDENES'!$A705="","",IF('ORDENES'!$V705="","-",'ORDENES'!$V705))</f>
        <v/>
      </c>
      <c r="E727" s="3">
        <f>IF('ORDENES'!$A705="","",IF('ORDENES'!$U705="","-",'ORDENES'!$U705))</f>
        <v/>
      </c>
      <c r="F727" s="3">
        <f>IF('ORDENES'!$A705="","",IF('ORDENES'!$W705="","-",'ORDENES'!$W705))</f>
        <v/>
      </c>
      <c r="G727" s="3">
        <f>IF('ORDENES'!$A705="","",IF('ORDENES'!$AB705="","-",'ORDENES'!$AB705))</f>
        <v/>
      </c>
      <c r="H727" s="3">
        <f>IF('ORDENES'!$A705="","",IF('ORDENES'!$AN705="","-",'ORDENES'!$AN705))</f>
        <v/>
      </c>
      <c r="I727" s="3">
        <f>IF('ORDENES'!$A705="","",IF('ORDENES'!$D705="","-",'ORDENES'!$D705))</f>
        <v/>
      </c>
      <c r="J727" s="3">
        <f>IF('ORDENES'!$A705="","",IF('ORDENES'!$E705="","-",'ORDENES'!$E705))</f>
        <v/>
      </c>
      <c r="K727" s="12">
        <f>IF('ORDENES'!$A705="","",IF('ORDENES'!$M705="",0,'ORDENES'!$M705))</f>
        <v/>
      </c>
      <c r="L727" s="3">
        <f>IF('ORDENES'!$A705="","",IF('ORDENES'!$N705="","-",'ORDENES'!$N705))</f>
        <v/>
      </c>
      <c r="M727" s="3">
        <f>IF('ORDENES'!$A705="","",'ORDENES'!$AA705)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IF('ORDENES'!$A706="","",IF('ORDENES'!$AC706="","-",'ORDENES'!$AC706))</f>
        <v/>
      </c>
      <c r="D728" s="3">
        <f>IF('ORDENES'!$A706="","",IF('ORDENES'!$V706="","-",'ORDENES'!$V706))</f>
        <v/>
      </c>
      <c r="E728" s="3">
        <f>IF('ORDENES'!$A706="","",IF('ORDENES'!$U706="","-",'ORDENES'!$U706))</f>
        <v/>
      </c>
      <c r="F728" s="3">
        <f>IF('ORDENES'!$A706="","",IF('ORDENES'!$W706="","-",'ORDENES'!$W706))</f>
        <v/>
      </c>
      <c r="G728" s="3">
        <f>IF('ORDENES'!$A706="","",IF('ORDENES'!$AB706="","-",'ORDENES'!$AB706))</f>
        <v/>
      </c>
      <c r="H728" s="3">
        <f>IF('ORDENES'!$A706="","",IF('ORDENES'!$AN706="","-",'ORDENES'!$AN706))</f>
        <v/>
      </c>
      <c r="I728" s="3">
        <f>IF('ORDENES'!$A706="","",IF('ORDENES'!$D706="","-",'ORDENES'!$D706))</f>
        <v/>
      </c>
      <c r="J728" s="3">
        <f>IF('ORDENES'!$A706="","",IF('ORDENES'!$E706="","-",'ORDENES'!$E706))</f>
        <v/>
      </c>
      <c r="K728" s="12">
        <f>IF('ORDENES'!$A706="","",IF('ORDENES'!$M706="",0,'ORDENES'!$M706))</f>
        <v/>
      </c>
      <c r="L728" s="3">
        <f>IF('ORDENES'!$A706="","",IF('ORDENES'!$N706="","-",'ORDENES'!$N706))</f>
        <v/>
      </c>
      <c r="M728" s="3">
        <f>IF('ORDENES'!$A706="","",'ORDENES'!$AA706)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IF('ORDENES'!$A707="","",IF('ORDENES'!$AC707="","-",'ORDENES'!$AC707))</f>
        <v/>
      </c>
      <c r="D729" s="3">
        <f>IF('ORDENES'!$A707="","",IF('ORDENES'!$V707="","-",'ORDENES'!$V707))</f>
        <v/>
      </c>
      <c r="E729" s="3">
        <f>IF('ORDENES'!$A707="","",IF('ORDENES'!$U707="","-",'ORDENES'!$U707))</f>
        <v/>
      </c>
      <c r="F729" s="3">
        <f>IF('ORDENES'!$A707="","",IF('ORDENES'!$W707="","-",'ORDENES'!$W707))</f>
        <v/>
      </c>
      <c r="G729" s="3">
        <f>IF('ORDENES'!$A707="","",IF('ORDENES'!$AB707="","-",'ORDENES'!$AB707))</f>
        <v/>
      </c>
      <c r="H729" s="3">
        <f>IF('ORDENES'!$A707="","",IF('ORDENES'!$AN707="","-",'ORDENES'!$AN707))</f>
        <v/>
      </c>
      <c r="I729" s="3">
        <f>IF('ORDENES'!$A707="","",IF('ORDENES'!$D707="","-",'ORDENES'!$D707))</f>
        <v/>
      </c>
      <c r="J729" s="3">
        <f>IF('ORDENES'!$A707="","",IF('ORDENES'!$E707="","-",'ORDENES'!$E707))</f>
        <v/>
      </c>
      <c r="K729" s="12">
        <f>IF('ORDENES'!$A707="","",IF('ORDENES'!$M707="",0,'ORDENES'!$M707))</f>
        <v/>
      </c>
      <c r="L729" s="3">
        <f>IF('ORDENES'!$A707="","",IF('ORDENES'!$N707="","-",'ORDENES'!$N707))</f>
        <v/>
      </c>
      <c r="M729" s="3">
        <f>IF('ORDENES'!$A707="","",'ORDENES'!$AA707)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IF('ORDENES'!$A708="","",IF('ORDENES'!$AC708="","-",'ORDENES'!$AC708))</f>
        <v/>
      </c>
      <c r="D730" s="3">
        <f>IF('ORDENES'!$A708="","",IF('ORDENES'!$V708="","-",'ORDENES'!$V708))</f>
        <v/>
      </c>
      <c r="E730" s="3">
        <f>IF('ORDENES'!$A708="","",IF('ORDENES'!$U708="","-",'ORDENES'!$U708))</f>
        <v/>
      </c>
      <c r="F730" s="3">
        <f>IF('ORDENES'!$A708="","",IF('ORDENES'!$W708="","-",'ORDENES'!$W708))</f>
        <v/>
      </c>
      <c r="G730" s="3">
        <f>IF('ORDENES'!$A708="","",IF('ORDENES'!$AB708="","-",'ORDENES'!$AB708))</f>
        <v/>
      </c>
      <c r="H730" s="3">
        <f>IF('ORDENES'!$A708="","",IF('ORDENES'!$AN708="","-",'ORDENES'!$AN708))</f>
        <v/>
      </c>
      <c r="I730" s="3">
        <f>IF('ORDENES'!$A708="","",IF('ORDENES'!$D708="","-",'ORDENES'!$D708))</f>
        <v/>
      </c>
      <c r="J730" s="3">
        <f>IF('ORDENES'!$A708="","",IF('ORDENES'!$E708="","-",'ORDENES'!$E708))</f>
        <v/>
      </c>
      <c r="K730" s="12">
        <f>IF('ORDENES'!$A708="","",IF('ORDENES'!$M708="",0,'ORDENES'!$M708))</f>
        <v/>
      </c>
      <c r="L730" s="3">
        <f>IF('ORDENES'!$A708="","",IF('ORDENES'!$N708="","-",'ORDENES'!$N708))</f>
        <v/>
      </c>
      <c r="M730" s="3">
        <f>IF('ORDENES'!$A708="","",'ORDENES'!$AA708)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IF('ORDENES'!$A709="","",IF('ORDENES'!$AC709="","-",'ORDENES'!$AC709))</f>
        <v/>
      </c>
      <c r="D731" s="3">
        <f>IF('ORDENES'!$A709="","",IF('ORDENES'!$V709="","-",'ORDENES'!$V709))</f>
        <v/>
      </c>
      <c r="E731" s="3">
        <f>IF('ORDENES'!$A709="","",IF('ORDENES'!$U709="","-",'ORDENES'!$U709))</f>
        <v/>
      </c>
      <c r="F731" s="3">
        <f>IF('ORDENES'!$A709="","",IF('ORDENES'!$W709="","-",'ORDENES'!$W709))</f>
        <v/>
      </c>
      <c r="G731" s="3">
        <f>IF('ORDENES'!$A709="","",IF('ORDENES'!$AB709="","-",'ORDENES'!$AB709))</f>
        <v/>
      </c>
      <c r="H731" s="3">
        <f>IF('ORDENES'!$A709="","",IF('ORDENES'!$AN709="","-",'ORDENES'!$AN709))</f>
        <v/>
      </c>
      <c r="I731" s="3">
        <f>IF('ORDENES'!$A709="","",IF('ORDENES'!$D709="","-",'ORDENES'!$D709))</f>
        <v/>
      </c>
      <c r="J731" s="3">
        <f>IF('ORDENES'!$A709="","",IF('ORDENES'!$E709="","-",'ORDENES'!$E709))</f>
        <v/>
      </c>
      <c r="K731" s="12">
        <f>IF('ORDENES'!$A709="","",IF('ORDENES'!$M709="",0,'ORDENES'!$M709))</f>
        <v/>
      </c>
      <c r="L731" s="3">
        <f>IF('ORDENES'!$A709="","",IF('ORDENES'!$N709="","-",'ORDENES'!$N709))</f>
        <v/>
      </c>
      <c r="M731" s="3">
        <f>IF('ORDENES'!$A709="","",'ORDENES'!$AA709)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IF('ORDENES'!$A710="","",IF('ORDENES'!$AC710="","-",'ORDENES'!$AC710))</f>
        <v/>
      </c>
      <c r="D732" s="3">
        <f>IF('ORDENES'!$A710="","",IF('ORDENES'!$V710="","-",'ORDENES'!$V710))</f>
        <v/>
      </c>
      <c r="E732" s="3">
        <f>IF('ORDENES'!$A710="","",IF('ORDENES'!$U710="","-",'ORDENES'!$U710))</f>
        <v/>
      </c>
      <c r="F732" s="3">
        <f>IF('ORDENES'!$A710="","",IF('ORDENES'!$W710="","-",'ORDENES'!$W710))</f>
        <v/>
      </c>
      <c r="G732" s="3">
        <f>IF('ORDENES'!$A710="","",IF('ORDENES'!$AB710="","-",'ORDENES'!$AB710))</f>
        <v/>
      </c>
      <c r="H732" s="3">
        <f>IF('ORDENES'!$A710="","",IF('ORDENES'!$AN710="","-",'ORDENES'!$AN710))</f>
        <v/>
      </c>
      <c r="I732" s="3">
        <f>IF('ORDENES'!$A710="","",IF('ORDENES'!$D710="","-",'ORDENES'!$D710))</f>
        <v/>
      </c>
      <c r="J732" s="3">
        <f>IF('ORDENES'!$A710="","",IF('ORDENES'!$E710="","-",'ORDENES'!$E710))</f>
        <v/>
      </c>
      <c r="K732" s="12">
        <f>IF('ORDENES'!$A710="","",IF('ORDENES'!$M710="",0,'ORDENES'!$M710))</f>
        <v/>
      </c>
      <c r="L732" s="3">
        <f>IF('ORDENES'!$A710="","",IF('ORDENES'!$N710="","-",'ORDENES'!$N710))</f>
        <v/>
      </c>
      <c r="M732" s="3">
        <f>IF('ORDENES'!$A710="","",'ORDENES'!$AA710)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IF('ORDENES'!$A711="","",IF('ORDENES'!$AC711="","-",'ORDENES'!$AC711))</f>
        <v/>
      </c>
      <c r="D733" s="3">
        <f>IF('ORDENES'!$A711="","",IF('ORDENES'!$V711="","-",'ORDENES'!$V711))</f>
        <v/>
      </c>
      <c r="E733" s="3">
        <f>IF('ORDENES'!$A711="","",IF('ORDENES'!$U711="","-",'ORDENES'!$U711))</f>
        <v/>
      </c>
      <c r="F733" s="3">
        <f>IF('ORDENES'!$A711="","",IF('ORDENES'!$W711="","-",'ORDENES'!$W711))</f>
        <v/>
      </c>
      <c r="G733" s="3">
        <f>IF('ORDENES'!$A711="","",IF('ORDENES'!$AB711="","-",'ORDENES'!$AB711))</f>
        <v/>
      </c>
      <c r="H733" s="3">
        <f>IF('ORDENES'!$A711="","",IF('ORDENES'!$AN711="","-",'ORDENES'!$AN711))</f>
        <v/>
      </c>
      <c r="I733" s="3">
        <f>IF('ORDENES'!$A711="","",IF('ORDENES'!$D711="","-",'ORDENES'!$D711))</f>
        <v/>
      </c>
      <c r="J733" s="3">
        <f>IF('ORDENES'!$A711="","",IF('ORDENES'!$E711="","-",'ORDENES'!$E711))</f>
        <v/>
      </c>
      <c r="K733" s="12">
        <f>IF('ORDENES'!$A711="","",IF('ORDENES'!$M711="",0,'ORDENES'!$M711))</f>
        <v/>
      </c>
      <c r="L733" s="3">
        <f>IF('ORDENES'!$A711="","",IF('ORDENES'!$N711="","-",'ORDENES'!$N711))</f>
        <v/>
      </c>
      <c r="M733" s="3">
        <f>IF('ORDENES'!$A711="","",'ORDENES'!$AA711)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IF('ORDENES'!$A712="","",IF('ORDENES'!$AC712="","-",'ORDENES'!$AC712))</f>
        <v/>
      </c>
      <c r="D734" s="3">
        <f>IF('ORDENES'!$A712="","",IF('ORDENES'!$V712="","-",'ORDENES'!$V712))</f>
        <v/>
      </c>
      <c r="E734" s="3">
        <f>IF('ORDENES'!$A712="","",IF('ORDENES'!$U712="","-",'ORDENES'!$U712))</f>
        <v/>
      </c>
      <c r="F734" s="3">
        <f>IF('ORDENES'!$A712="","",IF('ORDENES'!$W712="","-",'ORDENES'!$W712))</f>
        <v/>
      </c>
      <c r="G734" s="3">
        <f>IF('ORDENES'!$A712="","",IF('ORDENES'!$AB712="","-",'ORDENES'!$AB712))</f>
        <v/>
      </c>
      <c r="H734" s="3">
        <f>IF('ORDENES'!$A712="","",IF('ORDENES'!$AN712="","-",'ORDENES'!$AN712))</f>
        <v/>
      </c>
      <c r="I734" s="3">
        <f>IF('ORDENES'!$A712="","",IF('ORDENES'!$D712="","-",'ORDENES'!$D712))</f>
        <v/>
      </c>
      <c r="J734" s="3">
        <f>IF('ORDENES'!$A712="","",IF('ORDENES'!$E712="","-",'ORDENES'!$E712))</f>
        <v/>
      </c>
      <c r="K734" s="12">
        <f>IF('ORDENES'!$A712="","",IF('ORDENES'!$M712="",0,'ORDENES'!$M712))</f>
        <v/>
      </c>
      <c r="L734" s="3">
        <f>IF('ORDENES'!$A712="","",IF('ORDENES'!$N712="","-",'ORDENES'!$N712))</f>
        <v/>
      </c>
      <c r="M734" s="3">
        <f>IF('ORDENES'!$A712="","",'ORDENES'!$AA712)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IF('ORDENES'!$A713="","",IF('ORDENES'!$AC713="","-",'ORDENES'!$AC713))</f>
        <v/>
      </c>
      <c r="D735" s="3">
        <f>IF('ORDENES'!$A713="","",IF('ORDENES'!$V713="","-",'ORDENES'!$V713))</f>
        <v/>
      </c>
      <c r="E735" s="3">
        <f>IF('ORDENES'!$A713="","",IF('ORDENES'!$U713="","-",'ORDENES'!$U713))</f>
        <v/>
      </c>
      <c r="F735" s="3">
        <f>IF('ORDENES'!$A713="","",IF('ORDENES'!$W713="","-",'ORDENES'!$W713))</f>
        <v/>
      </c>
      <c r="G735" s="3">
        <f>IF('ORDENES'!$A713="","",IF('ORDENES'!$AB713="","-",'ORDENES'!$AB713))</f>
        <v/>
      </c>
      <c r="H735" s="3">
        <f>IF('ORDENES'!$A713="","",IF('ORDENES'!$AN713="","-",'ORDENES'!$AN713))</f>
        <v/>
      </c>
      <c r="I735" s="3">
        <f>IF('ORDENES'!$A713="","",IF('ORDENES'!$D713="","-",'ORDENES'!$D713))</f>
        <v/>
      </c>
      <c r="J735" s="3">
        <f>IF('ORDENES'!$A713="","",IF('ORDENES'!$E713="","-",'ORDENES'!$E713))</f>
        <v/>
      </c>
      <c r="K735" s="12">
        <f>IF('ORDENES'!$A713="","",IF('ORDENES'!$M713="",0,'ORDENES'!$M713))</f>
        <v/>
      </c>
      <c r="L735" s="3">
        <f>IF('ORDENES'!$A713="","",IF('ORDENES'!$N713="","-",'ORDENES'!$N713))</f>
        <v/>
      </c>
      <c r="M735" s="3">
        <f>IF('ORDENES'!$A713="","",'ORDENES'!$AA713)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IF('ORDENES'!$A714="","",IF('ORDENES'!$AC714="","-",'ORDENES'!$AC714))</f>
        <v/>
      </c>
      <c r="D736" s="3">
        <f>IF('ORDENES'!$A714="","",IF('ORDENES'!$V714="","-",'ORDENES'!$V714))</f>
        <v/>
      </c>
      <c r="E736" s="3">
        <f>IF('ORDENES'!$A714="","",IF('ORDENES'!$U714="","-",'ORDENES'!$U714))</f>
        <v/>
      </c>
      <c r="F736" s="3">
        <f>IF('ORDENES'!$A714="","",IF('ORDENES'!$W714="","-",'ORDENES'!$W714))</f>
        <v/>
      </c>
      <c r="G736" s="3">
        <f>IF('ORDENES'!$A714="","",IF('ORDENES'!$AB714="","-",'ORDENES'!$AB714))</f>
        <v/>
      </c>
      <c r="H736" s="3">
        <f>IF('ORDENES'!$A714="","",IF('ORDENES'!$AN714="","-",'ORDENES'!$AN714))</f>
        <v/>
      </c>
      <c r="I736" s="3">
        <f>IF('ORDENES'!$A714="","",IF('ORDENES'!$D714="","-",'ORDENES'!$D714))</f>
        <v/>
      </c>
      <c r="J736" s="3">
        <f>IF('ORDENES'!$A714="","",IF('ORDENES'!$E714="","-",'ORDENES'!$E714))</f>
        <v/>
      </c>
      <c r="K736" s="12">
        <f>IF('ORDENES'!$A714="","",IF('ORDENES'!$M714="",0,'ORDENES'!$M714))</f>
        <v/>
      </c>
      <c r="L736" s="3">
        <f>IF('ORDENES'!$A714="","",IF('ORDENES'!$N714="","-",'ORDENES'!$N714))</f>
        <v/>
      </c>
      <c r="M736" s="3">
        <f>IF('ORDENES'!$A714="","",'ORDENES'!$AA714)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IF('ORDENES'!$A715="","",IF('ORDENES'!$AC715="","-",'ORDENES'!$AC715))</f>
        <v/>
      </c>
      <c r="D737" s="3">
        <f>IF('ORDENES'!$A715="","",IF('ORDENES'!$V715="","-",'ORDENES'!$V715))</f>
        <v/>
      </c>
      <c r="E737" s="3">
        <f>IF('ORDENES'!$A715="","",IF('ORDENES'!$U715="","-",'ORDENES'!$U715))</f>
        <v/>
      </c>
      <c r="F737" s="3">
        <f>IF('ORDENES'!$A715="","",IF('ORDENES'!$W715="","-",'ORDENES'!$W715))</f>
        <v/>
      </c>
      <c r="G737" s="3">
        <f>IF('ORDENES'!$A715="","",IF('ORDENES'!$AB715="","-",'ORDENES'!$AB715))</f>
        <v/>
      </c>
      <c r="H737" s="3">
        <f>IF('ORDENES'!$A715="","",IF('ORDENES'!$AN715="","-",'ORDENES'!$AN715))</f>
        <v/>
      </c>
      <c r="I737" s="3">
        <f>IF('ORDENES'!$A715="","",IF('ORDENES'!$D715="","-",'ORDENES'!$D715))</f>
        <v/>
      </c>
      <c r="J737" s="3">
        <f>IF('ORDENES'!$A715="","",IF('ORDENES'!$E715="","-",'ORDENES'!$E715))</f>
        <v/>
      </c>
      <c r="K737" s="12">
        <f>IF('ORDENES'!$A715="","",IF('ORDENES'!$M715="",0,'ORDENES'!$M715))</f>
        <v/>
      </c>
      <c r="L737" s="3">
        <f>IF('ORDENES'!$A715="","",IF('ORDENES'!$N715="","-",'ORDENES'!$N715))</f>
        <v/>
      </c>
      <c r="M737" s="3">
        <f>IF('ORDENES'!$A715="","",'ORDENES'!$AA715)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IF('ORDENES'!$A716="","",IF('ORDENES'!$AC716="","-",'ORDENES'!$AC716))</f>
        <v/>
      </c>
      <c r="D738" s="3">
        <f>IF('ORDENES'!$A716="","",IF('ORDENES'!$V716="","-",'ORDENES'!$V716))</f>
        <v/>
      </c>
      <c r="E738" s="3">
        <f>IF('ORDENES'!$A716="","",IF('ORDENES'!$U716="","-",'ORDENES'!$U716))</f>
        <v/>
      </c>
      <c r="F738" s="3">
        <f>IF('ORDENES'!$A716="","",IF('ORDENES'!$W716="","-",'ORDENES'!$W716))</f>
        <v/>
      </c>
      <c r="G738" s="3">
        <f>IF('ORDENES'!$A716="","",IF('ORDENES'!$AB716="","-",'ORDENES'!$AB716))</f>
        <v/>
      </c>
      <c r="H738" s="3">
        <f>IF('ORDENES'!$A716="","",IF('ORDENES'!$AN716="","-",'ORDENES'!$AN716))</f>
        <v/>
      </c>
      <c r="I738" s="3">
        <f>IF('ORDENES'!$A716="","",IF('ORDENES'!$D716="","-",'ORDENES'!$D716))</f>
        <v/>
      </c>
      <c r="J738" s="3">
        <f>IF('ORDENES'!$A716="","",IF('ORDENES'!$E716="","-",'ORDENES'!$E716))</f>
        <v/>
      </c>
      <c r="K738" s="12">
        <f>IF('ORDENES'!$A716="","",IF('ORDENES'!$M716="",0,'ORDENES'!$M716))</f>
        <v/>
      </c>
      <c r="L738" s="3">
        <f>IF('ORDENES'!$A716="","",IF('ORDENES'!$N716="","-",'ORDENES'!$N716))</f>
        <v/>
      </c>
      <c r="M738" s="3">
        <f>IF('ORDENES'!$A716="","",'ORDENES'!$AA716)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IF('ORDENES'!$A717="","",IF('ORDENES'!$AC717="","-",'ORDENES'!$AC717))</f>
        <v/>
      </c>
      <c r="D739" s="3">
        <f>IF('ORDENES'!$A717="","",IF('ORDENES'!$V717="","-",'ORDENES'!$V717))</f>
        <v/>
      </c>
      <c r="E739" s="3">
        <f>IF('ORDENES'!$A717="","",IF('ORDENES'!$U717="","-",'ORDENES'!$U717))</f>
        <v/>
      </c>
      <c r="F739" s="3">
        <f>IF('ORDENES'!$A717="","",IF('ORDENES'!$W717="","-",'ORDENES'!$W717))</f>
        <v/>
      </c>
      <c r="G739" s="3">
        <f>IF('ORDENES'!$A717="","",IF('ORDENES'!$AB717="","-",'ORDENES'!$AB717))</f>
        <v/>
      </c>
      <c r="H739" s="3">
        <f>IF('ORDENES'!$A717="","",IF('ORDENES'!$AN717="","-",'ORDENES'!$AN717))</f>
        <v/>
      </c>
      <c r="I739" s="3">
        <f>IF('ORDENES'!$A717="","",IF('ORDENES'!$D717="","-",'ORDENES'!$D717))</f>
        <v/>
      </c>
      <c r="J739" s="3">
        <f>IF('ORDENES'!$A717="","",IF('ORDENES'!$E717="","-",'ORDENES'!$E717))</f>
        <v/>
      </c>
      <c r="K739" s="12">
        <f>IF('ORDENES'!$A717="","",IF('ORDENES'!$M717="",0,'ORDENES'!$M717))</f>
        <v/>
      </c>
      <c r="L739" s="3">
        <f>IF('ORDENES'!$A717="","",IF('ORDENES'!$N717="","-",'ORDENES'!$N717))</f>
        <v/>
      </c>
      <c r="M739" s="3">
        <f>IF('ORDENES'!$A717="","",'ORDENES'!$AA717)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IF('ORDENES'!$A718="","",IF('ORDENES'!$AC718="","-",'ORDENES'!$AC718))</f>
        <v/>
      </c>
      <c r="D740" s="3">
        <f>IF('ORDENES'!$A718="","",IF('ORDENES'!$V718="","-",'ORDENES'!$V718))</f>
        <v/>
      </c>
      <c r="E740" s="3">
        <f>IF('ORDENES'!$A718="","",IF('ORDENES'!$U718="","-",'ORDENES'!$U718))</f>
        <v/>
      </c>
      <c r="F740" s="3">
        <f>IF('ORDENES'!$A718="","",IF('ORDENES'!$W718="","-",'ORDENES'!$W718))</f>
        <v/>
      </c>
      <c r="G740" s="3">
        <f>IF('ORDENES'!$A718="","",IF('ORDENES'!$AB718="","-",'ORDENES'!$AB718))</f>
        <v/>
      </c>
      <c r="H740" s="3">
        <f>IF('ORDENES'!$A718="","",IF('ORDENES'!$AN718="","-",'ORDENES'!$AN718))</f>
        <v/>
      </c>
      <c r="I740" s="3">
        <f>IF('ORDENES'!$A718="","",IF('ORDENES'!$D718="","-",'ORDENES'!$D718))</f>
        <v/>
      </c>
      <c r="J740" s="3">
        <f>IF('ORDENES'!$A718="","",IF('ORDENES'!$E718="","-",'ORDENES'!$E718))</f>
        <v/>
      </c>
      <c r="K740" s="12">
        <f>IF('ORDENES'!$A718="","",IF('ORDENES'!$M718="",0,'ORDENES'!$M718))</f>
        <v/>
      </c>
      <c r="L740" s="3">
        <f>IF('ORDENES'!$A718="","",IF('ORDENES'!$N718="","-",'ORDENES'!$N718))</f>
        <v/>
      </c>
      <c r="M740" s="3">
        <f>IF('ORDENES'!$A718="","",'ORDENES'!$AA718)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IF('ORDENES'!$A719="","",IF('ORDENES'!$AC719="","-",'ORDENES'!$AC719))</f>
        <v/>
      </c>
      <c r="D741" s="3">
        <f>IF('ORDENES'!$A719="","",IF('ORDENES'!$V719="","-",'ORDENES'!$V719))</f>
        <v/>
      </c>
      <c r="E741" s="3">
        <f>IF('ORDENES'!$A719="","",IF('ORDENES'!$U719="","-",'ORDENES'!$U719))</f>
        <v/>
      </c>
      <c r="F741" s="3">
        <f>IF('ORDENES'!$A719="","",IF('ORDENES'!$W719="","-",'ORDENES'!$W719))</f>
        <v/>
      </c>
      <c r="G741" s="3">
        <f>IF('ORDENES'!$A719="","",IF('ORDENES'!$AB719="","-",'ORDENES'!$AB719))</f>
        <v/>
      </c>
      <c r="H741" s="3">
        <f>IF('ORDENES'!$A719="","",IF('ORDENES'!$AN719="","-",'ORDENES'!$AN719))</f>
        <v/>
      </c>
      <c r="I741" s="3">
        <f>IF('ORDENES'!$A719="","",IF('ORDENES'!$D719="","-",'ORDENES'!$D719))</f>
        <v/>
      </c>
      <c r="J741" s="3">
        <f>IF('ORDENES'!$A719="","",IF('ORDENES'!$E719="","-",'ORDENES'!$E719))</f>
        <v/>
      </c>
      <c r="K741" s="12">
        <f>IF('ORDENES'!$A719="","",IF('ORDENES'!$M719="",0,'ORDENES'!$M719))</f>
        <v/>
      </c>
      <c r="L741" s="3">
        <f>IF('ORDENES'!$A719="","",IF('ORDENES'!$N719="","-",'ORDENES'!$N719))</f>
        <v/>
      </c>
      <c r="M741" s="3">
        <f>IF('ORDENES'!$A719="","",'ORDENES'!$AA719)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IF('ORDENES'!$A720="","",IF('ORDENES'!$AC720="","-",'ORDENES'!$AC720))</f>
        <v/>
      </c>
      <c r="D742" s="3">
        <f>IF('ORDENES'!$A720="","",IF('ORDENES'!$V720="","-",'ORDENES'!$V720))</f>
        <v/>
      </c>
      <c r="E742" s="3">
        <f>IF('ORDENES'!$A720="","",IF('ORDENES'!$U720="","-",'ORDENES'!$U720))</f>
        <v/>
      </c>
      <c r="F742" s="3">
        <f>IF('ORDENES'!$A720="","",IF('ORDENES'!$W720="","-",'ORDENES'!$W720))</f>
        <v/>
      </c>
      <c r="G742" s="3">
        <f>IF('ORDENES'!$A720="","",IF('ORDENES'!$AB720="","-",'ORDENES'!$AB720))</f>
        <v/>
      </c>
      <c r="H742" s="3">
        <f>IF('ORDENES'!$A720="","",IF('ORDENES'!$AN720="","-",'ORDENES'!$AN720))</f>
        <v/>
      </c>
      <c r="I742" s="3">
        <f>IF('ORDENES'!$A720="","",IF('ORDENES'!$D720="","-",'ORDENES'!$D720))</f>
        <v/>
      </c>
      <c r="J742" s="3">
        <f>IF('ORDENES'!$A720="","",IF('ORDENES'!$E720="","-",'ORDENES'!$E720))</f>
        <v/>
      </c>
      <c r="K742" s="12">
        <f>IF('ORDENES'!$A720="","",IF('ORDENES'!$M720="",0,'ORDENES'!$M720))</f>
        <v/>
      </c>
      <c r="L742" s="3">
        <f>IF('ORDENES'!$A720="","",IF('ORDENES'!$N720="","-",'ORDENES'!$N720))</f>
        <v/>
      </c>
      <c r="M742" s="3">
        <f>IF('ORDENES'!$A720="","",'ORDENES'!$AA720)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IF('ORDENES'!$A721="","",IF('ORDENES'!$AC721="","-",'ORDENES'!$AC721))</f>
        <v/>
      </c>
      <c r="D743" s="3">
        <f>IF('ORDENES'!$A721="","",IF('ORDENES'!$V721="","-",'ORDENES'!$V721))</f>
        <v/>
      </c>
      <c r="E743" s="3">
        <f>IF('ORDENES'!$A721="","",IF('ORDENES'!$U721="","-",'ORDENES'!$U721))</f>
        <v/>
      </c>
      <c r="F743" s="3">
        <f>IF('ORDENES'!$A721="","",IF('ORDENES'!$W721="","-",'ORDENES'!$W721))</f>
        <v/>
      </c>
      <c r="G743" s="3">
        <f>IF('ORDENES'!$A721="","",IF('ORDENES'!$AB721="","-",'ORDENES'!$AB721))</f>
        <v/>
      </c>
      <c r="H743" s="3">
        <f>IF('ORDENES'!$A721="","",IF('ORDENES'!$AN721="","-",'ORDENES'!$AN721))</f>
        <v/>
      </c>
      <c r="I743" s="3">
        <f>IF('ORDENES'!$A721="","",IF('ORDENES'!$D721="","-",'ORDENES'!$D721))</f>
        <v/>
      </c>
      <c r="J743" s="3">
        <f>IF('ORDENES'!$A721="","",IF('ORDENES'!$E721="","-",'ORDENES'!$E721))</f>
        <v/>
      </c>
      <c r="K743" s="12">
        <f>IF('ORDENES'!$A721="","",IF('ORDENES'!$M721="",0,'ORDENES'!$M721))</f>
        <v/>
      </c>
      <c r="L743" s="3">
        <f>IF('ORDENES'!$A721="","",IF('ORDENES'!$N721="","-",'ORDENES'!$N721))</f>
        <v/>
      </c>
      <c r="M743" s="3">
        <f>IF('ORDENES'!$A721="","",'ORDENES'!$AA721)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IF('ORDENES'!$A722="","",IF('ORDENES'!$AC722="","-",'ORDENES'!$AC722))</f>
        <v/>
      </c>
      <c r="D744" s="3">
        <f>IF('ORDENES'!$A722="","",IF('ORDENES'!$V722="","-",'ORDENES'!$V722))</f>
        <v/>
      </c>
      <c r="E744" s="3">
        <f>IF('ORDENES'!$A722="","",IF('ORDENES'!$U722="","-",'ORDENES'!$U722))</f>
        <v/>
      </c>
      <c r="F744" s="3">
        <f>IF('ORDENES'!$A722="","",IF('ORDENES'!$W722="","-",'ORDENES'!$W722))</f>
        <v/>
      </c>
      <c r="G744" s="3">
        <f>IF('ORDENES'!$A722="","",IF('ORDENES'!$AB722="","-",'ORDENES'!$AB722))</f>
        <v/>
      </c>
      <c r="H744" s="3">
        <f>IF('ORDENES'!$A722="","",IF('ORDENES'!$AN722="","-",'ORDENES'!$AN722))</f>
        <v/>
      </c>
      <c r="I744" s="3">
        <f>IF('ORDENES'!$A722="","",IF('ORDENES'!$D722="","-",'ORDENES'!$D722))</f>
        <v/>
      </c>
      <c r="J744" s="3">
        <f>IF('ORDENES'!$A722="","",IF('ORDENES'!$E722="","-",'ORDENES'!$E722))</f>
        <v/>
      </c>
      <c r="K744" s="12">
        <f>IF('ORDENES'!$A722="","",IF('ORDENES'!$M722="",0,'ORDENES'!$M722))</f>
        <v/>
      </c>
      <c r="L744" s="3">
        <f>IF('ORDENES'!$A722="","",IF('ORDENES'!$N722="","-",'ORDENES'!$N722))</f>
        <v/>
      </c>
      <c r="M744" s="3">
        <f>IF('ORDENES'!$A722="","",'ORDENES'!$AA722)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IF('ORDENES'!$A723="","",IF('ORDENES'!$AC723="","-",'ORDENES'!$AC723))</f>
        <v/>
      </c>
      <c r="D745" s="3">
        <f>IF('ORDENES'!$A723="","",IF('ORDENES'!$V723="","-",'ORDENES'!$V723))</f>
        <v/>
      </c>
      <c r="E745" s="3">
        <f>IF('ORDENES'!$A723="","",IF('ORDENES'!$U723="","-",'ORDENES'!$U723))</f>
        <v/>
      </c>
      <c r="F745" s="3">
        <f>IF('ORDENES'!$A723="","",IF('ORDENES'!$W723="","-",'ORDENES'!$W723))</f>
        <v/>
      </c>
      <c r="G745" s="3">
        <f>IF('ORDENES'!$A723="","",IF('ORDENES'!$AB723="","-",'ORDENES'!$AB723))</f>
        <v/>
      </c>
      <c r="H745" s="3">
        <f>IF('ORDENES'!$A723="","",IF('ORDENES'!$AN723="","-",'ORDENES'!$AN723))</f>
        <v/>
      </c>
      <c r="I745" s="3">
        <f>IF('ORDENES'!$A723="","",IF('ORDENES'!$D723="","-",'ORDENES'!$D723))</f>
        <v/>
      </c>
      <c r="J745" s="3">
        <f>IF('ORDENES'!$A723="","",IF('ORDENES'!$E723="","-",'ORDENES'!$E723))</f>
        <v/>
      </c>
      <c r="K745" s="12">
        <f>IF('ORDENES'!$A723="","",IF('ORDENES'!$M723="",0,'ORDENES'!$M723))</f>
        <v/>
      </c>
      <c r="L745" s="3">
        <f>IF('ORDENES'!$A723="","",IF('ORDENES'!$N723="","-",'ORDENES'!$N723))</f>
        <v/>
      </c>
      <c r="M745" s="3">
        <f>IF('ORDENES'!$A723="","",'ORDENES'!$AA723)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IF('ORDENES'!$A724="","",IF('ORDENES'!$AC724="","-",'ORDENES'!$AC724))</f>
        <v/>
      </c>
      <c r="D746" s="3">
        <f>IF('ORDENES'!$A724="","",IF('ORDENES'!$V724="","-",'ORDENES'!$V724))</f>
        <v/>
      </c>
      <c r="E746" s="3">
        <f>IF('ORDENES'!$A724="","",IF('ORDENES'!$U724="","-",'ORDENES'!$U724))</f>
        <v/>
      </c>
      <c r="F746" s="3">
        <f>IF('ORDENES'!$A724="","",IF('ORDENES'!$W724="","-",'ORDENES'!$W724))</f>
        <v/>
      </c>
      <c r="G746" s="3">
        <f>IF('ORDENES'!$A724="","",IF('ORDENES'!$AB724="","-",'ORDENES'!$AB724))</f>
        <v/>
      </c>
      <c r="H746" s="3">
        <f>IF('ORDENES'!$A724="","",IF('ORDENES'!$AN724="","-",'ORDENES'!$AN724))</f>
        <v/>
      </c>
      <c r="I746" s="3">
        <f>IF('ORDENES'!$A724="","",IF('ORDENES'!$D724="","-",'ORDENES'!$D724))</f>
        <v/>
      </c>
      <c r="J746" s="3">
        <f>IF('ORDENES'!$A724="","",IF('ORDENES'!$E724="","-",'ORDENES'!$E724))</f>
        <v/>
      </c>
      <c r="K746" s="12">
        <f>IF('ORDENES'!$A724="","",IF('ORDENES'!$M724="",0,'ORDENES'!$M724))</f>
        <v/>
      </c>
      <c r="L746" s="3">
        <f>IF('ORDENES'!$A724="","",IF('ORDENES'!$N724="","-",'ORDENES'!$N724))</f>
        <v/>
      </c>
      <c r="M746" s="3">
        <f>IF('ORDENES'!$A724="","",'ORDENES'!$AA724)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IF('ORDENES'!$A725="","",IF('ORDENES'!$AC725="","-",'ORDENES'!$AC725))</f>
        <v/>
      </c>
      <c r="D747" s="3">
        <f>IF('ORDENES'!$A725="","",IF('ORDENES'!$V725="","-",'ORDENES'!$V725))</f>
        <v/>
      </c>
      <c r="E747" s="3">
        <f>IF('ORDENES'!$A725="","",IF('ORDENES'!$U725="","-",'ORDENES'!$U725))</f>
        <v/>
      </c>
      <c r="F747" s="3">
        <f>IF('ORDENES'!$A725="","",IF('ORDENES'!$W725="","-",'ORDENES'!$W725))</f>
        <v/>
      </c>
      <c r="G747" s="3">
        <f>IF('ORDENES'!$A725="","",IF('ORDENES'!$AB725="","-",'ORDENES'!$AB725))</f>
        <v/>
      </c>
      <c r="H747" s="3">
        <f>IF('ORDENES'!$A725="","",IF('ORDENES'!$AN725="","-",'ORDENES'!$AN725))</f>
        <v/>
      </c>
      <c r="I747" s="3">
        <f>IF('ORDENES'!$A725="","",IF('ORDENES'!$D725="","-",'ORDENES'!$D725))</f>
        <v/>
      </c>
      <c r="J747" s="3">
        <f>IF('ORDENES'!$A725="","",IF('ORDENES'!$E725="","-",'ORDENES'!$E725))</f>
        <v/>
      </c>
      <c r="K747" s="12">
        <f>IF('ORDENES'!$A725="","",IF('ORDENES'!$M725="",0,'ORDENES'!$M725))</f>
        <v/>
      </c>
      <c r="L747" s="3">
        <f>IF('ORDENES'!$A725="","",IF('ORDENES'!$N725="","-",'ORDENES'!$N725))</f>
        <v/>
      </c>
      <c r="M747" s="3">
        <f>IF('ORDENES'!$A725="","",'ORDENES'!$AA725)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IF('ORDENES'!$A726="","",IF('ORDENES'!$AC726="","-",'ORDENES'!$AC726))</f>
        <v/>
      </c>
      <c r="D748" s="3">
        <f>IF('ORDENES'!$A726="","",IF('ORDENES'!$V726="","-",'ORDENES'!$V726))</f>
        <v/>
      </c>
      <c r="E748" s="3">
        <f>IF('ORDENES'!$A726="","",IF('ORDENES'!$U726="","-",'ORDENES'!$U726))</f>
        <v/>
      </c>
      <c r="F748" s="3">
        <f>IF('ORDENES'!$A726="","",IF('ORDENES'!$W726="","-",'ORDENES'!$W726))</f>
        <v/>
      </c>
      <c r="G748" s="3">
        <f>IF('ORDENES'!$A726="","",IF('ORDENES'!$AB726="","-",'ORDENES'!$AB726))</f>
        <v/>
      </c>
      <c r="H748" s="3">
        <f>IF('ORDENES'!$A726="","",IF('ORDENES'!$AN726="","-",'ORDENES'!$AN726))</f>
        <v/>
      </c>
      <c r="I748" s="3">
        <f>IF('ORDENES'!$A726="","",IF('ORDENES'!$D726="","-",'ORDENES'!$D726))</f>
        <v/>
      </c>
      <c r="J748" s="3">
        <f>IF('ORDENES'!$A726="","",IF('ORDENES'!$E726="","-",'ORDENES'!$E726))</f>
        <v/>
      </c>
      <c r="K748" s="12">
        <f>IF('ORDENES'!$A726="","",IF('ORDENES'!$M726="",0,'ORDENES'!$M726))</f>
        <v/>
      </c>
      <c r="L748" s="3">
        <f>IF('ORDENES'!$A726="","",IF('ORDENES'!$N726="","-",'ORDENES'!$N726))</f>
        <v/>
      </c>
      <c r="M748" s="3">
        <f>IF('ORDENES'!$A726="","",'ORDENES'!$AA726)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IF('ORDENES'!$A727="","",IF('ORDENES'!$AC727="","-",'ORDENES'!$AC727))</f>
        <v/>
      </c>
      <c r="D749" s="3">
        <f>IF('ORDENES'!$A727="","",IF('ORDENES'!$V727="","-",'ORDENES'!$V727))</f>
        <v/>
      </c>
      <c r="E749" s="3">
        <f>IF('ORDENES'!$A727="","",IF('ORDENES'!$U727="","-",'ORDENES'!$U727))</f>
        <v/>
      </c>
      <c r="F749" s="3">
        <f>IF('ORDENES'!$A727="","",IF('ORDENES'!$W727="","-",'ORDENES'!$W727))</f>
        <v/>
      </c>
      <c r="G749" s="3">
        <f>IF('ORDENES'!$A727="","",IF('ORDENES'!$AB727="","-",'ORDENES'!$AB727))</f>
        <v/>
      </c>
      <c r="H749" s="3">
        <f>IF('ORDENES'!$A727="","",IF('ORDENES'!$AN727="","-",'ORDENES'!$AN727))</f>
        <v/>
      </c>
      <c r="I749" s="3">
        <f>IF('ORDENES'!$A727="","",IF('ORDENES'!$D727="","-",'ORDENES'!$D727))</f>
        <v/>
      </c>
      <c r="J749" s="3">
        <f>IF('ORDENES'!$A727="","",IF('ORDENES'!$E727="","-",'ORDENES'!$E727))</f>
        <v/>
      </c>
      <c r="K749" s="12">
        <f>IF('ORDENES'!$A727="","",IF('ORDENES'!$M727="",0,'ORDENES'!$M727))</f>
        <v/>
      </c>
      <c r="L749" s="3">
        <f>IF('ORDENES'!$A727="","",IF('ORDENES'!$N727="","-",'ORDENES'!$N727))</f>
        <v/>
      </c>
      <c r="M749" s="3">
        <f>IF('ORDENES'!$A727="","",'ORDENES'!$AA727)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IF('ORDENES'!$A728="","",IF('ORDENES'!$AC728="","-",'ORDENES'!$AC728))</f>
        <v/>
      </c>
      <c r="D750" s="3">
        <f>IF('ORDENES'!$A728="","",IF('ORDENES'!$V728="","-",'ORDENES'!$V728))</f>
        <v/>
      </c>
      <c r="E750" s="3">
        <f>IF('ORDENES'!$A728="","",IF('ORDENES'!$U728="","-",'ORDENES'!$U728))</f>
        <v/>
      </c>
      <c r="F750" s="3">
        <f>IF('ORDENES'!$A728="","",IF('ORDENES'!$W728="","-",'ORDENES'!$W728))</f>
        <v/>
      </c>
      <c r="G750" s="3">
        <f>IF('ORDENES'!$A728="","",IF('ORDENES'!$AB728="","-",'ORDENES'!$AB728))</f>
        <v/>
      </c>
      <c r="H750" s="3">
        <f>IF('ORDENES'!$A728="","",IF('ORDENES'!$AN728="","-",'ORDENES'!$AN728))</f>
        <v/>
      </c>
      <c r="I750" s="3">
        <f>IF('ORDENES'!$A728="","",IF('ORDENES'!$D728="","-",'ORDENES'!$D728))</f>
        <v/>
      </c>
      <c r="J750" s="3">
        <f>IF('ORDENES'!$A728="","",IF('ORDENES'!$E728="","-",'ORDENES'!$E728))</f>
        <v/>
      </c>
      <c r="K750" s="12">
        <f>IF('ORDENES'!$A728="","",IF('ORDENES'!$M728="",0,'ORDENES'!$M728))</f>
        <v/>
      </c>
      <c r="L750" s="3">
        <f>IF('ORDENES'!$A728="","",IF('ORDENES'!$N728="","-",'ORDENES'!$N728))</f>
        <v/>
      </c>
      <c r="M750" s="3">
        <f>IF('ORDENES'!$A728="","",'ORDENES'!$AA728)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IF('ORDENES'!$A729="","",IF('ORDENES'!$AC729="","-",'ORDENES'!$AC729))</f>
        <v/>
      </c>
      <c r="D751" s="3">
        <f>IF('ORDENES'!$A729="","",IF('ORDENES'!$V729="","-",'ORDENES'!$V729))</f>
        <v/>
      </c>
      <c r="E751" s="3">
        <f>IF('ORDENES'!$A729="","",IF('ORDENES'!$U729="","-",'ORDENES'!$U729))</f>
        <v/>
      </c>
      <c r="F751" s="3">
        <f>IF('ORDENES'!$A729="","",IF('ORDENES'!$W729="","-",'ORDENES'!$W729))</f>
        <v/>
      </c>
      <c r="G751" s="3">
        <f>IF('ORDENES'!$A729="","",IF('ORDENES'!$AB729="","-",'ORDENES'!$AB729))</f>
        <v/>
      </c>
      <c r="H751" s="3">
        <f>IF('ORDENES'!$A729="","",IF('ORDENES'!$AN729="","-",'ORDENES'!$AN729))</f>
        <v/>
      </c>
      <c r="I751" s="3">
        <f>IF('ORDENES'!$A729="","",IF('ORDENES'!$D729="","-",'ORDENES'!$D729))</f>
        <v/>
      </c>
      <c r="J751" s="3">
        <f>IF('ORDENES'!$A729="","",IF('ORDENES'!$E729="","-",'ORDENES'!$E729))</f>
        <v/>
      </c>
      <c r="K751" s="12">
        <f>IF('ORDENES'!$A729="","",IF('ORDENES'!$M729="",0,'ORDENES'!$M729))</f>
        <v/>
      </c>
      <c r="L751" s="3">
        <f>IF('ORDENES'!$A729="","",IF('ORDENES'!$N729="","-",'ORDENES'!$N729))</f>
        <v/>
      </c>
      <c r="M751" s="3">
        <f>IF('ORDENES'!$A729="","",'ORDENES'!$AA729)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IF('ORDENES'!$A730="","",IF('ORDENES'!$AC730="","-",'ORDENES'!$AC730))</f>
        <v/>
      </c>
      <c r="D752" s="3">
        <f>IF('ORDENES'!$A730="","",IF('ORDENES'!$V730="","-",'ORDENES'!$V730))</f>
        <v/>
      </c>
      <c r="E752" s="3">
        <f>IF('ORDENES'!$A730="","",IF('ORDENES'!$U730="","-",'ORDENES'!$U730))</f>
        <v/>
      </c>
      <c r="F752" s="3">
        <f>IF('ORDENES'!$A730="","",IF('ORDENES'!$W730="","-",'ORDENES'!$W730))</f>
        <v/>
      </c>
      <c r="G752" s="3">
        <f>IF('ORDENES'!$A730="","",IF('ORDENES'!$AB730="","-",'ORDENES'!$AB730))</f>
        <v/>
      </c>
      <c r="H752" s="3">
        <f>IF('ORDENES'!$A730="","",IF('ORDENES'!$AN730="","-",'ORDENES'!$AN730))</f>
        <v/>
      </c>
      <c r="I752" s="3">
        <f>IF('ORDENES'!$A730="","",IF('ORDENES'!$D730="","-",'ORDENES'!$D730))</f>
        <v/>
      </c>
      <c r="J752" s="3">
        <f>IF('ORDENES'!$A730="","",IF('ORDENES'!$E730="","-",'ORDENES'!$E730))</f>
        <v/>
      </c>
      <c r="K752" s="12">
        <f>IF('ORDENES'!$A730="","",IF('ORDENES'!$M730="",0,'ORDENES'!$M730))</f>
        <v/>
      </c>
      <c r="L752" s="3">
        <f>IF('ORDENES'!$A730="","",IF('ORDENES'!$N730="","-",'ORDENES'!$N730))</f>
        <v/>
      </c>
      <c r="M752" s="3">
        <f>IF('ORDENES'!$A730="","",'ORDENES'!$AA730)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IF('ORDENES'!$A731="","",IF('ORDENES'!$AC731="","-",'ORDENES'!$AC731))</f>
        <v/>
      </c>
      <c r="D753" s="3">
        <f>IF('ORDENES'!$A731="","",IF('ORDENES'!$V731="","-",'ORDENES'!$V731))</f>
        <v/>
      </c>
      <c r="E753" s="3">
        <f>IF('ORDENES'!$A731="","",IF('ORDENES'!$U731="","-",'ORDENES'!$U731))</f>
        <v/>
      </c>
      <c r="F753" s="3">
        <f>IF('ORDENES'!$A731="","",IF('ORDENES'!$W731="","-",'ORDENES'!$W731))</f>
        <v/>
      </c>
      <c r="G753" s="3">
        <f>IF('ORDENES'!$A731="","",IF('ORDENES'!$AB731="","-",'ORDENES'!$AB731))</f>
        <v/>
      </c>
      <c r="H753" s="3">
        <f>IF('ORDENES'!$A731="","",IF('ORDENES'!$AN731="","-",'ORDENES'!$AN731))</f>
        <v/>
      </c>
      <c r="I753" s="3">
        <f>IF('ORDENES'!$A731="","",IF('ORDENES'!$D731="","-",'ORDENES'!$D731))</f>
        <v/>
      </c>
      <c r="J753" s="3">
        <f>IF('ORDENES'!$A731="","",IF('ORDENES'!$E731="","-",'ORDENES'!$E731))</f>
        <v/>
      </c>
      <c r="K753" s="12">
        <f>IF('ORDENES'!$A731="","",IF('ORDENES'!$M731="",0,'ORDENES'!$M731))</f>
        <v/>
      </c>
      <c r="L753" s="3">
        <f>IF('ORDENES'!$A731="","",IF('ORDENES'!$N731="","-",'ORDENES'!$N731))</f>
        <v/>
      </c>
      <c r="M753" s="3">
        <f>IF('ORDENES'!$A731="","",'ORDENES'!$AA731)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IF('ORDENES'!$A732="","",IF('ORDENES'!$AC732="","-",'ORDENES'!$AC732))</f>
        <v/>
      </c>
      <c r="D754" s="3">
        <f>IF('ORDENES'!$A732="","",IF('ORDENES'!$V732="","-",'ORDENES'!$V732))</f>
        <v/>
      </c>
      <c r="E754" s="3">
        <f>IF('ORDENES'!$A732="","",IF('ORDENES'!$U732="","-",'ORDENES'!$U732))</f>
        <v/>
      </c>
      <c r="F754" s="3">
        <f>IF('ORDENES'!$A732="","",IF('ORDENES'!$W732="","-",'ORDENES'!$W732))</f>
        <v/>
      </c>
      <c r="G754" s="3">
        <f>IF('ORDENES'!$A732="","",IF('ORDENES'!$AB732="","-",'ORDENES'!$AB732))</f>
        <v/>
      </c>
      <c r="H754" s="3">
        <f>IF('ORDENES'!$A732="","",IF('ORDENES'!$AN732="","-",'ORDENES'!$AN732))</f>
        <v/>
      </c>
      <c r="I754" s="3">
        <f>IF('ORDENES'!$A732="","",IF('ORDENES'!$D732="","-",'ORDENES'!$D732))</f>
        <v/>
      </c>
      <c r="J754" s="3">
        <f>IF('ORDENES'!$A732="","",IF('ORDENES'!$E732="","-",'ORDENES'!$E732))</f>
        <v/>
      </c>
      <c r="K754" s="12">
        <f>IF('ORDENES'!$A732="","",IF('ORDENES'!$M732="",0,'ORDENES'!$M732))</f>
        <v/>
      </c>
      <c r="L754" s="3">
        <f>IF('ORDENES'!$A732="","",IF('ORDENES'!$N732="","-",'ORDENES'!$N732))</f>
        <v/>
      </c>
      <c r="M754" s="3">
        <f>IF('ORDENES'!$A732="","",'ORDENES'!$AA732)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IF('ORDENES'!$A733="","",IF('ORDENES'!$AC733="","-",'ORDENES'!$AC733))</f>
        <v/>
      </c>
      <c r="D755" s="3">
        <f>IF('ORDENES'!$A733="","",IF('ORDENES'!$V733="","-",'ORDENES'!$V733))</f>
        <v/>
      </c>
      <c r="E755" s="3">
        <f>IF('ORDENES'!$A733="","",IF('ORDENES'!$U733="","-",'ORDENES'!$U733))</f>
        <v/>
      </c>
      <c r="F755" s="3">
        <f>IF('ORDENES'!$A733="","",IF('ORDENES'!$W733="","-",'ORDENES'!$W733))</f>
        <v/>
      </c>
      <c r="G755" s="3">
        <f>IF('ORDENES'!$A733="","",IF('ORDENES'!$AB733="","-",'ORDENES'!$AB733))</f>
        <v/>
      </c>
      <c r="H755" s="3">
        <f>IF('ORDENES'!$A733="","",IF('ORDENES'!$AN733="","-",'ORDENES'!$AN733))</f>
        <v/>
      </c>
      <c r="I755" s="3">
        <f>IF('ORDENES'!$A733="","",IF('ORDENES'!$D733="","-",'ORDENES'!$D733))</f>
        <v/>
      </c>
      <c r="J755" s="3">
        <f>IF('ORDENES'!$A733="","",IF('ORDENES'!$E733="","-",'ORDENES'!$E733))</f>
        <v/>
      </c>
      <c r="K755" s="12">
        <f>IF('ORDENES'!$A733="","",IF('ORDENES'!$M733="",0,'ORDENES'!$M733))</f>
        <v/>
      </c>
      <c r="L755" s="3">
        <f>IF('ORDENES'!$A733="","",IF('ORDENES'!$N733="","-",'ORDENES'!$N733))</f>
        <v/>
      </c>
      <c r="M755" s="3">
        <f>IF('ORDENES'!$A733="","",'ORDENES'!$AA733)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IF('ORDENES'!$A734="","",IF('ORDENES'!$AC734="","-",'ORDENES'!$AC734))</f>
        <v/>
      </c>
      <c r="D756" s="3">
        <f>IF('ORDENES'!$A734="","",IF('ORDENES'!$V734="","-",'ORDENES'!$V734))</f>
        <v/>
      </c>
      <c r="E756" s="3">
        <f>IF('ORDENES'!$A734="","",IF('ORDENES'!$U734="","-",'ORDENES'!$U734))</f>
        <v/>
      </c>
      <c r="F756" s="3">
        <f>IF('ORDENES'!$A734="","",IF('ORDENES'!$W734="","-",'ORDENES'!$W734))</f>
        <v/>
      </c>
      <c r="G756" s="3">
        <f>IF('ORDENES'!$A734="","",IF('ORDENES'!$AB734="","-",'ORDENES'!$AB734))</f>
        <v/>
      </c>
      <c r="H756" s="3">
        <f>IF('ORDENES'!$A734="","",IF('ORDENES'!$AN734="","-",'ORDENES'!$AN734))</f>
        <v/>
      </c>
      <c r="I756" s="3">
        <f>IF('ORDENES'!$A734="","",IF('ORDENES'!$D734="","-",'ORDENES'!$D734))</f>
        <v/>
      </c>
      <c r="J756" s="3">
        <f>IF('ORDENES'!$A734="","",IF('ORDENES'!$E734="","-",'ORDENES'!$E734))</f>
        <v/>
      </c>
      <c r="K756" s="12">
        <f>IF('ORDENES'!$A734="","",IF('ORDENES'!$M734="",0,'ORDENES'!$M734))</f>
        <v/>
      </c>
      <c r="L756" s="3">
        <f>IF('ORDENES'!$A734="","",IF('ORDENES'!$N734="","-",'ORDENES'!$N734))</f>
        <v/>
      </c>
      <c r="M756" s="3">
        <f>IF('ORDENES'!$A734="","",'ORDENES'!$AA734)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IF('ORDENES'!$A735="","",IF('ORDENES'!$AC735="","-",'ORDENES'!$AC735))</f>
        <v/>
      </c>
      <c r="D757" s="3">
        <f>IF('ORDENES'!$A735="","",IF('ORDENES'!$V735="","-",'ORDENES'!$V735))</f>
        <v/>
      </c>
      <c r="E757" s="3">
        <f>IF('ORDENES'!$A735="","",IF('ORDENES'!$U735="","-",'ORDENES'!$U735))</f>
        <v/>
      </c>
      <c r="F757" s="3">
        <f>IF('ORDENES'!$A735="","",IF('ORDENES'!$W735="","-",'ORDENES'!$W735))</f>
        <v/>
      </c>
      <c r="G757" s="3">
        <f>IF('ORDENES'!$A735="","",IF('ORDENES'!$AB735="","-",'ORDENES'!$AB735))</f>
        <v/>
      </c>
      <c r="H757" s="3">
        <f>IF('ORDENES'!$A735="","",IF('ORDENES'!$AN735="","-",'ORDENES'!$AN735))</f>
        <v/>
      </c>
      <c r="I757" s="3">
        <f>IF('ORDENES'!$A735="","",IF('ORDENES'!$D735="","-",'ORDENES'!$D735))</f>
        <v/>
      </c>
      <c r="J757" s="3">
        <f>IF('ORDENES'!$A735="","",IF('ORDENES'!$E735="","-",'ORDENES'!$E735))</f>
        <v/>
      </c>
      <c r="K757" s="12">
        <f>IF('ORDENES'!$A735="","",IF('ORDENES'!$M735="",0,'ORDENES'!$M735))</f>
        <v/>
      </c>
      <c r="L757" s="3">
        <f>IF('ORDENES'!$A735="","",IF('ORDENES'!$N735="","-",'ORDENES'!$N735))</f>
        <v/>
      </c>
      <c r="M757" s="3">
        <f>IF('ORDENES'!$A735="","",'ORDENES'!$AA735)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IF('ORDENES'!$A736="","",IF('ORDENES'!$AC736="","-",'ORDENES'!$AC736))</f>
        <v/>
      </c>
      <c r="D758" s="3">
        <f>IF('ORDENES'!$A736="","",IF('ORDENES'!$V736="","-",'ORDENES'!$V736))</f>
        <v/>
      </c>
      <c r="E758" s="3">
        <f>IF('ORDENES'!$A736="","",IF('ORDENES'!$U736="","-",'ORDENES'!$U736))</f>
        <v/>
      </c>
      <c r="F758" s="3">
        <f>IF('ORDENES'!$A736="","",IF('ORDENES'!$W736="","-",'ORDENES'!$W736))</f>
        <v/>
      </c>
      <c r="G758" s="3">
        <f>IF('ORDENES'!$A736="","",IF('ORDENES'!$AB736="","-",'ORDENES'!$AB736))</f>
        <v/>
      </c>
      <c r="H758" s="3">
        <f>IF('ORDENES'!$A736="","",IF('ORDENES'!$AN736="","-",'ORDENES'!$AN736))</f>
        <v/>
      </c>
      <c r="I758" s="3">
        <f>IF('ORDENES'!$A736="","",IF('ORDENES'!$D736="","-",'ORDENES'!$D736))</f>
        <v/>
      </c>
      <c r="J758" s="3">
        <f>IF('ORDENES'!$A736="","",IF('ORDENES'!$E736="","-",'ORDENES'!$E736))</f>
        <v/>
      </c>
      <c r="K758" s="12">
        <f>IF('ORDENES'!$A736="","",IF('ORDENES'!$M736="",0,'ORDENES'!$M736))</f>
        <v/>
      </c>
      <c r="L758" s="3">
        <f>IF('ORDENES'!$A736="","",IF('ORDENES'!$N736="","-",'ORDENES'!$N736))</f>
        <v/>
      </c>
      <c r="M758" s="3">
        <f>IF('ORDENES'!$A736="","",'ORDENES'!$AA736)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IF('ORDENES'!$A737="","",IF('ORDENES'!$AC737="","-",'ORDENES'!$AC737))</f>
        <v/>
      </c>
      <c r="D759" s="3">
        <f>IF('ORDENES'!$A737="","",IF('ORDENES'!$V737="","-",'ORDENES'!$V737))</f>
        <v/>
      </c>
      <c r="E759" s="3">
        <f>IF('ORDENES'!$A737="","",IF('ORDENES'!$U737="","-",'ORDENES'!$U737))</f>
        <v/>
      </c>
      <c r="F759" s="3">
        <f>IF('ORDENES'!$A737="","",IF('ORDENES'!$W737="","-",'ORDENES'!$W737))</f>
        <v/>
      </c>
      <c r="G759" s="3">
        <f>IF('ORDENES'!$A737="","",IF('ORDENES'!$AB737="","-",'ORDENES'!$AB737))</f>
        <v/>
      </c>
      <c r="H759" s="3">
        <f>IF('ORDENES'!$A737="","",IF('ORDENES'!$AN737="","-",'ORDENES'!$AN737))</f>
        <v/>
      </c>
      <c r="I759" s="3">
        <f>IF('ORDENES'!$A737="","",IF('ORDENES'!$D737="","-",'ORDENES'!$D737))</f>
        <v/>
      </c>
      <c r="J759" s="3">
        <f>IF('ORDENES'!$A737="","",IF('ORDENES'!$E737="","-",'ORDENES'!$E737))</f>
        <v/>
      </c>
      <c r="K759" s="12">
        <f>IF('ORDENES'!$A737="","",IF('ORDENES'!$M737="",0,'ORDENES'!$M737))</f>
        <v/>
      </c>
      <c r="L759" s="3">
        <f>IF('ORDENES'!$A737="","",IF('ORDENES'!$N737="","-",'ORDENES'!$N737))</f>
        <v/>
      </c>
      <c r="M759" s="3">
        <f>IF('ORDENES'!$A737="","",'ORDENES'!$AA737)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IF('ORDENES'!$A738="","",IF('ORDENES'!$AC738="","-",'ORDENES'!$AC738))</f>
        <v/>
      </c>
      <c r="D760" s="3">
        <f>IF('ORDENES'!$A738="","",IF('ORDENES'!$V738="","-",'ORDENES'!$V738))</f>
        <v/>
      </c>
      <c r="E760" s="3">
        <f>IF('ORDENES'!$A738="","",IF('ORDENES'!$U738="","-",'ORDENES'!$U738))</f>
        <v/>
      </c>
      <c r="F760" s="3">
        <f>IF('ORDENES'!$A738="","",IF('ORDENES'!$W738="","-",'ORDENES'!$W738))</f>
        <v/>
      </c>
      <c r="G760" s="3">
        <f>IF('ORDENES'!$A738="","",IF('ORDENES'!$AB738="","-",'ORDENES'!$AB738))</f>
        <v/>
      </c>
      <c r="H760" s="3">
        <f>IF('ORDENES'!$A738="","",IF('ORDENES'!$AN738="","-",'ORDENES'!$AN738))</f>
        <v/>
      </c>
      <c r="I760" s="3">
        <f>IF('ORDENES'!$A738="","",IF('ORDENES'!$D738="","-",'ORDENES'!$D738))</f>
        <v/>
      </c>
      <c r="J760" s="3">
        <f>IF('ORDENES'!$A738="","",IF('ORDENES'!$E738="","-",'ORDENES'!$E738))</f>
        <v/>
      </c>
      <c r="K760" s="12">
        <f>IF('ORDENES'!$A738="","",IF('ORDENES'!$M738="",0,'ORDENES'!$M738))</f>
        <v/>
      </c>
      <c r="L760" s="3">
        <f>IF('ORDENES'!$A738="","",IF('ORDENES'!$N738="","-",'ORDENES'!$N738))</f>
        <v/>
      </c>
      <c r="M760" s="3">
        <f>IF('ORDENES'!$A738="","",'ORDENES'!$AA738)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IF('ORDENES'!$A739="","",IF('ORDENES'!$AC739="","-",'ORDENES'!$AC739))</f>
        <v/>
      </c>
      <c r="D761" s="3">
        <f>IF('ORDENES'!$A739="","",IF('ORDENES'!$V739="","-",'ORDENES'!$V739))</f>
        <v/>
      </c>
      <c r="E761" s="3">
        <f>IF('ORDENES'!$A739="","",IF('ORDENES'!$U739="","-",'ORDENES'!$U739))</f>
        <v/>
      </c>
      <c r="F761" s="3">
        <f>IF('ORDENES'!$A739="","",IF('ORDENES'!$W739="","-",'ORDENES'!$W739))</f>
        <v/>
      </c>
      <c r="G761" s="3">
        <f>IF('ORDENES'!$A739="","",IF('ORDENES'!$AB739="","-",'ORDENES'!$AB739))</f>
        <v/>
      </c>
      <c r="H761" s="3">
        <f>IF('ORDENES'!$A739="","",IF('ORDENES'!$AN739="","-",'ORDENES'!$AN739))</f>
        <v/>
      </c>
      <c r="I761" s="3">
        <f>IF('ORDENES'!$A739="","",IF('ORDENES'!$D739="","-",'ORDENES'!$D739))</f>
        <v/>
      </c>
      <c r="J761" s="3">
        <f>IF('ORDENES'!$A739="","",IF('ORDENES'!$E739="","-",'ORDENES'!$E739))</f>
        <v/>
      </c>
      <c r="K761" s="12">
        <f>IF('ORDENES'!$A739="","",IF('ORDENES'!$M739="",0,'ORDENES'!$M739))</f>
        <v/>
      </c>
      <c r="L761" s="3">
        <f>IF('ORDENES'!$A739="","",IF('ORDENES'!$N739="","-",'ORDENES'!$N739))</f>
        <v/>
      </c>
      <c r="M761" s="3">
        <f>IF('ORDENES'!$A739="","",'ORDENES'!$AA739)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IF('ORDENES'!$A740="","",IF('ORDENES'!$AC740="","-",'ORDENES'!$AC740))</f>
        <v/>
      </c>
      <c r="D762" s="3">
        <f>IF('ORDENES'!$A740="","",IF('ORDENES'!$V740="","-",'ORDENES'!$V740))</f>
        <v/>
      </c>
      <c r="E762" s="3">
        <f>IF('ORDENES'!$A740="","",IF('ORDENES'!$U740="","-",'ORDENES'!$U740))</f>
        <v/>
      </c>
      <c r="F762" s="3">
        <f>IF('ORDENES'!$A740="","",IF('ORDENES'!$W740="","-",'ORDENES'!$W740))</f>
        <v/>
      </c>
      <c r="G762" s="3">
        <f>IF('ORDENES'!$A740="","",IF('ORDENES'!$AB740="","-",'ORDENES'!$AB740))</f>
        <v/>
      </c>
      <c r="H762" s="3">
        <f>IF('ORDENES'!$A740="","",IF('ORDENES'!$AN740="","-",'ORDENES'!$AN740))</f>
        <v/>
      </c>
      <c r="I762" s="3">
        <f>IF('ORDENES'!$A740="","",IF('ORDENES'!$D740="","-",'ORDENES'!$D740))</f>
        <v/>
      </c>
      <c r="J762" s="3">
        <f>IF('ORDENES'!$A740="","",IF('ORDENES'!$E740="","-",'ORDENES'!$E740))</f>
        <v/>
      </c>
      <c r="K762" s="12">
        <f>IF('ORDENES'!$A740="","",IF('ORDENES'!$M740="",0,'ORDENES'!$M740))</f>
        <v/>
      </c>
      <c r="L762" s="3">
        <f>IF('ORDENES'!$A740="","",IF('ORDENES'!$N740="","-",'ORDENES'!$N740))</f>
        <v/>
      </c>
      <c r="M762" s="3">
        <f>IF('ORDENES'!$A740="","",'ORDENES'!$AA740)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IF('ORDENES'!$A741="","",IF('ORDENES'!$AC741="","-",'ORDENES'!$AC741))</f>
        <v/>
      </c>
      <c r="D763" s="3">
        <f>IF('ORDENES'!$A741="","",IF('ORDENES'!$V741="","-",'ORDENES'!$V741))</f>
        <v/>
      </c>
      <c r="E763" s="3">
        <f>IF('ORDENES'!$A741="","",IF('ORDENES'!$U741="","-",'ORDENES'!$U741))</f>
        <v/>
      </c>
      <c r="F763" s="3">
        <f>IF('ORDENES'!$A741="","",IF('ORDENES'!$W741="","-",'ORDENES'!$W741))</f>
        <v/>
      </c>
      <c r="G763" s="3">
        <f>IF('ORDENES'!$A741="","",IF('ORDENES'!$AB741="","-",'ORDENES'!$AB741))</f>
        <v/>
      </c>
      <c r="H763" s="3">
        <f>IF('ORDENES'!$A741="","",IF('ORDENES'!$AN741="","-",'ORDENES'!$AN741))</f>
        <v/>
      </c>
      <c r="I763" s="3">
        <f>IF('ORDENES'!$A741="","",IF('ORDENES'!$D741="","-",'ORDENES'!$D741))</f>
        <v/>
      </c>
      <c r="J763" s="3">
        <f>IF('ORDENES'!$A741="","",IF('ORDENES'!$E741="","-",'ORDENES'!$E741))</f>
        <v/>
      </c>
      <c r="K763" s="12">
        <f>IF('ORDENES'!$A741="","",IF('ORDENES'!$M741="",0,'ORDENES'!$M741))</f>
        <v/>
      </c>
      <c r="L763" s="3">
        <f>IF('ORDENES'!$A741="","",IF('ORDENES'!$N741="","-",'ORDENES'!$N741))</f>
        <v/>
      </c>
      <c r="M763" s="3">
        <f>IF('ORDENES'!$A741="","",'ORDENES'!$AA741)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IF('ORDENES'!$A742="","",IF('ORDENES'!$AC742="","-",'ORDENES'!$AC742))</f>
        <v/>
      </c>
      <c r="D764" s="3">
        <f>IF('ORDENES'!$A742="","",IF('ORDENES'!$V742="","-",'ORDENES'!$V742))</f>
        <v/>
      </c>
      <c r="E764" s="3">
        <f>IF('ORDENES'!$A742="","",IF('ORDENES'!$U742="","-",'ORDENES'!$U742))</f>
        <v/>
      </c>
      <c r="F764" s="3">
        <f>IF('ORDENES'!$A742="","",IF('ORDENES'!$W742="","-",'ORDENES'!$W742))</f>
        <v/>
      </c>
      <c r="G764" s="3">
        <f>IF('ORDENES'!$A742="","",IF('ORDENES'!$AB742="","-",'ORDENES'!$AB742))</f>
        <v/>
      </c>
      <c r="H764" s="3">
        <f>IF('ORDENES'!$A742="","",IF('ORDENES'!$AN742="","-",'ORDENES'!$AN742))</f>
        <v/>
      </c>
      <c r="I764" s="3">
        <f>IF('ORDENES'!$A742="","",IF('ORDENES'!$D742="","-",'ORDENES'!$D742))</f>
        <v/>
      </c>
      <c r="J764" s="3">
        <f>IF('ORDENES'!$A742="","",IF('ORDENES'!$E742="","-",'ORDENES'!$E742))</f>
        <v/>
      </c>
      <c r="K764" s="12">
        <f>IF('ORDENES'!$A742="","",IF('ORDENES'!$M742="",0,'ORDENES'!$M742))</f>
        <v/>
      </c>
      <c r="L764" s="3">
        <f>IF('ORDENES'!$A742="","",IF('ORDENES'!$N742="","-",'ORDENES'!$N742))</f>
        <v/>
      </c>
      <c r="M764" s="3">
        <f>IF('ORDENES'!$A742="","",'ORDENES'!$AA742)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IF('ORDENES'!$A743="","",IF('ORDENES'!$AC743="","-",'ORDENES'!$AC743))</f>
        <v/>
      </c>
      <c r="D765" s="3">
        <f>IF('ORDENES'!$A743="","",IF('ORDENES'!$V743="","-",'ORDENES'!$V743))</f>
        <v/>
      </c>
      <c r="E765" s="3">
        <f>IF('ORDENES'!$A743="","",IF('ORDENES'!$U743="","-",'ORDENES'!$U743))</f>
        <v/>
      </c>
      <c r="F765" s="3">
        <f>IF('ORDENES'!$A743="","",IF('ORDENES'!$W743="","-",'ORDENES'!$W743))</f>
        <v/>
      </c>
      <c r="G765" s="3">
        <f>IF('ORDENES'!$A743="","",IF('ORDENES'!$AB743="","-",'ORDENES'!$AB743))</f>
        <v/>
      </c>
      <c r="H765" s="3">
        <f>IF('ORDENES'!$A743="","",IF('ORDENES'!$AN743="","-",'ORDENES'!$AN743))</f>
        <v/>
      </c>
      <c r="I765" s="3">
        <f>IF('ORDENES'!$A743="","",IF('ORDENES'!$D743="","-",'ORDENES'!$D743))</f>
        <v/>
      </c>
      <c r="J765" s="3">
        <f>IF('ORDENES'!$A743="","",IF('ORDENES'!$E743="","-",'ORDENES'!$E743))</f>
        <v/>
      </c>
      <c r="K765" s="12">
        <f>IF('ORDENES'!$A743="","",IF('ORDENES'!$M743="",0,'ORDENES'!$M743))</f>
        <v/>
      </c>
      <c r="L765" s="3">
        <f>IF('ORDENES'!$A743="","",IF('ORDENES'!$N743="","-",'ORDENES'!$N743))</f>
        <v/>
      </c>
      <c r="M765" s="3">
        <f>IF('ORDENES'!$A743="","",'ORDENES'!$AA743)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IF('ORDENES'!$A744="","",IF('ORDENES'!$AC744="","-",'ORDENES'!$AC744))</f>
        <v/>
      </c>
      <c r="D766" s="3">
        <f>IF('ORDENES'!$A744="","",IF('ORDENES'!$V744="","-",'ORDENES'!$V744))</f>
        <v/>
      </c>
      <c r="E766" s="3">
        <f>IF('ORDENES'!$A744="","",IF('ORDENES'!$U744="","-",'ORDENES'!$U744))</f>
        <v/>
      </c>
      <c r="F766" s="3">
        <f>IF('ORDENES'!$A744="","",IF('ORDENES'!$W744="","-",'ORDENES'!$W744))</f>
        <v/>
      </c>
      <c r="G766" s="3">
        <f>IF('ORDENES'!$A744="","",IF('ORDENES'!$AB744="","-",'ORDENES'!$AB744))</f>
        <v/>
      </c>
      <c r="H766" s="3">
        <f>IF('ORDENES'!$A744="","",IF('ORDENES'!$AN744="","-",'ORDENES'!$AN744))</f>
        <v/>
      </c>
      <c r="I766" s="3">
        <f>IF('ORDENES'!$A744="","",IF('ORDENES'!$D744="","-",'ORDENES'!$D744))</f>
        <v/>
      </c>
      <c r="J766" s="3">
        <f>IF('ORDENES'!$A744="","",IF('ORDENES'!$E744="","-",'ORDENES'!$E744))</f>
        <v/>
      </c>
      <c r="K766" s="12">
        <f>IF('ORDENES'!$A744="","",IF('ORDENES'!$M744="",0,'ORDENES'!$M744))</f>
        <v/>
      </c>
      <c r="L766" s="3">
        <f>IF('ORDENES'!$A744="","",IF('ORDENES'!$N744="","-",'ORDENES'!$N744))</f>
        <v/>
      </c>
      <c r="M766" s="3">
        <f>IF('ORDENES'!$A744="","",'ORDENES'!$AA744)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IF('ORDENES'!$A745="","",IF('ORDENES'!$AC745="","-",'ORDENES'!$AC745))</f>
        <v/>
      </c>
      <c r="D767" s="3">
        <f>IF('ORDENES'!$A745="","",IF('ORDENES'!$V745="","-",'ORDENES'!$V745))</f>
        <v/>
      </c>
      <c r="E767" s="3">
        <f>IF('ORDENES'!$A745="","",IF('ORDENES'!$U745="","-",'ORDENES'!$U745))</f>
        <v/>
      </c>
      <c r="F767" s="3">
        <f>IF('ORDENES'!$A745="","",IF('ORDENES'!$W745="","-",'ORDENES'!$W745))</f>
        <v/>
      </c>
      <c r="G767" s="3">
        <f>IF('ORDENES'!$A745="","",IF('ORDENES'!$AB745="","-",'ORDENES'!$AB745))</f>
        <v/>
      </c>
      <c r="H767" s="3">
        <f>IF('ORDENES'!$A745="","",IF('ORDENES'!$AN745="","-",'ORDENES'!$AN745))</f>
        <v/>
      </c>
      <c r="I767" s="3">
        <f>IF('ORDENES'!$A745="","",IF('ORDENES'!$D745="","-",'ORDENES'!$D745))</f>
        <v/>
      </c>
      <c r="J767" s="3">
        <f>IF('ORDENES'!$A745="","",IF('ORDENES'!$E745="","-",'ORDENES'!$E745))</f>
        <v/>
      </c>
      <c r="K767" s="12">
        <f>IF('ORDENES'!$A745="","",IF('ORDENES'!$M745="",0,'ORDENES'!$M745))</f>
        <v/>
      </c>
      <c r="L767" s="3">
        <f>IF('ORDENES'!$A745="","",IF('ORDENES'!$N745="","-",'ORDENES'!$N745))</f>
        <v/>
      </c>
      <c r="M767" s="3">
        <f>IF('ORDENES'!$A745="","",'ORDENES'!$AA745)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IF('ORDENES'!$A746="","",IF('ORDENES'!$AC746="","-",'ORDENES'!$AC746))</f>
        <v/>
      </c>
      <c r="D768" s="3">
        <f>IF('ORDENES'!$A746="","",IF('ORDENES'!$V746="","-",'ORDENES'!$V746))</f>
        <v/>
      </c>
      <c r="E768" s="3">
        <f>IF('ORDENES'!$A746="","",IF('ORDENES'!$U746="","-",'ORDENES'!$U746))</f>
        <v/>
      </c>
      <c r="F768" s="3">
        <f>IF('ORDENES'!$A746="","",IF('ORDENES'!$W746="","-",'ORDENES'!$W746))</f>
        <v/>
      </c>
      <c r="G768" s="3">
        <f>IF('ORDENES'!$A746="","",IF('ORDENES'!$AB746="","-",'ORDENES'!$AB746))</f>
        <v/>
      </c>
      <c r="H768" s="3">
        <f>IF('ORDENES'!$A746="","",IF('ORDENES'!$AN746="","-",'ORDENES'!$AN746))</f>
        <v/>
      </c>
      <c r="I768" s="3">
        <f>IF('ORDENES'!$A746="","",IF('ORDENES'!$D746="","-",'ORDENES'!$D746))</f>
        <v/>
      </c>
      <c r="J768" s="3">
        <f>IF('ORDENES'!$A746="","",IF('ORDENES'!$E746="","-",'ORDENES'!$E746))</f>
        <v/>
      </c>
      <c r="K768" s="12">
        <f>IF('ORDENES'!$A746="","",IF('ORDENES'!$M746="",0,'ORDENES'!$M746))</f>
        <v/>
      </c>
      <c r="L768" s="3">
        <f>IF('ORDENES'!$A746="","",IF('ORDENES'!$N746="","-",'ORDENES'!$N746))</f>
        <v/>
      </c>
      <c r="M768" s="3">
        <f>IF('ORDENES'!$A746="","",'ORDENES'!$AA746)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IF('ORDENES'!$A747="","",IF('ORDENES'!$AC747="","-",'ORDENES'!$AC747))</f>
        <v/>
      </c>
      <c r="D769" s="3">
        <f>IF('ORDENES'!$A747="","",IF('ORDENES'!$V747="","-",'ORDENES'!$V747))</f>
        <v/>
      </c>
      <c r="E769" s="3">
        <f>IF('ORDENES'!$A747="","",IF('ORDENES'!$U747="","-",'ORDENES'!$U747))</f>
        <v/>
      </c>
      <c r="F769" s="3">
        <f>IF('ORDENES'!$A747="","",IF('ORDENES'!$W747="","-",'ORDENES'!$W747))</f>
        <v/>
      </c>
      <c r="G769" s="3">
        <f>IF('ORDENES'!$A747="","",IF('ORDENES'!$AB747="","-",'ORDENES'!$AB747))</f>
        <v/>
      </c>
      <c r="H769" s="3">
        <f>IF('ORDENES'!$A747="","",IF('ORDENES'!$AN747="","-",'ORDENES'!$AN747))</f>
        <v/>
      </c>
      <c r="I769" s="3">
        <f>IF('ORDENES'!$A747="","",IF('ORDENES'!$D747="","-",'ORDENES'!$D747))</f>
        <v/>
      </c>
      <c r="J769" s="3">
        <f>IF('ORDENES'!$A747="","",IF('ORDENES'!$E747="","-",'ORDENES'!$E747))</f>
        <v/>
      </c>
      <c r="K769" s="12">
        <f>IF('ORDENES'!$A747="","",IF('ORDENES'!$M747="",0,'ORDENES'!$M747))</f>
        <v/>
      </c>
      <c r="L769" s="3">
        <f>IF('ORDENES'!$A747="","",IF('ORDENES'!$N747="","-",'ORDENES'!$N747))</f>
        <v/>
      </c>
      <c r="M769" s="3">
        <f>IF('ORDENES'!$A747="","",'ORDENES'!$AA747)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IF('ORDENES'!$A748="","",IF('ORDENES'!$AC748="","-",'ORDENES'!$AC748))</f>
        <v/>
      </c>
      <c r="D770" s="3">
        <f>IF('ORDENES'!$A748="","",IF('ORDENES'!$V748="","-",'ORDENES'!$V748))</f>
        <v/>
      </c>
      <c r="E770" s="3">
        <f>IF('ORDENES'!$A748="","",IF('ORDENES'!$U748="","-",'ORDENES'!$U748))</f>
        <v/>
      </c>
      <c r="F770" s="3">
        <f>IF('ORDENES'!$A748="","",IF('ORDENES'!$W748="","-",'ORDENES'!$W748))</f>
        <v/>
      </c>
      <c r="G770" s="3">
        <f>IF('ORDENES'!$A748="","",IF('ORDENES'!$AB748="","-",'ORDENES'!$AB748))</f>
        <v/>
      </c>
      <c r="H770" s="3">
        <f>IF('ORDENES'!$A748="","",IF('ORDENES'!$AN748="","-",'ORDENES'!$AN748))</f>
        <v/>
      </c>
      <c r="I770" s="3">
        <f>IF('ORDENES'!$A748="","",IF('ORDENES'!$D748="","-",'ORDENES'!$D748))</f>
        <v/>
      </c>
      <c r="J770" s="3">
        <f>IF('ORDENES'!$A748="","",IF('ORDENES'!$E748="","-",'ORDENES'!$E748))</f>
        <v/>
      </c>
      <c r="K770" s="12">
        <f>IF('ORDENES'!$A748="","",IF('ORDENES'!$M748="",0,'ORDENES'!$M748))</f>
        <v/>
      </c>
      <c r="L770" s="3">
        <f>IF('ORDENES'!$A748="","",IF('ORDENES'!$N748="","-",'ORDENES'!$N748))</f>
        <v/>
      </c>
      <c r="M770" s="3">
        <f>IF('ORDENES'!$A748="","",'ORDENES'!$AA748)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IF('ORDENES'!$A749="","",IF('ORDENES'!$AC749="","-",'ORDENES'!$AC749))</f>
        <v/>
      </c>
      <c r="D771" s="3">
        <f>IF('ORDENES'!$A749="","",IF('ORDENES'!$V749="","-",'ORDENES'!$V749))</f>
        <v/>
      </c>
      <c r="E771" s="3">
        <f>IF('ORDENES'!$A749="","",IF('ORDENES'!$U749="","-",'ORDENES'!$U749))</f>
        <v/>
      </c>
      <c r="F771" s="3">
        <f>IF('ORDENES'!$A749="","",IF('ORDENES'!$W749="","-",'ORDENES'!$W749))</f>
        <v/>
      </c>
      <c r="G771" s="3">
        <f>IF('ORDENES'!$A749="","",IF('ORDENES'!$AB749="","-",'ORDENES'!$AB749))</f>
        <v/>
      </c>
      <c r="H771" s="3">
        <f>IF('ORDENES'!$A749="","",IF('ORDENES'!$AN749="","-",'ORDENES'!$AN749))</f>
        <v/>
      </c>
      <c r="I771" s="3">
        <f>IF('ORDENES'!$A749="","",IF('ORDENES'!$D749="","-",'ORDENES'!$D749))</f>
        <v/>
      </c>
      <c r="J771" s="3">
        <f>IF('ORDENES'!$A749="","",IF('ORDENES'!$E749="","-",'ORDENES'!$E749))</f>
        <v/>
      </c>
      <c r="K771" s="12">
        <f>IF('ORDENES'!$A749="","",IF('ORDENES'!$M749="",0,'ORDENES'!$M749))</f>
        <v/>
      </c>
      <c r="L771" s="3">
        <f>IF('ORDENES'!$A749="","",IF('ORDENES'!$N749="","-",'ORDENES'!$N749))</f>
        <v/>
      </c>
      <c r="M771" s="3">
        <f>IF('ORDENES'!$A749="","",'ORDENES'!$AA749)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IF('ORDENES'!$A750="","",IF('ORDENES'!$AC750="","-",'ORDENES'!$AC750))</f>
        <v/>
      </c>
      <c r="D772" s="3">
        <f>IF('ORDENES'!$A750="","",IF('ORDENES'!$V750="","-",'ORDENES'!$V750))</f>
        <v/>
      </c>
      <c r="E772" s="3">
        <f>IF('ORDENES'!$A750="","",IF('ORDENES'!$U750="","-",'ORDENES'!$U750))</f>
        <v/>
      </c>
      <c r="F772" s="3">
        <f>IF('ORDENES'!$A750="","",IF('ORDENES'!$W750="","-",'ORDENES'!$W750))</f>
        <v/>
      </c>
      <c r="G772" s="3">
        <f>IF('ORDENES'!$A750="","",IF('ORDENES'!$AB750="","-",'ORDENES'!$AB750))</f>
        <v/>
      </c>
      <c r="H772" s="3">
        <f>IF('ORDENES'!$A750="","",IF('ORDENES'!$AN750="","-",'ORDENES'!$AN750))</f>
        <v/>
      </c>
      <c r="I772" s="3">
        <f>IF('ORDENES'!$A750="","",IF('ORDENES'!$D750="","-",'ORDENES'!$D750))</f>
        <v/>
      </c>
      <c r="J772" s="3">
        <f>IF('ORDENES'!$A750="","",IF('ORDENES'!$E750="","-",'ORDENES'!$E750))</f>
        <v/>
      </c>
      <c r="K772" s="12">
        <f>IF('ORDENES'!$A750="","",IF('ORDENES'!$M750="",0,'ORDENES'!$M750))</f>
        <v/>
      </c>
      <c r="L772" s="3">
        <f>IF('ORDENES'!$A750="","",IF('ORDENES'!$N750="","-",'ORDENES'!$N750))</f>
        <v/>
      </c>
      <c r="M772" s="3">
        <f>IF('ORDENES'!$A750="","",'ORDENES'!$AA750)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IF('ORDENES'!$A751="","",IF('ORDENES'!$AC751="","-",'ORDENES'!$AC751))</f>
        <v/>
      </c>
      <c r="D773" s="3">
        <f>IF('ORDENES'!$A751="","",IF('ORDENES'!$V751="","-",'ORDENES'!$V751))</f>
        <v/>
      </c>
      <c r="E773" s="3">
        <f>IF('ORDENES'!$A751="","",IF('ORDENES'!$U751="","-",'ORDENES'!$U751))</f>
        <v/>
      </c>
      <c r="F773" s="3">
        <f>IF('ORDENES'!$A751="","",IF('ORDENES'!$W751="","-",'ORDENES'!$W751))</f>
        <v/>
      </c>
      <c r="G773" s="3">
        <f>IF('ORDENES'!$A751="","",IF('ORDENES'!$AB751="","-",'ORDENES'!$AB751))</f>
        <v/>
      </c>
      <c r="H773" s="3">
        <f>IF('ORDENES'!$A751="","",IF('ORDENES'!$AN751="","-",'ORDENES'!$AN751))</f>
        <v/>
      </c>
      <c r="I773" s="3">
        <f>IF('ORDENES'!$A751="","",IF('ORDENES'!$D751="","-",'ORDENES'!$D751))</f>
        <v/>
      </c>
      <c r="J773" s="3">
        <f>IF('ORDENES'!$A751="","",IF('ORDENES'!$E751="","-",'ORDENES'!$E751))</f>
        <v/>
      </c>
      <c r="K773" s="12">
        <f>IF('ORDENES'!$A751="","",IF('ORDENES'!$M751="",0,'ORDENES'!$M751))</f>
        <v/>
      </c>
      <c r="L773" s="3">
        <f>IF('ORDENES'!$A751="","",IF('ORDENES'!$N751="","-",'ORDENES'!$N751))</f>
        <v/>
      </c>
      <c r="M773" s="3">
        <f>IF('ORDENES'!$A751="","",'ORDENES'!$AA751)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IF('ORDENES'!$A752="","",IF('ORDENES'!$AC752="","-",'ORDENES'!$AC752))</f>
        <v/>
      </c>
      <c r="D774" s="3">
        <f>IF('ORDENES'!$A752="","",IF('ORDENES'!$V752="","-",'ORDENES'!$V752))</f>
        <v/>
      </c>
      <c r="E774" s="3">
        <f>IF('ORDENES'!$A752="","",IF('ORDENES'!$U752="","-",'ORDENES'!$U752))</f>
        <v/>
      </c>
      <c r="F774" s="3">
        <f>IF('ORDENES'!$A752="","",IF('ORDENES'!$W752="","-",'ORDENES'!$W752))</f>
        <v/>
      </c>
      <c r="G774" s="3">
        <f>IF('ORDENES'!$A752="","",IF('ORDENES'!$AB752="","-",'ORDENES'!$AB752))</f>
        <v/>
      </c>
      <c r="H774" s="3">
        <f>IF('ORDENES'!$A752="","",IF('ORDENES'!$AN752="","-",'ORDENES'!$AN752))</f>
        <v/>
      </c>
      <c r="I774" s="3">
        <f>IF('ORDENES'!$A752="","",IF('ORDENES'!$D752="","-",'ORDENES'!$D752))</f>
        <v/>
      </c>
      <c r="J774" s="3">
        <f>IF('ORDENES'!$A752="","",IF('ORDENES'!$E752="","-",'ORDENES'!$E752))</f>
        <v/>
      </c>
      <c r="K774" s="12">
        <f>IF('ORDENES'!$A752="","",IF('ORDENES'!$M752="",0,'ORDENES'!$M752))</f>
        <v/>
      </c>
      <c r="L774" s="3">
        <f>IF('ORDENES'!$A752="","",IF('ORDENES'!$N752="","-",'ORDENES'!$N752))</f>
        <v/>
      </c>
      <c r="M774" s="3">
        <f>IF('ORDENES'!$A752="","",'ORDENES'!$AA752)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IF('ORDENES'!$A753="","",IF('ORDENES'!$AC753="","-",'ORDENES'!$AC753))</f>
        <v/>
      </c>
      <c r="D775" s="3">
        <f>IF('ORDENES'!$A753="","",IF('ORDENES'!$V753="","-",'ORDENES'!$V753))</f>
        <v/>
      </c>
      <c r="E775" s="3">
        <f>IF('ORDENES'!$A753="","",IF('ORDENES'!$U753="","-",'ORDENES'!$U753))</f>
        <v/>
      </c>
      <c r="F775" s="3">
        <f>IF('ORDENES'!$A753="","",IF('ORDENES'!$W753="","-",'ORDENES'!$W753))</f>
        <v/>
      </c>
      <c r="G775" s="3">
        <f>IF('ORDENES'!$A753="","",IF('ORDENES'!$AB753="","-",'ORDENES'!$AB753))</f>
        <v/>
      </c>
      <c r="H775" s="3">
        <f>IF('ORDENES'!$A753="","",IF('ORDENES'!$AN753="","-",'ORDENES'!$AN753))</f>
        <v/>
      </c>
      <c r="I775" s="3">
        <f>IF('ORDENES'!$A753="","",IF('ORDENES'!$D753="","-",'ORDENES'!$D753))</f>
        <v/>
      </c>
      <c r="J775" s="3">
        <f>IF('ORDENES'!$A753="","",IF('ORDENES'!$E753="","-",'ORDENES'!$E753))</f>
        <v/>
      </c>
      <c r="K775" s="12">
        <f>IF('ORDENES'!$A753="","",IF('ORDENES'!$M753="",0,'ORDENES'!$M753))</f>
        <v/>
      </c>
      <c r="L775" s="3">
        <f>IF('ORDENES'!$A753="","",IF('ORDENES'!$N753="","-",'ORDENES'!$N753))</f>
        <v/>
      </c>
      <c r="M775" s="3">
        <f>IF('ORDENES'!$A753="","",'ORDENES'!$AA753)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IF('ORDENES'!$A754="","",IF('ORDENES'!$AC754="","-",'ORDENES'!$AC754))</f>
        <v/>
      </c>
      <c r="D776" s="3">
        <f>IF('ORDENES'!$A754="","",IF('ORDENES'!$V754="","-",'ORDENES'!$V754))</f>
        <v/>
      </c>
      <c r="E776" s="3">
        <f>IF('ORDENES'!$A754="","",IF('ORDENES'!$U754="","-",'ORDENES'!$U754))</f>
        <v/>
      </c>
      <c r="F776" s="3">
        <f>IF('ORDENES'!$A754="","",IF('ORDENES'!$W754="","-",'ORDENES'!$W754))</f>
        <v/>
      </c>
      <c r="G776" s="3">
        <f>IF('ORDENES'!$A754="","",IF('ORDENES'!$AB754="","-",'ORDENES'!$AB754))</f>
        <v/>
      </c>
      <c r="H776" s="3">
        <f>IF('ORDENES'!$A754="","",IF('ORDENES'!$AN754="","-",'ORDENES'!$AN754))</f>
        <v/>
      </c>
      <c r="I776" s="3">
        <f>IF('ORDENES'!$A754="","",IF('ORDENES'!$D754="","-",'ORDENES'!$D754))</f>
        <v/>
      </c>
      <c r="J776" s="3">
        <f>IF('ORDENES'!$A754="","",IF('ORDENES'!$E754="","-",'ORDENES'!$E754))</f>
        <v/>
      </c>
      <c r="K776" s="12">
        <f>IF('ORDENES'!$A754="","",IF('ORDENES'!$M754="",0,'ORDENES'!$M754))</f>
        <v/>
      </c>
      <c r="L776" s="3">
        <f>IF('ORDENES'!$A754="","",IF('ORDENES'!$N754="","-",'ORDENES'!$N754))</f>
        <v/>
      </c>
      <c r="M776" s="3">
        <f>IF('ORDENES'!$A754="","",'ORDENES'!$AA754)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IF('ORDENES'!$A755="","",IF('ORDENES'!$AC755="","-",'ORDENES'!$AC755))</f>
        <v/>
      </c>
      <c r="D777" s="3">
        <f>IF('ORDENES'!$A755="","",IF('ORDENES'!$V755="","-",'ORDENES'!$V755))</f>
        <v/>
      </c>
      <c r="E777" s="3">
        <f>IF('ORDENES'!$A755="","",IF('ORDENES'!$U755="","-",'ORDENES'!$U755))</f>
        <v/>
      </c>
      <c r="F777" s="3">
        <f>IF('ORDENES'!$A755="","",IF('ORDENES'!$W755="","-",'ORDENES'!$W755))</f>
        <v/>
      </c>
      <c r="G777" s="3">
        <f>IF('ORDENES'!$A755="","",IF('ORDENES'!$AB755="","-",'ORDENES'!$AB755))</f>
        <v/>
      </c>
      <c r="H777" s="3">
        <f>IF('ORDENES'!$A755="","",IF('ORDENES'!$AN755="","-",'ORDENES'!$AN755))</f>
        <v/>
      </c>
      <c r="I777" s="3">
        <f>IF('ORDENES'!$A755="","",IF('ORDENES'!$D755="","-",'ORDENES'!$D755))</f>
        <v/>
      </c>
      <c r="J777" s="3">
        <f>IF('ORDENES'!$A755="","",IF('ORDENES'!$E755="","-",'ORDENES'!$E755))</f>
        <v/>
      </c>
      <c r="K777" s="12">
        <f>IF('ORDENES'!$A755="","",IF('ORDENES'!$M755="",0,'ORDENES'!$M755))</f>
        <v/>
      </c>
      <c r="L777" s="3">
        <f>IF('ORDENES'!$A755="","",IF('ORDENES'!$N755="","-",'ORDENES'!$N755))</f>
        <v/>
      </c>
      <c r="M777" s="3">
        <f>IF('ORDENES'!$A755="","",'ORDENES'!$AA755)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IF('ORDENES'!$A756="","",IF('ORDENES'!$AC756="","-",'ORDENES'!$AC756))</f>
        <v/>
      </c>
      <c r="D778" s="3">
        <f>IF('ORDENES'!$A756="","",IF('ORDENES'!$V756="","-",'ORDENES'!$V756))</f>
        <v/>
      </c>
      <c r="E778" s="3">
        <f>IF('ORDENES'!$A756="","",IF('ORDENES'!$U756="","-",'ORDENES'!$U756))</f>
        <v/>
      </c>
      <c r="F778" s="3">
        <f>IF('ORDENES'!$A756="","",IF('ORDENES'!$W756="","-",'ORDENES'!$W756))</f>
        <v/>
      </c>
      <c r="G778" s="3">
        <f>IF('ORDENES'!$A756="","",IF('ORDENES'!$AB756="","-",'ORDENES'!$AB756))</f>
        <v/>
      </c>
      <c r="H778" s="3">
        <f>IF('ORDENES'!$A756="","",IF('ORDENES'!$AN756="","-",'ORDENES'!$AN756))</f>
        <v/>
      </c>
      <c r="I778" s="3">
        <f>IF('ORDENES'!$A756="","",IF('ORDENES'!$D756="","-",'ORDENES'!$D756))</f>
        <v/>
      </c>
      <c r="J778" s="3">
        <f>IF('ORDENES'!$A756="","",IF('ORDENES'!$E756="","-",'ORDENES'!$E756))</f>
        <v/>
      </c>
      <c r="K778" s="12">
        <f>IF('ORDENES'!$A756="","",IF('ORDENES'!$M756="",0,'ORDENES'!$M756))</f>
        <v/>
      </c>
      <c r="L778" s="3">
        <f>IF('ORDENES'!$A756="","",IF('ORDENES'!$N756="","-",'ORDENES'!$N756))</f>
        <v/>
      </c>
      <c r="M778" s="3">
        <f>IF('ORDENES'!$A756="","",'ORDENES'!$AA756)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IF('ORDENES'!$A757="","",IF('ORDENES'!$AC757="","-",'ORDENES'!$AC757))</f>
        <v/>
      </c>
      <c r="D779" s="3">
        <f>IF('ORDENES'!$A757="","",IF('ORDENES'!$V757="","-",'ORDENES'!$V757))</f>
        <v/>
      </c>
      <c r="E779" s="3">
        <f>IF('ORDENES'!$A757="","",IF('ORDENES'!$U757="","-",'ORDENES'!$U757))</f>
        <v/>
      </c>
      <c r="F779" s="3">
        <f>IF('ORDENES'!$A757="","",IF('ORDENES'!$W757="","-",'ORDENES'!$W757))</f>
        <v/>
      </c>
      <c r="G779" s="3">
        <f>IF('ORDENES'!$A757="","",IF('ORDENES'!$AB757="","-",'ORDENES'!$AB757))</f>
        <v/>
      </c>
      <c r="H779" s="3">
        <f>IF('ORDENES'!$A757="","",IF('ORDENES'!$AN757="","-",'ORDENES'!$AN757))</f>
        <v/>
      </c>
      <c r="I779" s="3">
        <f>IF('ORDENES'!$A757="","",IF('ORDENES'!$D757="","-",'ORDENES'!$D757))</f>
        <v/>
      </c>
      <c r="J779" s="3">
        <f>IF('ORDENES'!$A757="","",IF('ORDENES'!$E757="","-",'ORDENES'!$E757))</f>
        <v/>
      </c>
      <c r="K779" s="12">
        <f>IF('ORDENES'!$A757="","",IF('ORDENES'!$M757="",0,'ORDENES'!$M757))</f>
        <v/>
      </c>
      <c r="L779" s="3">
        <f>IF('ORDENES'!$A757="","",IF('ORDENES'!$N757="","-",'ORDENES'!$N757))</f>
        <v/>
      </c>
      <c r="M779" s="3">
        <f>IF('ORDENES'!$A757="","",'ORDENES'!$AA757)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IF('ORDENES'!$A758="","",IF('ORDENES'!$AC758="","-",'ORDENES'!$AC758))</f>
        <v/>
      </c>
      <c r="D780" s="3">
        <f>IF('ORDENES'!$A758="","",IF('ORDENES'!$V758="","-",'ORDENES'!$V758))</f>
        <v/>
      </c>
      <c r="E780" s="3">
        <f>IF('ORDENES'!$A758="","",IF('ORDENES'!$U758="","-",'ORDENES'!$U758))</f>
        <v/>
      </c>
      <c r="F780" s="3">
        <f>IF('ORDENES'!$A758="","",IF('ORDENES'!$W758="","-",'ORDENES'!$W758))</f>
        <v/>
      </c>
      <c r="G780" s="3">
        <f>IF('ORDENES'!$A758="","",IF('ORDENES'!$AB758="","-",'ORDENES'!$AB758))</f>
        <v/>
      </c>
      <c r="H780" s="3">
        <f>IF('ORDENES'!$A758="","",IF('ORDENES'!$AN758="","-",'ORDENES'!$AN758))</f>
        <v/>
      </c>
      <c r="I780" s="3">
        <f>IF('ORDENES'!$A758="","",IF('ORDENES'!$D758="","-",'ORDENES'!$D758))</f>
        <v/>
      </c>
      <c r="J780" s="3">
        <f>IF('ORDENES'!$A758="","",IF('ORDENES'!$E758="","-",'ORDENES'!$E758))</f>
        <v/>
      </c>
      <c r="K780" s="12">
        <f>IF('ORDENES'!$A758="","",IF('ORDENES'!$M758="",0,'ORDENES'!$M758))</f>
        <v/>
      </c>
      <c r="L780" s="3">
        <f>IF('ORDENES'!$A758="","",IF('ORDENES'!$N758="","-",'ORDENES'!$N758))</f>
        <v/>
      </c>
      <c r="M780" s="3">
        <f>IF('ORDENES'!$A758="","",'ORDENES'!$AA758)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IF('ORDENES'!$A759="","",IF('ORDENES'!$AC759="","-",'ORDENES'!$AC759))</f>
        <v/>
      </c>
      <c r="D781" s="3">
        <f>IF('ORDENES'!$A759="","",IF('ORDENES'!$V759="","-",'ORDENES'!$V759))</f>
        <v/>
      </c>
      <c r="E781" s="3">
        <f>IF('ORDENES'!$A759="","",IF('ORDENES'!$U759="","-",'ORDENES'!$U759))</f>
        <v/>
      </c>
      <c r="F781" s="3">
        <f>IF('ORDENES'!$A759="","",IF('ORDENES'!$W759="","-",'ORDENES'!$W759))</f>
        <v/>
      </c>
      <c r="G781" s="3">
        <f>IF('ORDENES'!$A759="","",IF('ORDENES'!$AB759="","-",'ORDENES'!$AB759))</f>
        <v/>
      </c>
      <c r="H781" s="3">
        <f>IF('ORDENES'!$A759="","",IF('ORDENES'!$AN759="","-",'ORDENES'!$AN759))</f>
        <v/>
      </c>
      <c r="I781" s="3">
        <f>IF('ORDENES'!$A759="","",IF('ORDENES'!$D759="","-",'ORDENES'!$D759))</f>
        <v/>
      </c>
      <c r="J781" s="3">
        <f>IF('ORDENES'!$A759="","",IF('ORDENES'!$E759="","-",'ORDENES'!$E759))</f>
        <v/>
      </c>
      <c r="K781" s="12">
        <f>IF('ORDENES'!$A759="","",IF('ORDENES'!$M759="",0,'ORDENES'!$M759))</f>
        <v/>
      </c>
      <c r="L781" s="3">
        <f>IF('ORDENES'!$A759="","",IF('ORDENES'!$N759="","-",'ORDENES'!$N759))</f>
        <v/>
      </c>
      <c r="M781" s="3">
        <f>IF('ORDENES'!$A759="","",'ORDENES'!$AA759)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IF('ORDENES'!$A760="","",IF('ORDENES'!$AC760="","-",'ORDENES'!$AC760))</f>
        <v/>
      </c>
      <c r="D782" s="3">
        <f>IF('ORDENES'!$A760="","",IF('ORDENES'!$V760="","-",'ORDENES'!$V760))</f>
        <v/>
      </c>
      <c r="E782" s="3">
        <f>IF('ORDENES'!$A760="","",IF('ORDENES'!$U760="","-",'ORDENES'!$U760))</f>
        <v/>
      </c>
      <c r="F782" s="3">
        <f>IF('ORDENES'!$A760="","",IF('ORDENES'!$W760="","-",'ORDENES'!$W760))</f>
        <v/>
      </c>
      <c r="G782" s="3">
        <f>IF('ORDENES'!$A760="","",IF('ORDENES'!$AB760="","-",'ORDENES'!$AB760))</f>
        <v/>
      </c>
      <c r="H782" s="3">
        <f>IF('ORDENES'!$A760="","",IF('ORDENES'!$AN760="","-",'ORDENES'!$AN760))</f>
        <v/>
      </c>
      <c r="I782" s="3">
        <f>IF('ORDENES'!$A760="","",IF('ORDENES'!$D760="","-",'ORDENES'!$D760))</f>
        <v/>
      </c>
      <c r="J782" s="3">
        <f>IF('ORDENES'!$A760="","",IF('ORDENES'!$E760="","-",'ORDENES'!$E760))</f>
        <v/>
      </c>
      <c r="K782" s="12">
        <f>IF('ORDENES'!$A760="","",IF('ORDENES'!$M760="",0,'ORDENES'!$M760))</f>
        <v/>
      </c>
      <c r="L782" s="3">
        <f>IF('ORDENES'!$A760="","",IF('ORDENES'!$N760="","-",'ORDENES'!$N760))</f>
        <v/>
      </c>
      <c r="M782" s="3">
        <f>IF('ORDENES'!$A760="","",'ORDENES'!$AA760)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IF('ORDENES'!$A761="","",IF('ORDENES'!$AC761="","-",'ORDENES'!$AC761))</f>
        <v/>
      </c>
      <c r="D783" s="3">
        <f>IF('ORDENES'!$A761="","",IF('ORDENES'!$V761="","-",'ORDENES'!$V761))</f>
        <v/>
      </c>
      <c r="E783" s="3">
        <f>IF('ORDENES'!$A761="","",IF('ORDENES'!$U761="","-",'ORDENES'!$U761))</f>
        <v/>
      </c>
      <c r="F783" s="3">
        <f>IF('ORDENES'!$A761="","",IF('ORDENES'!$W761="","-",'ORDENES'!$W761))</f>
        <v/>
      </c>
      <c r="G783" s="3">
        <f>IF('ORDENES'!$A761="","",IF('ORDENES'!$AB761="","-",'ORDENES'!$AB761))</f>
        <v/>
      </c>
      <c r="H783" s="3">
        <f>IF('ORDENES'!$A761="","",IF('ORDENES'!$AN761="","-",'ORDENES'!$AN761))</f>
        <v/>
      </c>
      <c r="I783" s="3">
        <f>IF('ORDENES'!$A761="","",IF('ORDENES'!$D761="","-",'ORDENES'!$D761))</f>
        <v/>
      </c>
      <c r="J783" s="3">
        <f>IF('ORDENES'!$A761="","",IF('ORDENES'!$E761="","-",'ORDENES'!$E761))</f>
        <v/>
      </c>
      <c r="K783" s="12">
        <f>IF('ORDENES'!$A761="","",IF('ORDENES'!$M761="",0,'ORDENES'!$M761))</f>
        <v/>
      </c>
      <c r="L783" s="3">
        <f>IF('ORDENES'!$A761="","",IF('ORDENES'!$N761="","-",'ORDENES'!$N761))</f>
        <v/>
      </c>
      <c r="M783" s="3">
        <f>IF('ORDENES'!$A761="","",'ORDENES'!$AA761)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IF('ORDENES'!$A762="","",IF('ORDENES'!$AC762="","-",'ORDENES'!$AC762))</f>
        <v/>
      </c>
      <c r="D784" s="3">
        <f>IF('ORDENES'!$A762="","",IF('ORDENES'!$V762="","-",'ORDENES'!$V762))</f>
        <v/>
      </c>
      <c r="E784" s="3">
        <f>IF('ORDENES'!$A762="","",IF('ORDENES'!$U762="","-",'ORDENES'!$U762))</f>
        <v/>
      </c>
      <c r="F784" s="3">
        <f>IF('ORDENES'!$A762="","",IF('ORDENES'!$W762="","-",'ORDENES'!$W762))</f>
        <v/>
      </c>
      <c r="G784" s="3">
        <f>IF('ORDENES'!$A762="","",IF('ORDENES'!$AB762="","-",'ORDENES'!$AB762))</f>
        <v/>
      </c>
      <c r="H784" s="3">
        <f>IF('ORDENES'!$A762="","",IF('ORDENES'!$AN762="","-",'ORDENES'!$AN762))</f>
        <v/>
      </c>
      <c r="I784" s="3">
        <f>IF('ORDENES'!$A762="","",IF('ORDENES'!$D762="","-",'ORDENES'!$D762))</f>
        <v/>
      </c>
      <c r="J784" s="3">
        <f>IF('ORDENES'!$A762="","",IF('ORDENES'!$E762="","-",'ORDENES'!$E762))</f>
        <v/>
      </c>
      <c r="K784" s="12">
        <f>IF('ORDENES'!$A762="","",IF('ORDENES'!$M762="",0,'ORDENES'!$M762))</f>
        <v/>
      </c>
      <c r="L784" s="3">
        <f>IF('ORDENES'!$A762="","",IF('ORDENES'!$N762="","-",'ORDENES'!$N762))</f>
        <v/>
      </c>
      <c r="M784" s="3">
        <f>IF('ORDENES'!$A762="","",'ORDENES'!$AA762)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IF('ORDENES'!$A763="","",IF('ORDENES'!$AC763="","-",'ORDENES'!$AC763))</f>
        <v/>
      </c>
      <c r="D785" s="3">
        <f>IF('ORDENES'!$A763="","",IF('ORDENES'!$V763="","-",'ORDENES'!$V763))</f>
        <v/>
      </c>
      <c r="E785" s="3">
        <f>IF('ORDENES'!$A763="","",IF('ORDENES'!$U763="","-",'ORDENES'!$U763))</f>
        <v/>
      </c>
      <c r="F785" s="3">
        <f>IF('ORDENES'!$A763="","",IF('ORDENES'!$W763="","-",'ORDENES'!$W763))</f>
        <v/>
      </c>
      <c r="G785" s="3">
        <f>IF('ORDENES'!$A763="","",IF('ORDENES'!$AB763="","-",'ORDENES'!$AB763))</f>
        <v/>
      </c>
      <c r="H785" s="3">
        <f>IF('ORDENES'!$A763="","",IF('ORDENES'!$AN763="","-",'ORDENES'!$AN763))</f>
        <v/>
      </c>
      <c r="I785" s="3">
        <f>IF('ORDENES'!$A763="","",IF('ORDENES'!$D763="","-",'ORDENES'!$D763))</f>
        <v/>
      </c>
      <c r="J785" s="3">
        <f>IF('ORDENES'!$A763="","",IF('ORDENES'!$E763="","-",'ORDENES'!$E763))</f>
        <v/>
      </c>
      <c r="K785" s="12">
        <f>IF('ORDENES'!$A763="","",IF('ORDENES'!$M763="",0,'ORDENES'!$M763))</f>
        <v/>
      </c>
      <c r="L785" s="3">
        <f>IF('ORDENES'!$A763="","",IF('ORDENES'!$N763="","-",'ORDENES'!$N763))</f>
        <v/>
      </c>
      <c r="M785" s="3">
        <f>IF('ORDENES'!$A763="","",'ORDENES'!$AA763)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IF('ORDENES'!$A764="","",IF('ORDENES'!$AC764="","-",'ORDENES'!$AC764))</f>
        <v/>
      </c>
      <c r="D786" s="3">
        <f>IF('ORDENES'!$A764="","",IF('ORDENES'!$V764="","-",'ORDENES'!$V764))</f>
        <v/>
      </c>
      <c r="E786" s="3">
        <f>IF('ORDENES'!$A764="","",IF('ORDENES'!$U764="","-",'ORDENES'!$U764))</f>
        <v/>
      </c>
      <c r="F786" s="3">
        <f>IF('ORDENES'!$A764="","",IF('ORDENES'!$W764="","-",'ORDENES'!$W764))</f>
        <v/>
      </c>
      <c r="G786" s="3">
        <f>IF('ORDENES'!$A764="","",IF('ORDENES'!$AB764="","-",'ORDENES'!$AB764))</f>
        <v/>
      </c>
      <c r="H786" s="3">
        <f>IF('ORDENES'!$A764="","",IF('ORDENES'!$AN764="","-",'ORDENES'!$AN764))</f>
        <v/>
      </c>
      <c r="I786" s="3">
        <f>IF('ORDENES'!$A764="","",IF('ORDENES'!$D764="","-",'ORDENES'!$D764))</f>
        <v/>
      </c>
      <c r="J786" s="3">
        <f>IF('ORDENES'!$A764="","",IF('ORDENES'!$E764="","-",'ORDENES'!$E764))</f>
        <v/>
      </c>
      <c r="K786" s="12">
        <f>IF('ORDENES'!$A764="","",IF('ORDENES'!$M764="",0,'ORDENES'!$M764))</f>
        <v/>
      </c>
      <c r="L786" s="3">
        <f>IF('ORDENES'!$A764="","",IF('ORDENES'!$N764="","-",'ORDENES'!$N764))</f>
        <v/>
      </c>
      <c r="M786" s="3">
        <f>IF('ORDENES'!$A764="","",'ORDENES'!$AA764)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IF('ORDENES'!$A765="","",IF('ORDENES'!$AC765="","-",'ORDENES'!$AC765))</f>
        <v/>
      </c>
      <c r="D787" s="3">
        <f>IF('ORDENES'!$A765="","",IF('ORDENES'!$V765="","-",'ORDENES'!$V765))</f>
        <v/>
      </c>
      <c r="E787" s="3">
        <f>IF('ORDENES'!$A765="","",IF('ORDENES'!$U765="","-",'ORDENES'!$U765))</f>
        <v/>
      </c>
      <c r="F787" s="3">
        <f>IF('ORDENES'!$A765="","",IF('ORDENES'!$W765="","-",'ORDENES'!$W765))</f>
        <v/>
      </c>
      <c r="G787" s="3">
        <f>IF('ORDENES'!$A765="","",IF('ORDENES'!$AB765="","-",'ORDENES'!$AB765))</f>
        <v/>
      </c>
      <c r="H787" s="3">
        <f>IF('ORDENES'!$A765="","",IF('ORDENES'!$AN765="","-",'ORDENES'!$AN765))</f>
        <v/>
      </c>
      <c r="I787" s="3">
        <f>IF('ORDENES'!$A765="","",IF('ORDENES'!$D765="","-",'ORDENES'!$D765))</f>
        <v/>
      </c>
      <c r="J787" s="3">
        <f>IF('ORDENES'!$A765="","",IF('ORDENES'!$E765="","-",'ORDENES'!$E765))</f>
        <v/>
      </c>
      <c r="K787" s="12">
        <f>IF('ORDENES'!$A765="","",IF('ORDENES'!$M765="",0,'ORDENES'!$M765))</f>
        <v/>
      </c>
      <c r="L787" s="3">
        <f>IF('ORDENES'!$A765="","",IF('ORDENES'!$N765="","-",'ORDENES'!$N765))</f>
        <v/>
      </c>
      <c r="M787" s="3">
        <f>IF('ORDENES'!$A765="","",'ORDENES'!$AA765)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IF('ORDENES'!$A766="","",IF('ORDENES'!$AC766="","-",'ORDENES'!$AC766))</f>
        <v/>
      </c>
      <c r="D788" s="3">
        <f>IF('ORDENES'!$A766="","",IF('ORDENES'!$V766="","-",'ORDENES'!$V766))</f>
        <v/>
      </c>
      <c r="E788" s="3">
        <f>IF('ORDENES'!$A766="","",IF('ORDENES'!$U766="","-",'ORDENES'!$U766))</f>
        <v/>
      </c>
      <c r="F788" s="3">
        <f>IF('ORDENES'!$A766="","",IF('ORDENES'!$W766="","-",'ORDENES'!$W766))</f>
        <v/>
      </c>
      <c r="G788" s="3">
        <f>IF('ORDENES'!$A766="","",IF('ORDENES'!$AB766="","-",'ORDENES'!$AB766))</f>
        <v/>
      </c>
      <c r="H788" s="3">
        <f>IF('ORDENES'!$A766="","",IF('ORDENES'!$AN766="","-",'ORDENES'!$AN766))</f>
        <v/>
      </c>
      <c r="I788" s="3">
        <f>IF('ORDENES'!$A766="","",IF('ORDENES'!$D766="","-",'ORDENES'!$D766))</f>
        <v/>
      </c>
      <c r="J788" s="3">
        <f>IF('ORDENES'!$A766="","",IF('ORDENES'!$E766="","-",'ORDENES'!$E766))</f>
        <v/>
      </c>
      <c r="K788" s="12">
        <f>IF('ORDENES'!$A766="","",IF('ORDENES'!$M766="",0,'ORDENES'!$M766))</f>
        <v/>
      </c>
      <c r="L788" s="3">
        <f>IF('ORDENES'!$A766="","",IF('ORDENES'!$N766="","-",'ORDENES'!$N766))</f>
        <v/>
      </c>
      <c r="M788" s="3">
        <f>IF('ORDENES'!$A766="","",'ORDENES'!$AA766)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IF('ORDENES'!$A767="","",IF('ORDENES'!$AC767="","-",'ORDENES'!$AC767))</f>
        <v/>
      </c>
      <c r="D789" s="3">
        <f>IF('ORDENES'!$A767="","",IF('ORDENES'!$V767="","-",'ORDENES'!$V767))</f>
        <v/>
      </c>
      <c r="E789" s="3">
        <f>IF('ORDENES'!$A767="","",IF('ORDENES'!$U767="","-",'ORDENES'!$U767))</f>
        <v/>
      </c>
      <c r="F789" s="3">
        <f>IF('ORDENES'!$A767="","",IF('ORDENES'!$W767="","-",'ORDENES'!$W767))</f>
        <v/>
      </c>
      <c r="G789" s="3">
        <f>IF('ORDENES'!$A767="","",IF('ORDENES'!$AB767="","-",'ORDENES'!$AB767))</f>
        <v/>
      </c>
      <c r="H789" s="3">
        <f>IF('ORDENES'!$A767="","",IF('ORDENES'!$AN767="","-",'ORDENES'!$AN767))</f>
        <v/>
      </c>
      <c r="I789" s="3">
        <f>IF('ORDENES'!$A767="","",IF('ORDENES'!$D767="","-",'ORDENES'!$D767))</f>
        <v/>
      </c>
      <c r="J789" s="3">
        <f>IF('ORDENES'!$A767="","",IF('ORDENES'!$E767="","-",'ORDENES'!$E767))</f>
        <v/>
      </c>
      <c r="K789" s="12">
        <f>IF('ORDENES'!$A767="","",IF('ORDENES'!$M767="",0,'ORDENES'!$M767))</f>
        <v/>
      </c>
      <c r="L789" s="3">
        <f>IF('ORDENES'!$A767="","",IF('ORDENES'!$N767="","-",'ORDENES'!$N767))</f>
        <v/>
      </c>
      <c r="M789" s="3">
        <f>IF('ORDENES'!$A767="","",'ORDENES'!$AA767)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IF('ORDENES'!$A768="","",IF('ORDENES'!$AC768="","-",'ORDENES'!$AC768))</f>
        <v/>
      </c>
      <c r="D790" s="3">
        <f>IF('ORDENES'!$A768="","",IF('ORDENES'!$V768="","-",'ORDENES'!$V768))</f>
        <v/>
      </c>
      <c r="E790" s="3">
        <f>IF('ORDENES'!$A768="","",IF('ORDENES'!$U768="","-",'ORDENES'!$U768))</f>
        <v/>
      </c>
      <c r="F790" s="3">
        <f>IF('ORDENES'!$A768="","",IF('ORDENES'!$W768="","-",'ORDENES'!$W768))</f>
        <v/>
      </c>
      <c r="G790" s="3">
        <f>IF('ORDENES'!$A768="","",IF('ORDENES'!$AB768="","-",'ORDENES'!$AB768))</f>
        <v/>
      </c>
      <c r="H790" s="3">
        <f>IF('ORDENES'!$A768="","",IF('ORDENES'!$AN768="","-",'ORDENES'!$AN768))</f>
        <v/>
      </c>
      <c r="I790" s="3">
        <f>IF('ORDENES'!$A768="","",IF('ORDENES'!$D768="","-",'ORDENES'!$D768))</f>
        <v/>
      </c>
      <c r="J790" s="3">
        <f>IF('ORDENES'!$A768="","",IF('ORDENES'!$E768="","-",'ORDENES'!$E768))</f>
        <v/>
      </c>
      <c r="K790" s="12">
        <f>IF('ORDENES'!$A768="","",IF('ORDENES'!$M768="",0,'ORDENES'!$M768))</f>
        <v/>
      </c>
      <c r="L790" s="3">
        <f>IF('ORDENES'!$A768="","",IF('ORDENES'!$N768="","-",'ORDENES'!$N768))</f>
        <v/>
      </c>
      <c r="M790" s="3">
        <f>IF('ORDENES'!$A768="","",'ORDENES'!$AA768)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IF('ORDENES'!$A769="","",IF('ORDENES'!$AC769="","-",'ORDENES'!$AC769))</f>
        <v/>
      </c>
      <c r="D791" s="3">
        <f>IF('ORDENES'!$A769="","",IF('ORDENES'!$V769="","-",'ORDENES'!$V769))</f>
        <v/>
      </c>
      <c r="E791" s="3">
        <f>IF('ORDENES'!$A769="","",IF('ORDENES'!$U769="","-",'ORDENES'!$U769))</f>
        <v/>
      </c>
      <c r="F791" s="3">
        <f>IF('ORDENES'!$A769="","",IF('ORDENES'!$W769="","-",'ORDENES'!$W769))</f>
        <v/>
      </c>
      <c r="G791" s="3">
        <f>IF('ORDENES'!$A769="","",IF('ORDENES'!$AB769="","-",'ORDENES'!$AB769))</f>
        <v/>
      </c>
      <c r="H791" s="3">
        <f>IF('ORDENES'!$A769="","",IF('ORDENES'!$AN769="","-",'ORDENES'!$AN769))</f>
        <v/>
      </c>
      <c r="I791" s="3">
        <f>IF('ORDENES'!$A769="","",IF('ORDENES'!$D769="","-",'ORDENES'!$D769))</f>
        <v/>
      </c>
      <c r="J791" s="3">
        <f>IF('ORDENES'!$A769="","",IF('ORDENES'!$E769="","-",'ORDENES'!$E769))</f>
        <v/>
      </c>
      <c r="K791" s="12">
        <f>IF('ORDENES'!$A769="","",IF('ORDENES'!$M769="",0,'ORDENES'!$M769))</f>
        <v/>
      </c>
      <c r="L791" s="3">
        <f>IF('ORDENES'!$A769="","",IF('ORDENES'!$N769="","-",'ORDENES'!$N769))</f>
        <v/>
      </c>
      <c r="M791" s="3">
        <f>IF('ORDENES'!$A769="","",'ORDENES'!$AA769)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IF('ORDENES'!$A770="","",IF('ORDENES'!$AC770="","-",'ORDENES'!$AC770))</f>
        <v/>
      </c>
      <c r="D792" s="3">
        <f>IF('ORDENES'!$A770="","",IF('ORDENES'!$V770="","-",'ORDENES'!$V770))</f>
        <v/>
      </c>
      <c r="E792" s="3">
        <f>IF('ORDENES'!$A770="","",IF('ORDENES'!$U770="","-",'ORDENES'!$U770))</f>
        <v/>
      </c>
      <c r="F792" s="3">
        <f>IF('ORDENES'!$A770="","",IF('ORDENES'!$W770="","-",'ORDENES'!$W770))</f>
        <v/>
      </c>
      <c r="G792" s="3">
        <f>IF('ORDENES'!$A770="","",IF('ORDENES'!$AB770="","-",'ORDENES'!$AB770))</f>
        <v/>
      </c>
      <c r="H792" s="3">
        <f>IF('ORDENES'!$A770="","",IF('ORDENES'!$AN770="","-",'ORDENES'!$AN770))</f>
        <v/>
      </c>
      <c r="I792" s="3">
        <f>IF('ORDENES'!$A770="","",IF('ORDENES'!$D770="","-",'ORDENES'!$D770))</f>
        <v/>
      </c>
      <c r="J792" s="3">
        <f>IF('ORDENES'!$A770="","",IF('ORDENES'!$E770="","-",'ORDENES'!$E770))</f>
        <v/>
      </c>
      <c r="K792" s="12">
        <f>IF('ORDENES'!$A770="","",IF('ORDENES'!$M770="",0,'ORDENES'!$M770))</f>
        <v/>
      </c>
      <c r="L792" s="3">
        <f>IF('ORDENES'!$A770="","",IF('ORDENES'!$N770="","-",'ORDENES'!$N770))</f>
        <v/>
      </c>
      <c r="M792" s="3">
        <f>IF('ORDENES'!$A770="","",'ORDENES'!$AA770)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IF('ORDENES'!$A771="","",IF('ORDENES'!$AC771="","-",'ORDENES'!$AC771))</f>
        <v/>
      </c>
      <c r="D793" s="3">
        <f>IF('ORDENES'!$A771="","",IF('ORDENES'!$V771="","-",'ORDENES'!$V771))</f>
        <v/>
      </c>
      <c r="E793" s="3">
        <f>IF('ORDENES'!$A771="","",IF('ORDENES'!$U771="","-",'ORDENES'!$U771))</f>
        <v/>
      </c>
      <c r="F793" s="3">
        <f>IF('ORDENES'!$A771="","",IF('ORDENES'!$W771="","-",'ORDENES'!$W771))</f>
        <v/>
      </c>
      <c r="G793" s="3">
        <f>IF('ORDENES'!$A771="","",IF('ORDENES'!$AB771="","-",'ORDENES'!$AB771))</f>
        <v/>
      </c>
      <c r="H793" s="3">
        <f>IF('ORDENES'!$A771="","",IF('ORDENES'!$AN771="","-",'ORDENES'!$AN771))</f>
        <v/>
      </c>
      <c r="I793" s="3">
        <f>IF('ORDENES'!$A771="","",IF('ORDENES'!$D771="","-",'ORDENES'!$D771))</f>
        <v/>
      </c>
      <c r="J793" s="3">
        <f>IF('ORDENES'!$A771="","",IF('ORDENES'!$E771="","-",'ORDENES'!$E771))</f>
        <v/>
      </c>
      <c r="K793" s="12">
        <f>IF('ORDENES'!$A771="","",IF('ORDENES'!$M771="",0,'ORDENES'!$M771))</f>
        <v/>
      </c>
      <c r="L793" s="3">
        <f>IF('ORDENES'!$A771="","",IF('ORDENES'!$N771="","-",'ORDENES'!$N771))</f>
        <v/>
      </c>
      <c r="M793" s="3">
        <f>IF('ORDENES'!$A771="","",'ORDENES'!$AA771)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IF('ORDENES'!$A772="","",IF('ORDENES'!$AC772="","-",'ORDENES'!$AC772))</f>
        <v/>
      </c>
      <c r="D794" s="3">
        <f>IF('ORDENES'!$A772="","",IF('ORDENES'!$V772="","-",'ORDENES'!$V772))</f>
        <v/>
      </c>
      <c r="E794" s="3">
        <f>IF('ORDENES'!$A772="","",IF('ORDENES'!$U772="","-",'ORDENES'!$U772))</f>
        <v/>
      </c>
      <c r="F794" s="3">
        <f>IF('ORDENES'!$A772="","",IF('ORDENES'!$W772="","-",'ORDENES'!$W772))</f>
        <v/>
      </c>
      <c r="G794" s="3">
        <f>IF('ORDENES'!$A772="","",IF('ORDENES'!$AB772="","-",'ORDENES'!$AB772))</f>
        <v/>
      </c>
      <c r="H794" s="3">
        <f>IF('ORDENES'!$A772="","",IF('ORDENES'!$AN772="","-",'ORDENES'!$AN772))</f>
        <v/>
      </c>
      <c r="I794" s="3">
        <f>IF('ORDENES'!$A772="","",IF('ORDENES'!$D772="","-",'ORDENES'!$D772))</f>
        <v/>
      </c>
      <c r="J794" s="3">
        <f>IF('ORDENES'!$A772="","",IF('ORDENES'!$E772="","-",'ORDENES'!$E772))</f>
        <v/>
      </c>
      <c r="K794" s="12">
        <f>IF('ORDENES'!$A772="","",IF('ORDENES'!$M772="",0,'ORDENES'!$M772))</f>
        <v/>
      </c>
      <c r="L794" s="3">
        <f>IF('ORDENES'!$A772="","",IF('ORDENES'!$N772="","-",'ORDENES'!$N772))</f>
        <v/>
      </c>
      <c r="M794" s="3">
        <f>IF('ORDENES'!$A772="","",'ORDENES'!$AA772)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IF('ORDENES'!$A773="","",IF('ORDENES'!$AC773="","-",'ORDENES'!$AC773))</f>
        <v/>
      </c>
      <c r="D795" s="3">
        <f>IF('ORDENES'!$A773="","",IF('ORDENES'!$V773="","-",'ORDENES'!$V773))</f>
        <v/>
      </c>
      <c r="E795" s="3">
        <f>IF('ORDENES'!$A773="","",IF('ORDENES'!$U773="","-",'ORDENES'!$U773))</f>
        <v/>
      </c>
      <c r="F795" s="3">
        <f>IF('ORDENES'!$A773="","",IF('ORDENES'!$W773="","-",'ORDENES'!$W773))</f>
        <v/>
      </c>
      <c r="G795" s="3">
        <f>IF('ORDENES'!$A773="","",IF('ORDENES'!$AB773="","-",'ORDENES'!$AB773))</f>
        <v/>
      </c>
      <c r="H795" s="3">
        <f>IF('ORDENES'!$A773="","",IF('ORDENES'!$AN773="","-",'ORDENES'!$AN773))</f>
        <v/>
      </c>
      <c r="I795" s="3">
        <f>IF('ORDENES'!$A773="","",IF('ORDENES'!$D773="","-",'ORDENES'!$D773))</f>
        <v/>
      </c>
      <c r="J795" s="3">
        <f>IF('ORDENES'!$A773="","",IF('ORDENES'!$E773="","-",'ORDENES'!$E773))</f>
        <v/>
      </c>
      <c r="K795" s="12">
        <f>IF('ORDENES'!$A773="","",IF('ORDENES'!$M773="",0,'ORDENES'!$M773))</f>
        <v/>
      </c>
      <c r="L795" s="3">
        <f>IF('ORDENES'!$A773="","",IF('ORDENES'!$N773="","-",'ORDENES'!$N773))</f>
        <v/>
      </c>
      <c r="M795" s="3">
        <f>IF('ORDENES'!$A773="","",'ORDENES'!$AA773)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IF('ORDENES'!$A774="","",IF('ORDENES'!$AC774="","-",'ORDENES'!$AC774))</f>
        <v/>
      </c>
      <c r="D796" s="3">
        <f>IF('ORDENES'!$A774="","",IF('ORDENES'!$V774="","-",'ORDENES'!$V774))</f>
        <v/>
      </c>
      <c r="E796" s="3">
        <f>IF('ORDENES'!$A774="","",IF('ORDENES'!$U774="","-",'ORDENES'!$U774))</f>
        <v/>
      </c>
      <c r="F796" s="3">
        <f>IF('ORDENES'!$A774="","",IF('ORDENES'!$W774="","-",'ORDENES'!$W774))</f>
        <v/>
      </c>
      <c r="G796" s="3">
        <f>IF('ORDENES'!$A774="","",IF('ORDENES'!$AB774="","-",'ORDENES'!$AB774))</f>
        <v/>
      </c>
      <c r="H796" s="3">
        <f>IF('ORDENES'!$A774="","",IF('ORDENES'!$AN774="","-",'ORDENES'!$AN774))</f>
        <v/>
      </c>
      <c r="I796" s="3">
        <f>IF('ORDENES'!$A774="","",IF('ORDENES'!$D774="","-",'ORDENES'!$D774))</f>
        <v/>
      </c>
      <c r="J796" s="3">
        <f>IF('ORDENES'!$A774="","",IF('ORDENES'!$E774="","-",'ORDENES'!$E774))</f>
        <v/>
      </c>
      <c r="K796" s="12">
        <f>IF('ORDENES'!$A774="","",IF('ORDENES'!$M774="",0,'ORDENES'!$M774))</f>
        <v/>
      </c>
      <c r="L796" s="3">
        <f>IF('ORDENES'!$A774="","",IF('ORDENES'!$N774="","-",'ORDENES'!$N774))</f>
        <v/>
      </c>
      <c r="M796" s="3">
        <f>IF('ORDENES'!$A774="","",'ORDENES'!$AA774)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IF('ORDENES'!$A775="","",IF('ORDENES'!$AC775="","-",'ORDENES'!$AC775))</f>
        <v/>
      </c>
      <c r="D797" s="3">
        <f>IF('ORDENES'!$A775="","",IF('ORDENES'!$V775="","-",'ORDENES'!$V775))</f>
        <v/>
      </c>
      <c r="E797" s="3">
        <f>IF('ORDENES'!$A775="","",IF('ORDENES'!$U775="","-",'ORDENES'!$U775))</f>
        <v/>
      </c>
      <c r="F797" s="3">
        <f>IF('ORDENES'!$A775="","",IF('ORDENES'!$W775="","-",'ORDENES'!$W775))</f>
        <v/>
      </c>
      <c r="G797" s="3">
        <f>IF('ORDENES'!$A775="","",IF('ORDENES'!$AB775="","-",'ORDENES'!$AB775))</f>
        <v/>
      </c>
      <c r="H797" s="3">
        <f>IF('ORDENES'!$A775="","",IF('ORDENES'!$AN775="","-",'ORDENES'!$AN775))</f>
        <v/>
      </c>
      <c r="I797" s="3">
        <f>IF('ORDENES'!$A775="","",IF('ORDENES'!$D775="","-",'ORDENES'!$D775))</f>
        <v/>
      </c>
      <c r="J797" s="3">
        <f>IF('ORDENES'!$A775="","",IF('ORDENES'!$E775="","-",'ORDENES'!$E775))</f>
        <v/>
      </c>
      <c r="K797" s="12">
        <f>IF('ORDENES'!$A775="","",IF('ORDENES'!$M775="",0,'ORDENES'!$M775))</f>
        <v/>
      </c>
      <c r="L797" s="3">
        <f>IF('ORDENES'!$A775="","",IF('ORDENES'!$N775="","-",'ORDENES'!$N775))</f>
        <v/>
      </c>
      <c r="M797" s="3">
        <f>IF('ORDENES'!$A775="","",'ORDENES'!$AA775)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IF('ORDENES'!$A776="","",IF('ORDENES'!$AC776="","-",'ORDENES'!$AC776))</f>
        <v/>
      </c>
      <c r="D798" s="3">
        <f>IF('ORDENES'!$A776="","",IF('ORDENES'!$V776="","-",'ORDENES'!$V776))</f>
        <v/>
      </c>
      <c r="E798" s="3">
        <f>IF('ORDENES'!$A776="","",IF('ORDENES'!$U776="","-",'ORDENES'!$U776))</f>
        <v/>
      </c>
      <c r="F798" s="3">
        <f>IF('ORDENES'!$A776="","",IF('ORDENES'!$W776="","-",'ORDENES'!$W776))</f>
        <v/>
      </c>
      <c r="G798" s="3">
        <f>IF('ORDENES'!$A776="","",IF('ORDENES'!$AB776="","-",'ORDENES'!$AB776))</f>
        <v/>
      </c>
      <c r="H798" s="3">
        <f>IF('ORDENES'!$A776="","",IF('ORDENES'!$AN776="","-",'ORDENES'!$AN776))</f>
        <v/>
      </c>
      <c r="I798" s="3">
        <f>IF('ORDENES'!$A776="","",IF('ORDENES'!$D776="","-",'ORDENES'!$D776))</f>
        <v/>
      </c>
      <c r="J798" s="3">
        <f>IF('ORDENES'!$A776="","",IF('ORDENES'!$E776="","-",'ORDENES'!$E776))</f>
        <v/>
      </c>
      <c r="K798" s="12">
        <f>IF('ORDENES'!$A776="","",IF('ORDENES'!$M776="",0,'ORDENES'!$M776))</f>
        <v/>
      </c>
      <c r="L798" s="3">
        <f>IF('ORDENES'!$A776="","",IF('ORDENES'!$N776="","-",'ORDENES'!$N776))</f>
        <v/>
      </c>
      <c r="M798" s="3">
        <f>IF('ORDENES'!$A776="","",'ORDENES'!$AA776)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IF('ORDENES'!$A777="","",IF('ORDENES'!$AC777="","-",'ORDENES'!$AC777))</f>
        <v/>
      </c>
      <c r="D799" s="3">
        <f>IF('ORDENES'!$A777="","",IF('ORDENES'!$V777="","-",'ORDENES'!$V777))</f>
        <v/>
      </c>
      <c r="E799" s="3">
        <f>IF('ORDENES'!$A777="","",IF('ORDENES'!$U777="","-",'ORDENES'!$U777))</f>
        <v/>
      </c>
      <c r="F799" s="3">
        <f>IF('ORDENES'!$A777="","",IF('ORDENES'!$W777="","-",'ORDENES'!$W777))</f>
        <v/>
      </c>
      <c r="G799" s="3">
        <f>IF('ORDENES'!$A777="","",IF('ORDENES'!$AB777="","-",'ORDENES'!$AB777))</f>
        <v/>
      </c>
      <c r="H799" s="3">
        <f>IF('ORDENES'!$A777="","",IF('ORDENES'!$AN777="","-",'ORDENES'!$AN777))</f>
        <v/>
      </c>
      <c r="I799" s="3">
        <f>IF('ORDENES'!$A777="","",IF('ORDENES'!$D777="","-",'ORDENES'!$D777))</f>
        <v/>
      </c>
      <c r="J799" s="3">
        <f>IF('ORDENES'!$A777="","",IF('ORDENES'!$E777="","-",'ORDENES'!$E777))</f>
        <v/>
      </c>
      <c r="K799" s="12">
        <f>IF('ORDENES'!$A777="","",IF('ORDENES'!$M777="",0,'ORDENES'!$M777))</f>
        <v/>
      </c>
      <c r="L799" s="3">
        <f>IF('ORDENES'!$A777="","",IF('ORDENES'!$N777="","-",'ORDENES'!$N777))</f>
        <v/>
      </c>
      <c r="M799" s="3">
        <f>IF('ORDENES'!$A777="","",'ORDENES'!$AA777)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IF('ORDENES'!$A778="","",IF('ORDENES'!$AC778="","-",'ORDENES'!$AC778))</f>
        <v/>
      </c>
      <c r="D800" s="3">
        <f>IF('ORDENES'!$A778="","",IF('ORDENES'!$V778="","-",'ORDENES'!$V778))</f>
        <v/>
      </c>
      <c r="E800" s="3">
        <f>IF('ORDENES'!$A778="","",IF('ORDENES'!$U778="","-",'ORDENES'!$U778))</f>
        <v/>
      </c>
      <c r="F800" s="3">
        <f>IF('ORDENES'!$A778="","",IF('ORDENES'!$W778="","-",'ORDENES'!$W778))</f>
        <v/>
      </c>
      <c r="G800" s="3">
        <f>IF('ORDENES'!$A778="","",IF('ORDENES'!$AB778="","-",'ORDENES'!$AB778))</f>
        <v/>
      </c>
      <c r="H800" s="3">
        <f>IF('ORDENES'!$A778="","",IF('ORDENES'!$AN778="","-",'ORDENES'!$AN778))</f>
        <v/>
      </c>
      <c r="I800" s="3">
        <f>IF('ORDENES'!$A778="","",IF('ORDENES'!$D778="","-",'ORDENES'!$D778))</f>
        <v/>
      </c>
      <c r="J800" s="3">
        <f>IF('ORDENES'!$A778="","",IF('ORDENES'!$E778="","-",'ORDENES'!$E778))</f>
        <v/>
      </c>
      <c r="K800" s="12">
        <f>IF('ORDENES'!$A778="","",IF('ORDENES'!$M778="",0,'ORDENES'!$M778))</f>
        <v/>
      </c>
      <c r="L800" s="3">
        <f>IF('ORDENES'!$A778="","",IF('ORDENES'!$N778="","-",'ORDENES'!$N778))</f>
        <v/>
      </c>
      <c r="M800" s="3">
        <f>IF('ORDENES'!$A778="","",'ORDENES'!$AA778)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IF('ORDENES'!$A779="","",IF('ORDENES'!$AC779="","-",'ORDENES'!$AC779))</f>
        <v/>
      </c>
      <c r="D801" s="3">
        <f>IF('ORDENES'!$A779="","",IF('ORDENES'!$V779="","-",'ORDENES'!$V779))</f>
        <v/>
      </c>
      <c r="E801" s="3">
        <f>IF('ORDENES'!$A779="","",IF('ORDENES'!$U779="","-",'ORDENES'!$U779))</f>
        <v/>
      </c>
      <c r="F801" s="3">
        <f>IF('ORDENES'!$A779="","",IF('ORDENES'!$W779="","-",'ORDENES'!$W779))</f>
        <v/>
      </c>
      <c r="G801" s="3">
        <f>IF('ORDENES'!$A779="","",IF('ORDENES'!$AB779="","-",'ORDENES'!$AB779))</f>
        <v/>
      </c>
      <c r="H801" s="3">
        <f>IF('ORDENES'!$A779="","",IF('ORDENES'!$AN779="","-",'ORDENES'!$AN779))</f>
        <v/>
      </c>
      <c r="I801" s="3">
        <f>IF('ORDENES'!$A779="","",IF('ORDENES'!$D779="","-",'ORDENES'!$D779))</f>
        <v/>
      </c>
      <c r="J801" s="3">
        <f>IF('ORDENES'!$A779="","",IF('ORDENES'!$E779="","-",'ORDENES'!$E779))</f>
        <v/>
      </c>
      <c r="K801" s="12">
        <f>IF('ORDENES'!$A779="","",IF('ORDENES'!$M779="",0,'ORDENES'!$M779))</f>
        <v/>
      </c>
      <c r="L801" s="3">
        <f>IF('ORDENES'!$A779="","",IF('ORDENES'!$N779="","-",'ORDENES'!$N779))</f>
        <v/>
      </c>
      <c r="M801" s="3">
        <f>IF('ORDENES'!$A779="","",'ORDENES'!$AA779)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IF('ORDENES'!$A780="","",IF('ORDENES'!$AC780="","-",'ORDENES'!$AC780))</f>
        <v/>
      </c>
      <c r="D802" s="3">
        <f>IF('ORDENES'!$A780="","",IF('ORDENES'!$V780="","-",'ORDENES'!$V780))</f>
        <v/>
      </c>
      <c r="E802" s="3">
        <f>IF('ORDENES'!$A780="","",IF('ORDENES'!$U780="","-",'ORDENES'!$U780))</f>
        <v/>
      </c>
      <c r="F802" s="3">
        <f>IF('ORDENES'!$A780="","",IF('ORDENES'!$W780="","-",'ORDENES'!$W780))</f>
        <v/>
      </c>
      <c r="G802" s="3">
        <f>IF('ORDENES'!$A780="","",IF('ORDENES'!$AB780="","-",'ORDENES'!$AB780))</f>
        <v/>
      </c>
      <c r="H802" s="3">
        <f>IF('ORDENES'!$A780="","",IF('ORDENES'!$AN780="","-",'ORDENES'!$AN780))</f>
        <v/>
      </c>
      <c r="I802" s="3">
        <f>IF('ORDENES'!$A780="","",IF('ORDENES'!$D780="","-",'ORDENES'!$D780))</f>
        <v/>
      </c>
      <c r="J802" s="3">
        <f>IF('ORDENES'!$A780="","",IF('ORDENES'!$E780="","-",'ORDENES'!$E780))</f>
        <v/>
      </c>
      <c r="K802" s="12">
        <f>IF('ORDENES'!$A780="","",IF('ORDENES'!$M780="",0,'ORDENES'!$M780))</f>
        <v/>
      </c>
      <c r="L802" s="3">
        <f>IF('ORDENES'!$A780="","",IF('ORDENES'!$N780="","-",'ORDENES'!$N780))</f>
        <v/>
      </c>
      <c r="M802" s="3">
        <f>IF('ORDENES'!$A780="","",'ORDENES'!$AA780)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IF('ORDENES'!$A781="","",IF('ORDENES'!$AC781="","-",'ORDENES'!$AC781))</f>
        <v/>
      </c>
      <c r="D803" s="3">
        <f>IF('ORDENES'!$A781="","",IF('ORDENES'!$V781="","-",'ORDENES'!$V781))</f>
        <v/>
      </c>
      <c r="E803" s="3">
        <f>IF('ORDENES'!$A781="","",IF('ORDENES'!$U781="","-",'ORDENES'!$U781))</f>
        <v/>
      </c>
      <c r="F803" s="3">
        <f>IF('ORDENES'!$A781="","",IF('ORDENES'!$W781="","-",'ORDENES'!$W781))</f>
        <v/>
      </c>
      <c r="G803" s="3">
        <f>IF('ORDENES'!$A781="","",IF('ORDENES'!$AB781="","-",'ORDENES'!$AB781))</f>
        <v/>
      </c>
      <c r="H803" s="3">
        <f>IF('ORDENES'!$A781="","",IF('ORDENES'!$AN781="","-",'ORDENES'!$AN781))</f>
        <v/>
      </c>
      <c r="I803" s="3">
        <f>IF('ORDENES'!$A781="","",IF('ORDENES'!$D781="","-",'ORDENES'!$D781))</f>
        <v/>
      </c>
      <c r="J803" s="3">
        <f>IF('ORDENES'!$A781="","",IF('ORDENES'!$E781="","-",'ORDENES'!$E781))</f>
        <v/>
      </c>
      <c r="K803" s="12">
        <f>IF('ORDENES'!$A781="","",IF('ORDENES'!$M781="",0,'ORDENES'!$M781))</f>
        <v/>
      </c>
      <c r="L803" s="3">
        <f>IF('ORDENES'!$A781="","",IF('ORDENES'!$N781="","-",'ORDENES'!$N781))</f>
        <v/>
      </c>
      <c r="M803" s="3">
        <f>IF('ORDENES'!$A781="","",'ORDENES'!$AA781)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IF('ORDENES'!$A782="","",IF('ORDENES'!$AC782="","-",'ORDENES'!$AC782))</f>
        <v/>
      </c>
      <c r="D804" s="3">
        <f>IF('ORDENES'!$A782="","",IF('ORDENES'!$V782="","-",'ORDENES'!$V782))</f>
        <v/>
      </c>
      <c r="E804" s="3">
        <f>IF('ORDENES'!$A782="","",IF('ORDENES'!$U782="","-",'ORDENES'!$U782))</f>
        <v/>
      </c>
      <c r="F804" s="3">
        <f>IF('ORDENES'!$A782="","",IF('ORDENES'!$W782="","-",'ORDENES'!$W782))</f>
        <v/>
      </c>
      <c r="G804" s="3">
        <f>IF('ORDENES'!$A782="","",IF('ORDENES'!$AB782="","-",'ORDENES'!$AB782))</f>
        <v/>
      </c>
      <c r="H804" s="3">
        <f>IF('ORDENES'!$A782="","",IF('ORDENES'!$AN782="","-",'ORDENES'!$AN782))</f>
        <v/>
      </c>
      <c r="I804" s="3">
        <f>IF('ORDENES'!$A782="","",IF('ORDENES'!$D782="","-",'ORDENES'!$D782))</f>
        <v/>
      </c>
      <c r="J804" s="3">
        <f>IF('ORDENES'!$A782="","",IF('ORDENES'!$E782="","-",'ORDENES'!$E782))</f>
        <v/>
      </c>
      <c r="K804" s="12">
        <f>IF('ORDENES'!$A782="","",IF('ORDENES'!$M782="",0,'ORDENES'!$M782))</f>
        <v/>
      </c>
      <c r="L804" s="3">
        <f>IF('ORDENES'!$A782="","",IF('ORDENES'!$N782="","-",'ORDENES'!$N782))</f>
        <v/>
      </c>
      <c r="M804" s="3">
        <f>IF('ORDENES'!$A782="","",'ORDENES'!$AA782)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IF('ORDENES'!$A783="","",IF('ORDENES'!$AC783="","-",'ORDENES'!$AC783))</f>
        <v/>
      </c>
      <c r="D805" s="3">
        <f>IF('ORDENES'!$A783="","",IF('ORDENES'!$V783="","-",'ORDENES'!$V783))</f>
        <v/>
      </c>
      <c r="E805" s="3">
        <f>IF('ORDENES'!$A783="","",IF('ORDENES'!$U783="","-",'ORDENES'!$U783))</f>
        <v/>
      </c>
      <c r="F805" s="3">
        <f>IF('ORDENES'!$A783="","",IF('ORDENES'!$W783="","-",'ORDENES'!$W783))</f>
        <v/>
      </c>
      <c r="G805" s="3">
        <f>IF('ORDENES'!$A783="","",IF('ORDENES'!$AB783="","-",'ORDENES'!$AB783))</f>
        <v/>
      </c>
      <c r="H805" s="3">
        <f>IF('ORDENES'!$A783="","",IF('ORDENES'!$AN783="","-",'ORDENES'!$AN783))</f>
        <v/>
      </c>
      <c r="I805" s="3">
        <f>IF('ORDENES'!$A783="","",IF('ORDENES'!$D783="","-",'ORDENES'!$D783))</f>
        <v/>
      </c>
      <c r="J805" s="3">
        <f>IF('ORDENES'!$A783="","",IF('ORDENES'!$E783="","-",'ORDENES'!$E783))</f>
        <v/>
      </c>
      <c r="K805" s="12">
        <f>IF('ORDENES'!$A783="","",IF('ORDENES'!$M783="",0,'ORDENES'!$M783))</f>
        <v/>
      </c>
      <c r="L805" s="3">
        <f>IF('ORDENES'!$A783="","",IF('ORDENES'!$N783="","-",'ORDENES'!$N783))</f>
        <v/>
      </c>
      <c r="M805" s="3">
        <f>IF('ORDENES'!$A783="","",'ORDENES'!$AA783)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IF('ORDENES'!$A784="","",IF('ORDENES'!$AC784="","-",'ORDENES'!$AC784))</f>
        <v/>
      </c>
      <c r="D806" s="3">
        <f>IF('ORDENES'!$A784="","",IF('ORDENES'!$V784="","-",'ORDENES'!$V784))</f>
        <v/>
      </c>
      <c r="E806" s="3">
        <f>IF('ORDENES'!$A784="","",IF('ORDENES'!$U784="","-",'ORDENES'!$U784))</f>
        <v/>
      </c>
      <c r="F806" s="3">
        <f>IF('ORDENES'!$A784="","",IF('ORDENES'!$W784="","-",'ORDENES'!$W784))</f>
        <v/>
      </c>
      <c r="G806" s="3">
        <f>IF('ORDENES'!$A784="","",IF('ORDENES'!$AB784="","-",'ORDENES'!$AB784))</f>
        <v/>
      </c>
      <c r="H806" s="3">
        <f>IF('ORDENES'!$A784="","",IF('ORDENES'!$AN784="","-",'ORDENES'!$AN784))</f>
        <v/>
      </c>
      <c r="I806" s="3">
        <f>IF('ORDENES'!$A784="","",IF('ORDENES'!$D784="","-",'ORDENES'!$D784))</f>
        <v/>
      </c>
      <c r="J806" s="3">
        <f>IF('ORDENES'!$A784="","",IF('ORDENES'!$E784="","-",'ORDENES'!$E784))</f>
        <v/>
      </c>
      <c r="K806" s="12">
        <f>IF('ORDENES'!$A784="","",IF('ORDENES'!$M784="",0,'ORDENES'!$M784))</f>
        <v/>
      </c>
      <c r="L806" s="3">
        <f>IF('ORDENES'!$A784="","",IF('ORDENES'!$N784="","-",'ORDENES'!$N784))</f>
        <v/>
      </c>
      <c r="M806" s="3">
        <f>IF('ORDENES'!$A784="","",'ORDENES'!$AA784)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IF('ORDENES'!$A785="","",IF('ORDENES'!$AC785="","-",'ORDENES'!$AC785))</f>
        <v/>
      </c>
      <c r="D807" s="3">
        <f>IF('ORDENES'!$A785="","",IF('ORDENES'!$V785="","-",'ORDENES'!$V785))</f>
        <v/>
      </c>
      <c r="E807" s="3">
        <f>IF('ORDENES'!$A785="","",IF('ORDENES'!$U785="","-",'ORDENES'!$U785))</f>
        <v/>
      </c>
      <c r="F807" s="3">
        <f>IF('ORDENES'!$A785="","",IF('ORDENES'!$W785="","-",'ORDENES'!$W785))</f>
        <v/>
      </c>
      <c r="G807" s="3">
        <f>IF('ORDENES'!$A785="","",IF('ORDENES'!$AB785="","-",'ORDENES'!$AB785))</f>
        <v/>
      </c>
      <c r="H807" s="3">
        <f>IF('ORDENES'!$A785="","",IF('ORDENES'!$AN785="","-",'ORDENES'!$AN785))</f>
        <v/>
      </c>
      <c r="I807" s="3">
        <f>IF('ORDENES'!$A785="","",IF('ORDENES'!$D785="","-",'ORDENES'!$D785))</f>
        <v/>
      </c>
      <c r="J807" s="3">
        <f>IF('ORDENES'!$A785="","",IF('ORDENES'!$E785="","-",'ORDENES'!$E785))</f>
        <v/>
      </c>
      <c r="K807" s="12">
        <f>IF('ORDENES'!$A785="","",IF('ORDENES'!$M785="",0,'ORDENES'!$M785))</f>
        <v/>
      </c>
      <c r="L807" s="3">
        <f>IF('ORDENES'!$A785="","",IF('ORDENES'!$N785="","-",'ORDENES'!$N785))</f>
        <v/>
      </c>
      <c r="M807" s="3">
        <f>IF('ORDENES'!$A785="","",'ORDENES'!$AA785)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IF('ORDENES'!$A786="","",IF('ORDENES'!$AC786="","-",'ORDENES'!$AC786))</f>
        <v/>
      </c>
      <c r="D808" s="3">
        <f>IF('ORDENES'!$A786="","",IF('ORDENES'!$V786="","-",'ORDENES'!$V786))</f>
        <v/>
      </c>
      <c r="E808" s="3">
        <f>IF('ORDENES'!$A786="","",IF('ORDENES'!$U786="","-",'ORDENES'!$U786))</f>
        <v/>
      </c>
      <c r="F808" s="3">
        <f>IF('ORDENES'!$A786="","",IF('ORDENES'!$W786="","-",'ORDENES'!$W786))</f>
        <v/>
      </c>
      <c r="G808" s="3">
        <f>IF('ORDENES'!$A786="","",IF('ORDENES'!$AB786="","-",'ORDENES'!$AB786))</f>
        <v/>
      </c>
      <c r="H808" s="3">
        <f>IF('ORDENES'!$A786="","",IF('ORDENES'!$AN786="","-",'ORDENES'!$AN786))</f>
        <v/>
      </c>
      <c r="I808" s="3">
        <f>IF('ORDENES'!$A786="","",IF('ORDENES'!$D786="","-",'ORDENES'!$D786))</f>
        <v/>
      </c>
      <c r="J808" s="3">
        <f>IF('ORDENES'!$A786="","",IF('ORDENES'!$E786="","-",'ORDENES'!$E786))</f>
        <v/>
      </c>
      <c r="K808" s="12">
        <f>IF('ORDENES'!$A786="","",IF('ORDENES'!$M786="",0,'ORDENES'!$M786))</f>
        <v/>
      </c>
      <c r="L808" s="3">
        <f>IF('ORDENES'!$A786="","",IF('ORDENES'!$N786="","-",'ORDENES'!$N786))</f>
        <v/>
      </c>
      <c r="M808" s="3">
        <f>IF('ORDENES'!$A786="","",'ORDENES'!$AA786)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IF('ORDENES'!$A787="","",IF('ORDENES'!$AC787="","-",'ORDENES'!$AC787))</f>
        <v/>
      </c>
      <c r="D809" s="3">
        <f>IF('ORDENES'!$A787="","",IF('ORDENES'!$V787="","-",'ORDENES'!$V787))</f>
        <v/>
      </c>
      <c r="E809" s="3">
        <f>IF('ORDENES'!$A787="","",IF('ORDENES'!$U787="","-",'ORDENES'!$U787))</f>
        <v/>
      </c>
      <c r="F809" s="3">
        <f>IF('ORDENES'!$A787="","",IF('ORDENES'!$W787="","-",'ORDENES'!$W787))</f>
        <v/>
      </c>
      <c r="G809" s="3">
        <f>IF('ORDENES'!$A787="","",IF('ORDENES'!$AB787="","-",'ORDENES'!$AB787))</f>
        <v/>
      </c>
      <c r="H809" s="3">
        <f>IF('ORDENES'!$A787="","",IF('ORDENES'!$AN787="","-",'ORDENES'!$AN787))</f>
        <v/>
      </c>
      <c r="I809" s="3">
        <f>IF('ORDENES'!$A787="","",IF('ORDENES'!$D787="","-",'ORDENES'!$D787))</f>
        <v/>
      </c>
      <c r="J809" s="3">
        <f>IF('ORDENES'!$A787="","",IF('ORDENES'!$E787="","-",'ORDENES'!$E787))</f>
        <v/>
      </c>
      <c r="K809" s="12">
        <f>IF('ORDENES'!$A787="","",IF('ORDENES'!$M787="",0,'ORDENES'!$M787))</f>
        <v/>
      </c>
      <c r="L809" s="3">
        <f>IF('ORDENES'!$A787="","",IF('ORDENES'!$N787="","-",'ORDENES'!$N787))</f>
        <v/>
      </c>
      <c r="M809" s="3">
        <f>IF('ORDENES'!$A787="","",'ORDENES'!$AA787)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IF('ORDENES'!$A788="","",IF('ORDENES'!$AC788="","-",'ORDENES'!$AC788))</f>
        <v/>
      </c>
      <c r="D810" s="3">
        <f>IF('ORDENES'!$A788="","",IF('ORDENES'!$V788="","-",'ORDENES'!$V788))</f>
        <v/>
      </c>
      <c r="E810" s="3">
        <f>IF('ORDENES'!$A788="","",IF('ORDENES'!$U788="","-",'ORDENES'!$U788))</f>
        <v/>
      </c>
      <c r="F810" s="3">
        <f>IF('ORDENES'!$A788="","",IF('ORDENES'!$W788="","-",'ORDENES'!$W788))</f>
        <v/>
      </c>
      <c r="G810" s="3">
        <f>IF('ORDENES'!$A788="","",IF('ORDENES'!$AB788="","-",'ORDENES'!$AB788))</f>
        <v/>
      </c>
      <c r="H810" s="3">
        <f>IF('ORDENES'!$A788="","",IF('ORDENES'!$AN788="","-",'ORDENES'!$AN788))</f>
        <v/>
      </c>
      <c r="I810" s="3">
        <f>IF('ORDENES'!$A788="","",IF('ORDENES'!$D788="","-",'ORDENES'!$D788))</f>
        <v/>
      </c>
      <c r="J810" s="3">
        <f>IF('ORDENES'!$A788="","",IF('ORDENES'!$E788="","-",'ORDENES'!$E788))</f>
        <v/>
      </c>
      <c r="K810" s="12">
        <f>IF('ORDENES'!$A788="","",IF('ORDENES'!$M788="",0,'ORDENES'!$M788))</f>
        <v/>
      </c>
      <c r="L810" s="3">
        <f>IF('ORDENES'!$A788="","",IF('ORDENES'!$N788="","-",'ORDENES'!$N788))</f>
        <v/>
      </c>
      <c r="M810" s="3">
        <f>IF('ORDENES'!$A788="","",'ORDENES'!$AA788)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IF('ORDENES'!$A789="","",IF('ORDENES'!$AC789="","-",'ORDENES'!$AC789))</f>
        <v/>
      </c>
      <c r="D811" s="3">
        <f>IF('ORDENES'!$A789="","",IF('ORDENES'!$V789="","-",'ORDENES'!$V789))</f>
        <v/>
      </c>
      <c r="E811" s="3">
        <f>IF('ORDENES'!$A789="","",IF('ORDENES'!$U789="","-",'ORDENES'!$U789))</f>
        <v/>
      </c>
      <c r="F811" s="3">
        <f>IF('ORDENES'!$A789="","",IF('ORDENES'!$W789="","-",'ORDENES'!$W789))</f>
        <v/>
      </c>
      <c r="G811" s="3">
        <f>IF('ORDENES'!$A789="","",IF('ORDENES'!$AB789="","-",'ORDENES'!$AB789))</f>
        <v/>
      </c>
      <c r="H811" s="3">
        <f>IF('ORDENES'!$A789="","",IF('ORDENES'!$AN789="","-",'ORDENES'!$AN789))</f>
        <v/>
      </c>
      <c r="I811" s="3">
        <f>IF('ORDENES'!$A789="","",IF('ORDENES'!$D789="","-",'ORDENES'!$D789))</f>
        <v/>
      </c>
      <c r="J811" s="3">
        <f>IF('ORDENES'!$A789="","",IF('ORDENES'!$E789="","-",'ORDENES'!$E789))</f>
        <v/>
      </c>
      <c r="K811" s="12">
        <f>IF('ORDENES'!$A789="","",IF('ORDENES'!$M789="",0,'ORDENES'!$M789))</f>
        <v/>
      </c>
      <c r="L811" s="3">
        <f>IF('ORDENES'!$A789="","",IF('ORDENES'!$N789="","-",'ORDENES'!$N789))</f>
        <v/>
      </c>
      <c r="M811" s="3">
        <f>IF('ORDENES'!$A789="","",'ORDENES'!$AA789)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IF('ORDENES'!$A790="","",IF('ORDENES'!$AC790="","-",'ORDENES'!$AC790))</f>
        <v/>
      </c>
      <c r="D812" s="3">
        <f>IF('ORDENES'!$A790="","",IF('ORDENES'!$V790="","-",'ORDENES'!$V790))</f>
        <v/>
      </c>
      <c r="E812" s="3">
        <f>IF('ORDENES'!$A790="","",IF('ORDENES'!$U790="","-",'ORDENES'!$U790))</f>
        <v/>
      </c>
      <c r="F812" s="3">
        <f>IF('ORDENES'!$A790="","",IF('ORDENES'!$W790="","-",'ORDENES'!$W790))</f>
        <v/>
      </c>
      <c r="G812" s="3">
        <f>IF('ORDENES'!$A790="","",IF('ORDENES'!$AB790="","-",'ORDENES'!$AB790))</f>
        <v/>
      </c>
      <c r="H812" s="3">
        <f>IF('ORDENES'!$A790="","",IF('ORDENES'!$AN790="","-",'ORDENES'!$AN790))</f>
        <v/>
      </c>
      <c r="I812" s="3">
        <f>IF('ORDENES'!$A790="","",IF('ORDENES'!$D790="","-",'ORDENES'!$D790))</f>
        <v/>
      </c>
      <c r="J812" s="3">
        <f>IF('ORDENES'!$A790="","",IF('ORDENES'!$E790="","-",'ORDENES'!$E790))</f>
        <v/>
      </c>
      <c r="K812" s="12">
        <f>IF('ORDENES'!$A790="","",IF('ORDENES'!$M790="",0,'ORDENES'!$M790))</f>
        <v/>
      </c>
      <c r="L812" s="3">
        <f>IF('ORDENES'!$A790="","",IF('ORDENES'!$N790="","-",'ORDENES'!$N790))</f>
        <v/>
      </c>
      <c r="M812" s="3">
        <f>IF('ORDENES'!$A790="","",'ORDENES'!$AA790)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IF('ORDENES'!$A791="","",IF('ORDENES'!$AC791="","-",'ORDENES'!$AC791))</f>
        <v/>
      </c>
      <c r="D813" s="3">
        <f>IF('ORDENES'!$A791="","",IF('ORDENES'!$V791="","-",'ORDENES'!$V791))</f>
        <v/>
      </c>
      <c r="E813" s="3">
        <f>IF('ORDENES'!$A791="","",IF('ORDENES'!$U791="","-",'ORDENES'!$U791))</f>
        <v/>
      </c>
      <c r="F813" s="3">
        <f>IF('ORDENES'!$A791="","",IF('ORDENES'!$W791="","-",'ORDENES'!$W791))</f>
        <v/>
      </c>
      <c r="G813" s="3">
        <f>IF('ORDENES'!$A791="","",IF('ORDENES'!$AB791="","-",'ORDENES'!$AB791))</f>
        <v/>
      </c>
      <c r="H813" s="3">
        <f>IF('ORDENES'!$A791="","",IF('ORDENES'!$AN791="","-",'ORDENES'!$AN791))</f>
        <v/>
      </c>
      <c r="I813" s="3">
        <f>IF('ORDENES'!$A791="","",IF('ORDENES'!$D791="","-",'ORDENES'!$D791))</f>
        <v/>
      </c>
      <c r="J813" s="3">
        <f>IF('ORDENES'!$A791="","",IF('ORDENES'!$E791="","-",'ORDENES'!$E791))</f>
        <v/>
      </c>
      <c r="K813" s="12">
        <f>IF('ORDENES'!$A791="","",IF('ORDENES'!$M791="",0,'ORDENES'!$M791))</f>
        <v/>
      </c>
      <c r="L813" s="3">
        <f>IF('ORDENES'!$A791="","",IF('ORDENES'!$N791="","-",'ORDENES'!$N791))</f>
        <v/>
      </c>
      <c r="M813" s="3">
        <f>IF('ORDENES'!$A791="","",'ORDENES'!$AA791)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IF('ORDENES'!$A792="","",IF('ORDENES'!$AC792="","-",'ORDENES'!$AC792))</f>
        <v/>
      </c>
      <c r="D814" s="3">
        <f>IF('ORDENES'!$A792="","",IF('ORDENES'!$V792="","-",'ORDENES'!$V792))</f>
        <v/>
      </c>
      <c r="E814" s="3">
        <f>IF('ORDENES'!$A792="","",IF('ORDENES'!$U792="","-",'ORDENES'!$U792))</f>
        <v/>
      </c>
      <c r="F814" s="3">
        <f>IF('ORDENES'!$A792="","",IF('ORDENES'!$W792="","-",'ORDENES'!$W792))</f>
        <v/>
      </c>
      <c r="G814" s="3">
        <f>IF('ORDENES'!$A792="","",IF('ORDENES'!$AB792="","-",'ORDENES'!$AB792))</f>
        <v/>
      </c>
      <c r="H814" s="3">
        <f>IF('ORDENES'!$A792="","",IF('ORDENES'!$AN792="","-",'ORDENES'!$AN792))</f>
        <v/>
      </c>
      <c r="I814" s="3">
        <f>IF('ORDENES'!$A792="","",IF('ORDENES'!$D792="","-",'ORDENES'!$D792))</f>
        <v/>
      </c>
      <c r="J814" s="3">
        <f>IF('ORDENES'!$A792="","",IF('ORDENES'!$E792="","-",'ORDENES'!$E792))</f>
        <v/>
      </c>
      <c r="K814" s="12">
        <f>IF('ORDENES'!$A792="","",IF('ORDENES'!$M792="",0,'ORDENES'!$M792))</f>
        <v/>
      </c>
      <c r="L814" s="3">
        <f>IF('ORDENES'!$A792="","",IF('ORDENES'!$N792="","-",'ORDENES'!$N792))</f>
        <v/>
      </c>
      <c r="M814" s="3">
        <f>IF('ORDENES'!$A792="","",'ORDENES'!$AA792)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IF('ORDENES'!$A793="","",IF('ORDENES'!$AC793="","-",'ORDENES'!$AC793))</f>
        <v/>
      </c>
      <c r="D815" s="3">
        <f>IF('ORDENES'!$A793="","",IF('ORDENES'!$V793="","-",'ORDENES'!$V793))</f>
        <v/>
      </c>
      <c r="E815" s="3">
        <f>IF('ORDENES'!$A793="","",IF('ORDENES'!$U793="","-",'ORDENES'!$U793))</f>
        <v/>
      </c>
      <c r="F815" s="3">
        <f>IF('ORDENES'!$A793="","",IF('ORDENES'!$W793="","-",'ORDENES'!$W793))</f>
        <v/>
      </c>
      <c r="G815" s="3">
        <f>IF('ORDENES'!$A793="","",IF('ORDENES'!$AB793="","-",'ORDENES'!$AB793))</f>
        <v/>
      </c>
      <c r="H815" s="3">
        <f>IF('ORDENES'!$A793="","",IF('ORDENES'!$AN793="","-",'ORDENES'!$AN793))</f>
        <v/>
      </c>
      <c r="I815" s="3">
        <f>IF('ORDENES'!$A793="","",IF('ORDENES'!$D793="","-",'ORDENES'!$D793))</f>
        <v/>
      </c>
      <c r="J815" s="3">
        <f>IF('ORDENES'!$A793="","",IF('ORDENES'!$E793="","-",'ORDENES'!$E793))</f>
        <v/>
      </c>
      <c r="K815" s="12">
        <f>IF('ORDENES'!$A793="","",IF('ORDENES'!$M793="",0,'ORDENES'!$M793))</f>
        <v/>
      </c>
      <c r="L815" s="3">
        <f>IF('ORDENES'!$A793="","",IF('ORDENES'!$N793="","-",'ORDENES'!$N793))</f>
        <v/>
      </c>
      <c r="M815" s="3">
        <f>IF('ORDENES'!$A793="","",'ORDENES'!$AA793)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IF('ORDENES'!$A794="","",IF('ORDENES'!$AC794="","-",'ORDENES'!$AC794))</f>
        <v/>
      </c>
      <c r="D816" s="3">
        <f>IF('ORDENES'!$A794="","",IF('ORDENES'!$V794="","-",'ORDENES'!$V794))</f>
        <v/>
      </c>
      <c r="E816" s="3">
        <f>IF('ORDENES'!$A794="","",IF('ORDENES'!$U794="","-",'ORDENES'!$U794))</f>
        <v/>
      </c>
      <c r="F816" s="3">
        <f>IF('ORDENES'!$A794="","",IF('ORDENES'!$W794="","-",'ORDENES'!$W794))</f>
        <v/>
      </c>
      <c r="G816" s="3">
        <f>IF('ORDENES'!$A794="","",IF('ORDENES'!$AB794="","-",'ORDENES'!$AB794))</f>
        <v/>
      </c>
      <c r="H816" s="3">
        <f>IF('ORDENES'!$A794="","",IF('ORDENES'!$AN794="","-",'ORDENES'!$AN794))</f>
        <v/>
      </c>
      <c r="I816" s="3">
        <f>IF('ORDENES'!$A794="","",IF('ORDENES'!$D794="","-",'ORDENES'!$D794))</f>
        <v/>
      </c>
      <c r="J816" s="3">
        <f>IF('ORDENES'!$A794="","",IF('ORDENES'!$E794="","-",'ORDENES'!$E794))</f>
        <v/>
      </c>
      <c r="K816" s="12">
        <f>IF('ORDENES'!$A794="","",IF('ORDENES'!$M794="",0,'ORDENES'!$M794))</f>
        <v/>
      </c>
      <c r="L816" s="3">
        <f>IF('ORDENES'!$A794="","",IF('ORDENES'!$N794="","-",'ORDENES'!$N794))</f>
        <v/>
      </c>
      <c r="M816" s="3">
        <f>IF('ORDENES'!$A794="","",'ORDENES'!$AA794)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IF('ORDENES'!$A795="","",IF('ORDENES'!$AC795="","-",'ORDENES'!$AC795))</f>
        <v/>
      </c>
      <c r="D817" s="3">
        <f>IF('ORDENES'!$A795="","",IF('ORDENES'!$V795="","-",'ORDENES'!$V795))</f>
        <v/>
      </c>
      <c r="E817" s="3">
        <f>IF('ORDENES'!$A795="","",IF('ORDENES'!$U795="","-",'ORDENES'!$U795))</f>
        <v/>
      </c>
      <c r="F817" s="3">
        <f>IF('ORDENES'!$A795="","",IF('ORDENES'!$W795="","-",'ORDENES'!$W795))</f>
        <v/>
      </c>
      <c r="G817" s="3">
        <f>IF('ORDENES'!$A795="","",IF('ORDENES'!$AB795="","-",'ORDENES'!$AB795))</f>
        <v/>
      </c>
      <c r="H817" s="3">
        <f>IF('ORDENES'!$A795="","",IF('ORDENES'!$AN795="","-",'ORDENES'!$AN795))</f>
        <v/>
      </c>
      <c r="I817" s="3">
        <f>IF('ORDENES'!$A795="","",IF('ORDENES'!$D795="","-",'ORDENES'!$D795))</f>
        <v/>
      </c>
      <c r="J817" s="3">
        <f>IF('ORDENES'!$A795="","",IF('ORDENES'!$E795="","-",'ORDENES'!$E795))</f>
        <v/>
      </c>
      <c r="K817" s="12">
        <f>IF('ORDENES'!$A795="","",IF('ORDENES'!$M795="",0,'ORDENES'!$M795))</f>
        <v/>
      </c>
      <c r="L817" s="3">
        <f>IF('ORDENES'!$A795="","",IF('ORDENES'!$N795="","-",'ORDENES'!$N795))</f>
        <v/>
      </c>
      <c r="M817" s="3">
        <f>IF('ORDENES'!$A795="","",'ORDENES'!$AA795)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IF('ORDENES'!$A796="","",IF('ORDENES'!$AC796="","-",'ORDENES'!$AC796))</f>
        <v/>
      </c>
      <c r="D818" s="3">
        <f>IF('ORDENES'!$A796="","",IF('ORDENES'!$V796="","-",'ORDENES'!$V796))</f>
        <v/>
      </c>
      <c r="E818" s="3">
        <f>IF('ORDENES'!$A796="","",IF('ORDENES'!$U796="","-",'ORDENES'!$U796))</f>
        <v/>
      </c>
      <c r="F818" s="3">
        <f>IF('ORDENES'!$A796="","",IF('ORDENES'!$W796="","-",'ORDENES'!$W796))</f>
        <v/>
      </c>
      <c r="G818" s="3">
        <f>IF('ORDENES'!$A796="","",IF('ORDENES'!$AB796="","-",'ORDENES'!$AB796))</f>
        <v/>
      </c>
      <c r="H818" s="3">
        <f>IF('ORDENES'!$A796="","",IF('ORDENES'!$AN796="","-",'ORDENES'!$AN796))</f>
        <v/>
      </c>
      <c r="I818" s="3">
        <f>IF('ORDENES'!$A796="","",IF('ORDENES'!$D796="","-",'ORDENES'!$D796))</f>
        <v/>
      </c>
      <c r="J818" s="3">
        <f>IF('ORDENES'!$A796="","",IF('ORDENES'!$E796="","-",'ORDENES'!$E796))</f>
        <v/>
      </c>
      <c r="K818" s="12">
        <f>IF('ORDENES'!$A796="","",IF('ORDENES'!$M796="",0,'ORDENES'!$M796))</f>
        <v/>
      </c>
      <c r="L818" s="3">
        <f>IF('ORDENES'!$A796="","",IF('ORDENES'!$N796="","-",'ORDENES'!$N796))</f>
        <v/>
      </c>
      <c r="M818" s="3">
        <f>IF('ORDENES'!$A796="","",'ORDENES'!$AA796)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IF('ORDENES'!$A797="","",IF('ORDENES'!$AC797="","-",'ORDENES'!$AC797))</f>
        <v/>
      </c>
      <c r="D819" s="3">
        <f>IF('ORDENES'!$A797="","",IF('ORDENES'!$V797="","-",'ORDENES'!$V797))</f>
        <v/>
      </c>
      <c r="E819" s="3">
        <f>IF('ORDENES'!$A797="","",IF('ORDENES'!$U797="","-",'ORDENES'!$U797))</f>
        <v/>
      </c>
      <c r="F819" s="3">
        <f>IF('ORDENES'!$A797="","",IF('ORDENES'!$W797="","-",'ORDENES'!$W797))</f>
        <v/>
      </c>
      <c r="G819" s="3">
        <f>IF('ORDENES'!$A797="","",IF('ORDENES'!$AB797="","-",'ORDENES'!$AB797))</f>
        <v/>
      </c>
      <c r="H819" s="3">
        <f>IF('ORDENES'!$A797="","",IF('ORDENES'!$AN797="","-",'ORDENES'!$AN797))</f>
        <v/>
      </c>
      <c r="I819" s="3">
        <f>IF('ORDENES'!$A797="","",IF('ORDENES'!$D797="","-",'ORDENES'!$D797))</f>
        <v/>
      </c>
      <c r="J819" s="3">
        <f>IF('ORDENES'!$A797="","",IF('ORDENES'!$E797="","-",'ORDENES'!$E797))</f>
        <v/>
      </c>
      <c r="K819" s="12">
        <f>IF('ORDENES'!$A797="","",IF('ORDENES'!$M797="",0,'ORDENES'!$M797))</f>
        <v/>
      </c>
      <c r="L819" s="3">
        <f>IF('ORDENES'!$A797="","",IF('ORDENES'!$N797="","-",'ORDENES'!$N797))</f>
        <v/>
      </c>
      <c r="M819" s="3">
        <f>IF('ORDENES'!$A797="","",'ORDENES'!$AA797)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IF('ORDENES'!$A798="","",IF('ORDENES'!$AC798="","-",'ORDENES'!$AC798))</f>
        <v/>
      </c>
      <c r="D820" s="3">
        <f>IF('ORDENES'!$A798="","",IF('ORDENES'!$V798="","-",'ORDENES'!$V798))</f>
        <v/>
      </c>
      <c r="E820" s="3">
        <f>IF('ORDENES'!$A798="","",IF('ORDENES'!$U798="","-",'ORDENES'!$U798))</f>
        <v/>
      </c>
      <c r="F820" s="3">
        <f>IF('ORDENES'!$A798="","",IF('ORDENES'!$W798="","-",'ORDENES'!$W798))</f>
        <v/>
      </c>
      <c r="G820" s="3">
        <f>IF('ORDENES'!$A798="","",IF('ORDENES'!$AB798="","-",'ORDENES'!$AB798))</f>
        <v/>
      </c>
      <c r="H820" s="3">
        <f>IF('ORDENES'!$A798="","",IF('ORDENES'!$AN798="","-",'ORDENES'!$AN798))</f>
        <v/>
      </c>
      <c r="I820" s="3">
        <f>IF('ORDENES'!$A798="","",IF('ORDENES'!$D798="","-",'ORDENES'!$D798))</f>
        <v/>
      </c>
      <c r="J820" s="3">
        <f>IF('ORDENES'!$A798="","",IF('ORDENES'!$E798="","-",'ORDENES'!$E798))</f>
        <v/>
      </c>
      <c r="K820" s="12">
        <f>IF('ORDENES'!$A798="","",IF('ORDENES'!$M798="",0,'ORDENES'!$M798))</f>
        <v/>
      </c>
      <c r="L820" s="3">
        <f>IF('ORDENES'!$A798="","",IF('ORDENES'!$N798="","-",'ORDENES'!$N798))</f>
        <v/>
      </c>
      <c r="M820" s="3">
        <f>IF('ORDENES'!$A798="","",'ORDENES'!$AA798)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IF('ORDENES'!$A799="","",IF('ORDENES'!$AC799="","-",'ORDENES'!$AC799))</f>
        <v/>
      </c>
      <c r="D821" s="3">
        <f>IF('ORDENES'!$A799="","",IF('ORDENES'!$V799="","-",'ORDENES'!$V799))</f>
        <v/>
      </c>
      <c r="E821" s="3">
        <f>IF('ORDENES'!$A799="","",IF('ORDENES'!$U799="","-",'ORDENES'!$U799))</f>
        <v/>
      </c>
      <c r="F821" s="3">
        <f>IF('ORDENES'!$A799="","",IF('ORDENES'!$W799="","-",'ORDENES'!$W799))</f>
        <v/>
      </c>
      <c r="G821" s="3">
        <f>IF('ORDENES'!$A799="","",IF('ORDENES'!$AB799="","-",'ORDENES'!$AB799))</f>
        <v/>
      </c>
      <c r="H821" s="3">
        <f>IF('ORDENES'!$A799="","",IF('ORDENES'!$AN799="","-",'ORDENES'!$AN799))</f>
        <v/>
      </c>
      <c r="I821" s="3">
        <f>IF('ORDENES'!$A799="","",IF('ORDENES'!$D799="","-",'ORDENES'!$D799))</f>
        <v/>
      </c>
      <c r="J821" s="3">
        <f>IF('ORDENES'!$A799="","",IF('ORDENES'!$E799="","-",'ORDENES'!$E799))</f>
        <v/>
      </c>
      <c r="K821" s="12">
        <f>IF('ORDENES'!$A799="","",IF('ORDENES'!$M799="",0,'ORDENES'!$M799))</f>
        <v/>
      </c>
      <c r="L821" s="3">
        <f>IF('ORDENES'!$A799="","",IF('ORDENES'!$N799="","-",'ORDENES'!$N799))</f>
        <v/>
      </c>
      <c r="M821" s="3">
        <f>IF('ORDENES'!$A799="","",'ORDENES'!$AA799)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IF('ORDENES'!$A800="","",IF('ORDENES'!$AC800="","-",'ORDENES'!$AC800))</f>
        <v/>
      </c>
      <c r="D822" s="3">
        <f>IF('ORDENES'!$A800="","",IF('ORDENES'!$V800="","-",'ORDENES'!$V800))</f>
        <v/>
      </c>
      <c r="E822" s="3">
        <f>IF('ORDENES'!$A800="","",IF('ORDENES'!$U800="","-",'ORDENES'!$U800))</f>
        <v/>
      </c>
      <c r="F822" s="3">
        <f>IF('ORDENES'!$A800="","",IF('ORDENES'!$W800="","-",'ORDENES'!$W800))</f>
        <v/>
      </c>
      <c r="G822" s="3">
        <f>IF('ORDENES'!$A800="","",IF('ORDENES'!$AB800="","-",'ORDENES'!$AB800))</f>
        <v/>
      </c>
      <c r="H822" s="3">
        <f>IF('ORDENES'!$A800="","",IF('ORDENES'!$AN800="","-",'ORDENES'!$AN800))</f>
        <v/>
      </c>
      <c r="I822" s="3">
        <f>IF('ORDENES'!$A800="","",IF('ORDENES'!$D800="","-",'ORDENES'!$D800))</f>
        <v/>
      </c>
      <c r="J822" s="3">
        <f>IF('ORDENES'!$A800="","",IF('ORDENES'!$E800="","-",'ORDENES'!$E800))</f>
        <v/>
      </c>
      <c r="K822" s="12">
        <f>IF('ORDENES'!$A800="","",IF('ORDENES'!$M800="",0,'ORDENES'!$M800))</f>
        <v/>
      </c>
      <c r="L822" s="3">
        <f>IF('ORDENES'!$A800="","",IF('ORDENES'!$N800="","-",'ORDENES'!$N800))</f>
        <v/>
      </c>
      <c r="M822" s="3">
        <f>IF('ORDENES'!$A800="","",'ORDENES'!$AA800)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IF('ORDENES'!$A801="","",IF('ORDENES'!$AC801="","-",'ORDENES'!$AC801))</f>
        <v/>
      </c>
      <c r="D823" s="3">
        <f>IF('ORDENES'!$A801="","",IF('ORDENES'!$V801="","-",'ORDENES'!$V801))</f>
        <v/>
      </c>
      <c r="E823" s="3">
        <f>IF('ORDENES'!$A801="","",IF('ORDENES'!$U801="","-",'ORDENES'!$U801))</f>
        <v/>
      </c>
      <c r="F823" s="3">
        <f>IF('ORDENES'!$A801="","",IF('ORDENES'!$W801="","-",'ORDENES'!$W801))</f>
        <v/>
      </c>
      <c r="G823" s="3">
        <f>IF('ORDENES'!$A801="","",IF('ORDENES'!$AB801="","-",'ORDENES'!$AB801))</f>
        <v/>
      </c>
      <c r="H823" s="3">
        <f>IF('ORDENES'!$A801="","",IF('ORDENES'!$AN801="","-",'ORDENES'!$AN801))</f>
        <v/>
      </c>
      <c r="I823" s="3">
        <f>IF('ORDENES'!$A801="","",IF('ORDENES'!$D801="","-",'ORDENES'!$D801))</f>
        <v/>
      </c>
      <c r="J823" s="3">
        <f>IF('ORDENES'!$A801="","",IF('ORDENES'!$E801="","-",'ORDENES'!$E801))</f>
        <v/>
      </c>
      <c r="K823" s="12">
        <f>IF('ORDENES'!$A801="","",IF('ORDENES'!$M801="",0,'ORDENES'!$M801))</f>
        <v/>
      </c>
      <c r="L823" s="3">
        <f>IF('ORDENES'!$A801="","",IF('ORDENES'!$N801="","-",'ORDENES'!$N801))</f>
        <v/>
      </c>
      <c r="M823" s="3">
        <f>IF('ORDENES'!$A801="","",'ORDENES'!$AA801)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IF('ORDENES'!$A802="","",IF('ORDENES'!$AC802="","-",'ORDENES'!$AC802))</f>
        <v/>
      </c>
      <c r="D824" s="3">
        <f>IF('ORDENES'!$A802="","",IF('ORDENES'!$V802="","-",'ORDENES'!$V802))</f>
        <v/>
      </c>
      <c r="E824" s="3">
        <f>IF('ORDENES'!$A802="","",IF('ORDENES'!$U802="","-",'ORDENES'!$U802))</f>
        <v/>
      </c>
      <c r="F824" s="3">
        <f>IF('ORDENES'!$A802="","",IF('ORDENES'!$W802="","-",'ORDENES'!$W802))</f>
        <v/>
      </c>
      <c r="G824" s="3">
        <f>IF('ORDENES'!$A802="","",IF('ORDENES'!$AB802="","-",'ORDENES'!$AB802))</f>
        <v/>
      </c>
      <c r="H824" s="3">
        <f>IF('ORDENES'!$A802="","",IF('ORDENES'!$AN802="","-",'ORDENES'!$AN802))</f>
        <v/>
      </c>
      <c r="I824" s="3">
        <f>IF('ORDENES'!$A802="","",IF('ORDENES'!$D802="","-",'ORDENES'!$D802))</f>
        <v/>
      </c>
      <c r="J824" s="3">
        <f>IF('ORDENES'!$A802="","",IF('ORDENES'!$E802="","-",'ORDENES'!$E802))</f>
        <v/>
      </c>
      <c r="K824" s="12">
        <f>IF('ORDENES'!$A802="","",IF('ORDENES'!$M802="",0,'ORDENES'!$M802))</f>
        <v/>
      </c>
      <c r="L824" s="3">
        <f>IF('ORDENES'!$A802="","",IF('ORDENES'!$N802="","-",'ORDENES'!$N802))</f>
        <v/>
      </c>
      <c r="M824" s="3">
        <f>IF('ORDENES'!$A802="","",'ORDENES'!$AA802)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IF('ORDENES'!$A803="","",IF('ORDENES'!$AC803="","-",'ORDENES'!$AC803))</f>
        <v/>
      </c>
      <c r="D825" s="3">
        <f>IF('ORDENES'!$A803="","",IF('ORDENES'!$V803="","-",'ORDENES'!$V803))</f>
        <v/>
      </c>
      <c r="E825" s="3">
        <f>IF('ORDENES'!$A803="","",IF('ORDENES'!$U803="","-",'ORDENES'!$U803))</f>
        <v/>
      </c>
      <c r="F825" s="3">
        <f>IF('ORDENES'!$A803="","",IF('ORDENES'!$W803="","-",'ORDENES'!$W803))</f>
        <v/>
      </c>
      <c r="G825" s="3">
        <f>IF('ORDENES'!$A803="","",IF('ORDENES'!$AB803="","-",'ORDENES'!$AB803))</f>
        <v/>
      </c>
      <c r="H825" s="3">
        <f>IF('ORDENES'!$A803="","",IF('ORDENES'!$AN803="","-",'ORDENES'!$AN803))</f>
        <v/>
      </c>
      <c r="I825" s="3">
        <f>IF('ORDENES'!$A803="","",IF('ORDENES'!$D803="","-",'ORDENES'!$D803))</f>
        <v/>
      </c>
      <c r="J825" s="3">
        <f>IF('ORDENES'!$A803="","",IF('ORDENES'!$E803="","-",'ORDENES'!$E803))</f>
        <v/>
      </c>
      <c r="K825" s="12">
        <f>IF('ORDENES'!$A803="","",IF('ORDENES'!$M803="",0,'ORDENES'!$M803))</f>
        <v/>
      </c>
      <c r="L825" s="3">
        <f>IF('ORDENES'!$A803="","",IF('ORDENES'!$N803="","-",'ORDENES'!$N803))</f>
        <v/>
      </c>
      <c r="M825" s="3">
        <f>IF('ORDENES'!$A803="","",'ORDENES'!$AA803)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IF('ORDENES'!$A804="","",IF('ORDENES'!$AC804="","-",'ORDENES'!$AC804))</f>
        <v/>
      </c>
      <c r="D826" s="3">
        <f>IF('ORDENES'!$A804="","",IF('ORDENES'!$V804="","-",'ORDENES'!$V804))</f>
        <v/>
      </c>
      <c r="E826" s="3">
        <f>IF('ORDENES'!$A804="","",IF('ORDENES'!$U804="","-",'ORDENES'!$U804))</f>
        <v/>
      </c>
      <c r="F826" s="3">
        <f>IF('ORDENES'!$A804="","",IF('ORDENES'!$W804="","-",'ORDENES'!$W804))</f>
        <v/>
      </c>
      <c r="G826" s="3">
        <f>IF('ORDENES'!$A804="","",IF('ORDENES'!$AB804="","-",'ORDENES'!$AB804))</f>
        <v/>
      </c>
      <c r="H826" s="3">
        <f>IF('ORDENES'!$A804="","",IF('ORDENES'!$AN804="","-",'ORDENES'!$AN804))</f>
        <v/>
      </c>
      <c r="I826" s="3">
        <f>IF('ORDENES'!$A804="","",IF('ORDENES'!$D804="","-",'ORDENES'!$D804))</f>
        <v/>
      </c>
      <c r="J826" s="3">
        <f>IF('ORDENES'!$A804="","",IF('ORDENES'!$E804="","-",'ORDENES'!$E804))</f>
        <v/>
      </c>
      <c r="K826" s="12">
        <f>IF('ORDENES'!$A804="","",IF('ORDENES'!$M804="",0,'ORDENES'!$M804))</f>
        <v/>
      </c>
      <c r="L826" s="3">
        <f>IF('ORDENES'!$A804="","",IF('ORDENES'!$N804="","-",'ORDENES'!$N804))</f>
        <v/>
      </c>
      <c r="M826" s="3">
        <f>IF('ORDENES'!$A804="","",'ORDENES'!$AA804)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IF('ORDENES'!$A805="","",IF('ORDENES'!$AC805="","-",'ORDENES'!$AC805))</f>
        <v/>
      </c>
      <c r="D827" s="3">
        <f>IF('ORDENES'!$A805="","",IF('ORDENES'!$V805="","-",'ORDENES'!$V805))</f>
        <v/>
      </c>
      <c r="E827" s="3">
        <f>IF('ORDENES'!$A805="","",IF('ORDENES'!$U805="","-",'ORDENES'!$U805))</f>
        <v/>
      </c>
      <c r="F827" s="3">
        <f>IF('ORDENES'!$A805="","",IF('ORDENES'!$W805="","-",'ORDENES'!$W805))</f>
        <v/>
      </c>
      <c r="G827" s="3">
        <f>IF('ORDENES'!$A805="","",IF('ORDENES'!$AB805="","-",'ORDENES'!$AB805))</f>
        <v/>
      </c>
      <c r="H827" s="3">
        <f>IF('ORDENES'!$A805="","",IF('ORDENES'!$AN805="","-",'ORDENES'!$AN805))</f>
        <v/>
      </c>
      <c r="I827" s="3">
        <f>IF('ORDENES'!$A805="","",IF('ORDENES'!$D805="","-",'ORDENES'!$D805))</f>
        <v/>
      </c>
      <c r="J827" s="3">
        <f>IF('ORDENES'!$A805="","",IF('ORDENES'!$E805="","-",'ORDENES'!$E805))</f>
        <v/>
      </c>
      <c r="K827" s="12">
        <f>IF('ORDENES'!$A805="","",IF('ORDENES'!$M805="",0,'ORDENES'!$M805))</f>
        <v/>
      </c>
      <c r="L827" s="3">
        <f>IF('ORDENES'!$A805="","",IF('ORDENES'!$N805="","-",'ORDENES'!$N805))</f>
        <v/>
      </c>
      <c r="M827" s="3">
        <f>IF('ORDENES'!$A805="","",'ORDENES'!$AA805)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IF('ORDENES'!$A806="","",IF('ORDENES'!$AC806="","-",'ORDENES'!$AC806))</f>
        <v/>
      </c>
      <c r="D828" s="3">
        <f>IF('ORDENES'!$A806="","",IF('ORDENES'!$V806="","-",'ORDENES'!$V806))</f>
        <v/>
      </c>
      <c r="E828" s="3">
        <f>IF('ORDENES'!$A806="","",IF('ORDENES'!$U806="","-",'ORDENES'!$U806))</f>
        <v/>
      </c>
      <c r="F828" s="3">
        <f>IF('ORDENES'!$A806="","",IF('ORDENES'!$W806="","-",'ORDENES'!$W806))</f>
        <v/>
      </c>
      <c r="G828" s="3">
        <f>IF('ORDENES'!$A806="","",IF('ORDENES'!$AB806="","-",'ORDENES'!$AB806))</f>
        <v/>
      </c>
      <c r="H828" s="3">
        <f>IF('ORDENES'!$A806="","",IF('ORDENES'!$AN806="","-",'ORDENES'!$AN806))</f>
        <v/>
      </c>
      <c r="I828" s="3">
        <f>IF('ORDENES'!$A806="","",IF('ORDENES'!$D806="","-",'ORDENES'!$D806))</f>
        <v/>
      </c>
      <c r="J828" s="3">
        <f>IF('ORDENES'!$A806="","",IF('ORDENES'!$E806="","-",'ORDENES'!$E806))</f>
        <v/>
      </c>
      <c r="K828" s="12">
        <f>IF('ORDENES'!$A806="","",IF('ORDENES'!$M806="",0,'ORDENES'!$M806))</f>
        <v/>
      </c>
      <c r="L828" s="3">
        <f>IF('ORDENES'!$A806="","",IF('ORDENES'!$N806="","-",'ORDENES'!$N806))</f>
        <v/>
      </c>
      <c r="M828" s="3">
        <f>IF('ORDENES'!$A806="","",'ORDENES'!$AA806)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IF('ORDENES'!$A807="","",IF('ORDENES'!$AC807="","-",'ORDENES'!$AC807))</f>
        <v/>
      </c>
      <c r="D829" s="3">
        <f>IF('ORDENES'!$A807="","",IF('ORDENES'!$V807="","-",'ORDENES'!$V807))</f>
        <v/>
      </c>
      <c r="E829" s="3">
        <f>IF('ORDENES'!$A807="","",IF('ORDENES'!$U807="","-",'ORDENES'!$U807))</f>
        <v/>
      </c>
      <c r="F829" s="3">
        <f>IF('ORDENES'!$A807="","",IF('ORDENES'!$W807="","-",'ORDENES'!$W807))</f>
        <v/>
      </c>
      <c r="G829" s="3">
        <f>IF('ORDENES'!$A807="","",IF('ORDENES'!$AB807="","-",'ORDENES'!$AB807))</f>
        <v/>
      </c>
      <c r="H829" s="3">
        <f>IF('ORDENES'!$A807="","",IF('ORDENES'!$AN807="","-",'ORDENES'!$AN807))</f>
        <v/>
      </c>
      <c r="I829" s="3">
        <f>IF('ORDENES'!$A807="","",IF('ORDENES'!$D807="","-",'ORDENES'!$D807))</f>
        <v/>
      </c>
      <c r="J829" s="3">
        <f>IF('ORDENES'!$A807="","",IF('ORDENES'!$E807="","-",'ORDENES'!$E807))</f>
        <v/>
      </c>
      <c r="K829" s="12">
        <f>IF('ORDENES'!$A807="","",IF('ORDENES'!$M807="",0,'ORDENES'!$M807))</f>
        <v/>
      </c>
      <c r="L829" s="3">
        <f>IF('ORDENES'!$A807="","",IF('ORDENES'!$N807="","-",'ORDENES'!$N807))</f>
        <v/>
      </c>
      <c r="M829" s="3">
        <f>IF('ORDENES'!$A807="","",'ORDENES'!$AA807)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IF('ORDENES'!$A808="","",IF('ORDENES'!$AC808="","-",'ORDENES'!$AC808))</f>
        <v/>
      </c>
      <c r="D830" s="3">
        <f>IF('ORDENES'!$A808="","",IF('ORDENES'!$V808="","-",'ORDENES'!$V808))</f>
        <v/>
      </c>
      <c r="E830" s="3">
        <f>IF('ORDENES'!$A808="","",IF('ORDENES'!$U808="","-",'ORDENES'!$U808))</f>
        <v/>
      </c>
      <c r="F830" s="3">
        <f>IF('ORDENES'!$A808="","",IF('ORDENES'!$W808="","-",'ORDENES'!$W808))</f>
        <v/>
      </c>
      <c r="G830" s="3">
        <f>IF('ORDENES'!$A808="","",IF('ORDENES'!$AB808="","-",'ORDENES'!$AB808))</f>
        <v/>
      </c>
      <c r="H830" s="3">
        <f>IF('ORDENES'!$A808="","",IF('ORDENES'!$AN808="","-",'ORDENES'!$AN808))</f>
        <v/>
      </c>
      <c r="I830" s="3">
        <f>IF('ORDENES'!$A808="","",IF('ORDENES'!$D808="","-",'ORDENES'!$D808))</f>
        <v/>
      </c>
      <c r="J830" s="3">
        <f>IF('ORDENES'!$A808="","",IF('ORDENES'!$E808="","-",'ORDENES'!$E808))</f>
        <v/>
      </c>
      <c r="K830" s="12">
        <f>IF('ORDENES'!$A808="","",IF('ORDENES'!$M808="",0,'ORDENES'!$M808))</f>
        <v/>
      </c>
      <c r="L830" s="3">
        <f>IF('ORDENES'!$A808="","",IF('ORDENES'!$N808="","-",'ORDENES'!$N808))</f>
        <v/>
      </c>
      <c r="M830" s="3">
        <f>IF('ORDENES'!$A808="","",'ORDENES'!$AA808)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IF('ORDENES'!$A809="","",IF('ORDENES'!$AC809="","-",'ORDENES'!$AC809))</f>
        <v/>
      </c>
      <c r="D831" s="3">
        <f>IF('ORDENES'!$A809="","",IF('ORDENES'!$V809="","-",'ORDENES'!$V809))</f>
        <v/>
      </c>
      <c r="E831" s="3">
        <f>IF('ORDENES'!$A809="","",IF('ORDENES'!$U809="","-",'ORDENES'!$U809))</f>
        <v/>
      </c>
      <c r="F831" s="3">
        <f>IF('ORDENES'!$A809="","",IF('ORDENES'!$W809="","-",'ORDENES'!$W809))</f>
        <v/>
      </c>
      <c r="G831" s="3">
        <f>IF('ORDENES'!$A809="","",IF('ORDENES'!$AB809="","-",'ORDENES'!$AB809))</f>
        <v/>
      </c>
      <c r="H831" s="3">
        <f>IF('ORDENES'!$A809="","",IF('ORDENES'!$AN809="","-",'ORDENES'!$AN809))</f>
        <v/>
      </c>
      <c r="I831" s="3">
        <f>IF('ORDENES'!$A809="","",IF('ORDENES'!$D809="","-",'ORDENES'!$D809))</f>
        <v/>
      </c>
      <c r="J831" s="3">
        <f>IF('ORDENES'!$A809="","",IF('ORDENES'!$E809="","-",'ORDENES'!$E809))</f>
        <v/>
      </c>
      <c r="K831" s="12">
        <f>IF('ORDENES'!$A809="","",IF('ORDENES'!$M809="",0,'ORDENES'!$M809))</f>
        <v/>
      </c>
      <c r="L831" s="3">
        <f>IF('ORDENES'!$A809="","",IF('ORDENES'!$N809="","-",'ORDENES'!$N809))</f>
        <v/>
      </c>
      <c r="M831" s="3">
        <f>IF('ORDENES'!$A809="","",'ORDENES'!$AA809)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IF('ORDENES'!$A810="","",IF('ORDENES'!$AC810="","-",'ORDENES'!$AC810))</f>
        <v/>
      </c>
      <c r="D832" s="3">
        <f>IF('ORDENES'!$A810="","",IF('ORDENES'!$V810="","-",'ORDENES'!$V810))</f>
        <v/>
      </c>
      <c r="E832" s="3">
        <f>IF('ORDENES'!$A810="","",IF('ORDENES'!$U810="","-",'ORDENES'!$U810))</f>
        <v/>
      </c>
      <c r="F832" s="3">
        <f>IF('ORDENES'!$A810="","",IF('ORDENES'!$W810="","-",'ORDENES'!$W810))</f>
        <v/>
      </c>
      <c r="G832" s="3">
        <f>IF('ORDENES'!$A810="","",IF('ORDENES'!$AB810="","-",'ORDENES'!$AB810))</f>
        <v/>
      </c>
      <c r="H832" s="3">
        <f>IF('ORDENES'!$A810="","",IF('ORDENES'!$AN810="","-",'ORDENES'!$AN810))</f>
        <v/>
      </c>
      <c r="I832" s="3">
        <f>IF('ORDENES'!$A810="","",IF('ORDENES'!$D810="","-",'ORDENES'!$D810))</f>
        <v/>
      </c>
      <c r="J832" s="3">
        <f>IF('ORDENES'!$A810="","",IF('ORDENES'!$E810="","-",'ORDENES'!$E810))</f>
        <v/>
      </c>
      <c r="K832" s="12">
        <f>IF('ORDENES'!$A810="","",IF('ORDENES'!$M810="",0,'ORDENES'!$M810))</f>
        <v/>
      </c>
      <c r="L832" s="3">
        <f>IF('ORDENES'!$A810="","",IF('ORDENES'!$N810="","-",'ORDENES'!$N810))</f>
        <v/>
      </c>
      <c r="M832" s="3">
        <f>IF('ORDENES'!$A810="","",'ORDENES'!$AA810)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IF('ORDENES'!$A811="","",IF('ORDENES'!$AC811="","-",'ORDENES'!$AC811))</f>
        <v/>
      </c>
      <c r="D833" s="3">
        <f>IF('ORDENES'!$A811="","",IF('ORDENES'!$V811="","-",'ORDENES'!$V811))</f>
        <v/>
      </c>
      <c r="E833" s="3">
        <f>IF('ORDENES'!$A811="","",IF('ORDENES'!$U811="","-",'ORDENES'!$U811))</f>
        <v/>
      </c>
      <c r="F833" s="3">
        <f>IF('ORDENES'!$A811="","",IF('ORDENES'!$W811="","-",'ORDENES'!$W811))</f>
        <v/>
      </c>
      <c r="G833" s="3">
        <f>IF('ORDENES'!$A811="","",IF('ORDENES'!$AB811="","-",'ORDENES'!$AB811))</f>
        <v/>
      </c>
      <c r="H833" s="3">
        <f>IF('ORDENES'!$A811="","",IF('ORDENES'!$AN811="","-",'ORDENES'!$AN811))</f>
        <v/>
      </c>
      <c r="I833" s="3">
        <f>IF('ORDENES'!$A811="","",IF('ORDENES'!$D811="","-",'ORDENES'!$D811))</f>
        <v/>
      </c>
      <c r="J833" s="3">
        <f>IF('ORDENES'!$A811="","",IF('ORDENES'!$E811="","-",'ORDENES'!$E811))</f>
        <v/>
      </c>
      <c r="K833" s="12">
        <f>IF('ORDENES'!$A811="","",IF('ORDENES'!$M811="",0,'ORDENES'!$M811))</f>
        <v/>
      </c>
      <c r="L833" s="3">
        <f>IF('ORDENES'!$A811="","",IF('ORDENES'!$N811="","-",'ORDENES'!$N811))</f>
        <v/>
      </c>
      <c r="M833" s="3">
        <f>IF('ORDENES'!$A811="","",'ORDENES'!$AA811)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IF('ORDENES'!$A812="","",IF('ORDENES'!$AC812="","-",'ORDENES'!$AC812))</f>
        <v/>
      </c>
      <c r="D834" s="3">
        <f>IF('ORDENES'!$A812="","",IF('ORDENES'!$V812="","-",'ORDENES'!$V812))</f>
        <v/>
      </c>
      <c r="E834" s="3">
        <f>IF('ORDENES'!$A812="","",IF('ORDENES'!$U812="","-",'ORDENES'!$U812))</f>
        <v/>
      </c>
      <c r="F834" s="3">
        <f>IF('ORDENES'!$A812="","",IF('ORDENES'!$W812="","-",'ORDENES'!$W812))</f>
        <v/>
      </c>
      <c r="G834" s="3">
        <f>IF('ORDENES'!$A812="","",IF('ORDENES'!$AB812="","-",'ORDENES'!$AB812))</f>
        <v/>
      </c>
      <c r="H834" s="3">
        <f>IF('ORDENES'!$A812="","",IF('ORDENES'!$AN812="","-",'ORDENES'!$AN812))</f>
        <v/>
      </c>
      <c r="I834" s="3">
        <f>IF('ORDENES'!$A812="","",IF('ORDENES'!$D812="","-",'ORDENES'!$D812))</f>
        <v/>
      </c>
      <c r="J834" s="3">
        <f>IF('ORDENES'!$A812="","",IF('ORDENES'!$E812="","-",'ORDENES'!$E812))</f>
        <v/>
      </c>
      <c r="K834" s="12">
        <f>IF('ORDENES'!$A812="","",IF('ORDENES'!$M812="",0,'ORDENES'!$M812))</f>
        <v/>
      </c>
      <c r="L834" s="3">
        <f>IF('ORDENES'!$A812="","",IF('ORDENES'!$N812="","-",'ORDENES'!$N812))</f>
        <v/>
      </c>
      <c r="M834" s="3">
        <f>IF('ORDENES'!$A812="","",'ORDENES'!$AA812)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IF('ORDENES'!$A813="","",IF('ORDENES'!$AC813="","-",'ORDENES'!$AC813))</f>
        <v/>
      </c>
      <c r="D835" s="3">
        <f>IF('ORDENES'!$A813="","",IF('ORDENES'!$V813="","-",'ORDENES'!$V813))</f>
        <v/>
      </c>
      <c r="E835" s="3">
        <f>IF('ORDENES'!$A813="","",IF('ORDENES'!$U813="","-",'ORDENES'!$U813))</f>
        <v/>
      </c>
      <c r="F835" s="3">
        <f>IF('ORDENES'!$A813="","",IF('ORDENES'!$W813="","-",'ORDENES'!$W813))</f>
        <v/>
      </c>
      <c r="G835" s="3">
        <f>IF('ORDENES'!$A813="","",IF('ORDENES'!$AB813="","-",'ORDENES'!$AB813))</f>
        <v/>
      </c>
      <c r="H835" s="3">
        <f>IF('ORDENES'!$A813="","",IF('ORDENES'!$AN813="","-",'ORDENES'!$AN813))</f>
        <v/>
      </c>
      <c r="I835" s="3">
        <f>IF('ORDENES'!$A813="","",IF('ORDENES'!$D813="","-",'ORDENES'!$D813))</f>
        <v/>
      </c>
      <c r="J835" s="3">
        <f>IF('ORDENES'!$A813="","",IF('ORDENES'!$E813="","-",'ORDENES'!$E813))</f>
        <v/>
      </c>
      <c r="K835" s="12">
        <f>IF('ORDENES'!$A813="","",IF('ORDENES'!$M813="",0,'ORDENES'!$M813))</f>
        <v/>
      </c>
      <c r="L835" s="3">
        <f>IF('ORDENES'!$A813="","",IF('ORDENES'!$N813="","-",'ORDENES'!$N813))</f>
        <v/>
      </c>
      <c r="M835" s="3">
        <f>IF('ORDENES'!$A813="","",'ORDENES'!$AA813)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IF('ORDENES'!$A814="","",IF('ORDENES'!$AC814="","-",'ORDENES'!$AC814))</f>
        <v/>
      </c>
      <c r="D836" s="3">
        <f>IF('ORDENES'!$A814="","",IF('ORDENES'!$V814="","-",'ORDENES'!$V814))</f>
        <v/>
      </c>
      <c r="E836" s="3">
        <f>IF('ORDENES'!$A814="","",IF('ORDENES'!$U814="","-",'ORDENES'!$U814))</f>
        <v/>
      </c>
      <c r="F836" s="3">
        <f>IF('ORDENES'!$A814="","",IF('ORDENES'!$W814="","-",'ORDENES'!$W814))</f>
        <v/>
      </c>
      <c r="G836" s="3">
        <f>IF('ORDENES'!$A814="","",IF('ORDENES'!$AB814="","-",'ORDENES'!$AB814))</f>
        <v/>
      </c>
      <c r="H836" s="3">
        <f>IF('ORDENES'!$A814="","",IF('ORDENES'!$AN814="","-",'ORDENES'!$AN814))</f>
        <v/>
      </c>
      <c r="I836" s="3">
        <f>IF('ORDENES'!$A814="","",IF('ORDENES'!$D814="","-",'ORDENES'!$D814))</f>
        <v/>
      </c>
      <c r="J836" s="3">
        <f>IF('ORDENES'!$A814="","",IF('ORDENES'!$E814="","-",'ORDENES'!$E814))</f>
        <v/>
      </c>
      <c r="K836" s="12">
        <f>IF('ORDENES'!$A814="","",IF('ORDENES'!$M814="",0,'ORDENES'!$M814))</f>
        <v/>
      </c>
      <c r="L836" s="3">
        <f>IF('ORDENES'!$A814="","",IF('ORDENES'!$N814="","-",'ORDENES'!$N814))</f>
        <v/>
      </c>
      <c r="M836" s="3">
        <f>IF('ORDENES'!$A814="","",'ORDENES'!$AA814)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IF('ORDENES'!$A815="","",IF('ORDENES'!$AC815="","-",'ORDENES'!$AC815))</f>
        <v/>
      </c>
      <c r="D837" s="3">
        <f>IF('ORDENES'!$A815="","",IF('ORDENES'!$V815="","-",'ORDENES'!$V815))</f>
        <v/>
      </c>
      <c r="E837" s="3">
        <f>IF('ORDENES'!$A815="","",IF('ORDENES'!$U815="","-",'ORDENES'!$U815))</f>
        <v/>
      </c>
      <c r="F837" s="3">
        <f>IF('ORDENES'!$A815="","",IF('ORDENES'!$W815="","-",'ORDENES'!$W815))</f>
        <v/>
      </c>
      <c r="G837" s="3">
        <f>IF('ORDENES'!$A815="","",IF('ORDENES'!$AB815="","-",'ORDENES'!$AB815))</f>
        <v/>
      </c>
      <c r="H837" s="3">
        <f>IF('ORDENES'!$A815="","",IF('ORDENES'!$AN815="","-",'ORDENES'!$AN815))</f>
        <v/>
      </c>
      <c r="I837" s="3">
        <f>IF('ORDENES'!$A815="","",IF('ORDENES'!$D815="","-",'ORDENES'!$D815))</f>
        <v/>
      </c>
      <c r="J837" s="3">
        <f>IF('ORDENES'!$A815="","",IF('ORDENES'!$E815="","-",'ORDENES'!$E815))</f>
        <v/>
      </c>
      <c r="K837" s="12">
        <f>IF('ORDENES'!$A815="","",IF('ORDENES'!$M815="",0,'ORDENES'!$M815))</f>
        <v/>
      </c>
      <c r="L837" s="3">
        <f>IF('ORDENES'!$A815="","",IF('ORDENES'!$N815="","-",'ORDENES'!$N815))</f>
        <v/>
      </c>
      <c r="M837" s="3">
        <f>IF('ORDENES'!$A815="","",'ORDENES'!$AA815)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IF('ORDENES'!$A816="","",IF('ORDENES'!$AC816="","-",'ORDENES'!$AC816))</f>
        <v/>
      </c>
      <c r="D838" s="3">
        <f>IF('ORDENES'!$A816="","",IF('ORDENES'!$V816="","-",'ORDENES'!$V816))</f>
        <v/>
      </c>
      <c r="E838" s="3">
        <f>IF('ORDENES'!$A816="","",IF('ORDENES'!$U816="","-",'ORDENES'!$U816))</f>
        <v/>
      </c>
      <c r="F838" s="3">
        <f>IF('ORDENES'!$A816="","",IF('ORDENES'!$W816="","-",'ORDENES'!$W816))</f>
        <v/>
      </c>
      <c r="G838" s="3">
        <f>IF('ORDENES'!$A816="","",IF('ORDENES'!$AB816="","-",'ORDENES'!$AB816))</f>
        <v/>
      </c>
      <c r="H838" s="3">
        <f>IF('ORDENES'!$A816="","",IF('ORDENES'!$AN816="","-",'ORDENES'!$AN816))</f>
        <v/>
      </c>
      <c r="I838" s="3">
        <f>IF('ORDENES'!$A816="","",IF('ORDENES'!$D816="","-",'ORDENES'!$D816))</f>
        <v/>
      </c>
      <c r="J838" s="3">
        <f>IF('ORDENES'!$A816="","",IF('ORDENES'!$E816="","-",'ORDENES'!$E816))</f>
        <v/>
      </c>
      <c r="K838" s="12">
        <f>IF('ORDENES'!$A816="","",IF('ORDENES'!$M816="",0,'ORDENES'!$M816))</f>
        <v/>
      </c>
      <c r="L838" s="3">
        <f>IF('ORDENES'!$A816="","",IF('ORDENES'!$N816="","-",'ORDENES'!$N816))</f>
        <v/>
      </c>
      <c r="M838" s="3">
        <f>IF('ORDENES'!$A816="","",'ORDENES'!$AA816)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IF('ORDENES'!$A817="","",IF('ORDENES'!$AC817="","-",'ORDENES'!$AC817))</f>
        <v/>
      </c>
      <c r="D839" s="3">
        <f>IF('ORDENES'!$A817="","",IF('ORDENES'!$V817="","-",'ORDENES'!$V817))</f>
        <v/>
      </c>
      <c r="E839" s="3">
        <f>IF('ORDENES'!$A817="","",IF('ORDENES'!$U817="","-",'ORDENES'!$U817))</f>
        <v/>
      </c>
      <c r="F839" s="3">
        <f>IF('ORDENES'!$A817="","",IF('ORDENES'!$W817="","-",'ORDENES'!$W817))</f>
        <v/>
      </c>
      <c r="G839" s="3">
        <f>IF('ORDENES'!$A817="","",IF('ORDENES'!$AB817="","-",'ORDENES'!$AB817))</f>
        <v/>
      </c>
      <c r="H839" s="3">
        <f>IF('ORDENES'!$A817="","",IF('ORDENES'!$AN817="","-",'ORDENES'!$AN817))</f>
        <v/>
      </c>
      <c r="I839" s="3">
        <f>IF('ORDENES'!$A817="","",IF('ORDENES'!$D817="","-",'ORDENES'!$D817))</f>
        <v/>
      </c>
      <c r="J839" s="3">
        <f>IF('ORDENES'!$A817="","",IF('ORDENES'!$E817="","-",'ORDENES'!$E817))</f>
        <v/>
      </c>
      <c r="K839" s="12">
        <f>IF('ORDENES'!$A817="","",IF('ORDENES'!$M817="",0,'ORDENES'!$M817))</f>
        <v/>
      </c>
      <c r="L839" s="3">
        <f>IF('ORDENES'!$A817="","",IF('ORDENES'!$N817="","-",'ORDENES'!$N817))</f>
        <v/>
      </c>
      <c r="M839" s="3">
        <f>IF('ORDENES'!$A817="","",'ORDENES'!$AA817)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IF('ORDENES'!$A818="","",IF('ORDENES'!$AC818="","-",'ORDENES'!$AC818))</f>
        <v/>
      </c>
      <c r="D840" s="3">
        <f>IF('ORDENES'!$A818="","",IF('ORDENES'!$V818="","-",'ORDENES'!$V818))</f>
        <v/>
      </c>
      <c r="E840" s="3">
        <f>IF('ORDENES'!$A818="","",IF('ORDENES'!$U818="","-",'ORDENES'!$U818))</f>
        <v/>
      </c>
      <c r="F840" s="3">
        <f>IF('ORDENES'!$A818="","",IF('ORDENES'!$W818="","-",'ORDENES'!$W818))</f>
        <v/>
      </c>
      <c r="G840" s="3">
        <f>IF('ORDENES'!$A818="","",IF('ORDENES'!$AB818="","-",'ORDENES'!$AB818))</f>
        <v/>
      </c>
      <c r="H840" s="3">
        <f>IF('ORDENES'!$A818="","",IF('ORDENES'!$AN818="","-",'ORDENES'!$AN818))</f>
        <v/>
      </c>
      <c r="I840" s="3">
        <f>IF('ORDENES'!$A818="","",IF('ORDENES'!$D818="","-",'ORDENES'!$D818))</f>
        <v/>
      </c>
      <c r="J840" s="3">
        <f>IF('ORDENES'!$A818="","",IF('ORDENES'!$E818="","-",'ORDENES'!$E818))</f>
        <v/>
      </c>
      <c r="K840" s="12">
        <f>IF('ORDENES'!$A818="","",IF('ORDENES'!$M818="",0,'ORDENES'!$M818))</f>
        <v/>
      </c>
      <c r="L840" s="3">
        <f>IF('ORDENES'!$A818="","",IF('ORDENES'!$N818="","-",'ORDENES'!$N818))</f>
        <v/>
      </c>
      <c r="M840" s="3">
        <f>IF('ORDENES'!$A818="","",'ORDENES'!$AA818)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IF('ORDENES'!$A819="","",IF('ORDENES'!$AC819="","-",'ORDENES'!$AC819))</f>
        <v/>
      </c>
      <c r="D841" s="3">
        <f>IF('ORDENES'!$A819="","",IF('ORDENES'!$V819="","-",'ORDENES'!$V819))</f>
        <v/>
      </c>
      <c r="E841" s="3">
        <f>IF('ORDENES'!$A819="","",IF('ORDENES'!$U819="","-",'ORDENES'!$U819))</f>
        <v/>
      </c>
      <c r="F841" s="3">
        <f>IF('ORDENES'!$A819="","",IF('ORDENES'!$W819="","-",'ORDENES'!$W819))</f>
        <v/>
      </c>
      <c r="G841" s="3">
        <f>IF('ORDENES'!$A819="","",IF('ORDENES'!$AB819="","-",'ORDENES'!$AB819))</f>
        <v/>
      </c>
      <c r="H841" s="3">
        <f>IF('ORDENES'!$A819="","",IF('ORDENES'!$AN819="","-",'ORDENES'!$AN819))</f>
        <v/>
      </c>
      <c r="I841" s="3">
        <f>IF('ORDENES'!$A819="","",IF('ORDENES'!$D819="","-",'ORDENES'!$D819))</f>
        <v/>
      </c>
      <c r="J841" s="3">
        <f>IF('ORDENES'!$A819="","",IF('ORDENES'!$E819="","-",'ORDENES'!$E819))</f>
        <v/>
      </c>
      <c r="K841" s="12">
        <f>IF('ORDENES'!$A819="","",IF('ORDENES'!$M819="",0,'ORDENES'!$M819))</f>
        <v/>
      </c>
      <c r="L841" s="3">
        <f>IF('ORDENES'!$A819="","",IF('ORDENES'!$N819="","-",'ORDENES'!$N819))</f>
        <v/>
      </c>
      <c r="M841" s="3">
        <f>IF('ORDENES'!$A819="","",'ORDENES'!$AA819)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IF('ORDENES'!$A820="","",IF('ORDENES'!$AC820="","-",'ORDENES'!$AC820))</f>
        <v/>
      </c>
      <c r="D842" s="3">
        <f>IF('ORDENES'!$A820="","",IF('ORDENES'!$V820="","-",'ORDENES'!$V820))</f>
        <v/>
      </c>
      <c r="E842" s="3">
        <f>IF('ORDENES'!$A820="","",IF('ORDENES'!$U820="","-",'ORDENES'!$U820))</f>
        <v/>
      </c>
      <c r="F842" s="3">
        <f>IF('ORDENES'!$A820="","",IF('ORDENES'!$W820="","-",'ORDENES'!$W820))</f>
        <v/>
      </c>
      <c r="G842" s="3">
        <f>IF('ORDENES'!$A820="","",IF('ORDENES'!$AB820="","-",'ORDENES'!$AB820))</f>
        <v/>
      </c>
      <c r="H842" s="3">
        <f>IF('ORDENES'!$A820="","",IF('ORDENES'!$AN820="","-",'ORDENES'!$AN820))</f>
        <v/>
      </c>
      <c r="I842" s="3">
        <f>IF('ORDENES'!$A820="","",IF('ORDENES'!$D820="","-",'ORDENES'!$D820))</f>
        <v/>
      </c>
      <c r="J842" s="3">
        <f>IF('ORDENES'!$A820="","",IF('ORDENES'!$E820="","-",'ORDENES'!$E820))</f>
        <v/>
      </c>
      <c r="K842" s="12">
        <f>IF('ORDENES'!$A820="","",IF('ORDENES'!$M820="",0,'ORDENES'!$M820))</f>
        <v/>
      </c>
      <c r="L842" s="3">
        <f>IF('ORDENES'!$A820="","",IF('ORDENES'!$N820="","-",'ORDENES'!$N820))</f>
        <v/>
      </c>
      <c r="M842" s="3">
        <f>IF('ORDENES'!$A820="","",'ORDENES'!$AA820)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IF('ORDENES'!$A821="","",IF('ORDENES'!$AC821="","-",'ORDENES'!$AC821))</f>
        <v/>
      </c>
      <c r="D843" s="3">
        <f>IF('ORDENES'!$A821="","",IF('ORDENES'!$V821="","-",'ORDENES'!$V821))</f>
        <v/>
      </c>
      <c r="E843" s="3">
        <f>IF('ORDENES'!$A821="","",IF('ORDENES'!$U821="","-",'ORDENES'!$U821))</f>
        <v/>
      </c>
      <c r="F843" s="3">
        <f>IF('ORDENES'!$A821="","",IF('ORDENES'!$W821="","-",'ORDENES'!$W821))</f>
        <v/>
      </c>
      <c r="G843" s="3">
        <f>IF('ORDENES'!$A821="","",IF('ORDENES'!$AB821="","-",'ORDENES'!$AB821))</f>
        <v/>
      </c>
      <c r="H843" s="3">
        <f>IF('ORDENES'!$A821="","",IF('ORDENES'!$AN821="","-",'ORDENES'!$AN821))</f>
        <v/>
      </c>
      <c r="I843" s="3">
        <f>IF('ORDENES'!$A821="","",IF('ORDENES'!$D821="","-",'ORDENES'!$D821))</f>
        <v/>
      </c>
      <c r="J843" s="3">
        <f>IF('ORDENES'!$A821="","",IF('ORDENES'!$E821="","-",'ORDENES'!$E821))</f>
        <v/>
      </c>
      <c r="K843" s="12">
        <f>IF('ORDENES'!$A821="","",IF('ORDENES'!$M821="",0,'ORDENES'!$M821))</f>
        <v/>
      </c>
      <c r="L843" s="3">
        <f>IF('ORDENES'!$A821="","",IF('ORDENES'!$N821="","-",'ORDENES'!$N821))</f>
        <v/>
      </c>
      <c r="M843" s="3">
        <f>IF('ORDENES'!$A821="","",'ORDENES'!$AA821)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IF('ORDENES'!$A822="","",IF('ORDENES'!$AC822="","-",'ORDENES'!$AC822))</f>
        <v/>
      </c>
      <c r="D844" s="3">
        <f>IF('ORDENES'!$A822="","",IF('ORDENES'!$V822="","-",'ORDENES'!$V822))</f>
        <v/>
      </c>
      <c r="E844" s="3">
        <f>IF('ORDENES'!$A822="","",IF('ORDENES'!$U822="","-",'ORDENES'!$U822))</f>
        <v/>
      </c>
      <c r="F844" s="3">
        <f>IF('ORDENES'!$A822="","",IF('ORDENES'!$W822="","-",'ORDENES'!$W822))</f>
        <v/>
      </c>
      <c r="G844" s="3">
        <f>IF('ORDENES'!$A822="","",IF('ORDENES'!$AB822="","-",'ORDENES'!$AB822))</f>
        <v/>
      </c>
      <c r="H844" s="3">
        <f>IF('ORDENES'!$A822="","",IF('ORDENES'!$AN822="","-",'ORDENES'!$AN822))</f>
        <v/>
      </c>
      <c r="I844" s="3">
        <f>IF('ORDENES'!$A822="","",IF('ORDENES'!$D822="","-",'ORDENES'!$D822))</f>
        <v/>
      </c>
      <c r="J844" s="3">
        <f>IF('ORDENES'!$A822="","",IF('ORDENES'!$E822="","-",'ORDENES'!$E822))</f>
        <v/>
      </c>
      <c r="K844" s="12">
        <f>IF('ORDENES'!$A822="","",IF('ORDENES'!$M822="",0,'ORDENES'!$M822))</f>
        <v/>
      </c>
      <c r="L844" s="3">
        <f>IF('ORDENES'!$A822="","",IF('ORDENES'!$N822="","-",'ORDENES'!$N822))</f>
        <v/>
      </c>
      <c r="M844" s="3">
        <f>IF('ORDENES'!$A822="","",'ORDENES'!$AA822)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IF('ORDENES'!$A823="","",IF('ORDENES'!$AC823="","-",'ORDENES'!$AC823))</f>
        <v/>
      </c>
      <c r="D845" s="3">
        <f>IF('ORDENES'!$A823="","",IF('ORDENES'!$V823="","-",'ORDENES'!$V823))</f>
        <v/>
      </c>
      <c r="E845" s="3">
        <f>IF('ORDENES'!$A823="","",IF('ORDENES'!$U823="","-",'ORDENES'!$U823))</f>
        <v/>
      </c>
      <c r="F845" s="3">
        <f>IF('ORDENES'!$A823="","",IF('ORDENES'!$W823="","-",'ORDENES'!$W823))</f>
        <v/>
      </c>
      <c r="G845" s="3">
        <f>IF('ORDENES'!$A823="","",IF('ORDENES'!$AB823="","-",'ORDENES'!$AB823))</f>
        <v/>
      </c>
      <c r="H845" s="3">
        <f>IF('ORDENES'!$A823="","",IF('ORDENES'!$AN823="","-",'ORDENES'!$AN823))</f>
        <v/>
      </c>
      <c r="I845" s="3">
        <f>IF('ORDENES'!$A823="","",IF('ORDENES'!$D823="","-",'ORDENES'!$D823))</f>
        <v/>
      </c>
      <c r="J845" s="3">
        <f>IF('ORDENES'!$A823="","",IF('ORDENES'!$E823="","-",'ORDENES'!$E823))</f>
        <v/>
      </c>
      <c r="K845" s="12">
        <f>IF('ORDENES'!$A823="","",IF('ORDENES'!$M823="",0,'ORDENES'!$M823))</f>
        <v/>
      </c>
      <c r="L845" s="3">
        <f>IF('ORDENES'!$A823="","",IF('ORDENES'!$N823="","-",'ORDENES'!$N823))</f>
        <v/>
      </c>
      <c r="M845" s="3">
        <f>IF('ORDENES'!$A823="","",'ORDENES'!$AA823)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IF('ORDENES'!$A824="","",IF('ORDENES'!$AC824="","-",'ORDENES'!$AC824))</f>
        <v/>
      </c>
      <c r="D846" s="3">
        <f>IF('ORDENES'!$A824="","",IF('ORDENES'!$V824="","-",'ORDENES'!$V824))</f>
        <v/>
      </c>
      <c r="E846" s="3">
        <f>IF('ORDENES'!$A824="","",IF('ORDENES'!$U824="","-",'ORDENES'!$U824))</f>
        <v/>
      </c>
      <c r="F846" s="3">
        <f>IF('ORDENES'!$A824="","",IF('ORDENES'!$W824="","-",'ORDENES'!$W824))</f>
        <v/>
      </c>
      <c r="G846" s="3">
        <f>IF('ORDENES'!$A824="","",IF('ORDENES'!$AB824="","-",'ORDENES'!$AB824))</f>
        <v/>
      </c>
      <c r="H846" s="3">
        <f>IF('ORDENES'!$A824="","",IF('ORDENES'!$AN824="","-",'ORDENES'!$AN824))</f>
        <v/>
      </c>
      <c r="I846" s="3">
        <f>IF('ORDENES'!$A824="","",IF('ORDENES'!$D824="","-",'ORDENES'!$D824))</f>
        <v/>
      </c>
      <c r="J846" s="3">
        <f>IF('ORDENES'!$A824="","",IF('ORDENES'!$E824="","-",'ORDENES'!$E824))</f>
        <v/>
      </c>
      <c r="K846" s="12">
        <f>IF('ORDENES'!$A824="","",IF('ORDENES'!$M824="",0,'ORDENES'!$M824))</f>
        <v/>
      </c>
      <c r="L846" s="3">
        <f>IF('ORDENES'!$A824="","",IF('ORDENES'!$N824="","-",'ORDENES'!$N824))</f>
        <v/>
      </c>
      <c r="M846" s="3">
        <f>IF('ORDENES'!$A824="","",'ORDENES'!$AA824)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IF('ORDENES'!$A825="","",IF('ORDENES'!$AC825="","-",'ORDENES'!$AC825))</f>
        <v/>
      </c>
      <c r="D847" s="3">
        <f>IF('ORDENES'!$A825="","",IF('ORDENES'!$V825="","-",'ORDENES'!$V825))</f>
        <v/>
      </c>
      <c r="E847" s="3">
        <f>IF('ORDENES'!$A825="","",IF('ORDENES'!$U825="","-",'ORDENES'!$U825))</f>
        <v/>
      </c>
      <c r="F847" s="3">
        <f>IF('ORDENES'!$A825="","",IF('ORDENES'!$W825="","-",'ORDENES'!$W825))</f>
        <v/>
      </c>
      <c r="G847" s="3">
        <f>IF('ORDENES'!$A825="","",IF('ORDENES'!$AB825="","-",'ORDENES'!$AB825))</f>
        <v/>
      </c>
      <c r="H847" s="3">
        <f>IF('ORDENES'!$A825="","",IF('ORDENES'!$AN825="","-",'ORDENES'!$AN825))</f>
        <v/>
      </c>
      <c r="I847" s="3">
        <f>IF('ORDENES'!$A825="","",IF('ORDENES'!$D825="","-",'ORDENES'!$D825))</f>
        <v/>
      </c>
      <c r="J847" s="3">
        <f>IF('ORDENES'!$A825="","",IF('ORDENES'!$E825="","-",'ORDENES'!$E825))</f>
        <v/>
      </c>
      <c r="K847" s="12">
        <f>IF('ORDENES'!$A825="","",IF('ORDENES'!$M825="",0,'ORDENES'!$M825))</f>
        <v/>
      </c>
      <c r="L847" s="3">
        <f>IF('ORDENES'!$A825="","",IF('ORDENES'!$N825="","-",'ORDENES'!$N825))</f>
        <v/>
      </c>
      <c r="M847" s="3">
        <f>IF('ORDENES'!$A825="","",'ORDENES'!$AA825)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IF('ORDENES'!$A826="","",IF('ORDENES'!$AC826="","-",'ORDENES'!$AC826))</f>
        <v/>
      </c>
      <c r="D848" s="3">
        <f>IF('ORDENES'!$A826="","",IF('ORDENES'!$V826="","-",'ORDENES'!$V826))</f>
        <v/>
      </c>
      <c r="E848" s="3">
        <f>IF('ORDENES'!$A826="","",IF('ORDENES'!$U826="","-",'ORDENES'!$U826))</f>
        <v/>
      </c>
      <c r="F848" s="3">
        <f>IF('ORDENES'!$A826="","",IF('ORDENES'!$W826="","-",'ORDENES'!$W826))</f>
        <v/>
      </c>
      <c r="G848" s="3">
        <f>IF('ORDENES'!$A826="","",IF('ORDENES'!$AB826="","-",'ORDENES'!$AB826))</f>
        <v/>
      </c>
      <c r="H848" s="3">
        <f>IF('ORDENES'!$A826="","",IF('ORDENES'!$AN826="","-",'ORDENES'!$AN826))</f>
        <v/>
      </c>
      <c r="I848" s="3">
        <f>IF('ORDENES'!$A826="","",IF('ORDENES'!$D826="","-",'ORDENES'!$D826))</f>
        <v/>
      </c>
      <c r="J848" s="3">
        <f>IF('ORDENES'!$A826="","",IF('ORDENES'!$E826="","-",'ORDENES'!$E826))</f>
        <v/>
      </c>
      <c r="K848" s="12">
        <f>IF('ORDENES'!$A826="","",IF('ORDENES'!$M826="",0,'ORDENES'!$M826))</f>
        <v/>
      </c>
      <c r="L848" s="3">
        <f>IF('ORDENES'!$A826="","",IF('ORDENES'!$N826="","-",'ORDENES'!$N826))</f>
        <v/>
      </c>
      <c r="M848" s="3">
        <f>IF('ORDENES'!$A826="","",'ORDENES'!$AA826)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IF('ORDENES'!$A827="","",IF('ORDENES'!$AC827="","-",'ORDENES'!$AC827))</f>
        <v/>
      </c>
      <c r="D849" s="3">
        <f>IF('ORDENES'!$A827="","",IF('ORDENES'!$V827="","-",'ORDENES'!$V827))</f>
        <v/>
      </c>
      <c r="E849" s="3">
        <f>IF('ORDENES'!$A827="","",IF('ORDENES'!$U827="","-",'ORDENES'!$U827))</f>
        <v/>
      </c>
      <c r="F849" s="3">
        <f>IF('ORDENES'!$A827="","",IF('ORDENES'!$W827="","-",'ORDENES'!$W827))</f>
        <v/>
      </c>
      <c r="G849" s="3">
        <f>IF('ORDENES'!$A827="","",IF('ORDENES'!$AB827="","-",'ORDENES'!$AB827))</f>
        <v/>
      </c>
      <c r="H849" s="3">
        <f>IF('ORDENES'!$A827="","",IF('ORDENES'!$AN827="","-",'ORDENES'!$AN827))</f>
        <v/>
      </c>
      <c r="I849" s="3">
        <f>IF('ORDENES'!$A827="","",IF('ORDENES'!$D827="","-",'ORDENES'!$D827))</f>
        <v/>
      </c>
      <c r="J849" s="3">
        <f>IF('ORDENES'!$A827="","",IF('ORDENES'!$E827="","-",'ORDENES'!$E827))</f>
        <v/>
      </c>
      <c r="K849" s="12">
        <f>IF('ORDENES'!$A827="","",IF('ORDENES'!$M827="",0,'ORDENES'!$M827))</f>
        <v/>
      </c>
      <c r="L849" s="3">
        <f>IF('ORDENES'!$A827="","",IF('ORDENES'!$N827="","-",'ORDENES'!$N827))</f>
        <v/>
      </c>
      <c r="M849" s="3">
        <f>IF('ORDENES'!$A827="","",'ORDENES'!$AA827)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IF('ORDENES'!$A828="","",IF('ORDENES'!$AC828="","-",'ORDENES'!$AC828))</f>
        <v/>
      </c>
      <c r="D850" s="3">
        <f>IF('ORDENES'!$A828="","",IF('ORDENES'!$V828="","-",'ORDENES'!$V828))</f>
        <v/>
      </c>
      <c r="E850" s="3">
        <f>IF('ORDENES'!$A828="","",IF('ORDENES'!$U828="","-",'ORDENES'!$U828))</f>
        <v/>
      </c>
      <c r="F850" s="3">
        <f>IF('ORDENES'!$A828="","",IF('ORDENES'!$W828="","-",'ORDENES'!$W828))</f>
        <v/>
      </c>
      <c r="G850" s="3">
        <f>IF('ORDENES'!$A828="","",IF('ORDENES'!$AB828="","-",'ORDENES'!$AB828))</f>
        <v/>
      </c>
      <c r="H850" s="3">
        <f>IF('ORDENES'!$A828="","",IF('ORDENES'!$AN828="","-",'ORDENES'!$AN828))</f>
        <v/>
      </c>
      <c r="I850" s="3">
        <f>IF('ORDENES'!$A828="","",IF('ORDENES'!$D828="","-",'ORDENES'!$D828))</f>
        <v/>
      </c>
      <c r="J850" s="3">
        <f>IF('ORDENES'!$A828="","",IF('ORDENES'!$E828="","-",'ORDENES'!$E828))</f>
        <v/>
      </c>
      <c r="K850" s="12">
        <f>IF('ORDENES'!$A828="","",IF('ORDENES'!$M828="",0,'ORDENES'!$M828))</f>
        <v/>
      </c>
      <c r="L850" s="3">
        <f>IF('ORDENES'!$A828="","",IF('ORDENES'!$N828="","-",'ORDENES'!$N828))</f>
        <v/>
      </c>
      <c r="M850" s="3">
        <f>IF('ORDENES'!$A828="","",'ORDENES'!$AA828)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IF('ORDENES'!$A829="","",IF('ORDENES'!$AC829="","-",'ORDENES'!$AC829))</f>
        <v/>
      </c>
      <c r="D851" s="3">
        <f>IF('ORDENES'!$A829="","",IF('ORDENES'!$V829="","-",'ORDENES'!$V829))</f>
        <v/>
      </c>
      <c r="E851" s="3">
        <f>IF('ORDENES'!$A829="","",IF('ORDENES'!$U829="","-",'ORDENES'!$U829))</f>
        <v/>
      </c>
      <c r="F851" s="3">
        <f>IF('ORDENES'!$A829="","",IF('ORDENES'!$W829="","-",'ORDENES'!$W829))</f>
        <v/>
      </c>
      <c r="G851" s="3">
        <f>IF('ORDENES'!$A829="","",IF('ORDENES'!$AB829="","-",'ORDENES'!$AB829))</f>
        <v/>
      </c>
      <c r="H851" s="3">
        <f>IF('ORDENES'!$A829="","",IF('ORDENES'!$AN829="","-",'ORDENES'!$AN829))</f>
        <v/>
      </c>
      <c r="I851" s="3">
        <f>IF('ORDENES'!$A829="","",IF('ORDENES'!$D829="","-",'ORDENES'!$D829))</f>
        <v/>
      </c>
      <c r="J851" s="3">
        <f>IF('ORDENES'!$A829="","",IF('ORDENES'!$E829="","-",'ORDENES'!$E829))</f>
        <v/>
      </c>
      <c r="K851" s="12">
        <f>IF('ORDENES'!$A829="","",IF('ORDENES'!$M829="",0,'ORDENES'!$M829))</f>
        <v/>
      </c>
      <c r="L851" s="3">
        <f>IF('ORDENES'!$A829="","",IF('ORDENES'!$N829="","-",'ORDENES'!$N829))</f>
        <v/>
      </c>
      <c r="M851" s="3">
        <f>IF('ORDENES'!$A829="","",'ORDENES'!$AA829)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IF('ORDENES'!$A830="","",IF('ORDENES'!$AC830="","-",'ORDENES'!$AC830))</f>
        <v/>
      </c>
      <c r="D852" s="3">
        <f>IF('ORDENES'!$A830="","",IF('ORDENES'!$V830="","-",'ORDENES'!$V830))</f>
        <v/>
      </c>
      <c r="E852" s="3">
        <f>IF('ORDENES'!$A830="","",IF('ORDENES'!$U830="","-",'ORDENES'!$U830))</f>
        <v/>
      </c>
      <c r="F852" s="3">
        <f>IF('ORDENES'!$A830="","",IF('ORDENES'!$W830="","-",'ORDENES'!$W830))</f>
        <v/>
      </c>
      <c r="G852" s="3">
        <f>IF('ORDENES'!$A830="","",IF('ORDENES'!$AB830="","-",'ORDENES'!$AB830))</f>
        <v/>
      </c>
      <c r="H852" s="3">
        <f>IF('ORDENES'!$A830="","",IF('ORDENES'!$AN830="","-",'ORDENES'!$AN830))</f>
        <v/>
      </c>
      <c r="I852" s="3">
        <f>IF('ORDENES'!$A830="","",IF('ORDENES'!$D830="","-",'ORDENES'!$D830))</f>
        <v/>
      </c>
      <c r="J852" s="3">
        <f>IF('ORDENES'!$A830="","",IF('ORDENES'!$E830="","-",'ORDENES'!$E830))</f>
        <v/>
      </c>
      <c r="K852" s="12">
        <f>IF('ORDENES'!$A830="","",IF('ORDENES'!$M830="",0,'ORDENES'!$M830))</f>
        <v/>
      </c>
      <c r="L852" s="3">
        <f>IF('ORDENES'!$A830="","",IF('ORDENES'!$N830="","-",'ORDENES'!$N830))</f>
        <v/>
      </c>
      <c r="M852" s="3">
        <f>IF('ORDENES'!$A830="","",'ORDENES'!$AA830)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IF('ORDENES'!$A831="","",IF('ORDENES'!$AC831="","-",'ORDENES'!$AC831))</f>
        <v/>
      </c>
      <c r="D853" s="3">
        <f>IF('ORDENES'!$A831="","",IF('ORDENES'!$V831="","-",'ORDENES'!$V831))</f>
        <v/>
      </c>
      <c r="E853" s="3">
        <f>IF('ORDENES'!$A831="","",IF('ORDENES'!$U831="","-",'ORDENES'!$U831))</f>
        <v/>
      </c>
      <c r="F853" s="3">
        <f>IF('ORDENES'!$A831="","",IF('ORDENES'!$W831="","-",'ORDENES'!$W831))</f>
        <v/>
      </c>
      <c r="G853" s="3">
        <f>IF('ORDENES'!$A831="","",IF('ORDENES'!$AB831="","-",'ORDENES'!$AB831))</f>
        <v/>
      </c>
      <c r="H853" s="3">
        <f>IF('ORDENES'!$A831="","",IF('ORDENES'!$AN831="","-",'ORDENES'!$AN831))</f>
        <v/>
      </c>
      <c r="I853" s="3">
        <f>IF('ORDENES'!$A831="","",IF('ORDENES'!$D831="","-",'ORDENES'!$D831))</f>
        <v/>
      </c>
      <c r="J853" s="3">
        <f>IF('ORDENES'!$A831="","",IF('ORDENES'!$E831="","-",'ORDENES'!$E831))</f>
        <v/>
      </c>
      <c r="K853" s="12">
        <f>IF('ORDENES'!$A831="","",IF('ORDENES'!$M831="",0,'ORDENES'!$M831))</f>
        <v/>
      </c>
      <c r="L853" s="3">
        <f>IF('ORDENES'!$A831="","",IF('ORDENES'!$N831="","-",'ORDENES'!$N831))</f>
        <v/>
      </c>
      <c r="M853" s="3">
        <f>IF('ORDENES'!$A831="","",'ORDENES'!$AA831)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IF('ORDENES'!$A832="","",IF('ORDENES'!$AC832="","-",'ORDENES'!$AC832))</f>
        <v/>
      </c>
      <c r="D854" s="3">
        <f>IF('ORDENES'!$A832="","",IF('ORDENES'!$V832="","-",'ORDENES'!$V832))</f>
        <v/>
      </c>
      <c r="E854" s="3">
        <f>IF('ORDENES'!$A832="","",IF('ORDENES'!$U832="","-",'ORDENES'!$U832))</f>
        <v/>
      </c>
      <c r="F854" s="3">
        <f>IF('ORDENES'!$A832="","",IF('ORDENES'!$W832="","-",'ORDENES'!$W832))</f>
        <v/>
      </c>
      <c r="G854" s="3">
        <f>IF('ORDENES'!$A832="","",IF('ORDENES'!$AB832="","-",'ORDENES'!$AB832))</f>
        <v/>
      </c>
      <c r="H854" s="3">
        <f>IF('ORDENES'!$A832="","",IF('ORDENES'!$AN832="","-",'ORDENES'!$AN832))</f>
        <v/>
      </c>
      <c r="I854" s="3">
        <f>IF('ORDENES'!$A832="","",IF('ORDENES'!$D832="","-",'ORDENES'!$D832))</f>
        <v/>
      </c>
      <c r="J854" s="3">
        <f>IF('ORDENES'!$A832="","",IF('ORDENES'!$E832="","-",'ORDENES'!$E832))</f>
        <v/>
      </c>
      <c r="K854" s="12">
        <f>IF('ORDENES'!$A832="","",IF('ORDENES'!$M832="",0,'ORDENES'!$M832))</f>
        <v/>
      </c>
      <c r="L854" s="3">
        <f>IF('ORDENES'!$A832="","",IF('ORDENES'!$N832="","-",'ORDENES'!$N832))</f>
        <v/>
      </c>
      <c r="M854" s="3">
        <f>IF('ORDENES'!$A832="","",'ORDENES'!$AA832)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IF('ORDENES'!$A833="","",IF('ORDENES'!$AC833="","-",'ORDENES'!$AC833))</f>
        <v/>
      </c>
      <c r="D855" s="3">
        <f>IF('ORDENES'!$A833="","",IF('ORDENES'!$V833="","-",'ORDENES'!$V833))</f>
        <v/>
      </c>
      <c r="E855" s="3">
        <f>IF('ORDENES'!$A833="","",IF('ORDENES'!$U833="","-",'ORDENES'!$U833))</f>
        <v/>
      </c>
      <c r="F855" s="3">
        <f>IF('ORDENES'!$A833="","",IF('ORDENES'!$W833="","-",'ORDENES'!$W833))</f>
        <v/>
      </c>
      <c r="G855" s="3">
        <f>IF('ORDENES'!$A833="","",IF('ORDENES'!$AB833="","-",'ORDENES'!$AB833))</f>
        <v/>
      </c>
      <c r="H855" s="3">
        <f>IF('ORDENES'!$A833="","",IF('ORDENES'!$AN833="","-",'ORDENES'!$AN833))</f>
        <v/>
      </c>
      <c r="I855" s="3">
        <f>IF('ORDENES'!$A833="","",IF('ORDENES'!$D833="","-",'ORDENES'!$D833))</f>
        <v/>
      </c>
      <c r="J855" s="3">
        <f>IF('ORDENES'!$A833="","",IF('ORDENES'!$E833="","-",'ORDENES'!$E833))</f>
        <v/>
      </c>
      <c r="K855" s="12">
        <f>IF('ORDENES'!$A833="","",IF('ORDENES'!$M833="",0,'ORDENES'!$M833))</f>
        <v/>
      </c>
      <c r="L855" s="3">
        <f>IF('ORDENES'!$A833="","",IF('ORDENES'!$N833="","-",'ORDENES'!$N833))</f>
        <v/>
      </c>
      <c r="M855" s="3">
        <f>IF('ORDENES'!$A833="","",'ORDENES'!$AA833)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IF('ORDENES'!$A834="","",IF('ORDENES'!$AC834="","-",'ORDENES'!$AC834))</f>
        <v/>
      </c>
      <c r="D856" s="3">
        <f>IF('ORDENES'!$A834="","",IF('ORDENES'!$V834="","-",'ORDENES'!$V834))</f>
        <v/>
      </c>
      <c r="E856" s="3">
        <f>IF('ORDENES'!$A834="","",IF('ORDENES'!$U834="","-",'ORDENES'!$U834))</f>
        <v/>
      </c>
      <c r="F856" s="3">
        <f>IF('ORDENES'!$A834="","",IF('ORDENES'!$W834="","-",'ORDENES'!$W834))</f>
        <v/>
      </c>
      <c r="G856" s="3">
        <f>IF('ORDENES'!$A834="","",IF('ORDENES'!$AB834="","-",'ORDENES'!$AB834))</f>
        <v/>
      </c>
      <c r="H856" s="3">
        <f>IF('ORDENES'!$A834="","",IF('ORDENES'!$AN834="","-",'ORDENES'!$AN834))</f>
        <v/>
      </c>
      <c r="I856" s="3">
        <f>IF('ORDENES'!$A834="","",IF('ORDENES'!$D834="","-",'ORDENES'!$D834))</f>
        <v/>
      </c>
      <c r="J856" s="3">
        <f>IF('ORDENES'!$A834="","",IF('ORDENES'!$E834="","-",'ORDENES'!$E834))</f>
        <v/>
      </c>
      <c r="K856" s="12">
        <f>IF('ORDENES'!$A834="","",IF('ORDENES'!$M834="",0,'ORDENES'!$M834))</f>
        <v/>
      </c>
      <c r="L856" s="3">
        <f>IF('ORDENES'!$A834="","",IF('ORDENES'!$N834="","-",'ORDENES'!$N834))</f>
        <v/>
      </c>
      <c r="M856" s="3">
        <f>IF('ORDENES'!$A834="","",'ORDENES'!$AA834)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IF('ORDENES'!$A835="","",IF('ORDENES'!$AC835="","-",'ORDENES'!$AC835))</f>
        <v/>
      </c>
      <c r="D857" s="3">
        <f>IF('ORDENES'!$A835="","",IF('ORDENES'!$V835="","-",'ORDENES'!$V835))</f>
        <v/>
      </c>
      <c r="E857" s="3">
        <f>IF('ORDENES'!$A835="","",IF('ORDENES'!$U835="","-",'ORDENES'!$U835))</f>
        <v/>
      </c>
      <c r="F857" s="3">
        <f>IF('ORDENES'!$A835="","",IF('ORDENES'!$W835="","-",'ORDENES'!$W835))</f>
        <v/>
      </c>
      <c r="G857" s="3">
        <f>IF('ORDENES'!$A835="","",IF('ORDENES'!$AB835="","-",'ORDENES'!$AB835))</f>
        <v/>
      </c>
      <c r="H857" s="3">
        <f>IF('ORDENES'!$A835="","",IF('ORDENES'!$AN835="","-",'ORDENES'!$AN835))</f>
        <v/>
      </c>
      <c r="I857" s="3">
        <f>IF('ORDENES'!$A835="","",IF('ORDENES'!$D835="","-",'ORDENES'!$D835))</f>
        <v/>
      </c>
      <c r="J857" s="3">
        <f>IF('ORDENES'!$A835="","",IF('ORDENES'!$E835="","-",'ORDENES'!$E835))</f>
        <v/>
      </c>
      <c r="K857" s="12">
        <f>IF('ORDENES'!$A835="","",IF('ORDENES'!$M835="",0,'ORDENES'!$M835))</f>
        <v/>
      </c>
      <c r="L857" s="3">
        <f>IF('ORDENES'!$A835="","",IF('ORDENES'!$N835="","-",'ORDENES'!$N835))</f>
        <v/>
      </c>
      <c r="M857" s="3">
        <f>IF('ORDENES'!$A835="","",'ORDENES'!$AA835)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IF('ORDENES'!$A836="","",IF('ORDENES'!$AC836="","-",'ORDENES'!$AC836))</f>
        <v/>
      </c>
      <c r="D858" s="3">
        <f>IF('ORDENES'!$A836="","",IF('ORDENES'!$V836="","-",'ORDENES'!$V836))</f>
        <v/>
      </c>
      <c r="E858" s="3">
        <f>IF('ORDENES'!$A836="","",IF('ORDENES'!$U836="","-",'ORDENES'!$U836))</f>
        <v/>
      </c>
      <c r="F858" s="3">
        <f>IF('ORDENES'!$A836="","",IF('ORDENES'!$W836="","-",'ORDENES'!$W836))</f>
        <v/>
      </c>
      <c r="G858" s="3">
        <f>IF('ORDENES'!$A836="","",IF('ORDENES'!$AB836="","-",'ORDENES'!$AB836))</f>
        <v/>
      </c>
      <c r="H858" s="3">
        <f>IF('ORDENES'!$A836="","",IF('ORDENES'!$AN836="","-",'ORDENES'!$AN836))</f>
        <v/>
      </c>
      <c r="I858" s="3">
        <f>IF('ORDENES'!$A836="","",IF('ORDENES'!$D836="","-",'ORDENES'!$D836))</f>
        <v/>
      </c>
      <c r="J858" s="3">
        <f>IF('ORDENES'!$A836="","",IF('ORDENES'!$E836="","-",'ORDENES'!$E836))</f>
        <v/>
      </c>
      <c r="K858" s="12">
        <f>IF('ORDENES'!$A836="","",IF('ORDENES'!$M836="",0,'ORDENES'!$M836))</f>
        <v/>
      </c>
      <c r="L858" s="3">
        <f>IF('ORDENES'!$A836="","",IF('ORDENES'!$N836="","-",'ORDENES'!$N836))</f>
        <v/>
      </c>
      <c r="M858" s="3">
        <f>IF('ORDENES'!$A836="","",'ORDENES'!$AA836)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IF('ORDENES'!$A837="","",IF('ORDENES'!$AC837="","-",'ORDENES'!$AC837))</f>
        <v/>
      </c>
      <c r="D859" s="3">
        <f>IF('ORDENES'!$A837="","",IF('ORDENES'!$V837="","-",'ORDENES'!$V837))</f>
        <v/>
      </c>
      <c r="E859" s="3">
        <f>IF('ORDENES'!$A837="","",IF('ORDENES'!$U837="","-",'ORDENES'!$U837))</f>
        <v/>
      </c>
      <c r="F859" s="3">
        <f>IF('ORDENES'!$A837="","",IF('ORDENES'!$W837="","-",'ORDENES'!$W837))</f>
        <v/>
      </c>
      <c r="G859" s="3">
        <f>IF('ORDENES'!$A837="","",IF('ORDENES'!$AB837="","-",'ORDENES'!$AB837))</f>
        <v/>
      </c>
      <c r="H859" s="3">
        <f>IF('ORDENES'!$A837="","",IF('ORDENES'!$AN837="","-",'ORDENES'!$AN837))</f>
        <v/>
      </c>
      <c r="I859" s="3">
        <f>IF('ORDENES'!$A837="","",IF('ORDENES'!$D837="","-",'ORDENES'!$D837))</f>
        <v/>
      </c>
      <c r="J859" s="3">
        <f>IF('ORDENES'!$A837="","",IF('ORDENES'!$E837="","-",'ORDENES'!$E837))</f>
        <v/>
      </c>
      <c r="K859" s="12">
        <f>IF('ORDENES'!$A837="","",IF('ORDENES'!$M837="",0,'ORDENES'!$M837))</f>
        <v/>
      </c>
      <c r="L859" s="3">
        <f>IF('ORDENES'!$A837="","",IF('ORDENES'!$N837="","-",'ORDENES'!$N837))</f>
        <v/>
      </c>
      <c r="M859" s="3">
        <f>IF('ORDENES'!$A837="","",'ORDENES'!$AA837)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IF('ORDENES'!$A838="","",IF('ORDENES'!$AC838="","-",'ORDENES'!$AC838))</f>
        <v/>
      </c>
      <c r="D860" s="3">
        <f>IF('ORDENES'!$A838="","",IF('ORDENES'!$V838="","-",'ORDENES'!$V838))</f>
        <v/>
      </c>
      <c r="E860" s="3">
        <f>IF('ORDENES'!$A838="","",IF('ORDENES'!$U838="","-",'ORDENES'!$U838))</f>
        <v/>
      </c>
      <c r="F860" s="3">
        <f>IF('ORDENES'!$A838="","",IF('ORDENES'!$W838="","-",'ORDENES'!$W838))</f>
        <v/>
      </c>
      <c r="G860" s="3">
        <f>IF('ORDENES'!$A838="","",IF('ORDENES'!$AB838="","-",'ORDENES'!$AB838))</f>
        <v/>
      </c>
      <c r="H860" s="3">
        <f>IF('ORDENES'!$A838="","",IF('ORDENES'!$AN838="","-",'ORDENES'!$AN838))</f>
        <v/>
      </c>
      <c r="I860" s="3">
        <f>IF('ORDENES'!$A838="","",IF('ORDENES'!$D838="","-",'ORDENES'!$D838))</f>
        <v/>
      </c>
      <c r="J860" s="3">
        <f>IF('ORDENES'!$A838="","",IF('ORDENES'!$E838="","-",'ORDENES'!$E838))</f>
        <v/>
      </c>
      <c r="K860" s="12">
        <f>IF('ORDENES'!$A838="","",IF('ORDENES'!$M838="",0,'ORDENES'!$M838))</f>
        <v/>
      </c>
      <c r="L860" s="3">
        <f>IF('ORDENES'!$A838="","",IF('ORDENES'!$N838="","-",'ORDENES'!$N838))</f>
        <v/>
      </c>
      <c r="M860" s="3">
        <f>IF('ORDENES'!$A838="","",'ORDENES'!$AA838)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IF('ORDENES'!$A839="","",IF('ORDENES'!$AC839="","-",'ORDENES'!$AC839))</f>
        <v/>
      </c>
      <c r="D861" s="3">
        <f>IF('ORDENES'!$A839="","",IF('ORDENES'!$V839="","-",'ORDENES'!$V839))</f>
        <v/>
      </c>
      <c r="E861" s="3">
        <f>IF('ORDENES'!$A839="","",IF('ORDENES'!$U839="","-",'ORDENES'!$U839))</f>
        <v/>
      </c>
      <c r="F861" s="3">
        <f>IF('ORDENES'!$A839="","",IF('ORDENES'!$W839="","-",'ORDENES'!$W839))</f>
        <v/>
      </c>
      <c r="G861" s="3">
        <f>IF('ORDENES'!$A839="","",IF('ORDENES'!$AB839="","-",'ORDENES'!$AB839))</f>
        <v/>
      </c>
      <c r="H861" s="3">
        <f>IF('ORDENES'!$A839="","",IF('ORDENES'!$AN839="","-",'ORDENES'!$AN839))</f>
        <v/>
      </c>
      <c r="I861" s="3">
        <f>IF('ORDENES'!$A839="","",IF('ORDENES'!$D839="","-",'ORDENES'!$D839))</f>
        <v/>
      </c>
      <c r="J861" s="3">
        <f>IF('ORDENES'!$A839="","",IF('ORDENES'!$E839="","-",'ORDENES'!$E839))</f>
        <v/>
      </c>
      <c r="K861" s="12">
        <f>IF('ORDENES'!$A839="","",IF('ORDENES'!$M839="",0,'ORDENES'!$M839))</f>
        <v/>
      </c>
      <c r="L861" s="3">
        <f>IF('ORDENES'!$A839="","",IF('ORDENES'!$N839="","-",'ORDENES'!$N839))</f>
        <v/>
      </c>
      <c r="M861" s="3">
        <f>IF('ORDENES'!$A839="","",'ORDENES'!$AA839)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IF('ORDENES'!$A840="","",IF('ORDENES'!$AC840="","-",'ORDENES'!$AC840))</f>
        <v/>
      </c>
      <c r="D862" s="3">
        <f>IF('ORDENES'!$A840="","",IF('ORDENES'!$V840="","-",'ORDENES'!$V840))</f>
        <v/>
      </c>
      <c r="E862" s="3">
        <f>IF('ORDENES'!$A840="","",IF('ORDENES'!$U840="","-",'ORDENES'!$U840))</f>
        <v/>
      </c>
      <c r="F862" s="3">
        <f>IF('ORDENES'!$A840="","",IF('ORDENES'!$W840="","-",'ORDENES'!$W840))</f>
        <v/>
      </c>
      <c r="G862" s="3">
        <f>IF('ORDENES'!$A840="","",IF('ORDENES'!$AB840="","-",'ORDENES'!$AB840))</f>
        <v/>
      </c>
      <c r="H862" s="3">
        <f>IF('ORDENES'!$A840="","",IF('ORDENES'!$AN840="","-",'ORDENES'!$AN840))</f>
        <v/>
      </c>
      <c r="I862" s="3">
        <f>IF('ORDENES'!$A840="","",IF('ORDENES'!$D840="","-",'ORDENES'!$D840))</f>
        <v/>
      </c>
      <c r="J862" s="3">
        <f>IF('ORDENES'!$A840="","",IF('ORDENES'!$E840="","-",'ORDENES'!$E840))</f>
        <v/>
      </c>
      <c r="K862" s="12">
        <f>IF('ORDENES'!$A840="","",IF('ORDENES'!$M840="",0,'ORDENES'!$M840))</f>
        <v/>
      </c>
      <c r="L862" s="3">
        <f>IF('ORDENES'!$A840="","",IF('ORDENES'!$N840="","-",'ORDENES'!$N840))</f>
        <v/>
      </c>
      <c r="M862" s="3">
        <f>IF('ORDENES'!$A840="","",'ORDENES'!$AA840)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IF('ORDENES'!$A841="","",IF('ORDENES'!$AC841="","-",'ORDENES'!$AC841))</f>
        <v/>
      </c>
      <c r="D863" s="3">
        <f>IF('ORDENES'!$A841="","",IF('ORDENES'!$V841="","-",'ORDENES'!$V841))</f>
        <v/>
      </c>
      <c r="E863" s="3">
        <f>IF('ORDENES'!$A841="","",IF('ORDENES'!$U841="","-",'ORDENES'!$U841))</f>
        <v/>
      </c>
      <c r="F863" s="3">
        <f>IF('ORDENES'!$A841="","",IF('ORDENES'!$W841="","-",'ORDENES'!$W841))</f>
        <v/>
      </c>
      <c r="G863" s="3">
        <f>IF('ORDENES'!$A841="","",IF('ORDENES'!$AB841="","-",'ORDENES'!$AB841))</f>
        <v/>
      </c>
      <c r="H863" s="3">
        <f>IF('ORDENES'!$A841="","",IF('ORDENES'!$AN841="","-",'ORDENES'!$AN841))</f>
        <v/>
      </c>
      <c r="I863" s="3">
        <f>IF('ORDENES'!$A841="","",IF('ORDENES'!$D841="","-",'ORDENES'!$D841))</f>
        <v/>
      </c>
      <c r="J863" s="3">
        <f>IF('ORDENES'!$A841="","",IF('ORDENES'!$E841="","-",'ORDENES'!$E841))</f>
        <v/>
      </c>
      <c r="K863" s="12">
        <f>IF('ORDENES'!$A841="","",IF('ORDENES'!$M841="",0,'ORDENES'!$M841))</f>
        <v/>
      </c>
      <c r="L863" s="3">
        <f>IF('ORDENES'!$A841="","",IF('ORDENES'!$N841="","-",'ORDENES'!$N841))</f>
        <v/>
      </c>
      <c r="M863" s="3">
        <f>IF('ORDENES'!$A841="","",'ORDENES'!$AA841)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IF('ORDENES'!$A842="","",IF('ORDENES'!$AC842="","-",'ORDENES'!$AC842))</f>
        <v/>
      </c>
      <c r="D864" s="3">
        <f>IF('ORDENES'!$A842="","",IF('ORDENES'!$V842="","-",'ORDENES'!$V842))</f>
        <v/>
      </c>
      <c r="E864" s="3">
        <f>IF('ORDENES'!$A842="","",IF('ORDENES'!$U842="","-",'ORDENES'!$U842))</f>
        <v/>
      </c>
      <c r="F864" s="3">
        <f>IF('ORDENES'!$A842="","",IF('ORDENES'!$W842="","-",'ORDENES'!$W842))</f>
        <v/>
      </c>
      <c r="G864" s="3">
        <f>IF('ORDENES'!$A842="","",IF('ORDENES'!$AB842="","-",'ORDENES'!$AB842))</f>
        <v/>
      </c>
      <c r="H864" s="3">
        <f>IF('ORDENES'!$A842="","",IF('ORDENES'!$AN842="","-",'ORDENES'!$AN842))</f>
        <v/>
      </c>
      <c r="I864" s="3">
        <f>IF('ORDENES'!$A842="","",IF('ORDENES'!$D842="","-",'ORDENES'!$D842))</f>
        <v/>
      </c>
      <c r="J864" s="3">
        <f>IF('ORDENES'!$A842="","",IF('ORDENES'!$E842="","-",'ORDENES'!$E842))</f>
        <v/>
      </c>
      <c r="K864" s="12">
        <f>IF('ORDENES'!$A842="","",IF('ORDENES'!$M842="",0,'ORDENES'!$M842))</f>
        <v/>
      </c>
      <c r="L864" s="3">
        <f>IF('ORDENES'!$A842="","",IF('ORDENES'!$N842="","-",'ORDENES'!$N842))</f>
        <v/>
      </c>
      <c r="M864" s="3">
        <f>IF('ORDENES'!$A842="","",'ORDENES'!$AA842)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IF('ORDENES'!$A843="","",IF('ORDENES'!$AC843="","-",'ORDENES'!$AC843))</f>
        <v/>
      </c>
      <c r="D865" s="3">
        <f>IF('ORDENES'!$A843="","",IF('ORDENES'!$V843="","-",'ORDENES'!$V843))</f>
        <v/>
      </c>
      <c r="E865" s="3">
        <f>IF('ORDENES'!$A843="","",IF('ORDENES'!$U843="","-",'ORDENES'!$U843))</f>
        <v/>
      </c>
      <c r="F865" s="3">
        <f>IF('ORDENES'!$A843="","",IF('ORDENES'!$W843="","-",'ORDENES'!$W843))</f>
        <v/>
      </c>
      <c r="G865" s="3">
        <f>IF('ORDENES'!$A843="","",IF('ORDENES'!$AB843="","-",'ORDENES'!$AB843))</f>
        <v/>
      </c>
      <c r="H865" s="3">
        <f>IF('ORDENES'!$A843="","",IF('ORDENES'!$AN843="","-",'ORDENES'!$AN843))</f>
        <v/>
      </c>
      <c r="I865" s="3">
        <f>IF('ORDENES'!$A843="","",IF('ORDENES'!$D843="","-",'ORDENES'!$D843))</f>
        <v/>
      </c>
      <c r="J865" s="3">
        <f>IF('ORDENES'!$A843="","",IF('ORDENES'!$E843="","-",'ORDENES'!$E843))</f>
        <v/>
      </c>
      <c r="K865" s="12">
        <f>IF('ORDENES'!$A843="","",IF('ORDENES'!$M843="",0,'ORDENES'!$M843))</f>
        <v/>
      </c>
      <c r="L865" s="3">
        <f>IF('ORDENES'!$A843="","",IF('ORDENES'!$N843="","-",'ORDENES'!$N843))</f>
        <v/>
      </c>
      <c r="M865" s="3">
        <f>IF('ORDENES'!$A843="","",'ORDENES'!$AA843)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IF('ORDENES'!$A844="","",IF('ORDENES'!$AC844="","-",'ORDENES'!$AC844))</f>
        <v/>
      </c>
      <c r="D866" s="3">
        <f>IF('ORDENES'!$A844="","",IF('ORDENES'!$V844="","-",'ORDENES'!$V844))</f>
        <v/>
      </c>
      <c r="E866" s="3">
        <f>IF('ORDENES'!$A844="","",IF('ORDENES'!$U844="","-",'ORDENES'!$U844))</f>
        <v/>
      </c>
      <c r="F866" s="3">
        <f>IF('ORDENES'!$A844="","",IF('ORDENES'!$W844="","-",'ORDENES'!$W844))</f>
        <v/>
      </c>
      <c r="G866" s="3">
        <f>IF('ORDENES'!$A844="","",IF('ORDENES'!$AB844="","-",'ORDENES'!$AB844))</f>
        <v/>
      </c>
      <c r="H866" s="3">
        <f>IF('ORDENES'!$A844="","",IF('ORDENES'!$AN844="","-",'ORDENES'!$AN844))</f>
        <v/>
      </c>
      <c r="I866" s="3">
        <f>IF('ORDENES'!$A844="","",IF('ORDENES'!$D844="","-",'ORDENES'!$D844))</f>
        <v/>
      </c>
      <c r="J866" s="3">
        <f>IF('ORDENES'!$A844="","",IF('ORDENES'!$E844="","-",'ORDENES'!$E844))</f>
        <v/>
      </c>
      <c r="K866" s="12">
        <f>IF('ORDENES'!$A844="","",IF('ORDENES'!$M844="",0,'ORDENES'!$M844))</f>
        <v/>
      </c>
      <c r="L866" s="3">
        <f>IF('ORDENES'!$A844="","",IF('ORDENES'!$N844="","-",'ORDENES'!$N844))</f>
        <v/>
      </c>
      <c r="M866" s="3">
        <f>IF('ORDENES'!$A844="","",'ORDENES'!$AA844)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IF('ORDENES'!$A845="","",IF('ORDENES'!$AC845="","-",'ORDENES'!$AC845))</f>
        <v/>
      </c>
      <c r="D867" s="3">
        <f>IF('ORDENES'!$A845="","",IF('ORDENES'!$V845="","-",'ORDENES'!$V845))</f>
        <v/>
      </c>
      <c r="E867" s="3">
        <f>IF('ORDENES'!$A845="","",IF('ORDENES'!$U845="","-",'ORDENES'!$U845))</f>
        <v/>
      </c>
      <c r="F867" s="3">
        <f>IF('ORDENES'!$A845="","",IF('ORDENES'!$W845="","-",'ORDENES'!$W845))</f>
        <v/>
      </c>
      <c r="G867" s="3">
        <f>IF('ORDENES'!$A845="","",IF('ORDENES'!$AB845="","-",'ORDENES'!$AB845))</f>
        <v/>
      </c>
      <c r="H867" s="3">
        <f>IF('ORDENES'!$A845="","",IF('ORDENES'!$AN845="","-",'ORDENES'!$AN845))</f>
        <v/>
      </c>
      <c r="I867" s="3">
        <f>IF('ORDENES'!$A845="","",IF('ORDENES'!$D845="","-",'ORDENES'!$D845))</f>
        <v/>
      </c>
      <c r="J867" s="3">
        <f>IF('ORDENES'!$A845="","",IF('ORDENES'!$E845="","-",'ORDENES'!$E845))</f>
        <v/>
      </c>
      <c r="K867" s="12">
        <f>IF('ORDENES'!$A845="","",IF('ORDENES'!$M845="",0,'ORDENES'!$M845))</f>
        <v/>
      </c>
      <c r="L867" s="3">
        <f>IF('ORDENES'!$A845="","",IF('ORDENES'!$N845="","-",'ORDENES'!$N845))</f>
        <v/>
      </c>
      <c r="M867" s="3">
        <f>IF('ORDENES'!$A845="","",'ORDENES'!$AA845)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IF('ORDENES'!$A846="","",IF('ORDENES'!$AC846="","-",'ORDENES'!$AC846))</f>
        <v/>
      </c>
      <c r="D868" s="3">
        <f>IF('ORDENES'!$A846="","",IF('ORDENES'!$V846="","-",'ORDENES'!$V846))</f>
        <v/>
      </c>
      <c r="E868" s="3">
        <f>IF('ORDENES'!$A846="","",IF('ORDENES'!$U846="","-",'ORDENES'!$U846))</f>
        <v/>
      </c>
      <c r="F868" s="3">
        <f>IF('ORDENES'!$A846="","",IF('ORDENES'!$W846="","-",'ORDENES'!$W846))</f>
        <v/>
      </c>
      <c r="G868" s="3">
        <f>IF('ORDENES'!$A846="","",IF('ORDENES'!$AB846="","-",'ORDENES'!$AB846))</f>
        <v/>
      </c>
      <c r="H868" s="3">
        <f>IF('ORDENES'!$A846="","",IF('ORDENES'!$AN846="","-",'ORDENES'!$AN846))</f>
        <v/>
      </c>
      <c r="I868" s="3">
        <f>IF('ORDENES'!$A846="","",IF('ORDENES'!$D846="","-",'ORDENES'!$D846))</f>
        <v/>
      </c>
      <c r="J868" s="3">
        <f>IF('ORDENES'!$A846="","",IF('ORDENES'!$E846="","-",'ORDENES'!$E846))</f>
        <v/>
      </c>
      <c r="K868" s="12">
        <f>IF('ORDENES'!$A846="","",IF('ORDENES'!$M846="",0,'ORDENES'!$M846))</f>
        <v/>
      </c>
      <c r="L868" s="3">
        <f>IF('ORDENES'!$A846="","",IF('ORDENES'!$N846="","-",'ORDENES'!$N846))</f>
        <v/>
      </c>
      <c r="M868" s="3">
        <f>IF('ORDENES'!$A846="","",'ORDENES'!$AA846)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IF('ORDENES'!$A847="","",IF('ORDENES'!$AC847="","-",'ORDENES'!$AC847))</f>
        <v/>
      </c>
      <c r="D869" s="3">
        <f>IF('ORDENES'!$A847="","",IF('ORDENES'!$V847="","-",'ORDENES'!$V847))</f>
        <v/>
      </c>
      <c r="E869" s="3">
        <f>IF('ORDENES'!$A847="","",IF('ORDENES'!$U847="","-",'ORDENES'!$U847))</f>
        <v/>
      </c>
      <c r="F869" s="3">
        <f>IF('ORDENES'!$A847="","",IF('ORDENES'!$W847="","-",'ORDENES'!$W847))</f>
        <v/>
      </c>
      <c r="G869" s="3">
        <f>IF('ORDENES'!$A847="","",IF('ORDENES'!$AB847="","-",'ORDENES'!$AB847))</f>
        <v/>
      </c>
      <c r="H869" s="3">
        <f>IF('ORDENES'!$A847="","",IF('ORDENES'!$AN847="","-",'ORDENES'!$AN847))</f>
        <v/>
      </c>
      <c r="I869" s="3">
        <f>IF('ORDENES'!$A847="","",IF('ORDENES'!$D847="","-",'ORDENES'!$D847))</f>
        <v/>
      </c>
      <c r="J869" s="3">
        <f>IF('ORDENES'!$A847="","",IF('ORDENES'!$E847="","-",'ORDENES'!$E847))</f>
        <v/>
      </c>
      <c r="K869" s="12">
        <f>IF('ORDENES'!$A847="","",IF('ORDENES'!$M847="",0,'ORDENES'!$M847))</f>
        <v/>
      </c>
      <c r="L869" s="3">
        <f>IF('ORDENES'!$A847="","",IF('ORDENES'!$N847="","-",'ORDENES'!$N847))</f>
        <v/>
      </c>
      <c r="M869" s="3">
        <f>IF('ORDENES'!$A847="","",'ORDENES'!$AA847)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IF('ORDENES'!$A848="","",IF('ORDENES'!$AC848="","-",'ORDENES'!$AC848))</f>
        <v/>
      </c>
      <c r="D870" s="3">
        <f>IF('ORDENES'!$A848="","",IF('ORDENES'!$V848="","-",'ORDENES'!$V848))</f>
        <v/>
      </c>
      <c r="E870" s="3">
        <f>IF('ORDENES'!$A848="","",IF('ORDENES'!$U848="","-",'ORDENES'!$U848))</f>
        <v/>
      </c>
      <c r="F870" s="3">
        <f>IF('ORDENES'!$A848="","",IF('ORDENES'!$W848="","-",'ORDENES'!$W848))</f>
        <v/>
      </c>
      <c r="G870" s="3">
        <f>IF('ORDENES'!$A848="","",IF('ORDENES'!$AB848="","-",'ORDENES'!$AB848))</f>
        <v/>
      </c>
      <c r="H870" s="3">
        <f>IF('ORDENES'!$A848="","",IF('ORDENES'!$AN848="","-",'ORDENES'!$AN848))</f>
        <v/>
      </c>
      <c r="I870" s="3">
        <f>IF('ORDENES'!$A848="","",IF('ORDENES'!$D848="","-",'ORDENES'!$D848))</f>
        <v/>
      </c>
      <c r="J870" s="3">
        <f>IF('ORDENES'!$A848="","",IF('ORDENES'!$E848="","-",'ORDENES'!$E848))</f>
        <v/>
      </c>
      <c r="K870" s="12">
        <f>IF('ORDENES'!$A848="","",IF('ORDENES'!$M848="",0,'ORDENES'!$M848))</f>
        <v/>
      </c>
      <c r="L870" s="3">
        <f>IF('ORDENES'!$A848="","",IF('ORDENES'!$N848="","-",'ORDENES'!$N848))</f>
        <v/>
      </c>
      <c r="M870" s="3">
        <f>IF('ORDENES'!$A848="","",'ORDENES'!$AA848)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IF('ORDENES'!$A849="","",IF('ORDENES'!$AC849="","-",'ORDENES'!$AC849))</f>
        <v/>
      </c>
      <c r="D871" s="3">
        <f>IF('ORDENES'!$A849="","",IF('ORDENES'!$V849="","-",'ORDENES'!$V849))</f>
        <v/>
      </c>
      <c r="E871" s="3">
        <f>IF('ORDENES'!$A849="","",IF('ORDENES'!$U849="","-",'ORDENES'!$U849))</f>
        <v/>
      </c>
      <c r="F871" s="3">
        <f>IF('ORDENES'!$A849="","",IF('ORDENES'!$W849="","-",'ORDENES'!$W849))</f>
        <v/>
      </c>
      <c r="G871" s="3">
        <f>IF('ORDENES'!$A849="","",IF('ORDENES'!$AB849="","-",'ORDENES'!$AB849))</f>
        <v/>
      </c>
      <c r="H871" s="3">
        <f>IF('ORDENES'!$A849="","",IF('ORDENES'!$AN849="","-",'ORDENES'!$AN849))</f>
        <v/>
      </c>
      <c r="I871" s="3">
        <f>IF('ORDENES'!$A849="","",IF('ORDENES'!$D849="","-",'ORDENES'!$D849))</f>
        <v/>
      </c>
      <c r="J871" s="3">
        <f>IF('ORDENES'!$A849="","",IF('ORDENES'!$E849="","-",'ORDENES'!$E849))</f>
        <v/>
      </c>
      <c r="K871" s="12">
        <f>IF('ORDENES'!$A849="","",IF('ORDENES'!$M849="",0,'ORDENES'!$M849))</f>
        <v/>
      </c>
      <c r="L871" s="3">
        <f>IF('ORDENES'!$A849="","",IF('ORDENES'!$N849="","-",'ORDENES'!$N849))</f>
        <v/>
      </c>
      <c r="M871" s="3">
        <f>IF('ORDENES'!$A849="","",'ORDENES'!$AA849)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IF('ORDENES'!$A850="","",IF('ORDENES'!$AC850="","-",'ORDENES'!$AC850))</f>
        <v/>
      </c>
      <c r="D872" s="3">
        <f>IF('ORDENES'!$A850="","",IF('ORDENES'!$V850="","-",'ORDENES'!$V850))</f>
        <v/>
      </c>
      <c r="E872" s="3">
        <f>IF('ORDENES'!$A850="","",IF('ORDENES'!$U850="","-",'ORDENES'!$U850))</f>
        <v/>
      </c>
      <c r="F872" s="3">
        <f>IF('ORDENES'!$A850="","",IF('ORDENES'!$W850="","-",'ORDENES'!$W850))</f>
        <v/>
      </c>
      <c r="G872" s="3">
        <f>IF('ORDENES'!$A850="","",IF('ORDENES'!$AB850="","-",'ORDENES'!$AB850))</f>
        <v/>
      </c>
      <c r="H872" s="3">
        <f>IF('ORDENES'!$A850="","",IF('ORDENES'!$AN850="","-",'ORDENES'!$AN850))</f>
        <v/>
      </c>
      <c r="I872" s="3">
        <f>IF('ORDENES'!$A850="","",IF('ORDENES'!$D850="","-",'ORDENES'!$D850))</f>
        <v/>
      </c>
      <c r="J872" s="3">
        <f>IF('ORDENES'!$A850="","",IF('ORDENES'!$E850="","-",'ORDENES'!$E850))</f>
        <v/>
      </c>
      <c r="K872" s="12">
        <f>IF('ORDENES'!$A850="","",IF('ORDENES'!$M850="",0,'ORDENES'!$M850))</f>
        <v/>
      </c>
      <c r="L872" s="3">
        <f>IF('ORDENES'!$A850="","",IF('ORDENES'!$N850="","-",'ORDENES'!$N850))</f>
        <v/>
      </c>
      <c r="M872" s="3">
        <f>IF('ORDENES'!$A850="","",'ORDENES'!$AA850)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IF('ORDENES'!$A851="","",IF('ORDENES'!$AC851="","-",'ORDENES'!$AC851))</f>
        <v/>
      </c>
      <c r="D873" s="3">
        <f>IF('ORDENES'!$A851="","",IF('ORDENES'!$V851="","-",'ORDENES'!$V851))</f>
        <v/>
      </c>
      <c r="E873" s="3">
        <f>IF('ORDENES'!$A851="","",IF('ORDENES'!$U851="","-",'ORDENES'!$U851))</f>
        <v/>
      </c>
      <c r="F873" s="3">
        <f>IF('ORDENES'!$A851="","",IF('ORDENES'!$W851="","-",'ORDENES'!$W851))</f>
        <v/>
      </c>
      <c r="G873" s="3">
        <f>IF('ORDENES'!$A851="","",IF('ORDENES'!$AB851="","-",'ORDENES'!$AB851))</f>
        <v/>
      </c>
      <c r="H873" s="3">
        <f>IF('ORDENES'!$A851="","",IF('ORDENES'!$AN851="","-",'ORDENES'!$AN851))</f>
        <v/>
      </c>
      <c r="I873" s="3">
        <f>IF('ORDENES'!$A851="","",IF('ORDENES'!$D851="","-",'ORDENES'!$D851))</f>
        <v/>
      </c>
      <c r="J873" s="3">
        <f>IF('ORDENES'!$A851="","",IF('ORDENES'!$E851="","-",'ORDENES'!$E851))</f>
        <v/>
      </c>
      <c r="K873" s="12">
        <f>IF('ORDENES'!$A851="","",IF('ORDENES'!$M851="",0,'ORDENES'!$M851))</f>
        <v/>
      </c>
      <c r="L873" s="3">
        <f>IF('ORDENES'!$A851="","",IF('ORDENES'!$N851="","-",'ORDENES'!$N851))</f>
        <v/>
      </c>
      <c r="M873" s="3">
        <f>IF('ORDENES'!$A851="","",'ORDENES'!$AA851)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IF('ORDENES'!$A852="","",IF('ORDENES'!$AC852="","-",'ORDENES'!$AC852))</f>
        <v/>
      </c>
      <c r="D874" s="3">
        <f>IF('ORDENES'!$A852="","",IF('ORDENES'!$V852="","-",'ORDENES'!$V852))</f>
        <v/>
      </c>
      <c r="E874" s="3">
        <f>IF('ORDENES'!$A852="","",IF('ORDENES'!$U852="","-",'ORDENES'!$U852))</f>
        <v/>
      </c>
      <c r="F874" s="3">
        <f>IF('ORDENES'!$A852="","",IF('ORDENES'!$W852="","-",'ORDENES'!$W852))</f>
        <v/>
      </c>
      <c r="G874" s="3">
        <f>IF('ORDENES'!$A852="","",IF('ORDENES'!$AB852="","-",'ORDENES'!$AB852))</f>
        <v/>
      </c>
      <c r="H874" s="3">
        <f>IF('ORDENES'!$A852="","",IF('ORDENES'!$AN852="","-",'ORDENES'!$AN852))</f>
        <v/>
      </c>
      <c r="I874" s="3">
        <f>IF('ORDENES'!$A852="","",IF('ORDENES'!$D852="","-",'ORDENES'!$D852))</f>
        <v/>
      </c>
      <c r="J874" s="3">
        <f>IF('ORDENES'!$A852="","",IF('ORDENES'!$E852="","-",'ORDENES'!$E852))</f>
        <v/>
      </c>
      <c r="K874" s="12">
        <f>IF('ORDENES'!$A852="","",IF('ORDENES'!$M852="",0,'ORDENES'!$M852))</f>
        <v/>
      </c>
      <c r="L874" s="3">
        <f>IF('ORDENES'!$A852="","",IF('ORDENES'!$N852="","-",'ORDENES'!$N852))</f>
        <v/>
      </c>
      <c r="M874" s="3">
        <f>IF('ORDENES'!$A852="","",'ORDENES'!$AA852)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IF('ORDENES'!$A853="","",IF('ORDENES'!$AC853="","-",'ORDENES'!$AC853))</f>
        <v/>
      </c>
      <c r="D875" s="3">
        <f>IF('ORDENES'!$A853="","",IF('ORDENES'!$V853="","-",'ORDENES'!$V853))</f>
        <v/>
      </c>
      <c r="E875" s="3">
        <f>IF('ORDENES'!$A853="","",IF('ORDENES'!$U853="","-",'ORDENES'!$U853))</f>
        <v/>
      </c>
      <c r="F875" s="3">
        <f>IF('ORDENES'!$A853="","",IF('ORDENES'!$W853="","-",'ORDENES'!$W853))</f>
        <v/>
      </c>
      <c r="G875" s="3">
        <f>IF('ORDENES'!$A853="","",IF('ORDENES'!$AB853="","-",'ORDENES'!$AB853))</f>
        <v/>
      </c>
      <c r="H875" s="3">
        <f>IF('ORDENES'!$A853="","",IF('ORDENES'!$AN853="","-",'ORDENES'!$AN853))</f>
        <v/>
      </c>
      <c r="I875" s="3">
        <f>IF('ORDENES'!$A853="","",IF('ORDENES'!$D853="","-",'ORDENES'!$D853))</f>
        <v/>
      </c>
      <c r="J875" s="3">
        <f>IF('ORDENES'!$A853="","",IF('ORDENES'!$E853="","-",'ORDENES'!$E853))</f>
        <v/>
      </c>
      <c r="K875" s="12">
        <f>IF('ORDENES'!$A853="","",IF('ORDENES'!$M853="",0,'ORDENES'!$M853))</f>
        <v/>
      </c>
      <c r="L875" s="3">
        <f>IF('ORDENES'!$A853="","",IF('ORDENES'!$N853="","-",'ORDENES'!$N853))</f>
        <v/>
      </c>
      <c r="M875" s="3">
        <f>IF('ORDENES'!$A853="","",'ORDENES'!$AA853)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IF('ORDENES'!$A854="","",IF('ORDENES'!$AC854="","-",'ORDENES'!$AC854))</f>
        <v/>
      </c>
      <c r="D876" s="3">
        <f>IF('ORDENES'!$A854="","",IF('ORDENES'!$V854="","-",'ORDENES'!$V854))</f>
        <v/>
      </c>
      <c r="E876" s="3">
        <f>IF('ORDENES'!$A854="","",IF('ORDENES'!$U854="","-",'ORDENES'!$U854))</f>
        <v/>
      </c>
      <c r="F876" s="3">
        <f>IF('ORDENES'!$A854="","",IF('ORDENES'!$W854="","-",'ORDENES'!$W854))</f>
        <v/>
      </c>
      <c r="G876" s="3">
        <f>IF('ORDENES'!$A854="","",IF('ORDENES'!$AB854="","-",'ORDENES'!$AB854))</f>
        <v/>
      </c>
      <c r="H876" s="3">
        <f>IF('ORDENES'!$A854="","",IF('ORDENES'!$AN854="","-",'ORDENES'!$AN854))</f>
        <v/>
      </c>
      <c r="I876" s="3">
        <f>IF('ORDENES'!$A854="","",IF('ORDENES'!$D854="","-",'ORDENES'!$D854))</f>
        <v/>
      </c>
      <c r="J876" s="3">
        <f>IF('ORDENES'!$A854="","",IF('ORDENES'!$E854="","-",'ORDENES'!$E854))</f>
        <v/>
      </c>
      <c r="K876" s="12">
        <f>IF('ORDENES'!$A854="","",IF('ORDENES'!$M854="",0,'ORDENES'!$M854))</f>
        <v/>
      </c>
      <c r="L876" s="3">
        <f>IF('ORDENES'!$A854="","",IF('ORDENES'!$N854="","-",'ORDENES'!$N854))</f>
        <v/>
      </c>
      <c r="M876" s="3">
        <f>IF('ORDENES'!$A854="","",'ORDENES'!$AA854)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IF('ORDENES'!$A855="","",IF('ORDENES'!$AC855="","-",'ORDENES'!$AC855))</f>
        <v/>
      </c>
      <c r="D877" s="3">
        <f>IF('ORDENES'!$A855="","",IF('ORDENES'!$V855="","-",'ORDENES'!$V855))</f>
        <v/>
      </c>
      <c r="E877" s="3">
        <f>IF('ORDENES'!$A855="","",IF('ORDENES'!$U855="","-",'ORDENES'!$U855))</f>
        <v/>
      </c>
      <c r="F877" s="3">
        <f>IF('ORDENES'!$A855="","",IF('ORDENES'!$W855="","-",'ORDENES'!$W855))</f>
        <v/>
      </c>
      <c r="G877" s="3">
        <f>IF('ORDENES'!$A855="","",IF('ORDENES'!$AB855="","-",'ORDENES'!$AB855))</f>
        <v/>
      </c>
      <c r="H877" s="3">
        <f>IF('ORDENES'!$A855="","",IF('ORDENES'!$AN855="","-",'ORDENES'!$AN855))</f>
        <v/>
      </c>
      <c r="I877" s="3">
        <f>IF('ORDENES'!$A855="","",IF('ORDENES'!$D855="","-",'ORDENES'!$D855))</f>
        <v/>
      </c>
      <c r="J877" s="3">
        <f>IF('ORDENES'!$A855="","",IF('ORDENES'!$E855="","-",'ORDENES'!$E855))</f>
        <v/>
      </c>
      <c r="K877" s="12">
        <f>IF('ORDENES'!$A855="","",IF('ORDENES'!$M855="",0,'ORDENES'!$M855))</f>
        <v/>
      </c>
      <c r="L877" s="3">
        <f>IF('ORDENES'!$A855="","",IF('ORDENES'!$N855="","-",'ORDENES'!$N855))</f>
        <v/>
      </c>
      <c r="M877" s="3">
        <f>IF('ORDENES'!$A855="","",'ORDENES'!$AA855)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IF('ORDENES'!$A856="","",IF('ORDENES'!$AC856="","-",'ORDENES'!$AC856))</f>
        <v/>
      </c>
      <c r="D878" s="3">
        <f>IF('ORDENES'!$A856="","",IF('ORDENES'!$V856="","-",'ORDENES'!$V856))</f>
        <v/>
      </c>
      <c r="E878" s="3">
        <f>IF('ORDENES'!$A856="","",IF('ORDENES'!$U856="","-",'ORDENES'!$U856))</f>
        <v/>
      </c>
      <c r="F878" s="3">
        <f>IF('ORDENES'!$A856="","",IF('ORDENES'!$W856="","-",'ORDENES'!$W856))</f>
        <v/>
      </c>
      <c r="G878" s="3">
        <f>IF('ORDENES'!$A856="","",IF('ORDENES'!$AB856="","-",'ORDENES'!$AB856))</f>
        <v/>
      </c>
      <c r="H878" s="3">
        <f>IF('ORDENES'!$A856="","",IF('ORDENES'!$AN856="","-",'ORDENES'!$AN856))</f>
        <v/>
      </c>
      <c r="I878" s="3">
        <f>IF('ORDENES'!$A856="","",IF('ORDENES'!$D856="","-",'ORDENES'!$D856))</f>
        <v/>
      </c>
      <c r="J878" s="3">
        <f>IF('ORDENES'!$A856="","",IF('ORDENES'!$E856="","-",'ORDENES'!$E856))</f>
        <v/>
      </c>
      <c r="K878" s="12">
        <f>IF('ORDENES'!$A856="","",IF('ORDENES'!$M856="",0,'ORDENES'!$M856))</f>
        <v/>
      </c>
      <c r="L878" s="3">
        <f>IF('ORDENES'!$A856="","",IF('ORDENES'!$N856="","-",'ORDENES'!$N856))</f>
        <v/>
      </c>
      <c r="M878" s="3">
        <f>IF('ORDENES'!$A856="","",'ORDENES'!$AA856)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IF('ORDENES'!$A857="","",IF('ORDENES'!$AC857="","-",'ORDENES'!$AC857))</f>
        <v/>
      </c>
      <c r="D879" s="3">
        <f>IF('ORDENES'!$A857="","",IF('ORDENES'!$V857="","-",'ORDENES'!$V857))</f>
        <v/>
      </c>
      <c r="E879" s="3">
        <f>IF('ORDENES'!$A857="","",IF('ORDENES'!$U857="","-",'ORDENES'!$U857))</f>
        <v/>
      </c>
      <c r="F879" s="3">
        <f>IF('ORDENES'!$A857="","",IF('ORDENES'!$W857="","-",'ORDENES'!$W857))</f>
        <v/>
      </c>
      <c r="G879" s="3">
        <f>IF('ORDENES'!$A857="","",IF('ORDENES'!$AB857="","-",'ORDENES'!$AB857))</f>
        <v/>
      </c>
      <c r="H879" s="3">
        <f>IF('ORDENES'!$A857="","",IF('ORDENES'!$AN857="","-",'ORDENES'!$AN857))</f>
        <v/>
      </c>
      <c r="I879" s="3">
        <f>IF('ORDENES'!$A857="","",IF('ORDENES'!$D857="","-",'ORDENES'!$D857))</f>
        <v/>
      </c>
      <c r="J879" s="3">
        <f>IF('ORDENES'!$A857="","",IF('ORDENES'!$E857="","-",'ORDENES'!$E857))</f>
        <v/>
      </c>
      <c r="K879" s="12">
        <f>IF('ORDENES'!$A857="","",IF('ORDENES'!$M857="",0,'ORDENES'!$M857))</f>
        <v/>
      </c>
      <c r="L879" s="3">
        <f>IF('ORDENES'!$A857="","",IF('ORDENES'!$N857="","-",'ORDENES'!$N857))</f>
        <v/>
      </c>
      <c r="M879" s="3">
        <f>IF('ORDENES'!$A857="","",'ORDENES'!$AA857)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IF('ORDENES'!$A858="","",IF('ORDENES'!$AC858="","-",'ORDENES'!$AC858))</f>
        <v/>
      </c>
      <c r="D880" s="3">
        <f>IF('ORDENES'!$A858="","",IF('ORDENES'!$V858="","-",'ORDENES'!$V858))</f>
        <v/>
      </c>
      <c r="E880" s="3">
        <f>IF('ORDENES'!$A858="","",IF('ORDENES'!$U858="","-",'ORDENES'!$U858))</f>
        <v/>
      </c>
      <c r="F880" s="3">
        <f>IF('ORDENES'!$A858="","",IF('ORDENES'!$W858="","-",'ORDENES'!$W858))</f>
        <v/>
      </c>
      <c r="G880" s="3">
        <f>IF('ORDENES'!$A858="","",IF('ORDENES'!$AB858="","-",'ORDENES'!$AB858))</f>
        <v/>
      </c>
      <c r="H880" s="3">
        <f>IF('ORDENES'!$A858="","",IF('ORDENES'!$AN858="","-",'ORDENES'!$AN858))</f>
        <v/>
      </c>
      <c r="I880" s="3">
        <f>IF('ORDENES'!$A858="","",IF('ORDENES'!$D858="","-",'ORDENES'!$D858))</f>
        <v/>
      </c>
      <c r="J880" s="3">
        <f>IF('ORDENES'!$A858="","",IF('ORDENES'!$E858="","-",'ORDENES'!$E858))</f>
        <v/>
      </c>
      <c r="K880" s="12">
        <f>IF('ORDENES'!$A858="","",IF('ORDENES'!$M858="",0,'ORDENES'!$M858))</f>
        <v/>
      </c>
      <c r="L880" s="3">
        <f>IF('ORDENES'!$A858="","",IF('ORDENES'!$N858="","-",'ORDENES'!$N858))</f>
        <v/>
      </c>
      <c r="M880" s="3">
        <f>IF('ORDENES'!$A858="","",'ORDENES'!$AA858)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IF('ORDENES'!$A859="","",IF('ORDENES'!$AC859="","-",'ORDENES'!$AC859))</f>
        <v/>
      </c>
      <c r="D881" s="3">
        <f>IF('ORDENES'!$A859="","",IF('ORDENES'!$V859="","-",'ORDENES'!$V859))</f>
        <v/>
      </c>
      <c r="E881" s="3">
        <f>IF('ORDENES'!$A859="","",IF('ORDENES'!$U859="","-",'ORDENES'!$U859))</f>
        <v/>
      </c>
      <c r="F881" s="3">
        <f>IF('ORDENES'!$A859="","",IF('ORDENES'!$W859="","-",'ORDENES'!$W859))</f>
        <v/>
      </c>
      <c r="G881" s="3">
        <f>IF('ORDENES'!$A859="","",IF('ORDENES'!$AB859="","-",'ORDENES'!$AB859))</f>
        <v/>
      </c>
      <c r="H881" s="3">
        <f>IF('ORDENES'!$A859="","",IF('ORDENES'!$AN859="","-",'ORDENES'!$AN859))</f>
        <v/>
      </c>
      <c r="I881" s="3">
        <f>IF('ORDENES'!$A859="","",IF('ORDENES'!$D859="","-",'ORDENES'!$D859))</f>
        <v/>
      </c>
      <c r="J881" s="3">
        <f>IF('ORDENES'!$A859="","",IF('ORDENES'!$E859="","-",'ORDENES'!$E859))</f>
        <v/>
      </c>
      <c r="K881" s="12">
        <f>IF('ORDENES'!$A859="","",IF('ORDENES'!$M859="",0,'ORDENES'!$M859))</f>
        <v/>
      </c>
      <c r="L881" s="3">
        <f>IF('ORDENES'!$A859="","",IF('ORDENES'!$N859="","-",'ORDENES'!$N859))</f>
        <v/>
      </c>
      <c r="M881" s="3">
        <f>IF('ORDENES'!$A859="","",'ORDENES'!$AA859)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IF('ORDENES'!$A860="","",IF('ORDENES'!$AC860="","-",'ORDENES'!$AC860))</f>
        <v/>
      </c>
      <c r="D882" s="3">
        <f>IF('ORDENES'!$A860="","",IF('ORDENES'!$V860="","-",'ORDENES'!$V860))</f>
        <v/>
      </c>
      <c r="E882" s="3">
        <f>IF('ORDENES'!$A860="","",IF('ORDENES'!$U860="","-",'ORDENES'!$U860))</f>
        <v/>
      </c>
      <c r="F882" s="3">
        <f>IF('ORDENES'!$A860="","",IF('ORDENES'!$W860="","-",'ORDENES'!$W860))</f>
        <v/>
      </c>
      <c r="G882" s="3">
        <f>IF('ORDENES'!$A860="","",IF('ORDENES'!$AB860="","-",'ORDENES'!$AB860))</f>
        <v/>
      </c>
      <c r="H882" s="3">
        <f>IF('ORDENES'!$A860="","",IF('ORDENES'!$AN860="","-",'ORDENES'!$AN860))</f>
        <v/>
      </c>
      <c r="I882" s="3">
        <f>IF('ORDENES'!$A860="","",IF('ORDENES'!$D860="","-",'ORDENES'!$D860))</f>
        <v/>
      </c>
      <c r="J882" s="3">
        <f>IF('ORDENES'!$A860="","",IF('ORDENES'!$E860="","-",'ORDENES'!$E860))</f>
        <v/>
      </c>
      <c r="K882" s="12">
        <f>IF('ORDENES'!$A860="","",IF('ORDENES'!$M860="",0,'ORDENES'!$M860))</f>
        <v/>
      </c>
      <c r="L882" s="3">
        <f>IF('ORDENES'!$A860="","",IF('ORDENES'!$N860="","-",'ORDENES'!$N860))</f>
        <v/>
      </c>
      <c r="M882" s="3">
        <f>IF('ORDENES'!$A860="","",'ORDENES'!$AA860)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IF('ORDENES'!$A861="","",IF('ORDENES'!$AC861="","-",'ORDENES'!$AC861))</f>
        <v/>
      </c>
      <c r="D883" s="3">
        <f>IF('ORDENES'!$A861="","",IF('ORDENES'!$V861="","-",'ORDENES'!$V861))</f>
        <v/>
      </c>
      <c r="E883" s="3">
        <f>IF('ORDENES'!$A861="","",IF('ORDENES'!$U861="","-",'ORDENES'!$U861))</f>
        <v/>
      </c>
      <c r="F883" s="3">
        <f>IF('ORDENES'!$A861="","",IF('ORDENES'!$W861="","-",'ORDENES'!$W861))</f>
        <v/>
      </c>
      <c r="G883" s="3">
        <f>IF('ORDENES'!$A861="","",IF('ORDENES'!$AB861="","-",'ORDENES'!$AB861))</f>
        <v/>
      </c>
      <c r="H883" s="3">
        <f>IF('ORDENES'!$A861="","",IF('ORDENES'!$AN861="","-",'ORDENES'!$AN861))</f>
        <v/>
      </c>
      <c r="I883" s="3">
        <f>IF('ORDENES'!$A861="","",IF('ORDENES'!$D861="","-",'ORDENES'!$D861))</f>
        <v/>
      </c>
      <c r="J883" s="3">
        <f>IF('ORDENES'!$A861="","",IF('ORDENES'!$E861="","-",'ORDENES'!$E861))</f>
        <v/>
      </c>
      <c r="K883" s="12">
        <f>IF('ORDENES'!$A861="","",IF('ORDENES'!$M861="",0,'ORDENES'!$M861))</f>
        <v/>
      </c>
      <c r="L883" s="3">
        <f>IF('ORDENES'!$A861="","",IF('ORDENES'!$N861="","-",'ORDENES'!$N861))</f>
        <v/>
      </c>
      <c r="M883" s="3">
        <f>IF('ORDENES'!$A861="","",'ORDENES'!$AA861)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IF('ORDENES'!$A862="","",IF('ORDENES'!$AC862="","-",'ORDENES'!$AC862))</f>
        <v/>
      </c>
      <c r="D884" s="3">
        <f>IF('ORDENES'!$A862="","",IF('ORDENES'!$V862="","-",'ORDENES'!$V862))</f>
        <v/>
      </c>
      <c r="E884" s="3">
        <f>IF('ORDENES'!$A862="","",IF('ORDENES'!$U862="","-",'ORDENES'!$U862))</f>
        <v/>
      </c>
      <c r="F884" s="3">
        <f>IF('ORDENES'!$A862="","",IF('ORDENES'!$W862="","-",'ORDENES'!$W862))</f>
        <v/>
      </c>
      <c r="G884" s="3">
        <f>IF('ORDENES'!$A862="","",IF('ORDENES'!$AB862="","-",'ORDENES'!$AB862))</f>
        <v/>
      </c>
      <c r="H884" s="3">
        <f>IF('ORDENES'!$A862="","",IF('ORDENES'!$AN862="","-",'ORDENES'!$AN862))</f>
        <v/>
      </c>
      <c r="I884" s="3">
        <f>IF('ORDENES'!$A862="","",IF('ORDENES'!$D862="","-",'ORDENES'!$D862))</f>
        <v/>
      </c>
      <c r="J884" s="3">
        <f>IF('ORDENES'!$A862="","",IF('ORDENES'!$E862="","-",'ORDENES'!$E862))</f>
        <v/>
      </c>
      <c r="K884" s="12">
        <f>IF('ORDENES'!$A862="","",IF('ORDENES'!$M862="",0,'ORDENES'!$M862))</f>
        <v/>
      </c>
      <c r="L884" s="3">
        <f>IF('ORDENES'!$A862="","",IF('ORDENES'!$N862="","-",'ORDENES'!$N862))</f>
        <v/>
      </c>
      <c r="M884" s="3">
        <f>IF('ORDENES'!$A862="","",'ORDENES'!$AA862)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IF('ORDENES'!$A863="","",IF('ORDENES'!$AC863="","-",'ORDENES'!$AC863))</f>
        <v/>
      </c>
      <c r="D885" s="3">
        <f>IF('ORDENES'!$A863="","",IF('ORDENES'!$V863="","-",'ORDENES'!$V863))</f>
        <v/>
      </c>
      <c r="E885" s="3">
        <f>IF('ORDENES'!$A863="","",IF('ORDENES'!$U863="","-",'ORDENES'!$U863))</f>
        <v/>
      </c>
      <c r="F885" s="3">
        <f>IF('ORDENES'!$A863="","",IF('ORDENES'!$W863="","-",'ORDENES'!$W863))</f>
        <v/>
      </c>
      <c r="G885" s="3">
        <f>IF('ORDENES'!$A863="","",IF('ORDENES'!$AB863="","-",'ORDENES'!$AB863))</f>
        <v/>
      </c>
      <c r="H885" s="3">
        <f>IF('ORDENES'!$A863="","",IF('ORDENES'!$AN863="","-",'ORDENES'!$AN863))</f>
        <v/>
      </c>
      <c r="I885" s="3">
        <f>IF('ORDENES'!$A863="","",IF('ORDENES'!$D863="","-",'ORDENES'!$D863))</f>
        <v/>
      </c>
      <c r="J885" s="3">
        <f>IF('ORDENES'!$A863="","",IF('ORDENES'!$E863="","-",'ORDENES'!$E863))</f>
        <v/>
      </c>
      <c r="K885" s="12">
        <f>IF('ORDENES'!$A863="","",IF('ORDENES'!$M863="",0,'ORDENES'!$M863))</f>
        <v/>
      </c>
      <c r="L885" s="3">
        <f>IF('ORDENES'!$A863="","",IF('ORDENES'!$N863="","-",'ORDENES'!$N863))</f>
        <v/>
      </c>
      <c r="M885" s="3">
        <f>IF('ORDENES'!$A863="","",'ORDENES'!$AA863)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IF('ORDENES'!$A864="","",IF('ORDENES'!$AC864="","-",'ORDENES'!$AC864))</f>
        <v/>
      </c>
      <c r="D886" s="3">
        <f>IF('ORDENES'!$A864="","",IF('ORDENES'!$V864="","-",'ORDENES'!$V864))</f>
        <v/>
      </c>
      <c r="E886" s="3">
        <f>IF('ORDENES'!$A864="","",IF('ORDENES'!$U864="","-",'ORDENES'!$U864))</f>
        <v/>
      </c>
      <c r="F886" s="3">
        <f>IF('ORDENES'!$A864="","",IF('ORDENES'!$W864="","-",'ORDENES'!$W864))</f>
        <v/>
      </c>
      <c r="G886" s="3">
        <f>IF('ORDENES'!$A864="","",IF('ORDENES'!$AB864="","-",'ORDENES'!$AB864))</f>
        <v/>
      </c>
      <c r="H886" s="3">
        <f>IF('ORDENES'!$A864="","",IF('ORDENES'!$AN864="","-",'ORDENES'!$AN864))</f>
        <v/>
      </c>
      <c r="I886" s="3">
        <f>IF('ORDENES'!$A864="","",IF('ORDENES'!$D864="","-",'ORDENES'!$D864))</f>
        <v/>
      </c>
      <c r="J886" s="3">
        <f>IF('ORDENES'!$A864="","",IF('ORDENES'!$E864="","-",'ORDENES'!$E864))</f>
        <v/>
      </c>
      <c r="K886" s="12">
        <f>IF('ORDENES'!$A864="","",IF('ORDENES'!$M864="",0,'ORDENES'!$M864))</f>
        <v/>
      </c>
      <c r="L886" s="3">
        <f>IF('ORDENES'!$A864="","",IF('ORDENES'!$N864="","-",'ORDENES'!$N864))</f>
        <v/>
      </c>
      <c r="M886" s="3">
        <f>IF('ORDENES'!$A864="","",'ORDENES'!$AA864)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IF('ORDENES'!$A865="","",IF('ORDENES'!$AC865="","-",'ORDENES'!$AC865))</f>
        <v/>
      </c>
      <c r="D887" s="3">
        <f>IF('ORDENES'!$A865="","",IF('ORDENES'!$V865="","-",'ORDENES'!$V865))</f>
        <v/>
      </c>
      <c r="E887" s="3">
        <f>IF('ORDENES'!$A865="","",IF('ORDENES'!$U865="","-",'ORDENES'!$U865))</f>
        <v/>
      </c>
      <c r="F887" s="3">
        <f>IF('ORDENES'!$A865="","",IF('ORDENES'!$W865="","-",'ORDENES'!$W865))</f>
        <v/>
      </c>
      <c r="G887" s="3">
        <f>IF('ORDENES'!$A865="","",IF('ORDENES'!$AB865="","-",'ORDENES'!$AB865))</f>
        <v/>
      </c>
      <c r="H887" s="3">
        <f>IF('ORDENES'!$A865="","",IF('ORDENES'!$AN865="","-",'ORDENES'!$AN865))</f>
        <v/>
      </c>
      <c r="I887" s="3">
        <f>IF('ORDENES'!$A865="","",IF('ORDENES'!$D865="","-",'ORDENES'!$D865))</f>
        <v/>
      </c>
      <c r="J887" s="3">
        <f>IF('ORDENES'!$A865="","",IF('ORDENES'!$E865="","-",'ORDENES'!$E865))</f>
        <v/>
      </c>
      <c r="K887" s="12">
        <f>IF('ORDENES'!$A865="","",IF('ORDENES'!$M865="",0,'ORDENES'!$M865))</f>
        <v/>
      </c>
      <c r="L887" s="3">
        <f>IF('ORDENES'!$A865="","",IF('ORDENES'!$N865="","-",'ORDENES'!$N865))</f>
        <v/>
      </c>
      <c r="M887" s="3">
        <f>IF('ORDENES'!$A865="","",'ORDENES'!$AA865)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IF('ORDENES'!$A866="","",IF('ORDENES'!$AC866="","-",'ORDENES'!$AC866))</f>
        <v/>
      </c>
      <c r="D888" s="3">
        <f>IF('ORDENES'!$A866="","",IF('ORDENES'!$V866="","-",'ORDENES'!$V866))</f>
        <v/>
      </c>
      <c r="E888" s="3">
        <f>IF('ORDENES'!$A866="","",IF('ORDENES'!$U866="","-",'ORDENES'!$U866))</f>
        <v/>
      </c>
      <c r="F888" s="3">
        <f>IF('ORDENES'!$A866="","",IF('ORDENES'!$W866="","-",'ORDENES'!$W866))</f>
        <v/>
      </c>
      <c r="G888" s="3">
        <f>IF('ORDENES'!$A866="","",IF('ORDENES'!$AB866="","-",'ORDENES'!$AB866))</f>
        <v/>
      </c>
      <c r="H888" s="3">
        <f>IF('ORDENES'!$A866="","",IF('ORDENES'!$AN866="","-",'ORDENES'!$AN866))</f>
        <v/>
      </c>
      <c r="I888" s="3">
        <f>IF('ORDENES'!$A866="","",IF('ORDENES'!$D866="","-",'ORDENES'!$D866))</f>
        <v/>
      </c>
      <c r="J888" s="3">
        <f>IF('ORDENES'!$A866="","",IF('ORDENES'!$E866="","-",'ORDENES'!$E866))</f>
        <v/>
      </c>
      <c r="K888" s="12">
        <f>IF('ORDENES'!$A866="","",IF('ORDENES'!$M866="",0,'ORDENES'!$M866))</f>
        <v/>
      </c>
      <c r="L888" s="3">
        <f>IF('ORDENES'!$A866="","",IF('ORDENES'!$N866="","-",'ORDENES'!$N866))</f>
        <v/>
      </c>
      <c r="M888" s="3">
        <f>IF('ORDENES'!$A866="","",'ORDENES'!$AA866)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IF('ORDENES'!$A867="","",IF('ORDENES'!$AC867="","-",'ORDENES'!$AC867))</f>
        <v/>
      </c>
      <c r="D889" s="3">
        <f>IF('ORDENES'!$A867="","",IF('ORDENES'!$V867="","-",'ORDENES'!$V867))</f>
        <v/>
      </c>
      <c r="E889" s="3">
        <f>IF('ORDENES'!$A867="","",IF('ORDENES'!$U867="","-",'ORDENES'!$U867))</f>
        <v/>
      </c>
      <c r="F889" s="3">
        <f>IF('ORDENES'!$A867="","",IF('ORDENES'!$W867="","-",'ORDENES'!$W867))</f>
        <v/>
      </c>
      <c r="G889" s="3">
        <f>IF('ORDENES'!$A867="","",IF('ORDENES'!$AB867="","-",'ORDENES'!$AB867))</f>
        <v/>
      </c>
      <c r="H889" s="3">
        <f>IF('ORDENES'!$A867="","",IF('ORDENES'!$AN867="","-",'ORDENES'!$AN867))</f>
        <v/>
      </c>
      <c r="I889" s="3">
        <f>IF('ORDENES'!$A867="","",IF('ORDENES'!$D867="","-",'ORDENES'!$D867))</f>
        <v/>
      </c>
      <c r="J889" s="3">
        <f>IF('ORDENES'!$A867="","",IF('ORDENES'!$E867="","-",'ORDENES'!$E867))</f>
        <v/>
      </c>
      <c r="K889" s="12">
        <f>IF('ORDENES'!$A867="","",IF('ORDENES'!$M867="",0,'ORDENES'!$M867))</f>
        <v/>
      </c>
      <c r="L889" s="3">
        <f>IF('ORDENES'!$A867="","",IF('ORDENES'!$N867="","-",'ORDENES'!$N867))</f>
        <v/>
      </c>
      <c r="M889" s="3">
        <f>IF('ORDENES'!$A867="","",'ORDENES'!$AA867)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IF('ORDENES'!$A868="","",IF('ORDENES'!$AC868="","-",'ORDENES'!$AC868))</f>
        <v/>
      </c>
      <c r="D890" s="3">
        <f>IF('ORDENES'!$A868="","",IF('ORDENES'!$V868="","-",'ORDENES'!$V868))</f>
        <v/>
      </c>
      <c r="E890" s="3">
        <f>IF('ORDENES'!$A868="","",IF('ORDENES'!$U868="","-",'ORDENES'!$U868))</f>
        <v/>
      </c>
      <c r="F890" s="3">
        <f>IF('ORDENES'!$A868="","",IF('ORDENES'!$W868="","-",'ORDENES'!$W868))</f>
        <v/>
      </c>
      <c r="G890" s="3">
        <f>IF('ORDENES'!$A868="","",IF('ORDENES'!$AB868="","-",'ORDENES'!$AB868))</f>
        <v/>
      </c>
      <c r="H890" s="3">
        <f>IF('ORDENES'!$A868="","",IF('ORDENES'!$AN868="","-",'ORDENES'!$AN868))</f>
        <v/>
      </c>
      <c r="I890" s="3">
        <f>IF('ORDENES'!$A868="","",IF('ORDENES'!$D868="","-",'ORDENES'!$D868))</f>
        <v/>
      </c>
      <c r="J890" s="3">
        <f>IF('ORDENES'!$A868="","",IF('ORDENES'!$E868="","-",'ORDENES'!$E868))</f>
        <v/>
      </c>
      <c r="K890" s="12">
        <f>IF('ORDENES'!$A868="","",IF('ORDENES'!$M868="",0,'ORDENES'!$M868))</f>
        <v/>
      </c>
      <c r="L890" s="3">
        <f>IF('ORDENES'!$A868="","",IF('ORDENES'!$N868="","-",'ORDENES'!$N868))</f>
        <v/>
      </c>
      <c r="M890" s="3">
        <f>IF('ORDENES'!$A868="","",'ORDENES'!$AA868)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IF('ORDENES'!$A869="","",IF('ORDENES'!$AC869="","-",'ORDENES'!$AC869))</f>
        <v/>
      </c>
      <c r="D891" s="3">
        <f>IF('ORDENES'!$A869="","",IF('ORDENES'!$V869="","-",'ORDENES'!$V869))</f>
        <v/>
      </c>
      <c r="E891" s="3">
        <f>IF('ORDENES'!$A869="","",IF('ORDENES'!$U869="","-",'ORDENES'!$U869))</f>
        <v/>
      </c>
      <c r="F891" s="3">
        <f>IF('ORDENES'!$A869="","",IF('ORDENES'!$W869="","-",'ORDENES'!$W869))</f>
        <v/>
      </c>
      <c r="G891" s="3">
        <f>IF('ORDENES'!$A869="","",IF('ORDENES'!$AB869="","-",'ORDENES'!$AB869))</f>
        <v/>
      </c>
      <c r="H891" s="3">
        <f>IF('ORDENES'!$A869="","",IF('ORDENES'!$AN869="","-",'ORDENES'!$AN869))</f>
        <v/>
      </c>
      <c r="I891" s="3">
        <f>IF('ORDENES'!$A869="","",IF('ORDENES'!$D869="","-",'ORDENES'!$D869))</f>
        <v/>
      </c>
      <c r="J891" s="3">
        <f>IF('ORDENES'!$A869="","",IF('ORDENES'!$E869="","-",'ORDENES'!$E869))</f>
        <v/>
      </c>
      <c r="K891" s="12">
        <f>IF('ORDENES'!$A869="","",IF('ORDENES'!$M869="",0,'ORDENES'!$M869))</f>
        <v/>
      </c>
      <c r="L891" s="3">
        <f>IF('ORDENES'!$A869="","",IF('ORDENES'!$N869="","-",'ORDENES'!$N869))</f>
        <v/>
      </c>
      <c r="M891" s="3">
        <f>IF('ORDENES'!$A869="","",'ORDENES'!$AA869)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IF('ORDENES'!$A870="","",IF('ORDENES'!$AC870="","-",'ORDENES'!$AC870))</f>
        <v/>
      </c>
      <c r="D892" s="3">
        <f>IF('ORDENES'!$A870="","",IF('ORDENES'!$V870="","-",'ORDENES'!$V870))</f>
        <v/>
      </c>
      <c r="E892" s="3">
        <f>IF('ORDENES'!$A870="","",IF('ORDENES'!$U870="","-",'ORDENES'!$U870))</f>
        <v/>
      </c>
      <c r="F892" s="3">
        <f>IF('ORDENES'!$A870="","",IF('ORDENES'!$W870="","-",'ORDENES'!$W870))</f>
        <v/>
      </c>
      <c r="G892" s="3">
        <f>IF('ORDENES'!$A870="","",IF('ORDENES'!$AB870="","-",'ORDENES'!$AB870))</f>
        <v/>
      </c>
      <c r="H892" s="3">
        <f>IF('ORDENES'!$A870="","",IF('ORDENES'!$AN870="","-",'ORDENES'!$AN870))</f>
        <v/>
      </c>
      <c r="I892" s="3">
        <f>IF('ORDENES'!$A870="","",IF('ORDENES'!$D870="","-",'ORDENES'!$D870))</f>
        <v/>
      </c>
      <c r="J892" s="3">
        <f>IF('ORDENES'!$A870="","",IF('ORDENES'!$E870="","-",'ORDENES'!$E870))</f>
        <v/>
      </c>
      <c r="K892" s="12">
        <f>IF('ORDENES'!$A870="","",IF('ORDENES'!$M870="",0,'ORDENES'!$M870))</f>
        <v/>
      </c>
      <c r="L892" s="3">
        <f>IF('ORDENES'!$A870="","",IF('ORDENES'!$N870="","-",'ORDENES'!$N870))</f>
        <v/>
      </c>
      <c r="M892" s="3">
        <f>IF('ORDENES'!$A870="","",'ORDENES'!$AA870)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IF('ORDENES'!$A871="","",IF('ORDENES'!$AC871="","-",'ORDENES'!$AC871))</f>
        <v/>
      </c>
      <c r="D893" s="3">
        <f>IF('ORDENES'!$A871="","",IF('ORDENES'!$V871="","-",'ORDENES'!$V871))</f>
        <v/>
      </c>
      <c r="E893" s="3">
        <f>IF('ORDENES'!$A871="","",IF('ORDENES'!$U871="","-",'ORDENES'!$U871))</f>
        <v/>
      </c>
      <c r="F893" s="3">
        <f>IF('ORDENES'!$A871="","",IF('ORDENES'!$W871="","-",'ORDENES'!$W871))</f>
        <v/>
      </c>
      <c r="G893" s="3">
        <f>IF('ORDENES'!$A871="","",IF('ORDENES'!$AB871="","-",'ORDENES'!$AB871))</f>
        <v/>
      </c>
      <c r="H893" s="3">
        <f>IF('ORDENES'!$A871="","",IF('ORDENES'!$AN871="","-",'ORDENES'!$AN871))</f>
        <v/>
      </c>
      <c r="I893" s="3">
        <f>IF('ORDENES'!$A871="","",IF('ORDENES'!$D871="","-",'ORDENES'!$D871))</f>
        <v/>
      </c>
      <c r="J893" s="3">
        <f>IF('ORDENES'!$A871="","",IF('ORDENES'!$E871="","-",'ORDENES'!$E871))</f>
        <v/>
      </c>
      <c r="K893" s="12">
        <f>IF('ORDENES'!$A871="","",IF('ORDENES'!$M871="",0,'ORDENES'!$M871))</f>
        <v/>
      </c>
      <c r="L893" s="3">
        <f>IF('ORDENES'!$A871="","",IF('ORDENES'!$N871="","-",'ORDENES'!$N871))</f>
        <v/>
      </c>
      <c r="M893" s="3">
        <f>IF('ORDENES'!$A871="","",'ORDENES'!$AA871)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IF('ORDENES'!$A872="","",IF('ORDENES'!$AC872="","-",'ORDENES'!$AC872))</f>
        <v/>
      </c>
      <c r="D894" s="3">
        <f>IF('ORDENES'!$A872="","",IF('ORDENES'!$V872="","-",'ORDENES'!$V872))</f>
        <v/>
      </c>
      <c r="E894" s="3">
        <f>IF('ORDENES'!$A872="","",IF('ORDENES'!$U872="","-",'ORDENES'!$U872))</f>
        <v/>
      </c>
      <c r="F894" s="3">
        <f>IF('ORDENES'!$A872="","",IF('ORDENES'!$W872="","-",'ORDENES'!$W872))</f>
        <v/>
      </c>
      <c r="G894" s="3">
        <f>IF('ORDENES'!$A872="","",IF('ORDENES'!$AB872="","-",'ORDENES'!$AB872))</f>
        <v/>
      </c>
      <c r="H894" s="3">
        <f>IF('ORDENES'!$A872="","",IF('ORDENES'!$AN872="","-",'ORDENES'!$AN872))</f>
        <v/>
      </c>
      <c r="I894" s="3">
        <f>IF('ORDENES'!$A872="","",IF('ORDENES'!$D872="","-",'ORDENES'!$D872))</f>
        <v/>
      </c>
      <c r="J894" s="3">
        <f>IF('ORDENES'!$A872="","",IF('ORDENES'!$E872="","-",'ORDENES'!$E872))</f>
        <v/>
      </c>
      <c r="K894" s="12">
        <f>IF('ORDENES'!$A872="","",IF('ORDENES'!$M872="",0,'ORDENES'!$M872))</f>
        <v/>
      </c>
      <c r="L894" s="3">
        <f>IF('ORDENES'!$A872="","",IF('ORDENES'!$N872="","-",'ORDENES'!$N872))</f>
        <v/>
      </c>
      <c r="M894" s="3">
        <f>IF('ORDENES'!$A872="","",'ORDENES'!$AA872)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IF('ORDENES'!$A873="","",IF('ORDENES'!$AC873="","-",'ORDENES'!$AC873))</f>
        <v/>
      </c>
      <c r="D895" s="3">
        <f>IF('ORDENES'!$A873="","",IF('ORDENES'!$V873="","-",'ORDENES'!$V873))</f>
        <v/>
      </c>
      <c r="E895" s="3">
        <f>IF('ORDENES'!$A873="","",IF('ORDENES'!$U873="","-",'ORDENES'!$U873))</f>
        <v/>
      </c>
      <c r="F895" s="3">
        <f>IF('ORDENES'!$A873="","",IF('ORDENES'!$W873="","-",'ORDENES'!$W873))</f>
        <v/>
      </c>
      <c r="G895" s="3">
        <f>IF('ORDENES'!$A873="","",IF('ORDENES'!$AB873="","-",'ORDENES'!$AB873))</f>
        <v/>
      </c>
      <c r="H895" s="3">
        <f>IF('ORDENES'!$A873="","",IF('ORDENES'!$AN873="","-",'ORDENES'!$AN873))</f>
        <v/>
      </c>
      <c r="I895" s="3">
        <f>IF('ORDENES'!$A873="","",IF('ORDENES'!$D873="","-",'ORDENES'!$D873))</f>
        <v/>
      </c>
      <c r="J895" s="3">
        <f>IF('ORDENES'!$A873="","",IF('ORDENES'!$E873="","-",'ORDENES'!$E873))</f>
        <v/>
      </c>
      <c r="K895" s="12">
        <f>IF('ORDENES'!$A873="","",IF('ORDENES'!$M873="",0,'ORDENES'!$M873))</f>
        <v/>
      </c>
      <c r="L895" s="3">
        <f>IF('ORDENES'!$A873="","",IF('ORDENES'!$N873="","-",'ORDENES'!$N873))</f>
        <v/>
      </c>
      <c r="M895" s="3">
        <f>IF('ORDENES'!$A873="","",'ORDENES'!$AA873)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IF('ORDENES'!$A874="","",IF('ORDENES'!$AC874="","-",'ORDENES'!$AC874))</f>
        <v/>
      </c>
      <c r="D896" s="3">
        <f>IF('ORDENES'!$A874="","",IF('ORDENES'!$V874="","-",'ORDENES'!$V874))</f>
        <v/>
      </c>
      <c r="E896" s="3">
        <f>IF('ORDENES'!$A874="","",IF('ORDENES'!$U874="","-",'ORDENES'!$U874))</f>
        <v/>
      </c>
      <c r="F896" s="3">
        <f>IF('ORDENES'!$A874="","",IF('ORDENES'!$W874="","-",'ORDENES'!$W874))</f>
        <v/>
      </c>
      <c r="G896" s="3">
        <f>IF('ORDENES'!$A874="","",IF('ORDENES'!$AB874="","-",'ORDENES'!$AB874))</f>
        <v/>
      </c>
      <c r="H896" s="3">
        <f>IF('ORDENES'!$A874="","",IF('ORDENES'!$AN874="","-",'ORDENES'!$AN874))</f>
        <v/>
      </c>
      <c r="I896" s="3">
        <f>IF('ORDENES'!$A874="","",IF('ORDENES'!$D874="","-",'ORDENES'!$D874))</f>
        <v/>
      </c>
      <c r="J896" s="3">
        <f>IF('ORDENES'!$A874="","",IF('ORDENES'!$E874="","-",'ORDENES'!$E874))</f>
        <v/>
      </c>
      <c r="K896" s="12">
        <f>IF('ORDENES'!$A874="","",IF('ORDENES'!$M874="",0,'ORDENES'!$M874))</f>
        <v/>
      </c>
      <c r="L896" s="3">
        <f>IF('ORDENES'!$A874="","",IF('ORDENES'!$N874="","-",'ORDENES'!$N874))</f>
        <v/>
      </c>
      <c r="M896" s="3">
        <f>IF('ORDENES'!$A874="","",'ORDENES'!$AA874)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IF('ORDENES'!$A875="","",IF('ORDENES'!$AC875="","-",'ORDENES'!$AC875))</f>
        <v/>
      </c>
      <c r="D897" s="3">
        <f>IF('ORDENES'!$A875="","",IF('ORDENES'!$V875="","-",'ORDENES'!$V875))</f>
        <v/>
      </c>
      <c r="E897" s="3">
        <f>IF('ORDENES'!$A875="","",IF('ORDENES'!$U875="","-",'ORDENES'!$U875))</f>
        <v/>
      </c>
      <c r="F897" s="3">
        <f>IF('ORDENES'!$A875="","",IF('ORDENES'!$W875="","-",'ORDENES'!$W875))</f>
        <v/>
      </c>
      <c r="G897" s="3">
        <f>IF('ORDENES'!$A875="","",IF('ORDENES'!$AB875="","-",'ORDENES'!$AB875))</f>
        <v/>
      </c>
      <c r="H897" s="3">
        <f>IF('ORDENES'!$A875="","",IF('ORDENES'!$AN875="","-",'ORDENES'!$AN875))</f>
        <v/>
      </c>
      <c r="I897" s="3">
        <f>IF('ORDENES'!$A875="","",IF('ORDENES'!$D875="","-",'ORDENES'!$D875))</f>
        <v/>
      </c>
      <c r="J897" s="3">
        <f>IF('ORDENES'!$A875="","",IF('ORDENES'!$E875="","-",'ORDENES'!$E875))</f>
        <v/>
      </c>
      <c r="K897" s="12">
        <f>IF('ORDENES'!$A875="","",IF('ORDENES'!$M875="",0,'ORDENES'!$M875))</f>
        <v/>
      </c>
      <c r="L897" s="3">
        <f>IF('ORDENES'!$A875="","",IF('ORDENES'!$N875="","-",'ORDENES'!$N875))</f>
        <v/>
      </c>
      <c r="M897" s="3">
        <f>IF('ORDENES'!$A875="","",'ORDENES'!$AA875)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IF('ORDENES'!$A876="","",IF('ORDENES'!$AC876="","-",'ORDENES'!$AC876))</f>
        <v/>
      </c>
      <c r="D898" s="3">
        <f>IF('ORDENES'!$A876="","",IF('ORDENES'!$V876="","-",'ORDENES'!$V876))</f>
        <v/>
      </c>
      <c r="E898" s="3">
        <f>IF('ORDENES'!$A876="","",IF('ORDENES'!$U876="","-",'ORDENES'!$U876))</f>
        <v/>
      </c>
      <c r="F898" s="3">
        <f>IF('ORDENES'!$A876="","",IF('ORDENES'!$W876="","-",'ORDENES'!$W876))</f>
        <v/>
      </c>
      <c r="G898" s="3">
        <f>IF('ORDENES'!$A876="","",IF('ORDENES'!$AB876="","-",'ORDENES'!$AB876))</f>
        <v/>
      </c>
      <c r="H898" s="3">
        <f>IF('ORDENES'!$A876="","",IF('ORDENES'!$AN876="","-",'ORDENES'!$AN876))</f>
        <v/>
      </c>
      <c r="I898" s="3">
        <f>IF('ORDENES'!$A876="","",IF('ORDENES'!$D876="","-",'ORDENES'!$D876))</f>
        <v/>
      </c>
      <c r="J898" s="3">
        <f>IF('ORDENES'!$A876="","",IF('ORDENES'!$E876="","-",'ORDENES'!$E876))</f>
        <v/>
      </c>
      <c r="K898" s="12">
        <f>IF('ORDENES'!$A876="","",IF('ORDENES'!$M876="",0,'ORDENES'!$M876))</f>
        <v/>
      </c>
      <c r="L898" s="3">
        <f>IF('ORDENES'!$A876="","",IF('ORDENES'!$N876="","-",'ORDENES'!$N876))</f>
        <v/>
      </c>
      <c r="M898" s="3">
        <f>IF('ORDENES'!$A876="","",'ORDENES'!$AA876)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IF('ORDENES'!$A877="","",IF('ORDENES'!$AC877="","-",'ORDENES'!$AC877))</f>
        <v/>
      </c>
      <c r="D899" s="3">
        <f>IF('ORDENES'!$A877="","",IF('ORDENES'!$V877="","-",'ORDENES'!$V877))</f>
        <v/>
      </c>
      <c r="E899" s="3">
        <f>IF('ORDENES'!$A877="","",IF('ORDENES'!$U877="","-",'ORDENES'!$U877))</f>
        <v/>
      </c>
      <c r="F899" s="3">
        <f>IF('ORDENES'!$A877="","",IF('ORDENES'!$W877="","-",'ORDENES'!$W877))</f>
        <v/>
      </c>
      <c r="G899" s="3">
        <f>IF('ORDENES'!$A877="","",IF('ORDENES'!$AB877="","-",'ORDENES'!$AB877))</f>
        <v/>
      </c>
      <c r="H899" s="3">
        <f>IF('ORDENES'!$A877="","",IF('ORDENES'!$AN877="","-",'ORDENES'!$AN877))</f>
        <v/>
      </c>
      <c r="I899" s="3">
        <f>IF('ORDENES'!$A877="","",IF('ORDENES'!$D877="","-",'ORDENES'!$D877))</f>
        <v/>
      </c>
      <c r="J899" s="3">
        <f>IF('ORDENES'!$A877="","",IF('ORDENES'!$E877="","-",'ORDENES'!$E877))</f>
        <v/>
      </c>
      <c r="K899" s="12">
        <f>IF('ORDENES'!$A877="","",IF('ORDENES'!$M877="",0,'ORDENES'!$M877))</f>
        <v/>
      </c>
      <c r="L899" s="3">
        <f>IF('ORDENES'!$A877="","",IF('ORDENES'!$N877="","-",'ORDENES'!$N877))</f>
        <v/>
      </c>
      <c r="M899" s="3">
        <f>IF('ORDENES'!$A877="","",'ORDENES'!$AA877)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IF('ORDENES'!$A878="","",IF('ORDENES'!$AC878="","-",'ORDENES'!$AC878))</f>
        <v/>
      </c>
      <c r="D900" s="3">
        <f>IF('ORDENES'!$A878="","",IF('ORDENES'!$V878="","-",'ORDENES'!$V878))</f>
        <v/>
      </c>
      <c r="E900" s="3">
        <f>IF('ORDENES'!$A878="","",IF('ORDENES'!$U878="","-",'ORDENES'!$U878))</f>
        <v/>
      </c>
      <c r="F900" s="3">
        <f>IF('ORDENES'!$A878="","",IF('ORDENES'!$W878="","-",'ORDENES'!$W878))</f>
        <v/>
      </c>
      <c r="G900" s="3">
        <f>IF('ORDENES'!$A878="","",IF('ORDENES'!$AB878="","-",'ORDENES'!$AB878))</f>
        <v/>
      </c>
      <c r="H900" s="3">
        <f>IF('ORDENES'!$A878="","",IF('ORDENES'!$AN878="","-",'ORDENES'!$AN878))</f>
        <v/>
      </c>
      <c r="I900" s="3">
        <f>IF('ORDENES'!$A878="","",IF('ORDENES'!$D878="","-",'ORDENES'!$D878))</f>
        <v/>
      </c>
      <c r="J900" s="3">
        <f>IF('ORDENES'!$A878="","",IF('ORDENES'!$E878="","-",'ORDENES'!$E878))</f>
        <v/>
      </c>
      <c r="K900" s="12">
        <f>IF('ORDENES'!$A878="","",IF('ORDENES'!$M878="",0,'ORDENES'!$M878))</f>
        <v/>
      </c>
      <c r="L900" s="3">
        <f>IF('ORDENES'!$A878="","",IF('ORDENES'!$N878="","-",'ORDENES'!$N878))</f>
        <v/>
      </c>
      <c r="M900" s="3">
        <f>IF('ORDENES'!$A878="","",'ORDENES'!$AA878)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IF('ORDENES'!$A879="","",IF('ORDENES'!$AC879="","-",'ORDENES'!$AC879))</f>
        <v/>
      </c>
      <c r="D901" s="3">
        <f>IF('ORDENES'!$A879="","",IF('ORDENES'!$V879="","-",'ORDENES'!$V879))</f>
        <v/>
      </c>
      <c r="E901" s="3">
        <f>IF('ORDENES'!$A879="","",IF('ORDENES'!$U879="","-",'ORDENES'!$U879))</f>
        <v/>
      </c>
      <c r="F901" s="3">
        <f>IF('ORDENES'!$A879="","",IF('ORDENES'!$W879="","-",'ORDENES'!$W879))</f>
        <v/>
      </c>
      <c r="G901" s="3">
        <f>IF('ORDENES'!$A879="","",IF('ORDENES'!$AB879="","-",'ORDENES'!$AB879))</f>
        <v/>
      </c>
      <c r="H901" s="3">
        <f>IF('ORDENES'!$A879="","",IF('ORDENES'!$AN879="","-",'ORDENES'!$AN879))</f>
        <v/>
      </c>
      <c r="I901" s="3">
        <f>IF('ORDENES'!$A879="","",IF('ORDENES'!$D879="","-",'ORDENES'!$D879))</f>
        <v/>
      </c>
      <c r="J901" s="3">
        <f>IF('ORDENES'!$A879="","",IF('ORDENES'!$E879="","-",'ORDENES'!$E879))</f>
        <v/>
      </c>
      <c r="K901" s="12">
        <f>IF('ORDENES'!$A879="","",IF('ORDENES'!$M879="",0,'ORDENES'!$M879))</f>
        <v/>
      </c>
      <c r="L901" s="3">
        <f>IF('ORDENES'!$A879="","",IF('ORDENES'!$N879="","-",'ORDENES'!$N879))</f>
        <v/>
      </c>
      <c r="M901" s="3">
        <f>IF('ORDENES'!$A879="","",'ORDENES'!$AA879)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IF('ORDENES'!$A880="","",IF('ORDENES'!$AC880="","-",'ORDENES'!$AC880))</f>
        <v/>
      </c>
      <c r="D902" s="3">
        <f>IF('ORDENES'!$A880="","",IF('ORDENES'!$V880="","-",'ORDENES'!$V880))</f>
        <v/>
      </c>
      <c r="E902" s="3">
        <f>IF('ORDENES'!$A880="","",IF('ORDENES'!$U880="","-",'ORDENES'!$U880))</f>
        <v/>
      </c>
      <c r="F902" s="3">
        <f>IF('ORDENES'!$A880="","",IF('ORDENES'!$W880="","-",'ORDENES'!$W880))</f>
        <v/>
      </c>
      <c r="G902" s="3">
        <f>IF('ORDENES'!$A880="","",IF('ORDENES'!$AB880="","-",'ORDENES'!$AB880))</f>
        <v/>
      </c>
      <c r="H902" s="3">
        <f>IF('ORDENES'!$A880="","",IF('ORDENES'!$AN880="","-",'ORDENES'!$AN880))</f>
        <v/>
      </c>
      <c r="I902" s="3">
        <f>IF('ORDENES'!$A880="","",IF('ORDENES'!$D880="","-",'ORDENES'!$D880))</f>
        <v/>
      </c>
      <c r="J902" s="3">
        <f>IF('ORDENES'!$A880="","",IF('ORDENES'!$E880="","-",'ORDENES'!$E880))</f>
        <v/>
      </c>
      <c r="K902" s="12">
        <f>IF('ORDENES'!$A880="","",IF('ORDENES'!$M880="",0,'ORDENES'!$M880))</f>
        <v/>
      </c>
      <c r="L902" s="3">
        <f>IF('ORDENES'!$A880="","",IF('ORDENES'!$N880="","-",'ORDENES'!$N880))</f>
        <v/>
      </c>
      <c r="M902" s="3">
        <f>IF('ORDENES'!$A880="","",'ORDENES'!$AA880)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IF('ORDENES'!$A881="","",IF('ORDENES'!$AC881="","-",'ORDENES'!$AC881))</f>
        <v/>
      </c>
      <c r="D903" s="3">
        <f>IF('ORDENES'!$A881="","",IF('ORDENES'!$V881="","-",'ORDENES'!$V881))</f>
        <v/>
      </c>
      <c r="E903" s="3">
        <f>IF('ORDENES'!$A881="","",IF('ORDENES'!$U881="","-",'ORDENES'!$U881))</f>
        <v/>
      </c>
      <c r="F903" s="3">
        <f>IF('ORDENES'!$A881="","",IF('ORDENES'!$W881="","-",'ORDENES'!$W881))</f>
        <v/>
      </c>
      <c r="G903" s="3">
        <f>IF('ORDENES'!$A881="","",IF('ORDENES'!$AB881="","-",'ORDENES'!$AB881))</f>
        <v/>
      </c>
      <c r="H903" s="3">
        <f>IF('ORDENES'!$A881="","",IF('ORDENES'!$AN881="","-",'ORDENES'!$AN881))</f>
        <v/>
      </c>
      <c r="I903" s="3">
        <f>IF('ORDENES'!$A881="","",IF('ORDENES'!$D881="","-",'ORDENES'!$D881))</f>
        <v/>
      </c>
      <c r="J903" s="3">
        <f>IF('ORDENES'!$A881="","",IF('ORDENES'!$E881="","-",'ORDENES'!$E881))</f>
        <v/>
      </c>
      <c r="K903" s="12">
        <f>IF('ORDENES'!$A881="","",IF('ORDENES'!$M881="",0,'ORDENES'!$M881))</f>
        <v/>
      </c>
      <c r="L903" s="3">
        <f>IF('ORDENES'!$A881="","",IF('ORDENES'!$N881="","-",'ORDENES'!$N881))</f>
        <v/>
      </c>
      <c r="M903" s="3">
        <f>IF('ORDENES'!$A881="","",'ORDENES'!$AA881)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IF('ORDENES'!$A882="","",IF('ORDENES'!$AC882="","-",'ORDENES'!$AC882))</f>
        <v/>
      </c>
      <c r="D904" s="3">
        <f>IF('ORDENES'!$A882="","",IF('ORDENES'!$V882="","-",'ORDENES'!$V882))</f>
        <v/>
      </c>
      <c r="E904" s="3">
        <f>IF('ORDENES'!$A882="","",IF('ORDENES'!$U882="","-",'ORDENES'!$U882))</f>
        <v/>
      </c>
      <c r="F904" s="3">
        <f>IF('ORDENES'!$A882="","",IF('ORDENES'!$W882="","-",'ORDENES'!$W882))</f>
        <v/>
      </c>
      <c r="G904" s="3">
        <f>IF('ORDENES'!$A882="","",IF('ORDENES'!$AB882="","-",'ORDENES'!$AB882))</f>
        <v/>
      </c>
      <c r="H904" s="3">
        <f>IF('ORDENES'!$A882="","",IF('ORDENES'!$AN882="","-",'ORDENES'!$AN882))</f>
        <v/>
      </c>
      <c r="I904" s="3">
        <f>IF('ORDENES'!$A882="","",IF('ORDENES'!$D882="","-",'ORDENES'!$D882))</f>
        <v/>
      </c>
      <c r="J904" s="3">
        <f>IF('ORDENES'!$A882="","",IF('ORDENES'!$E882="","-",'ORDENES'!$E882))</f>
        <v/>
      </c>
      <c r="K904" s="12">
        <f>IF('ORDENES'!$A882="","",IF('ORDENES'!$M882="",0,'ORDENES'!$M882))</f>
        <v/>
      </c>
      <c r="L904" s="3">
        <f>IF('ORDENES'!$A882="","",IF('ORDENES'!$N882="","-",'ORDENES'!$N882))</f>
        <v/>
      </c>
      <c r="M904" s="3">
        <f>IF('ORDENES'!$A882="","",'ORDENES'!$AA882)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IF('ORDENES'!$A883="","",IF('ORDENES'!$AC883="","-",'ORDENES'!$AC883))</f>
        <v/>
      </c>
      <c r="D905" s="3">
        <f>IF('ORDENES'!$A883="","",IF('ORDENES'!$V883="","-",'ORDENES'!$V883))</f>
        <v/>
      </c>
      <c r="E905" s="3">
        <f>IF('ORDENES'!$A883="","",IF('ORDENES'!$U883="","-",'ORDENES'!$U883))</f>
        <v/>
      </c>
      <c r="F905" s="3">
        <f>IF('ORDENES'!$A883="","",IF('ORDENES'!$W883="","-",'ORDENES'!$W883))</f>
        <v/>
      </c>
      <c r="G905" s="3">
        <f>IF('ORDENES'!$A883="","",IF('ORDENES'!$AB883="","-",'ORDENES'!$AB883))</f>
        <v/>
      </c>
      <c r="H905" s="3">
        <f>IF('ORDENES'!$A883="","",IF('ORDENES'!$AN883="","-",'ORDENES'!$AN883))</f>
        <v/>
      </c>
      <c r="I905" s="3">
        <f>IF('ORDENES'!$A883="","",IF('ORDENES'!$D883="","-",'ORDENES'!$D883))</f>
        <v/>
      </c>
      <c r="J905" s="3">
        <f>IF('ORDENES'!$A883="","",IF('ORDENES'!$E883="","-",'ORDENES'!$E883))</f>
        <v/>
      </c>
      <c r="K905" s="12">
        <f>IF('ORDENES'!$A883="","",IF('ORDENES'!$M883="",0,'ORDENES'!$M883))</f>
        <v/>
      </c>
      <c r="L905" s="3">
        <f>IF('ORDENES'!$A883="","",IF('ORDENES'!$N883="","-",'ORDENES'!$N883))</f>
        <v/>
      </c>
      <c r="M905" s="3">
        <f>IF('ORDENES'!$A883="","",'ORDENES'!$AA883)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IF('ORDENES'!$A884="","",IF('ORDENES'!$AC884="","-",'ORDENES'!$AC884))</f>
        <v/>
      </c>
      <c r="D906" s="3">
        <f>IF('ORDENES'!$A884="","",IF('ORDENES'!$V884="","-",'ORDENES'!$V884))</f>
        <v/>
      </c>
      <c r="E906" s="3">
        <f>IF('ORDENES'!$A884="","",IF('ORDENES'!$U884="","-",'ORDENES'!$U884))</f>
        <v/>
      </c>
      <c r="F906" s="3">
        <f>IF('ORDENES'!$A884="","",IF('ORDENES'!$W884="","-",'ORDENES'!$W884))</f>
        <v/>
      </c>
      <c r="G906" s="3">
        <f>IF('ORDENES'!$A884="","",IF('ORDENES'!$AB884="","-",'ORDENES'!$AB884))</f>
        <v/>
      </c>
      <c r="H906" s="3">
        <f>IF('ORDENES'!$A884="","",IF('ORDENES'!$AN884="","-",'ORDENES'!$AN884))</f>
        <v/>
      </c>
      <c r="I906" s="3">
        <f>IF('ORDENES'!$A884="","",IF('ORDENES'!$D884="","-",'ORDENES'!$D884))</f>
        <v/>
      </c>
      <c r="J906" s="3">
        <f>IF('ORDENES'!$A884="","",IF('ORDENES'!$E884="","-",'ORDENES'!$E884))</f>
        <v/>
      </c>
      <c r="K906" s="12">
        <f>IF('ORDENES'!$A884="","",IF('ORDENES'!$M884="",0,'ORDENES'!$M884))</f>
        <v/>
      </c>
      <c r="L906" s="3">
        <f>IF('ORDENES'!$A884="","",IF('ORDENES'!$N884="","-",'ORDENES'!$N884))</f>
        <v/>
      </c>
      <c r="M906" s="3">
        <f>IF('ORDENES'!$A884="","",'ORDENES'!$AA884)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IF('ORDENES'!$A885="","",IF('ORDENES'!$AC885="","-",'ORDENES'!$AC885))</f>
        <v/>
      </c>
      <c r="D907" s="3">
        <f>IF('ORDENES'!$A885="","",IF('ORDENES'!$V885="","-",'ORDENES'!$V885))</f>
        <v/>
      </c>
      <c r="E907" s="3">
        <f>IF('ORDENES'!$A885="","",IF('ORDENES'!$U885="","-",'ORDENES'!$U885))</f>
        <v/>
      </c>
      <c r="F907" s="3">
        <f>IF('ORDENES'!$A885="","",IF('ORDENES'!$W885="","-",'ORDENES'!$W885))</f>
        <v/>
      </c>
      <c r="G907" s="3">
        <f>IF('ORDENES'!$A885="","",IF('ORDENES'!$AB885="","-",'ORDENES'!$AB885))</f>
        <v/>
      </c>
      <c r="H907" s="3">
        <f>IF('ORDENES'!$A885="","",IF('ORDENES'!$AN885="","-",'ORDENES'!$AN885))</f>
        <v/>
      </c>
      <c r="I907" s="3">
        <f>IF('ORDENES'!$A885="","",IF('ORDENES'!$D885="","-",'ORDENES'!$D885))</f>
        <v/>
      </c>
      <c r="J907" s="3">
        <f>IF('ORDENES'!$A885="","",IF('ORDENES'!$E885="","-",'ORDENES'!$E885))</f>
        <v/>
      </c>
      <c r="K907" s="12">
        <f>IF('ORDENES'!$A885="","",IF('ORDENES'!$M885="",0,'ORDENES'!$M885))</f>
        <v/>
      </c>
      <c r="L907" s="3">
        <f>IF('ORDENES'!$A885="","",IF('ORDENES'!$N885="","-",'ORDENES'!$N885))</f>
        <v/>
      </c>
      <c r="M907" s="3">
        <f>IF('ORDENES'!$A885="","",'ORDENES'!$AA885)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IF('ORDENES'!$A886="","",IF('ORDENES'!$AC886="","-",'ORDENES'!$AC886))</f>
        <v/>
      </c>
      <c r="D908" s="3">
        <f>IF('ORDENES'!$A886="","",IF('ORDENES'!$V886="","-",'ORDENES'!$V886))</f>
        <v/>
      </c>
      <c r="E908" s="3">
        <f>IF('ORDENES'!$A886="","",IF('ORDENES'!$U886="","-",'ORDENES'!$U886))</f>
        <v/>
      </c>
      <c r="F908" s="3">
        <f>IF('ORDENES'!$A886="","",IF('ORDENES'!$W886="","-",'ORDENES'!$W886))</f>
        <v/>
      </c>
      <c r="G908" s="3">
        <f>IF('ORDENES'!$A886="","",IF('ORDENES'!$AB886="","-",'ORDENES'!$AB886))</f>
        <v/>
      </c>
      <c r="H908" s="3">
        <f>IF('ORDENES'!$A886="","",IF('ORDENES'!$AN886="","-",'ORDENES'!$AN886))</f>
        <v/>
      </c>
      <c r="I908" s="3">
        <f>IF('ORDENES'!$A886="","",IF('ORDENES'!$D886="","-",'ORDENES'!$D886))</f>
        <v/>
      </c>
      <c r="J908" s="3">
        <f>IF('ORDENES'!$A886="","",IF('ORDENES'!$E886="","-",'ORDENES'!$E886))</f>
        <v/>
      </c>
      <c r="K908" s="12">
        <f>IF('ORDENES'!$A886="","",IF('ORDENES'!$M886="",0,'ORDENES'!$M886))</f>
        <v/>
      </c>
      <c r="L908" s="3">
        <f>IF('ORDENES'!$A886="","",IF('ORDENES'!$N886="","-",'ORDENES'!$N886))</f>
        <v/>
      </c>
      <c r="M908" s="3">
        <f>IF('ORDENES'!$A886="","",'ORDENES'!$AA886)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IF('ORDENES'!$A887="","",IF('ORDENES'!$AC887="","-",'ORDENES'!$AC887))</f>
        <v/>
      </c>
      <c r="D909" s="3">
        <f>IF('ORDENES'!$A887="","",IF('ORDENES'!$V887="","-",'ORDENES'!$V887))</f>
        <v/>
      </c>
      <c r="E909" s="3">
        <f>IF('ORDENES'!$A887="","",IF('ORDENES'!$U887="","-",'ORDENES'!$U887))</f>
        <v/>
      </c>
      <c r="F909" s="3">
        <f>IF('ORDENES'!$A887="","",IF('ORDENES'!$W887="","-",'ORDENES'!$W887))</f>
        <v/>
      </c>
      <c r="G909" s="3">
        <f>IF('ORDENES'!$A887="","",IF('ORDENES'!$AB887="","-",'ORDENES'!$AB887))</f>
        <v/>
      </c>
      <c r="H909" s="3">
        <f>IF('ORDENES'!$A887="","",IF('ORDENES'!$AN887="","-",'ORDENES'!$AN887))</f>
        <v/>
      </c>
      <c r="I909" s="3">
        <f>IF('ORDENES'!$A887="","",IF('ORDENES'!$D887="","-",'ORDENES'!$D887))</f>
        <v/>
      </c>
      <c r="J909" s="3">
        <f>IF('ORDENES'!$A887="","",IF('ORDENES'!$E887="","-",'ORDENES'!$E887))</f>
        <v/>
      </c>
      <c r="K909" s="12">
        <f>IF('ORDENES'!$A887="","",IF('ORDENES'!$M887="",0,'ORDENES'!$M887))</f>
        <v/>
      </c>
      <c r="L909" s="3">
        <f>IF('ORDENES'!$A887="","",IF('ORDENES'!$N887="","-",'ORDENES'!$N887))</f>
        <v/>
      </c>
      <c r="M909" s="3">
        <f>IF('ORDENES'!$A887="","",'ORDENES'!$AA887)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IF('ORDENES'!$A888="","",IF('ORDENES'!$AC888="","-",'ORDENES'!$AC888))</f>
        <v/>
      </c>
      <c r="D910" s="3">
        <f>IF('ORDENES'!$A888="","",IF('ORDENES'!$V888="","-",'ORDENES'!$V888))</f>
        <v/>
      </c>
      <c r="E910" s="3">
        <f>IF('ORDENES'!$A888="","",IF('ORDENES'!$U888="","-",'ORDENES'!$U888))</f>
        <v/>
      </c>
      <c r="F910" s="3">
        <f>IF('ORDENES'!$A888="","",IF('ORDENES'!$W888="","-",'ORDENES'!$W888))</f>
        <v/>
      </c>
      <c r="G910" s="3">
        <f>IF('ORDENES'!$A888="","",IF('ORDENES'!$AB888="","-",'ORDENES'!$AB888))</f>
        <v/>
      </c>
      <c r="H910" s="3">
        <f>IF('ORDENES'!$A888="","",IF('ORDENES'!$AN888="","-",'ORDENES'!$AN888))</f>
        <v/>
      </c>
      <c r="I910" s="3">
        <f>IF('ORDENES'!$A888="","",IF('ORDENES'!$D888="","-",'ORDENES'!$D888))</f>
        <v/>
      </c>
      <c r="J910" s="3">
        <f>IF('ORDENES'!$A888="","",IF('ORDENES'!$E888="","-",'ORDENES'!$E888))</f>
        <v/>
      </c>
      <c r="K910" s="12">
        <f>IF('ORDENES'!$A888="","",IF('ORDENES'!$M888="",0,'ORDENES'!$M888))</f>
        <v/>
      </c>
      <c r="L910" s="3">
        <f>IF('ORDENES'!$A888="","",IF('ORDENES'!$N888="","-",'ORDENES'!$N888))</f>
        <v/>
      </c>
      <c r="M910" s="3">
        <f>IF('ORDENES'!$A888="","",'ORDENES'!$AA888)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IF('ORDENES'!$A889="","",IF('ORDENES'!$AC889="","-",'ORDENES'!$AC889))</f>
        <v/>
      </c>
      <c r="D911" s="3">
        <f>IF('ORDENES'!$A889="","",IF('ORDENES'!$V889="","-",'ORDENES'!$V889))</f>
        <v/>
      </c>
      <c r="E911" s="3">
        <f>IF('ORDENES'!$A889="","",IF('ORDENES'!$U889="","-",'ORDENES'!$U889))</f>
        <v/>
      </c>
      <c r="F911" s="3">
        <f>IF('ORDENES'!$A889="","",IF('ORDENES'!$W889="","-",'ORDENES'!$W889))</f>
        <v/>
      </c>
      <c r="G911" s="3">
        <f>IF('ORDENES'!$A889="","",IF('ORDENES'!$AB889="","-",'ORDENES'!$AB889))</f>
        <v/>
      </c>
      <c r="H911" s="3">
        <f>IF('ORDENES'!$A889="","",IF('ORDENES'!$AN889="","-",'ORDENES'!$AN889))</f>
        <v/>
      </c>
      <c r="I911" s="3">
        <f>IF('ORDENES'!$A889="","",IF('ORDENES'!$D889="","-",'ORDENES'!$D889))</f>
        <v/>
      </c>
      <c r="J911" s="3">
        <f>IF('ORDENES'!$A889="","",IF('ORDENES'!$E889="","-",'ORDENES'!$E889))</f>
        <v/>
      </c>
      <c r="K911" s="12">
        <f>IF('ORDENES'!$A889="","",IF('ORDENES'!$M889="",0,'ORDENES'!$M889))</f>
        <v/>
      </c>
      <c r="L911" s="3">
        <f>IF('ORDENES'!$A889="","",IF('ORDENES'!$N889="","-",'ORDENES'!$N889))</f>
        <v/>
      </c>
      <c r="M911" s="3">
        <f>IF('ORDENES'!$A889="","",'ORDENES'!$AA889)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IF('ORDENES'!$A890="","",IF('ORDENES'!$AC890="","-",'ORDENES'!$AC890))</f>
        <v/>
      </c>
      <c r="D912" s="3">
        <f>IF('ORDENES'!$A890="","",IF('ORDENES'!$V890="","-",'ORDENES'!$V890))</f>
        <v/>
      </c>
      <c r="E912" s="3">
        <f>IF('ORDENES'!$A890="","",IF('ORDENES'!$U890="","-",'ORDENES'!$U890))</f>
        <v/>
      </c>
      <c r="F912" s="3">
        <f>IF('ORDENES'!$A890="","",IF('ORDENES'!$W890="","-",'ORDENES'!$W890))</f>
        <v/>
      </c>
      <c r="G912" s="3">
        <f>IF('ORDENES'!$A890="","",IF('ORDENES'!$AB890="","-",'ORDENES'!$AB890))</f>
        <v/>
      </c>
      <c r="H912" s="3">
        <f>IF('ORDENES'!$A890="","",IF('ORDENES'!$AN890="","-",'ORDENES'!$AN890))</f>
        <v/>
      </c>
      <c r="I912" s="3">
        <f>IF('ORDENES'!$A890="","",IF('ORDENES'!$D890="","-",'ORDENES'!$D890))</f>
        <v/>
      </c>
      <c r="J912" s="3">
        <f>IF('ORDENES'!$A890="","",IF('ORDENES'!$E890="","-",'ORDENES'!$E890))</f>
        <v/>
      </c>
      <c r="K912" s="12">
        <f>IF('ORDENES'!$A890="","",IF('ORDENES'!$M890="",0,'ORDENES'!$M890))</f>
        <v/>
      </c>
      <c r="L912" s="3">
        <f>IF('ORDENES'!$A890="","",IF('ORDENES'!$N890="","-",'ORDENES'!$N890))</f>
        <v/>
      </c>
      <c r="M912" s="3">
        <f>IF('ORDENES'!$A890="","",'ORDENES'!$AA890)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IF('ORDENES'!$A891="","",IF('ORDENES'!$AC891="","-",'ORDENES'!$AC891))</f>
        <v/>
      </c>
      <c r="D913" s="3">
        <f>IF('ORDENES'!$A891="","",IF('ORDENES'!$V891="","-",'ORDENES'!$V891))</f>
        <v/>
      </c>
      <c r="E913" s="3">
        <f>IF('ORDENES'!$A891="","",IF('ORDENES'!$U891="","-",'ORDENES'!$U891))</f>
        <v/>
      </c>
      <c r="F913" s="3">
        <f>IF('ORDENES'!$A891="","",IF('ORDENES'!$W891="","-",'ORDENES'!$W891))</f>
        <v/>
      </c>
      <c r="G913" s="3">
        <f>IF('ORDENES'!$A891="","",IF('ORDENES'!$AB891="","-",'ORDENES'!$AB891))</f>
        <v/>
      </c>
      <c r="H913" s="3">
        <f>IF('ORDENES'!$A891="","",IF('ORDENES'!$AN891="","-",'ORDENES'!$AN891))</f>
        <v/>
      </c>
      <c r="I913" s="3">
        <f>IF('ORDENES'!$A891="","",IF('ORDENES'!$D891="","-",'ORDENES'!$D891))</f>
        <v/>
      </c>
      <c r="J913" s="3">
        <f>IF('ORDENES'!$A891="","",IF('ORDENES'!$E891="","-",'ORDENES'!$E891))</f>
        <v/>
      </c>
      <c r="K913" s="12">
        <f>IF('ORDENES'!$A891="","",IF('ORDENES'!$M891="",0,'ORDENES'!$M891))</f>
        <v/>
      </c>
      <c r="L913" s="3">
        <f>IF('ORDENES'!$A891="","",IF('ORDENES'!$N891="","-",'ORDENES'!$N891))</f>
        <v/>
      </c>
      <c r="M913" s="3">
        <f>IF('ORDENES'!$A891="","",'ORDENES'!$AA891)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IF('ORDENES'!$A892="","",IF('ORDENES'!$AC892="","-",'ORDENES'!$AC892))</f>
        <v/>
      </c>
      <c r="D914" s="3">
        <f>IF('ORDENES'!$A892="","",IF('ORDENES'!$V892="","-",'ORDENES'!$V892))</f>
        <v/>
      </c>
      <c r="E914" s="3">
        <f>IF('ORDENES'!$A892="","",IF('ORDENES'!$U892="","-",'ORDENES'!$U892))</f>
        <v/>
      </c>
      <c r="F914" s="3">
        <f>IF('ORDENES'!$A892="","",IF('ORDENES'!$W892="","-",'ORDENES'!$W892))</f>
        <v/>
      </c>
      <c r="G914" s="3">
        <f>IF('ORDENES'!$A892="","",IF('ORDENES'!$AB892="","-",'ORDENES'!$AB892))</f>
        <v/>
      </c>
      <c r="H914" s="3">
        <f>IF('ORDENES'!$A892="","",IF('ORDENES'!$AN892="","-",'ORDENES'!$AN892))</f>
        <v/>
      </c>
      <c r="I914" s="3">
        <f>IF('ORDENES'!$A892="","",IF('ORDENES'!$D892="","-",'ORDENES'!$D892))</f>
        <v/>
      </c>
      <c r="J914" s="3">
        <f>IF('ORDENES'!$A892="","",IF('ORDENES'!$E892="","-",'ORDENES'!$E892))</f>
        <v/>
      </c>
      <c r="K914" s="12">
        <f>IF('ORDENES'!$A892="","",IF('ORDENES'!$M892="",0,'ORDENES'!$M892))</f>
        <v/>
      </c>
      <c r="L914" s="3">
        <f>IF('ORDENES'!$A892="","",IF('ORDENES'!$N892="","-",'ORDENES'!$N892))</f>
        <v/>
      </c>
      <c r="M914" s="3">
        <f>IF('ORDENES'!$A892="","",'ORDENES'!$AA892)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IF('ORDENES'!$A893="","",IF('ORDENES'!$AC893="","-",'ORDENES'!$AC893))</f>
        <v/>
      </c>
      <c r="D915" s="3">
        <f>IF('ORDENES'!$A893="","",IF('ORDENES'!$V893="","-",'ORDENES'!$V893))</f>
        <v/>
      </c>
      <c r="E915" s="3">
        <f>IF('ORDENES'!$A893="","",IF('ORDENES'!$U893="","-",'ORDENES'!$U893))</f>
        <v/>
      </c>
      <c r="F915" s="3">
        <f>IF('ORDENES'!$A893="","",IF('ORDENES'!$W893="","-",'ORDENES'!$W893))</f>
        <v/>
      </c>
      <c r="G915" s="3">
        <f>IF('ORDENES'!$A893="","",IF('ORDENES'!$AB893="","-",'ORDENES'!$AB893))</f>
        <v/>
      </c>
      <c r="H915" s="3">
        <f>IF('ORDENES'!$A893="","",IF('ORDENES'!$AN893="","-",'ORDENES'!$AN893))</f>
        <v/>
      </c>
      <c r="I915" s="3">
        <f>IF('ORDENES'!$A893="","",IF('ORDENES'!$D893="","-",'ORDENES'!$D893))</f>
        <v/>
      </c>
      <c r="J915" s="3">
        <f>IF('ORDENES'!$A893="","",IF('ORDENES'!$E893="","-",'ORDENES'!$E893))</f>
        <v/>
      </c>
      <c r="K915" s="12">
        <f>IF('ORDENES'!$A893="","",IF('ORDENES'!$M893="",0,'ORDENES'!$M893))</f>
        <v/>
      </c>
      <c r="L915" s="3">
        <f>IF('ORDENES'!$A893="","",IF('ORDENES'!$N893="","-",'ORDENES'!$N893))</f>
        <v/>
      </c>
      <c r="M915" s="3">
        <f>IF('ORDENES'!$A893="","",'ORDENES'!$AA893)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IF('ORDENES'!$A894="","",IF('ORDENES'!$AC894="","-",'ORDENES'!$AC894))</f>
        <v/>
      </c>
      <c r="D916" s="3">
        <f>IF('ORDENES'!$A894="","",IF('ORDENES'!$V894="","-",'ORDENES'!$V894))</f>
        <v/>
      </c>
      <c r="E916" s="3">
        <f>IF('ORDENES'!$A894="","",IF('ORDENES'!$U894="","-",'ORDENES'!$U894))</f>
        <v/>
      </c>
      <c r="F916" s="3">
        <f>IF('ORDENES'!$A894="","",IF('ORDENES'!$W894="","-",'ORDENES'!$W894))</f>
        <v/>
      </c>
      <c r="G916" s="3">
        <f>IF('ORDENES'!$A894="","",IF('ORDENES'!$AB894="","-",'ORDENES'!$AB894))</f>
        <v/>
      </c>
      <c r="H916" s="3">
        <f>IF('ORDENES'!$A894="","",IF('ORDENES'!$AN894="","-",'ORDENES'!$AN894))</f>
        <v/>
      </c>
      <c r="I916" s="3">
        <f>IF('ORDENES'!$A894="","",IF('ORDENES'!$D894="","-",'ORDENES'!$D894))</f>
        <v/>
      </c>
      <c r="J916" s="3">
        <f>IF('ORDENES'!$A894="","",IF('ORDENES'!$E894="","-",'ORDENES'!$E894))</f>
        <v/>
      </c>
      <c r="K916" s="12">
        <f>IF('ORDENES'!$A894="","",IF('ORDENES'!$M894="",0,'ORDENES'!$M894))</f>
        <v/>
      </c>
      <c r="L916" s="3">
        <f>IF('ORDENES'!$A894="","",IF('ORDENES'!$N894="","-",'ORDENES'!$N894))</f>
        <v/>
      </c>
      <c r="M916" s="3">
        <f>IF('ORDENES'!$A894="","",'ORDENES'!$AA894)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IF('ORDENES'!$A895="","",IF('ORDENES'!$AC895="","-",'ORDENES'!$AC895))</f>
        <v/>
      </c>
      <c r="D917" s="3">
        <f>IF('ORDENES'!$A895="","",IF('ORDENES'!$V895="","-",'ORDENES'!$V895))</f>
        <v/>
      </c>
      <c r="E917" s="3">
        <f>IF('ORDENES'!$A895="","",IF('ORDENES'!$U895="","-",'ORDENES'!$U895))</f>
        <v/>
      </c>
      <c r="F917" s="3">
        <f>IF('ORDENES'!$A895="","",IF('ORDENES'!$W895="","-",'ORDENES'!$W895))</f>
        <v/>
      </c>
      <c r="G917" s="3">
        <f>IF('ORDENES'!$A895="","",IF('ORDENES'!$AB895="","-",'ORDENES'!$AB895))</f>
        <v/>
      </c>
      <c r="H917" s="3">
        <f>IF('ORDENES'!$A895="","",IF('ORDENES'!$AN895="","-",'ORDENES'!$AN895))</f>
        <v/>
      </c>
      <c r="I917" s="3">
        <f>IF('ORDENES'!$A895="","",IF('ORDENES'!$D895="","-",'ORDENES'!$D895))</f>
        <v/>
      </c>
      <c r="J917" s="3">
        <f>IF('ORDENES'!$A895="","",IF('ORDENES'!$E895="","-",'ORDENES'!$E895))</f>
        <v/>
      </c>
      <c r="K917" s="12">
        <f>IF('ORDENES'!$A895="","",IF('ORDENES'!$M895="",0,'ORDENES'!$M895))</f>
        <v/>
      </c>
      <c r="L917" s="3">
        <f>IF('ORDENES'!$A895="","",IF('ORDENES'!$N895="","-",'ORDENES'!$N895))</f>
        <v/>
      </c>
      <c r="M917" s="3">
        <f>IF('ORDENES'!$A895="","",'ORDENES'!$AA895)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IF('ORDENES'!$A896="","",IF('ORDENES'!$AC896="","-",'ORDENES'!$AC896))</f>
        <v/>
      </c>
      <c r="D918" s="3">
        <f>IF('ORDENES'!$A896="","",IF('ORDENES'!$V896="","-",'ORDENES'!$V896))</f>
        <v/>
      </c>
      <c r="E918" s="3">
        <f>IF('ORDENES'!$A896="","",IF('ORDENES'!$U896="","-",'ORDENES'!$U896))</f>
        <v/>
      </c>
      <c r="F918" s="3">
        <f>IF('ORDENES'!$A896="","",IF('ORDENES'!$W896="","-",'ORDENES'!$W896))</f>
        <v/>
      </c>
      <c r="G918" s="3">
        <f>IF('ORDENES'!$A896="","",IF('ORDENES'!$AB896="","-",'ORDENES'!$AB896))</f>
        <v/>
      </c>
      <c r="H918" s="3">
        <f>IF('ORDENES'!$A896="","",IF('ORDENES'!$AN896="","-",'ORDENES'!$AN896))</f>
        <v/>
      </c>
      <c r="I918" s="3">
        <f>IF('ORDENES'!$A896="","",IF('ORDENES'!$D896="","-",'ORDENES'!$D896))</f>
        <v/>
      </c>
      <c r="J918" s="3">
        <f>IF('ORDENES'!$A896="","",IF('ORDENES'!$E896="","-",'ORDENES'!$E896))</f>
        <v/>
      </c>
      <c r="K918" s="12">
        <f>IF('ORDENES'!$A896="","",IF('ORDENES'!$M896="",0,'ORDENES'!$M896))</f>
        <v/>
      </c>
      <c r="L918" s="3">
        <f>IF('ORDENES'!$A896="","",IF('ORDENES'!$N896="","-",'ORDENES'!$N896))</f>
        <v/>
      </c>
      <c r="M918" s="3">
        <f>IF('ORDENES'!$A896="","",'ORDENES'!$AA896)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IF('ORDENES'!$A897="","",IF('ORDENES'!$AC897="","-",'ORDENES'!$AC897))</f>
        <v/>
      </c>
      <c r="D919" s="3">
        <f>IF('ORDENES'!$A897="","",IF('ORDENES'!$V897="","-",'ORDENES'!$V897))</f>
        <v/>
      </c>
      <c r="E919" s="3">
        <f>IF('ORDENES'!$A897="","",IF('ORDENES'!$U897="","-",'ORDENES'!$U897))</f>
        <v/>
      </c>
      <c r="F919" s="3">
        <f>IF('ORDENES'!$A897="","",IF('ORDENES'!$W897="","-",'ORDENES'!$W897))</f>
        <v/>
      </c>
      <c r="G919" s="3">
        <f>IF('ORDENES'!$A897="","",IF('ORDENES'!$AB897="","-",'ORDENES'!$AB897))</f>
        <v/>
      </c>
      <c r="H919" s="3">
        <f>IF('ORDENES'!$A897="","",IF('ORDENES'!$AN897="","-",'ORDENES'!$AN897))</f>
        <v/>
      </c>
      <c r="I919" s="3">
        <f>IF('ORDENES'!$A897="","",IF('ORDENES'!$D897="","-",'ORDENES'!$D897))</f>
        <v/>
      </c>
      <c r="J919" s="3">
        <f>IF('ORDENES'!$A897="","",IF('ORDENES'!$E897="","-",'ORDENES'!$E897))</f>
        <v/>
      </c>
      <c r="K919" s="12">
        <f>IF('ORDENES'!$A897="","",IF('ORDENES'!$M897="",0,'ORDENES'!$M897))</f>
        <v/>
      </c>
      <c r="L919" s="3">
        <f>IF('ORDENES'!$A897="","",IF('ORDENES'!$N897="","-",'ORDENES'!$N897))</f>
        <v/>
      </c>
      <c r="M919" s="3">
        <f>IF('ORDENES'!$A897="","",'ORDENES'!$AA897)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IF('ORDENES'!$A898="","",IF('ORDENES'!$AC898="","-",'ORDENES'!$AC898))</f>
        <v/>
      </c>
      <c r="D920" s="3">
        <f>IF('ORDENES'!$A898="","",IF('ORDENES'!$V898="","-",'ORDENES'!$V898))</f>
        <v/>
      </c>
      <c r="E920" s="3">
        <f>IF('ORDENES'!$A898="","",IF('ORDENES'!$U898="","-",'ORDENES'!$U898))</f>
        <v/>
      </c>
      <c r="F920" s="3">
        <f>IF('ORDENES'!$A898="","",IF('ORDENES'!$W898="","-",'ORDENES'!$W898))</f>
        <v/>
      </c>
      <c r="G920" s="3">
        <f>IF('ORDENES'!$A898="","",IF('ORDENES'!$AB898="","-",'ORDENES'!$AB898))</f>
        <v/>
      </c>
      <c r="H920" s="3">
        <f>IF('ORDENES'!$A898="","",IF('ORDENES'!$AN898="","-",'ORDENES'!$AN898))</f>
        <v/>
      </c>
      <c r="I920" s="3">
        <f>IF('ORDENES'!$A898="","",IF('ORDENES'!$D898="","-",'ORDENES'!$D898))</f>
        <v/>
      </c>
      <c r="J920" s="3">
        <f>IF('ORDENES'!$A898="","",IF('ORDENES'!$E898="","-",'ORDENES'!$E898))</f>
        <v/>
      </c>
      <c r="K920" s="12">
        <f>IF('ORDENES'!$A898="","",IF('ORDENES'!$M898="",0,'ORDENES'!$M898))</f>
        <v/>
      </c>
      <c r="L920" s="3">
        <f>IF('ORDENES'!$A898="","",IF('ORDENES'!$N898="","-",'ORDENES'!$N898))</f>
        <v/>
      </c>
      <c r="M920" s="3">
        <f>IF('ORDENES'!$A898="","",'ORDENES'!$AA898)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IF('ORDENES'!$A899="","",IF('ORDENES'!$AC899="","-",'ORDENES'!$AC899))</f>
        <v/>
      </c>
      <c r="D921" s="3">
        <f>IF('ORDENES'!$A899="","",IF('ORDENES'!$V899="","-",'ORDENES'!$V899))</f>
        <v/>
      </c>
      <c r="E921" s="3">
        <f>IF('ORDENES'!$A899="","",IF('ORDENES'!$U899="","-",'ORDENES'!$U899))</f>
        <v/>
      </c>
      <c r="F921" s="3">
        <f>IF('ORDENES'!$A899="","",IF('ORDENES'!$W899="","-",'ORDENES'!$W899))</f>
        <v/>
      </c>
      <c r="G921" s="3">
        <f>IF('ORDENES'!$A899="","",IF('ORDENES'!$AB899="","-",'ORDENES'!$AB899))</f>
        <v/>
      </c>
      <c r="H921" s="3">
        <f>IF('ORDENES'!$A899="","",IF('ORDENES'!$AN899="","-",'ORDENES'!$AN899))</f>
        <v/>
      </c>
      <c r="I921" s="3">
        <f>IF('ORDENES'!$A899="","",IF('ORDENES'!$D899="","-",'ORDENES'!$D899))</f>
        <v/>
      </c>
      <c r="J921" s="3">
        <f>IF('ORDENES'!$A899="","",IF('ORDENES'!$E899="","-",'ORDENES'!$E899))</f>
        <v/>
      </c>
      <c r="K921" s="12">
        <f>IF('ORDENES'!$A899="","",IF('ORDENES'!$M899="",0,'ORDENES'!$M899))</f>
        <v/>
      </c>
      <c r="L921" s="3">
        <f>IF('ORDENES'!$A899="","",IF('ORDENES'!$N899="","-",'ORDENES'!$N899))</f>
        <v/>
      </c>
      <c r="M921" s="3">
        <f>IF('ORDENES'!$A899="","",'ORDENES'!$AA899)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IF('ORDENES'!$A900="","",IF('ORDENES'!$AC900="","-",'ORDENES'!$AC900))</f>
        <v/>
      </c>
      <c r="D922" s="3">
        <f>IF('ORDENES'!$A900="","",IF('ORDENES'!$V900="","-",'ORDENES'!$V900))</f>
        <v/>
      </c>
      <c r="E922" s="3">
        <f>IF('ORDENES'!$A900="","",IF('ORDENES'!$U900="","-",'ORDENES'!$U900))</f>
        <v/>
      </c>
      <c r="F922" s="3">
        <f>IF('ORDENES'!$A900="","",IF('ORDENES'!$W900="","-",'ORDENES'!$W900))</f>
        <v/>
      </c>
      <c r="G922" s="3">
        <f>IF('ORDENES'!$A900="","",IF('ORDENES'!$AB900="","-",'ORDENES'!$AB900))</f>
        <v/>
      </c>
      <c r="H922" s="3">
        <f>IF('ORDENES'!$A900="","",IF('ORDENES'!$AN900="","-",'ORDENES'!$AN900))</f>
        <v/>
      </c>
      <c r="I922" s="3">
        <f>IF('ORDENES'!$A900="","",IF('ORDENES'!$D900="","-",'ORDENES'!$D900))</f>
        <v/>
      </c>
      <c r="J922" s="3">
        <f>IF('ORDENES'!$A900="","",IF('ORDENES'!$E900="","-",'ORDENES'!$E900))</f>
        <v/>
      </c>
      <c r="K922" s="12">
        <f>IF('ORDENES'!$A900="","",IF('ORDENES'!$M900="",0,'ORDENES'!$M900))</f>
        <v/>
      </c>
      <c r="L922" s="3">
        <f>IF('ORDENES'!$A900="","",IF('ORDENES'!$N900="","-",'ORDENES'!$N900))</f>
        <v/>
      </c>
      <c r="M922" s="3">
        <f>IF('ORDENES'!$A900="","",'ORDENES'!$AA900)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IF('ORDENES'!$A901="","",IF('ORDENES'!$AC901="","-",'ORDENES'!$AC901))</f>
        <v/>
      </c>
      <c r="D923" s="3">
        <f>IF('ORDENES'!$A901="","",IF('ORDENES'!$V901="","-",'ORDENES'!$V901))</f>
        <v/>
      </c>
      <c r="E923" s="3">
        <f>IF('ORDENES'!$A901="","",IF('ORDENES'!$U901="","-",'ORDENES'!$U901))</f>
        <v/>
      </c>
      <c r="F923" s="3">
        <f>IF('ORDENES'!$A901="","",IF('ORDENES'!$W901="","-",'ORDENES'!$W901))</f>
        <v/>
      </c>
      <c r="G923" s="3">
        <f>IF('ORDENES'!$A901="","",IF('ORDENES'!$AB901="","-",'ORDENES'!$AB901))</f>
        <v/>
      </c>
      <c r="H923" s="3">
        <f>IF('ORDENES'!$A901="","",IF('ORDENES'!$AN901="","-",'ORDENES'!$AN901))</f>
        <v/>
      </c>
      <c r="I923" s="3">
        <f>IF('ORDENES'!$A901="","",IF('ORDENES'!$D901="","-",'ORDENES'!$D901))</f>
        <v/>
      </c>
      <c r="J923" s="3">
        <f>IF('ORDENES'!$A901="","",IF('ORDENES'!$E901="","-",'ORDENES'!$E901))</f>
        <v/>
      </c>
      <c r="K923" s="12">
        <f>IF('ORDENES'!$A901="","",IF('ORDENES'!$M901="",0,'ORDENES'!$M901))</f>
        <v/>
      </c>
      <c r="L923" s="3">
        <f>IF('ORDENES'!$A901="","",IF('ORDENES'!$N901="","-",'ORDENES'!$N901))</f>
        <v/>
      </c>
      <c r="M923" s="3">
        <f>IF('ORDENES'!$A901="","",'ORDENES'!$AA901)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IF('ORDENES'!$A902="","",IF('ORDENES'!$AC902="","-",'ORDENES'!$AC902))</f>
        <v/>
      </c>
      <c r="D924" s="3">
        <f>IF('ORDENES'!$A902="","",IF('ORDENES'!$V902="","-",'ORDENES'!$V902))</f>
        <v/>
      </c>
      <c r="E924" s="3">
        <f>IF('ORDENES'!$A902="","",IF('ORDENES'!$U902="","-",'ORDENES'!$U902))</f>
        <v/>
      </c>
      <c r="F924" s="3">
        <f>IF('ORDENES'!$A902="","",IF('ORDENES'!$W902="","-",'ORDENES'!$W902))</f>
        <v/>
      </c>
      <c r="G924" s="3">
        <f>IF('ORDENES'!$A902="","",IF('ORDENES'!$AB902="","-",'ORDENES'!$AB902))</f>
        <v/>
      </c>
      <c r="H924" s="3">
        <f>IF('ORDENES'!$A902="","",IF('ORDENES'!$AN902="","-",'ORDENES'!$AN902))</f>
        <v/>
      </c>
      <c r="I924" s="3">
        <f>IF('ORDENES'!$A902="","",IF('ORDENES'!$D902="","-",'ORDENES'!$D902))</f>
        <v/>
      </c>
      <c r="J924" s="3">
        <f>IF('ORDENES'!$A902="","",IF('ORDENES'!$E902="","-",'ORDENES'!$E902))</f>
        <v/>
      </c>
      <c r="K924" s="12">
        <f>IF('ORDENES'!$A902="","",IF('ORDENES'!$M902="",0,'ORDENES'!$M902))</f>
        <v/>
      </c>
      <c r="L924" s="3">
        <f>IF('ORDENES'!$A902="","",IF('ORDENES'!$N902="","-",'ORDENES'!$N902))</f>
        <v/>
      </c>
      <c r="M924" s="3">
        <f>IF('ORDENES'!$A902="","",'ORDENES'!$AA902)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IF('ORDENES'!$A903="","",IF('ORDENES'!$AC903="","-",'ORDENES'!$AC903))</f>
        <v/>
      </c>
      <c r="D925" s="3">
        <f>IF('ORDENES'!$A903="","",IF('ORDENES'!$V903="","-",'ORDENES'!$V903))</f>
        <v/>
      </c>
      <c r="E925" s="3">
        <f>IF('ORDENES'!$A903="","",IF('ORDENES'!$U903="","-",'ORDENES'!$U903))</f>
        <v/>
      </c>
      <c r="F925" s="3">
        <f>IF('ORDENES'!$A903="","",IF('ORDENES'!$W903="","-",'ORDENES'!$W903))</f>
        <v/>
      </c>
      <c r="G925" s="3">
        <f>IF('ORDENES'!$A903="","",IF('ORDENES'!$AB903="","-",'ORDENES'!$AB903))</f>
        <v/>
      </c>
      <c r="H925" s="3">
        <f>IF('ORDENES'!$A903="","",IF('ORDENES'!$AN903="","-",'ORDENES'!$AN903))</f>
        <v/>
      </c>
      <c r="I925" s="3">
        <f>IF('ORDENES'!$A903="","",IF('ORDENES'!$D903="","-",'ORDENES'!$D903))</f>
        <v/>
      </c>
      <c r="J925" s="3">
        <f>IF('ORDENES'!$A903="","",IF('ORDENES'!$E903="","-",'ORDENES'!$E903))</f>
        <v/>
      </c>
      <c r="K925" s="12">
        <f>IF('ORDENES'!$A903="","",IF('ORDENES'!$M903="",0,'ORDENES'!$M903))</f>
        <v/>
      </c>
      <c r="L925" s="3">
        <f>IF('ORDENES'!$A903="","",IF('ORDENES'!$N903="","-",'ORDENES'!$N903))</f>
        <v/>
      </c>
      <c r="M925" s="3">
        <f>IF('ORDENES'!$A903="","",'ORDENES'!$AA903)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IF('ORDENES'!$A904="","",IF('ORDENES'!$AC904="","-",'ORDENES'!$AC904))</f>
        <v/>
      </c>
      <c r="D926" s="3">
        <f>IF('ORDENES'!$A904="","",IF('ORDENES'!$V904="","-",'ORDENES'!$V904))</f>
        <v/>
      </c>
      <c r="E926" s="3">
        <f>IF('ORDENES'!$A904="","",IF('ORDENES'!$U904="","-",'ORDENES'!$U904))</f>
        <v/>
      </c>
      <c r="F926" s="3">
        <f>IF('ORDENES'!$A904="","",IF('ORDENES'!$W904="","-",'ORDENES'!$W904))</f>
        <v/>
      </c>
      <c r="G926" s="3">
        <f>IF('ORDENES'!$A904="","",IF('ORDENES'!$AB904="","-",'ORDENES'!$AB904))</f>
        <v/>
      </c>
      <c r="H926" s="3">
        <f>IF('ORDENES'!$A904="","",IF('ORDENES'!$AN904="","-",'ORDENES'!$AN904))</f>
        <v/>
      </c>
      <c r="I926" s="3">
        <f>IF('ORDENES'!$A904="","",IF('ORDENES'!$D904="","-",'ORDENES'!$D904))</f>
        <v/>
      </c>
      <c r="J926" s="3">
        <f>IF('ORDENES'!$A904="","",IF('ORDENES'!$E904="","-",'ORDENES'!$E904))</f>
        <v/>
      </c>
      <c r="K926" s="12">
        <f>IF('ORDENES'!$A904="","",IF('ORDENES'!$M904="",0,'ORDENES'!$M904))</f>
        <v/>
      </c>
      <c r="L926" s="3">
        <f>IF('ORDENES'!$A904="","",IF('ORDENES'!$N904="","-",'ORDENES'!$N904))</f>
        <v/>
      </c>
      <c r="M926" s="3">
        <f>IF('ORDENES'!$A904="","",'ORDENES'!$AA904)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IF('ORDENES'!$A905="","",IF('ORDENES'!$AC905="","-",'ORDENES'!$AC905))</f>
        <v/>
      </c>
      <c r="D927" s="3">
        <f>IF('ORDENES'!$A905="","",IF('ORDENES'!$V905="","-",'ORDENES'!$V905))</f>
        <v/>
      </c>
      <c r="E927" s="3">
        <f>IF('ORDENES'!$A905="","",IF('ORDENES'!$U905="","-",'ORDENES'!$U905))</f>
        <v/>
      </c>
      <c r="F927" s="3">
        <f>IF('ORDENES'!$A905="","",IF('ORDENES'!$W905="","-",'ORDENES'!$W905))</f>
        <v/>
      </c>
      <c r="G927" s="3">
        <f>IF('ORDENES'!$A905="","",IF('ORDENES'!$AB905="","-",'ORDENES'!$AB905))</f>
        <v/>
      </c>
      <c r="H927" s="3">
        <f>IF('ORDENES'!$A905="","",IF('ORDENES'!$AN905="","-",'ORDENES'!$AN905))</f>
        <v/>
      </c>
      <c r="I927" s="3">
        <f>IF('ORDENES'!$A905="","",IF('ORDENES'!$D905="","-",'ORDENES'!$D905))</f>
        <v/>
      </c>
      <c r="J927" s="3">
        <f>IF('ORDENES'!$A905="","",IF('ORDENES'!$E905="","-",'ORDENES'!$E905))</f>
        <v/>
      </c>
      <c r="K927" s="12">
        <f>IF('ORDENES'!$A905="","",IF('ORDENES'!$M905="",0,'ORDENES'!$M905))</f>
        <v/>
      </c>
      <c r="L927" s="3">
        <f>IF('ORDENES'!$A905="","",IF('ORDENES'!$N905="","-",'ORDENES'!$N905))</f>
        <v/>
      </c>
      <c r="M927" s="3">
        <f>IF('ORDENES'!$A905="","",'ORDENES'!$AA905)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IF('ORDENES'!$A906="","",IF('ORDENES'!$AC906="","-",'ORDENES'!$AC906))</f>
        <v/>
      </c>
      <c r="D928" s="3">
        <f>IF('ORDENES'!$A906="","",IF('ORDENES'!$V906="","-",'ORDENES'!$V906))</f>
        <v/>
      </c>
      <c r="E928" s="3">
        <f>IF('ORDENES'!$A906="","",IF('ORDENES'!$U906="","-",'ORDENES'!$U906))</f>
        <v/>
      </c>
      <c r="F928" s="3">
        <f>IF('ORDENES'!$A906="","",IF('ORDENES'!$W906="","-",'ORDENES'!$W906))</f>
        <v/>
      </c>
      <c r="G928" s="3">
        <f>IF('ORDENES'!$A906="","",IF('ORDENES'!$AB906="","-",'ORDENES'!$AB906))</f>
        <v/>
      </c>
      <c r="H928" s="3">
        <f>IF('ORDENES'!$A906="","",IF('ORDENES'!$AN906="","-",'ORDENES'!$AN906))</f>
        <v/>
      </c>
      <c r="I928" s="3">
        <f>IF('ORDENES'!$A906="","",IF('ORDENES'!$D906="","-",'ORDENES'!$D906))</f>
        <v/>
      </c>
      <c r="J928" s="3">
        <f>IF('ORDENES'!$A906="","",IF('ORDENES'!$E906="","-",'ORDENES'!$E906))</f>
        <v/>
      </c>
      <c r="K928" s="12">
        <f>IF('ORDENES'!$A906="","",IF('ORDENES'!$M906="",0,'ORDENES'!$M906))</f>
        <v/>
      </c>
      <c r="L928" s="3">
        <f>IF('ORDENES'!$A906="","",IF('ORDENES'!$N906="","-",'ORDENES'!$N906))</f>
        <v/>
      </c>
      <c r="M928" s="3">
        <f>IF('ORDENES'!$A906="","",'ORDENES'!$AA906)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IF('ORDENES'!$A907="","",IF('ORDENES'!$AC907="","-",'ORDENES'!$AC907))</f>
        <v/>
      </c>
      <c r="D929" s="3">
        <f>IF('ORDENES'!$A907="","",IF('ORDENES'!$V907="","-",'ORDENES'!$V907))</f>
        <v/>
      </c>
      <c r="E929" s="3">
        <f>IF('ORDENES'!$A907="","",IF('ORDENES'!$U907="","-",'ORDENES'!$U907))</f>
        <v/>
      </c>
      <c r="F929" s="3">
        <f>IF('ORDENES'!$A907="","",IF('ORDENES'!$W907="","-",'ORDENES'!$W907))</f>
        <v/>
      </c>
      <c r="G929" s="3">
        <f>IF('ORDENES'!$A907="","",IF('ORDENES'!$AB907="","-",'ORDENES'!$AB907))</f>
        <v/>
      </c>
      <c r="H929" s="3">
        <f>IF('ORDENES'!$A907="","",IF('ORDENES'!$AN907="","-",'ORDENES'!$AN907))</f>
        <v/>
      </c>
      <c r="I929" s="3">
        <f>IF('ORDENES'!$A907="","",IF('ORDENES'!$D907="","-",'ORDENES'!$D907))</f>
        <v/>
      </c>
      <c r="J929" s="3">
        <f>IF('ORDENES'!$A907="","",IF('ORDENES'!$E907="","-",'ORDENES'!$E907))</f>
        <v/>
      </c>
      <c r="K929" s="12">
        <f>IF('ORDENES'!$A907="","",IF('ORDENES'!$M907="",0,'ORDENES'!$M907))</f>
        <v/>
      </c>
      <c r="L929" s="3">
        <f>IF('ORDENES'!$A907="","",IF('ORDENES'!$N907="","-",'ORDENES'!$N907))</f>
        <v/>
      </c>
      <c r="M929" s="3">
        <f>IF('ORDENES'!$A907="","",'ORDENES'!$AA907)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IF('ORDENES'!$A908="","",IF('ORDENES'!$AC908="","-",'ORDENES'!$AC908))</f>
        <v/>
      </c>
      <c r="D930" s="3">
        <f>IF('ORDENES'!$A908="","",IF('ORDENES'!$V908="","-",'ORDENES'!$V908))</f>
        <v/>
      </c>
      <c r="E930" s="3">
        <f>IF('ORDENES'!$A908="","",IF('ORDENES'!$U908="","-",'ORDENES'!$U908))</f>
        <v/>
      </c>
      <c r="F930" s="3">
        <f>IF('ORDENES'!$A908="","",IF('ORDENES'!$W908="","-",'ORDENES'!$W908))</f>
        <v/>
      </c>
      <c r="G930" s="3">
        <f>IF('ORDENES'!$A908="","",IF('ORDENES'!$AB908="","-",'ORDENES'!$AB908))</f>
        <v/>
      </c>
      <c r="H930" s="3">
        <f>IF('ORDENES'!$A908="","",IF('ORDENES'!$AN908="","-",'ORDENES'!$AN908))</f>
        <v/>
      </c>
      <c r="I930" s="3">
        <f>IF('ORDENES'!$A908="","",IF('ORDENES'!$D908="","-",'ORDENES'!$D908))</f>
        <v/>
      </c>
      <c r="J930" s="3">
        <f>IF('ORDENES'!$A908="","",IF('ORDENES'!$E908="","-",'ORDENES'!$E908))</f>
        <v/>
      </c>
      <c r="K930" s="12">
        <f>IF('ORDENES'!$A908="","",IF('ORDENES'!$M908="",0,'ORDENES'!$M908))</f>
        <v/>
      </c>
      <c r="L930" s="3">
        <f>IF('ORDENES'!$A908="","",IF('ORDENES'!$N908="","-",'ORDENES'!$N908))</f>
        <v/>
      </c>
      <c r="M930" s="3">
        <f>IF('ORDENES'!$A908="","",'ORDENES'!$AA908)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IF('ORDENES'!$A909="","",IF('ORDENES'!$AC909="","-",'ORDENES'!$AC909))</f>
        <v/>
      </c>
      <c r="D931" s="3">
        <f>IF('ORDENES'!$A909="","",IF('ORDENES'!$V909="","-",'ORDENES'!$V909))</f>
        <v/>
      </c>
      <c r="E931" s="3">
        <f>IF('ORDENES'!$A909="","",IF('ORDENES'!$U909="","-",'ORDENES'!$U909))</f>
        <v/>
      </c>
      <c r="F931" s="3">
        <f>IF('ORDENES'!$A909="","",IF('ORDENES'!$W909="","-",'ORDENES'!$W909))</f>
        <v/>
      </c>
      <c r="G931" s="3">
        <f>IF('ORDENES'!$A909="","",IF('ORDENES'!$AB909="","-",'ORDENES'!$AB909))</f>
        <v/>
      </c>
      <c r="H931" s="3">
        <f>IF('ORDENES'!$A909="","",IF('ORDENES'!$AN909="","-",'ORDENES'!$AN909))</f>
        <v/>
      </c>
      <c r="I931" s="3">
        <f>IF('ORDENES'!$A909="","",IF('ORDENES'!$D909="","-",'ORDENES'!$D909))</f>
        <v/>
      </c>
      <c r="J931" s="3">
        <f>IF('ORDENES'!$A909="","",IF('ORDENES'!$E909="","-",'ORDENES'!$E909))</f>
        <v/>
      </c>
      <c r="K931" s="12">
        <f>IF('ORDENES'!$A909="","",IF('ORDENES'!$M909="",0,'ORDENES'!$M909))</f>
        <v/>
      </c>
      <c r="L931" s="3">
        <f>IF('ORDENES'!$A909="","",IF('ORDENES'!$N909="","-",'ORDENES'!$N909))</f>
        <v/>
      </c>
      <c r="M931" s="3">
        <f>IF('ORDENES'!$A909="","",'ORDENES'!$AA909)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IF('ORDENES'!$A910="","",IF('ORDENES'!$AC910="","-",'ORDENES'!$AC910))</f>
        <v/>
      </c>
      <c r="D932" s="3">
        <f>IF('ORDENES'!$A910="","",IF('ORDENES'!$V910="","-",'ORDENES'!$V910))</f>
        <v/>
      </c>
      <c r="E932" s="3">
        <f>IF('ORDENES'!$A910="","",IF('ORDENES'!$U910="","-",'ORDENES'!$U910))</f>
        <v/>
      </c>
      <c r="F932" s="3">
        <f>IF('ORDENES'!$A910="","",IF('ORDENES'!$W910="","-",'ORDENES'!$W910))</f>
        <v/>
      </c>
      <c r="G932" s="3">
        <f>IF('ORDENES'!$A910="","",IF('ORDENES'!$AB910="","-",'ORDENES'!$AB910))</f>
        <v/>
      </c>
      <c r="H932" s="3">
        <f>IF('ORDENES'!$A910="","",IF('ORDENES'!$AN910="","-",'ORDENES'!$AN910))</f>
        <v/>
      </c>
      <c r="I932" s="3">
        <f>IF('ORDENES'!$A910="","",IF('ORDENES'!$D910="","-",'ORDENES'!$D910))</f>
        <v/>
      </c>
      <c r="J932" s="3">
        <f>IF('ORDENES'!$A910="","",IF('ORDENES'!$E910="","-",'ORDENES'!$E910))</f>
        <v/>
      </c>
      <c r="K932" s="12">
        <f>IF('ORDENES'!$A910="","",IF('ORDENES'!$M910="",0,'ORDENES'!$M910))</f>
        <v/>
      </c>
      <c r="L932" s="3">
        <f>IF('ORDENES'!$A910="","",IF('ORDENES'!$N910="","-",'ORDENES'!$N910))</f>
        <v/>
      </c>
      <c r="M932" s="3">
        <f>IF('ORDENES'!$A910="","",'ORDENES'!$AA910)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IF('ORDENES'!$A911="","",IF('ORDENES'!$AC911="","-",'ORDENES'!$AC911))</f>
        <v/>
      </c>
      <c r="D933" s="3">
        <f>IF('ORDENES'!$A911="","",IF('ORDENES'!$V911="","-",'ORDENES'!$V911))</f>
        <v/>
      </c>
      <c r="E933" s="3">
        <f>IF('ORDENES'!$A911="","",IF('ORDENES'!$U911="","-",'ORDENES'!$U911))</f>
        <v/>
      </c>
      <c r="F933" s="3">
        <f>IF('ORDENES'!$A911="","",IF('ORDENES'!$W911="","-",'ORDENES'!$W911))</f>
        <v/>
      </c>
      <c r="G933" s="3">
        <f>IF('ORDENES'!$A911="","",IF('ORDENES'!$AB911="","-",'ORDENES'!$AB911))</f>
        <v/>
      </c>
      <c r="H933" s="3">
        <f>IF('ORDENES'!$A911="","",IF('ORDENES'!$AN911="","-",'ORDENES'!$AN911))</f>
        <v/>
      </c>
      <c r="I933" s="3">
        <f>IF('ORDENES'!$A911="","",IF('ORDENES'!$D911="","-",'ORDENES'!$D911))</f>
        <v/>
      </c>
      <c r="J933" s="3">
        <f>IF('ORDENES'!$A911="","",IF('ORDENES'!$E911="","-",'ORDENES'!$E911))</f>
        <v/>
      </c>
      <c r="K933" s="12">
        <f>IF('ORDENES'!$A911="","",IF('ORDENES'!$M911="",0,'ORDENES'!$M911))</f>
        <v/>
      </c>
      <c r="L933" s="3">
        <f>IF('ORDENES'!$A911="","",IF('ORDENES'!$N911="","-",'ORDENES'!$N911))</f>
        <v/>
      </c>
      <c r="M933" s="3">
        <f>IF('ORDENES'!$A911="","",'ORDENES'!$AA911)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IF('ORDENES'!$A912="","",IF('ORDENES'!$AC912="","-",'ORDENES'!$AC912))</f>
        <v/>
      </c>
      <c r="D934" s="3">
        <f>IF('ORDENES'!$A912="","",IF('ORDENES'!$V912="","-",'ORDENES'!$V912))</f>
        <v/>
      </c>
      <c r="E934" s="3">
        <f>IF('ORDENES'!$A912="","",IF('ORDENES'!$U912="","-",'ORDENES'!$U912))</f>
        <v/>
      </c>
      <c r="F934" s="3">
        <f>IF('ORDENES'!$A912="","",IF('ORDENES'!$W912="","-",'ORDENES'!$W912))</f>
        <v/>
      </c>
      <c r="G934" s="3">
        <f>IF('ORDENES'!$A912="","",IF('ORDENES'!$AB912="","-",'ORDENES'!$AB912))</f>
        <v/>
      </c>
      <c r="H934" s="3">
        <f>IF('ORDENES'!$A912="","",IF('ORDENES'!$AN912="","-",'ORDENES'!$AN912))</f>
        <v/>
      </c>
      <c r="I934" s="3">
        <f>IF('ORDENES'!$A912="","",IF('ORDENES'!$D912="","-",'ORDENES'!$D912))</f>
        <v/>
      </c>
      <c r="J934" s="3">
        <f>IF('ORDENES'!$A912="","",IF('ORDENES'!$E912="","-",'ORDENES'!$E912))</f>
        <v/>
      </c>
      <c r="K934" s="12">
        <f>IF('ORDENES'!$A912="","",IF('ORDENES'!$M912="",0,'ORDENES'!$M912))</f>
        <v/>
      </c>
      <c r="L934" s="3">
        <f>IF('ORDENES'!$A912="","",IF('ORDENES'!$N912="","-",'ORDENES'!$N912))</f>
        <v/>
      </c>
      <c r="M934" s="3">
        <f>IF('ORDENES'!$A912="","",'ORDENES'!$AA912)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IF('ORDENES'!$A913="","",IF('ORDENES'!$AC913="","-",'ORDENES'!$AC913))</f>
        <v/>
      </c>
      <c r="D935" s="3">
        <f>IF('ORDENES'!$A913="","",IF('ORDENES'!$V913="","-",'ORDENES'!$V913))</f>
        <v/>
      </c>
      <c r="E935" s="3">
        <f>IF('ORDENES'!$A913="","",IF('ORDENES'!$U913="","-",'ORDENES'!$U913))</f>
        <v/>
      </c>
      <c r="F935" s="3">
        <f>IF('ORDENES'!$A913="","",IF('ORDENES'!$W913="","-",'ORDENES'!$W913))</f>
        <v/>
      </c>
      <c r="G935" s="3">
        <f>IF('ORDENES'!$A913="","",IF('ORDENES'!$AB913="","-",'ORDENES'!$AB913))</f>
        <v/>
      </c>
      <c r="H935" s="3">
        <f>IF('ORDENES'!$A913="","",IF('ORDENES'!$AN913="","-",'ORDENES'!$AN913))</f>
        <v/>
      </c>
      <c r="I935" s="3">
        <f>IF('ORDENES'!$A913="","",IF('ORDENES'!$D913="","-",'ORDENES'!$D913))</f>
        <v/>
      </c>
      <c r="J935" s="3">
        <f>IF('ORDENES'!$A913="","",IF('ORDENES'!$E913="","-",'ORDENES'!$E913))</f>
        <v/>
      </c>
      <c r="K935" s="12">
        <f>IF('ORDENES'!$A913="","",IF('ORDENES'!$M913="",0,'ORDENES'!$M913))</f>
        <v/>
      </c>
      <c r="L935" s="3">
        <f>IF('ORDENES'!$A913="","",IF('ORDENES'!$N913="","-",'ORDENES'!$N913))</f>
        <v/>
      </c>
      <c r="M935" s="3">
        <f>IF('ORDENES'!$A913="","",'ORDENES'!$AA913)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IF('ORDENES'!$A914="","",IF('ORDENES'!$AC914="","-",'ORDENES'!$AC914))</f>
        <v/>
      </c>
      <c r="D936" s="3">
        <f>IF('ORDENES'!$A914="","",IF('ORDENES'!$V914="","-",'ORDENES'!$V914))</f>
        <v/>
      </c>
      <c r="E936" s="3">
        <f>IF('ORDENES'!$A914="","",IF('ORDENES'!$U914="","-",'ORDENES'!$U914))</f>
        <v/>
      </c>
      <c r="F936" s="3">
        <f>IF('ORDENES'!$A914="","",IF('ORDENES'!$W914="","-",'ORDENES'!$W914))</f>
        <v/>
      </c>
      <c r="G936" s="3">
        <f>IF('ORDENES'!$A914="","",IF('ORDENES'!$AB914="","-",'ORDENES'!$AB914))</f>
        <v/>
      </c>
      <c r="H936" s="3">
        <f>IF('ORDENES'!$A914="","",IF('ORDENES'!$AN914="","-",'ORDENES'!$AN914))</f>
        <v/>
      </c>
      <c r="I936" s="3">
        <f>IF('ORDENES'!$A914="","",IF('ORDENES'!$D914="","-",'ORDENES'!$D914))</f>
        <v/>
      </c>
      <c r="J936" s="3">
        <f>IF('ORDENES'!$A914="","",IF('ORDENES'!$E914="","-",'ORDENES'!$E914))</f>
        <v/>
      </c>
      <c r="K936" s="12">
        <f>IF('ORDENES'!$A914="","",IF('ORDENES'!$M914="",0,'ORDENES'!$M914))</f>
        <v/>
      </c>
      <c r="L936" s="3">
        <f>IF('ORDENES'!$A914="","",IF('ORDENES'!$N914="","-",'ORDENES'!$N914))</f>
        <v/>
      </c>
      <c r="M936" s="3">
        <f>IF('ORDENES'!$A914="","",'ORDENES'!$AA914)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IF('ORDENES'!$A915="","",IF('ORDENES'!$AC915="","-",'ORDENES'!$AC915))</f>
        <v/>
      </c>
      <c r="D937" s="3">
        <f>IF('ORDENES'!$A915="","",IF('ORDENES'!$V915="","-",'ORDENES'!$V915))</f>
        <v/>
      </c>
      <c r="E937" s="3">
        <f>IF('ORDENES'!$A915="","",IF('ORDENES'!$U915="","-",'ORDENES'!$U915))</f>
        <v/>
      </c>
      <c r="F937" s="3">
        <f>IF('ORDENES'!$A915="","",IF('ORDENES'!$W915="","-",'ORDENES'!$W915))</f>
        <v/>
      </c>
      <c r="G937" s="3">
        <f>IF('ORDENES'!$A915="","",IF('ORDENES'!$AB915="","-",'ORDENES'!$AB915))</f>
        <v/>
      </c>
      <c r="H937" s="3">
        <f>IF('ORDENES'!$A915="","",IF('ORDENES'!$AN915="","-",'ORDENES'!$AN915))</f>
        <v/>
      </c>
      <c r="I937" s="3">
        <f>IF('ORDENES'!$A915="","",IF('ORDENES'!$D915="","-",'ORDENES'!$D915))</f>
        <v/>
      </c>
      <c r="J937" s="3">
        <f>IF('ORDENES'!$A915="","",IF('ORDENES'!$E915="","-",'ORDENES'!$E915))</f>
        <v/>
      </c>
      <c r="K937" s="12">
        <f>IF('ORDENES'!$A915="","",IF('ORDENES'!$M915="",0,'ORDENES'!$M915))</f>
        <v/>
      </c>
      <c r="L937" s="3">
        <f>IF('ORDENES'!$A915="","",IF('ORDENES'!$N915="","-",'ORDENES'!$N915))</f>
        <v/>
      </c>
      <c r="M937" s="3">
        <f>IF('ORDENES'!$A915="","",'ORDENES'!$AA915)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IF('ORDENES'!$A916="","",IF('ORDENES'!$AC916="","-",'ORDENES'!$AC916))</f>
        <v/>
      </c>
      <c r="D938" s="3">
        <f>IF('ORDENES'!$A916="","",IF('ORDENES'!$V916="","-",'ORDENES'!$V916))</f>
        <v/>
      </c>
      <c r="E938" s="3">
        <f>IF('ORDENES'!$A916="","",IF('ORDENES'!$U916="","-",'ORDENES'!$U916))</f>
        <v/>
      </c>
      <c r="F938" s="3">
        <f>IF('ORDENES'!$A916="","",IF('ORDENES'!$W916="","-",'ORDENES'!$W916))</f>
        <v/>
      </c>
      <c r="G938" s="3">
        <f>IF('ORDENES'!$A916="","",IF('ORDENES'!$AB916="","-",'ORDENES'!$AB916))</f>
        <v/>
      </c>
      <c r="H938" s="3">
        <f>IF('ORDENES'!$A916="","",IF('ORDENES'!$AN916="","-",'ORDENES'!$AN916))</f>
        <v/>
      </c>
      <c r="I938" s="3">
        <f>IF('ORDENES'!$A916="","",IF('ORDENES'!$D916="","-",'ORDENES'!$D916))</f>
        <v/>
      </c>
      <c r="J938" s="3">
        <f>IF('ORDENES'!$A916="","",IF('ORDENES'!$E916="","-",'ORDENES'!$E916))</f>
        <v/>
      </c>
      <c r="K938" s="12">
        <f>IF('ORDENES'!$A916="","",IF('ORDENES'!$M916="",0,'ORDENES'!$M916))</f>
        <v/>
      </c>
      <c r="L938" s="3">
        <f>IF('ORDENES'!$A916="","",IF('ORDENES'!$N916="","-",'ORDENES'!$N916))</f>
        <v/>
      </c>
      <c r="M938" s="3">
        <f>IF('ORDENES'!$A916="","",'ORDENES'!$AA916)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IF('ORDENES'!$A917="","",IF('ORDENES'!$AC917="","-",'ORDENES'!$AC917))</f>
        <v/>
      </c>
      <c r="D939" s="3">
        <f>IF('ORDENES'!$A917="","",IF('ORDENES'!$V917="","-",'ORDENES'!$V917))</f>
        <v/>
      </c>
      <c r="E939" s="3">
        <f>IF('ORDENES'!$A917="","",IF('ORDENES'!$U917="","-",'ORDENES'!$U917))</f>
        <v/>
      </c>
      <c r="F939" s="3">
        <f>IF('ORDENES'!$A917="","",IF('ORDENES'!$W917="","-",'ORDENES'!$W917))</f>
        <v/>
      </c>
      <c r="G939" s="3">
        <f>IF('ORDENES'!$A917="","",IF('ORDENES'!$AB917="","-",'ORDENES'!$AB917))</f>
        <v/>
      </c>
      <c r="H939" s="3">
        <f>IF('ORDENES'!$A917="","",IF('ORDENES'!$AN917="","-",'ORDENES'!$AN917))</f>
        <v/>
      </c>
      <c r="I939" s="3">
        <f>IF('ORDENES'!$A917="","",IF('ORDENES'!$D917="","-",'ORDENES'!$D917))</f>
        <v/>
      </c>
      <c r="J939" s="3">
        <f>IF('ORDENES'!$A917="","",IF('ORDENES'!$E917="","-",'ORDENES'!$E917))</f>
        <v/>
      </c>
      <c r="K939" s="12">
        <f>IF('ORDENES'!$A917="","",IF('ORDENES'!$M917="",0,'ORDENES'!$M917))</f>
        <v/>
      </c>
      <c r="L939" s="3">
        <f>IF('ORDENES'!$A917="","",IF('ORDENES'!$N917="","-",'ORDENES'!$N917))</f>
        <v/>
      </c>
      <c r="M939" s="3">
        <f>IF('ORDENES'!$A917="","",'ORDENES'!$AA917)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IF('ORDENES'!$A918="","",IF('ORDENES'!$AC918="","-",'ORDENES'!$AC918))</f>
        <v/>
      </c>
      <c r="D940" s="3">
        <f>IF('ORDENES'!$A918="","",IF('ORDENES'!$V918="","-",'ORDENES'!$V918))</f>
        <v/>
      </c>
      <c r="E940" s="3">
        <f>IF('ORDENES'!$A918="","",IF('ORDENES'!$U918="","-",'ORDENES'!$U918))</f>
        <v/>
      </c>
      <c r="F940" s="3">
        <f>IF('ORDENES'!$A918="","",IF('ORDENES'!$W918="","-",'ORDENES'!$W918))</f>
        <v/>
      </c>
      <c r="G940" s="3">
        <f>IF('ORDENES'!$A918="","",IF('ORDENES'!$AB918="","-",'ORDENES'!$AB918))</f>
        <v/>
      </c>
      <c r="H940" s="3">
        <f>IF('ORDENES'!$A918="","",IF('ORDENES'!$AN918="","-",'ORDENES'!$AN918))</f>
        <v/>
      </c>
      <c r="I940" s="3">
        <f>IF('ORDENES'!$A918="","",IF('ORDENES'!$D918="","-",'ORDENES'!$D918))</f>
        <v/>
      </c>
      <c r="J940" s="3">
        <f>IF('ORDENES'!$A918="","",IF('ORDENES'!$E918="","-",'ORDENES'!$E918))</f>
        <v/>
      </c>
      <c r="K940" s="12">
        <f>IF('ORDENES'!$A918="","",IF('ORDENES'!$M918="",0,'ORDENES'!$M918))</f>
        <v/>
      </c>
      <c r="L940" s="3">
        <f>IF('ORDENES'!$A918="","",IF('ORDENES'!$N918="","-",'ORDENES'!$N918))</f>
        <v/>
      </c>
      <c r="M940" s="3">
        <f>IF('ORDENES'!$A918="","",'ORDENES'!$AA918)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IF('ORDENES'!$A919="","",IF('ORDENES'!$AC919="","-",'ORDENES'!$AC919))</f>
        <v/>
      </c>
      <c r="D941" s="3">
        <f>IF('ORDENES'!$A919="","",IF('ORDENES'!$V919="","-",'ORDENES'!$V919))</f>
        <v/>
      </c>
      <c r="E941" s="3">
        <f>IF('ORDENES'!$A919="","",IF('ORDENES'!$U919="","-",'ORDENES'!$U919))</f>
        <v/>
      </c>
      <c r="F941" s="3">
        <f>IF('ORDENES'!$A919="","",IF('ORDENES'!$W919="","-",'ORDENES'!$W919))</f>
        <v/>
      </c>
      <c r="G941" s="3">
        <f>IF('ORDENES'!$A919="","",IF('ORDENES'!$AB919="","-",'ORDENES'!$AB919))</f>
        <v/>
      </c>
      <c r="H941" s="3">
        <f>IF('ORDENES'!$A919="","",IF('ORDENES'!$AN919="","-",'ORDENES'!$AN919))</f>
        <v/>
      </c>
      <c r="I941" s="3">
        <f>IF('ORDENES'!$A919="","",IF('ORDENES'!$D919="","-",'ORDENES'!$D919))</f>
        <v/>
      </c>
      <c r="J941" s="3">
        <f>IF('ORDENES'!$A919="","",IF('ORDENES'!$E919="","-",'ORDENES'!$E919))</f>
        <v/>
      </c>
      <c r="K941" s="12">
        <f>IF('ORDENES'!$A919="","",IF('ORDENES'!$M919="",0,'ORDENES'!$M919))</f>
        <v/>
      </c>
      <c r="L941" s="3">
        <f>IF('ORDENES'!$A919="","",IF('ORDENES'!$N919="","-",'ORDENES'!$N919))</f>
        <v/>
      </c>
      <c r="M941" s="3">
        <f>IF('ORDENES'!$A919="","",'ORDENES'!$AA919)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IF('ORDENES'!$A920="","",IF('ORDENES'!$AC920="","-",'ORDENES'!$AC920))</f>
        <v/>
      </c>
      <c r="D942" s="3">
        <f>IF('ORDENES'!$A920="","",IF('ORDENES'!$V920="","-",'ORDENES'!$V920))</f>
        <v/>
      </c>
      <c r="E942" s="3">
        <f>IF('ORDENES'!$A920="","",IF('ORDENES'!$U920="","-",'ORDENES'!$U920))</f>
        <v/>
      </c>
      <c r="F942" s="3">
        <f>IF('ORDENES'!$A920="","",IF('ORDENES'!$W920="","-",'ORDENES'!$W920))</f>
        <v/>
      </c>
      <c r="G942" s="3">
        <f>IF('ORDENES'!$A920="","",IF('ORDENES'!$AB920="","-",'ORDENES'!$AB920))</f>
        <v/>
      </c>
      <c r="H942" s="3">
        <f>IF('ORDENES'!$A920="","",IF('ORDENES'!$AN920="","-",'ORDENES'!$AN920))</f>
        <v/>
      </c>
      <c r="I942" s="3">
        <f>IF('ORDENES'!$A920="","",IF('ORDENES'!$D920="","-",'ORDENES'!$D920))</f>
        <v/>
      </c>
      <c r="J942" s="3">
        <f>IF('ORDENES'!$A920="","",IF('ORDENES'!$E920="","-",'ORDENES'!$E920))</f>
        <v/>
      </c>
      <c r="K942" s="12">
        <f>IF('ORDENES'!$A920="","",IF('ORDENES'!$M920="",0,'ORDENES'!$M920))</f>
        <v/>
      </c>
      <c r="L942" s="3">
        <f>IF('ORDENES'!$A920="","",IF('ORDENES'!$N920="","-",'ORDENES'!$N920))</f>
        <v/>
      </c>
      <c r="M942" s="3">
        <f>IF('ORDENES'!$A920="","",'ORDENES'!$AA920)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IF('ORDENES'!$A921="","",IF('ORDENES'!$AC921="","-",'ORDENES'!$AC921))</f>
        <v/>
      </c>
      <c r="D943" s="3">
        <f>IF('ORDENES'!$A921="","",IF('ORDENES'!$V921="","-",'ORDENES'!$V921))</f>
        <v/>
      </c>
      <c r="E943" s="3">
        <f>IF('ORDENES'!$A921="","",IF('ORDENES'!$U921="","-",'ORDENES'!$U921))</f>
        <v/>
      </c>
      <c r="F943" s="3">
        <f>IF('ORDENES'!$A921="","",IF('ORDENES'!$W921="","-",'ORDENES'!$W921))</f>
        <v/>
      </c>
      <c r="G943" s="3">
        <f>IF('ORDENES'!$A921="","",IF('ORDENES'!$AB921="","-",'ORDENES'!$AB921))</f>
        <v/>
      </c>
      <c r="H943" s="3">
        <f>IF('ORDENES'!$A921="","",IF('ORDENES'!$AN921="","-",'ORDENES'!$AN921))</f>
        <v/>
      </c>
      <c r="I943" s="3">
        <f>IF('ORDENES'!$A921="","",IF('ORDENES'!$D921="","-",'ORDENES'!$D921))</f>
        <v/>
      </c>
      <c r="J943" s="3">
        <f>IF('ORDENES'!$A921="","",IF('ORDENES'!$E921="","-",'ORDENES'!$E921))</f>
        <v/>
      </c>
      <c r="K943" s="12">
        <f>IF('ORDENES'!$A921="","",IF('ORDENES'!$M921="",0,'ORDENES'!$M921))</f>
        <v/>
      </c>
      <c r="L943" s="3">
        <f>IF('ORDENES'!$A921="","",IF('ORDENES'!$N921="","-",'ORDENES'!$N921))</f>
        <v/>
      </c>
      <c r="M943" s="3">
        <f>IF('ORDENES'!$A921="","",'ORDENES'!$AA921)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IF('ORDENES'!$A922="","",IF('ORDENES'!$AC922="","-",'ORDENES'!$AC922))</f>
        <v/>
      </c>
      <c r="D944" s="3">
        <f>IF('ORDENES'!$A922="","",IF('ORDENES'!$V922="","-",'ORDENES'!$V922))</f>
        <v/>
      </c>
      <c r="E944" s="3">
        <f>IF('ORDENES'!$A922="","",IF('ORDENES'!$U922="","-",'ORDENES'!$U922))</f>
        <v/>
      </c>
      <c r="F944" s="3">
        <f>IF('ORDENES'!$A922="","",IF('ORDENES'!$W922="","-",'ORDENES'!$W922))</f>
        <v/>
      </c>
      <c r="G944" s="3">
        <f>IF('ORDENES'!$A922="","",IF('ORDENES'!$AB922="","-",'ORDENES'!$AB922))</f>
        <v/>
      </c>
      <c r="H944" s="3">
        <f>IF('ORDENES'!$A922="","",IF('ORDENES'!$AN922="","-",'ORDENES'!$AN922))</f>
        <v/>
      </c>
      <c r="I944" s="3">
        <f>IF('ORDENES'!$A922="","",IF('ORDENES'!$D922="","-",'ORDENES'!$D922))</f>
        <v/>
      </c>
      <c r="J944" s="3">
        <f>IF('ORDENES'!$A922="","",IF('ORDENES'!$E922="","-",'ORDENES'!$E922))</f>
        <v/>
      </c>
      <c r="K944" s="12">
        <f>IF('ORDENES'!$A922="","",IF('ORDENES'!$M922="",0,'ORDENES'!$M922))</f>
        <v/>
      </c>
      <c r="L944" s="3">
        <f>IF('ORDENES'!$A922="","",IF('ORDENES'!$N922="","-",'ORDENES'!$N922))</f>
        <v/>
      </c>
      <c r="M944" s="3">
        <f>IF('ORDENES'!$A922="","",'ORDENES'!$AA922)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IF('ORDENES'!$A923="","",IF('ORDENES'!$AC923="","-",'ORDENES'!$AC923))</f>
        <v/>
      </c>
      <c r="D945" s="3">
        <f>IF('ORDENES'!$A923="","",IF('ORDENES'!$V923="","-",'ORDENES'!$V923))</f>
        <v/>
      </c>
      <c r="E945" s="3">
        <f>IF('ORDENES'!$A923="","",IF('ORDENES'!$U923="","-",'ORDENES'!$U923))</f>
        <v/>
      </c>
      <c r="F945" s="3">
        <f>IF('ORDENES'!$A923="","",IF('ORDENES'!$W923="","-",'ORDENES'!$W923))</f>
        <v/>
      </c>
      <c r="G945" s="3">
        <f>IF('ORDENES'!$A923="","",IF('ORDENES'!$AB923="","-",'ORDENES'!$AB923))</f>
        <v/>
      </c>
      <c r="H945" s="3">
        <f>IF('ORDENES'!$A923="","",IF('ORDENES'!$AN923="","-",'ORDENES'!$AN923))</f>
        <v/>
      </c>
      <c r="I945" s="3">
        <f>IF('ORDENES'!$A923="","",IF('ORDENES'!$D923="","-",'ORDENES'!$D923))</f>
        <v/>
      </c>
      <c r="J945" s="3">
        <f>IF('ORDENES'!$A923="","",IF('ORDENES'!$E923="","-",'ORDENES'!$E923))</f>
        <v/>
      </c>
      <c r="K945" s="12">
        <f>IF('ORDENES'!$A923="","",IF('ORDENES'!$M923="",0,'ORDENES'!$M923))</f>
        <v/>
      </c>
      <c r="L945" s="3">
        <f>IF('ORDENES'!$A923="","",IF('ORDENES'!$N923="","-",'ORDENES'!$N923))</f>
        <v/>
      </c>
      <c r="M945" s="3">
        <f>IF('ORDENES'!$A923="","",'ORDENES'!$AA923)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IF('ORDENES'!$A924="","",IF('ORDENES'!$AC924="","-",'ORDENES'!$AC924))</f>
        <v/>
      </c>
      <c r="D946" s="3">
        <f>IF('ORDENES'!$A924="","",IF('ORDENES'!$V924="","-",'ORDENES'!$V924))</f>
        <v/>
      </c>
      <c r="E946" s="3">
        <f>IF('ORDENES'!$A924="","",IF('ORDENES'!$U924="","-",'ORDENES'!$U924))</f>
        <v/>
      </c>
      <c r="F946" s="3">
        <f>IF('ORDENES'!$A924="","",IF('ORDENES'!$W924="","-",'ORDENES'!$W924))</f>
        <v/>
      </c>
      <c r="G946" s="3">
        <f>IF('ORDENES'!$A924="","",IF('ORDENES'!$AB924="","-",'ORDENES'!$AB924))</f>
        <v/>
      </c>
      <c r="H946" s="3">
        <f>IF('ORDENES'!$A924="","",IF('ORDENES'!$AN924="","-",'ORDENES'!$AN924))</f>
        <v/>
      </c>
      <c r="I946" s="3">
        <f>IF('ORDENES'!$A924="","",IF('ORDENES'!$D924="","-",'ORDENES'!$D924))</f>
        <v/>
      </c>
      <c r="J946" s="3">
        <f>IF('ORDENES'!$A924="","",IF('ORDENES'!$E924="","-",'ORDENES'!$E924))</f>
        <v/>
      </c>
      <c r="K946" s="12">
        <f>IF('ORDENES'!$A924="","",IF('ORDENES'!$M924="",0,'ORDENES'!$M924))</f>
        <v/>
      </c>
      <c r="L946" s="3">
        <f>IF('ORDENES'!$A924="","",IF('ORDENES'!$N924="","-",'ORDENES'!$N924))</f>
        <v/>
      </c>
      <c r="M946" s="3">
        <f>IF('ORDENES'!$A924="","",'ORDENES'!$AA924)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IF('ORDENES'!$A925="","",IF('ORDENES'!$AC925="","-",'ORDENES'!$AC925))</f>
        <v/>
      </c>
      <c r="D947" s="3">
        <f>IF('ORDENES'!$A925="","",IF('ORDENES'!$V925="","-",'ORDENES'!$V925))</f>
        <v/>
      </c>
      <c r="E947" s="3">
        <f>IF('ORDENES'!$A925="","",IF('ORDENES'!$U925="","-",'ORDENES'!$U925))</f>
        <v/>
      </c>
      <c r="F947" s="3">
        <f>IF('ORDENES'!$A925="","",IF('ORDENES'!$W925="","-",'ORDENES'!$W925))</f>
        <v/>
      </c>
      <c r="G947" s="3">
        <f>IF('ORDENES'!$A925="","",IF('ORDENES'!$AB925="","-",'ORDENES'!$AB925))</f>
        <v/>
      </c>
      <c r="H947" s="3">
        <f>IF('ORDENES'!$A925="","",IF('ORDENES'!$AN925="","-",'ORDENES'!$AN925))</f>
        <v/>
      </c>
      <c r="I947" s="3">
        <f>IF('ORDENES'!$A925="","",IF('ORDENES'!$D925="","-",'ORDENES'!$D925))</f>
        <v/>
      </c>
      <c r="J947" s="3">
        <f>IF('ORDENES'!$A925="","",IF('ORDENES'!$E925="","-",'ORDENES'!$E925))</f>
        <v/>
      </c>
      <c r="K947" s="12">
        <f>IF('ORDENES'!$A925="","",IF('ORDENES'!$M925="",0,'ORDENES'!$M925))</f>
        <v/>
      </c>
      <c r="L947" s="3">
        <f>IF('ORDENES'!$A925="","",IF('ORDENES'!$N925="","-",'ORDENES'!$N925))</f>
        <v/>
      </c>
      <c r="M947" s="3">
        <f>IF('ORDENES'!$A925="","",'ORDENES'!$AA925)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IF('ORDENES'!$A926="","",IF('ORDENES'!$AC926="","-",'ORDENES'!$AC926))</f>
        <v/>
      </c>
      <c r="D948" s="3">
        <f>IF('ORDENES'!$A926="","",IF('ORDENES'!$V926="","-",'ORDENES'!$V926))</f>
        <v/>
      </c>
      <c r="E948" s="3">
        <f>IF('ORDENES'!$A926="","",IF('ORDENES'!$U926="","-",'ORDENES'!$U926))</f>
        <v/>
      </c>
      <c r="F948" s="3">
        <f>IF('ORDENES'!$A926="","",IF('ORDENES'!$W926="","-",'ORDENES'!$W926))</f>
        <v/>
      </c>
      <c r="G948" s="3">
        <f>IF('ORDENES'!$A926="","",IF('ORDENES'!$AB926="","-",'ORDENES'!$AB926))</f>
        <v/>
      </c>
      <c r="H948" s="3">
        <f>IF('ORDENES'!$A926="","",IF('ORDENES'!$AN926="","-",'ORDENES'!$AN926))</f>
        <v/>
      </c>
      <c r="I948" s="3">
        <f>IF('ORDENES'!$A926="","",IF('ORDENES'!$D926="","-",'ORDENES'!$D926))</f>
        <v/>
      </c>
      <c r="J948" s="3">
        <f>IF('ORDENES'!$A926="","",IF('ORDENES'!$E926="","-",'ORDENES'!$E926))</f>
        <v/>
      </c>
      <c r="K948" s="12">
        <f>IF('ORDENES'!$A926="","",IF('ORDENES'!$M926="",0,'ORDENES'!$M926))</f>
        <v/>
      </c>
      <c r="L948" s="3">
        <f>IF('ORDENES'!$A926="","",IF('ORDENES'!$N926="","-",'ORDENES'!$N926))</f>
        <v/>
      </c>
      <c r="M948" s="3">
        <f>IF('ORDENES'!$A926="","",'ORDENES'!$AA926)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IF('ORDENES'!$A927="","",IF('ORDENES'!$AC927="","-",'ORDENES'!$AC927))</f>
        <v/>
      </c>
      <c r="D949" s="3">
        <f>IF('ORDENES'!$A927="","",IF('ORDENES'!$V927="","-",'ORDENES'!$V927))</f>
        <v/>
      </c>
      <c r="E949" s="3">
        <f>IF('ORDENES'!$A927="","",IF('ORDENES'!$U927="","-",'ORDENES'!$U927))</f>
        <v/>
      </c>
      <c r="F949" s="3">
        <f>IF('ORDENES'!$A927="","",IF('ORDENES'!$W927="","-",'ORDENES'!$W927))</f>
        <v/>
      </c>
      <c r="G949" s="3">
        <f>IF('ORDENES'!$A927="","",IF('ORDENES'!$AB927="","-",'ORDENES'!$AB927))</f>
        <v/>
      </c>
      <c r="H949" s="3">
        <f>IF('ORDENES'!$A927="","",IF('ORDENES'!$AN927="","-",'ORDENES'!$AN927))</f>
        <v/>
      </c>
      <c r="I949" s="3">
        <f>IF('ORDENES'!$A927="","",IF('ORDENES'!$D927="","-",'ORDENES'!$D927))</f>
        <v/>
      </c>
      <c r="J949" s="3">
        <f>IF('ORDENES'!$A927="","",IF('ORDENES'!$E927="","-",'ORDENES'!$E927))</f>
        <v/>
      </c>
      <c r="K949" s="12">
        <f>IF('ORDENES'!$A927="","",IF('ORDENES'!$M927="",0,'ORDENES'!$M927))</f>
        <v/>
      </c>
      <c r="L949" s="3">
        <f>IF('ORDENES'!$A927="","",IF('ORDENES'!$N927="","-",'ORDENES'!$N927))</f>
        <v/>
      </c>
      <c r="M949" s="3">
        <f>IF('ORDENES'!$A927="","",'ORDENES'!$AA927)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IF('ORDENES'!$A928="","",IF('ORDENES'!$AC928="","-",'ORDENES'!$AC928))</f>
        <v/>
      </c>
      <c r="D950" s="3">
        <f>IF('ORDENES'!$A928="","",IF('ORDENES'!$V928="","-",'ORDENES'!$V928))</f>
        <v/>
      </c>
      <c r="E950" s="3">
        <f>IF('ORDENES'!$A928="","",IF('ORDENES'!$U928="","-",'ORDENES'!$U928))</f>
        <v/>
      </c>
      <c r="F950" s="3">
        <f>IF('ORDENES'!$A928="","",IF('ORDENES'!$W928="","-",'ORDENES'!$W928))</f>
        <v/>
      </c>
      <c r="G950" s="3">
        <f>IF('ORDENES'!$A928="","",IF('ORDENES'!$AB928="","-",'ORDENES'!$AB928))</f>
        <v/>
      </c>
      <c r="H950" s="3">
        <f>IF('ORDENES'!$A928="","",IF('ORDENES'!$AN928="","-",'ORDENES'!$AN928))</f>
        <v/>
      </c>
      <c r="I950" s="3">
        <f>IF('ORDENES'!$A928="","",IF('ORDENES'!$D928="","-",'ORDENES'!$D928))</f>
        <v/>
      </c>
      <c r="J950" s="3">
        <f>IF('ORDENES'!$A928="","",IF('ORDENES'!$E928="","-",'ORDENES'!$E928))</f>
        <v/>
      </c>
      <c r="K950" s="12">
        <f>IF('ORDENES'!$A928="","",IF('ORDENES'!$M928="",0,'ORDENES'!$M928))</f>
        <v/>
      </c>
      <c r="L950" s="3">
        <f>IF('ORDENES'!$A928="","",IF('ORDENES'!$N928="","-",'ORDENES'!$N928))</f>
        <v/>
      </c>
      <c r="M950" s="3">
        <f>IF('ORDENES'!$A928="","",'ORDENES'!$AA928)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IF('ORDENES'!$A929="","",IF('ORDENES'!$AC929="","-",'ORDENES'!$AC929))</f>
        <v/>
      </c>
      <c r="D951" s="3">
        <f>IF('ORDENES'!$A929="","",IF('ORDENES'!$V929="","-",'ORDENES'!$V929))</f>
        <v/>
      </c>
      <c r="E951" s="3">
        <f>IF('ORDENES'!$A929="","",IF('ORDENES'!$U929="","-",'ORDENES'!$U929))</f>
        <v/>
      </c>
      <c r="F951" s="3">
        <f>IF('ORDENES'!$A929="","",IF('ORDENES'!$W929="","-",'ORDENES'!$W929))</f>
        <v/>
      </c>
      <c r="G951" s="3">
        <f>IF('ORDENES'!$A929="","",IF('ORDENES'!$AB929="","-",'ORDENES'!$AB929))</f>
        <v/>
      </c>
      <c r="H951" s="3">
        <f>IF('ORDENES'!$A929="","",IF('ORDENES'!$AN929="","-",'ORDENES'!$AN929))</f>
        <v/>
      </c>
      <c r="I951" s="3">
        <f>IF('ORDENES'!$A929="","",IF('ORDENES'!$D929="","-",'ORDENES'!$D929))</f>
        <v/>
      </c>
      <c r="J951" s="3">
        <f>IF('ORDENES'!$A929="","",IF('ORDENES'!$E929="","-",'ORDENES'!$E929))</f>
        <v/>
      </c>
      <c r="K951" s="12">
        <f>IF('ORDENES'!$A929="","",IF('ORDENES'!$M929="",0,'ORDENES'!$M929))</f>
        <v/>
      </c>
      <c r="L951" s="3">
        <f>IF('ORDENES'!$A929="","",IF('ORDENES'!$N929="","-",'ORDENES'!$N929))</f>
        <v/>
      </c>
      <c r="M951" s="3">
        <f>IF('ORDENES'!$A929="","",'ORDENES'!$AA929)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IF('ORDENES'!$A930="","",IF('ORDENES'!$AC930="","-",'ORDENES'!$AC930))</f>
        <v/>
      </c>
      <c r="D952" s="3">
        <f>IF('ORDENES'!$A930="","",IF('ORDENES'!$V930="","-",'ORDENES'!$V930))</f>
        <v/>
      </c>
      <c r="E952" s="3">
        <f>IF('ORDENES'!$A930="","",IF('ORDENES'!$U930="","-",'ORDENES'!$U930))</f>
        <v/>
      </c>
      <c r="F952" s="3">
        <f>IF('ORDENES'!$A930="","",IF('ORDENES'!$W930="","-",'ORDENES'!$W930))</f>
        <v/>
      </c>
      <c r="G952" s="3">
        <f>IF('ORDENES'!$A930="","",IF('ORDENES'!$AB930="","-",'ORDENES'!$AB930))</f>
        <v/>
      </c>
      <c r="H952" s="3">
        <f>IF('ORDENES'!$A930="","",IF('ORDENES'!$AN930="","-",'ORDENES'!$AN930))</f>
        <v/>
      </c>
      <c r="I952" s="3">
        <f>IF('ORDENES'!$A930="","",IF('ORDENES'!$D930="","-",'ORDENES'!$D930))</f>
        <v/>
      </c>
      <c r="J952" s="3">
        <f>IF('ORDENES'!$A930="","",IF('ORDENES'!$E930="","-",'ORDENES'!$E930))</f>
        <v/>
      </c>
      <c r="K952" s="12">
        <f>IF('ORDENES'!$A930="","",IF('ORDENES'!$M930="",0,'ORDENES'!$M930))</f>
        <v/>
      </c>
      <c r="L952" s="3">
        <f>IF('ORDENES'!$A930="","",IF('ORDENES'!$N930="","-",'ORDENES'!$N930))</f>
        <v/>
      </c>
      <c r="M952" s="3">
        <f>IF('ORDENES'!$A930="","",'ORDENES'!$AA930)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IF('ORDENES'!$A931="","",IF('ORDENES'!$AC931="","-",'ORDENES'!$AC931))</f>
        <v/>
      </c>
      <c r="D953" s="3">
        <f>IF('ORDENES'!$A931="","",IF('ORDENES'!$V931="","-",'ORDENES'!$V931))</f>
        <v/>
      </c>
      <c r="E953" s="3">
        <f>IF('ORDENES'!$A931="","",IF('ORDENES'!$U931="","-",'ORDENES'!$U931))</f>
        <v/>
      </c>
      <c r="F953" s="3">
        <f>IF('ORDENES'!$A931="","",IF('ORDENES'!$W931="","-",'ORDENES'!$W931))</f>
        <v/>
      </c>
      <c r="G953" s="3">
        <f>IF('ORDENES'!$A931="","",IF('ORDENES'!$AB931="","-",'ORDENES'!$AB931))</f>
        <v/>
      </c>
      <c r="H953" s="3">
        <f>IF('ORDENES'!$A931="","",IF('ORDENES'!$AN931="","-",'ORDENES'!$AN931))</f>
        <v/>
      </c>
      <c r="I953" s="3">
        <f>IF('ORDENES'!$A931="","",IF('ORDENES'!$D931="","-",'ORDENES'!$D931))</f>
        <v/>
      </c>
      <c r="J953" s="3">
        <f>IF('ORDENES'!$A931="","",IF('ORDENES'!$E931="","-",'ORDENES'!$E931))</f>
        <v/>
      </c>
      <c r="K953" s="12">
        <f>IF('ORDENES'!$A931="","",IF('ORDENES'!$M931="",0,'ORDENES'!$M931))</f>
        <v/>
      </c>
      <c r="L953" s="3">
        <f>IF('ORDENES'!$A931="","",IF('ORDENES'!$N931="","-",'ORDENES'!$N931))</f>
        <v/>
      </c>
      <c r="M953" s="3">
        <f>IF('ORDENES'!$A931="","",'ORDENES'!$AA931)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IF('ORDENES'!$A932="","",IF('ORDENES'!$AC932="","-",'ORDENES'!$AC932))</f>
        <v/>
      </c>
      <c r="D954" s="3">
        <f>IF('ORDENES'!$A932="","",IF('ORDENES'!$V932="","-",'ORDENES'!$V932))</f>
        <v/>
      </c>
      <c r="E954" s="3">
        <f>IF('ORDENES'!$A932="","",IF('ORDENES'!$U932="","-",'ORDENES'!$U932))</f>
        <v/>
      </c>
      <c r="F954" s="3">
        <f>IF('ORDENES'!$A932="","",IF('ORDENES'!$W932="","-",'ORDENES'!$W932))</f>
        <v/>
      </c>
      <c r="G954" s="3">
        <f>IF('ORDENES'!$A932="","",IF('ORDENES'!$AB932="","-",'ORDENES'!$AB932))</f>
        <v/>
      </c>
      <c r="H954" s="3">
        <f>IF('ORDENES'!$A932="","",IF('ORDENES'!$AN932="","-",'ORDENES'!$AN932))</f>
        <v/>
      </c>
      <c r="I954" s="3">
        <f>IF('ORDENES'!$A932="","",IF('ORDENES'!$D932="","-",'ORDENES'!$D932))</f>
        <v/>
      </c>
      <c r="J954" s="3">
        <f>IF('ORDENES'!$A932="","",IF('ORDENES'!$E932="","-",'ORDENES'!$E932))</f>
        <v/>
      </c>
      <c r="K954" s="12">
        <f>IF('ORDENES'!$A932="","",IF('ORDENES'!$M932="",0,'ORDENES'!$M932))</f>
        <v/>
      </c>
      <c r="L954" s="3">
        <f>IF('ORDENES'!$A932="","",IF('ORDENES'!$N932="","-",'ORDENES'!$N932))</f>
        <v/>
      </c>
      <c r="M954" s="3">
        <f>IF('ORDENES'!$A932="","",'ORDENES'!$AA932)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IF('ORDENES'!$A933="","",IF('ORDENES'!$AC933="","-",'ORDENES'!$AC933))</f>
        <v/>
      </c>
      <c r="D955" s="3">
        <f>IF('ORDENES'!$A933="","",IF('ORDENES'!$V933="","-",'ORDENES'!$V933))</f>
        <v/>
      </c>
      <c r="E955" s="3">
        <f>IF('ORDENES'!$A933="","",IF('ORDENES'!$U933="","-",'ORDENES'!$U933))</f>
        <v/>
      </c>
      <c r="F955" s="3">
        <f>IF('ORDENES'!$A933="","",IF('ORDENES'!$W933="","-",'ORDENES'!$W933))</f>
        <v/>
      </c>
      <c r="G955" s="3">
        <f>IF('ORDENES'!$A933="","",IF('ORDENES'!$AB933="","-",'ORDENES'!$AB933))</f>
        <v/>
      </c>
      <c r="H955" s="3">
        <f>IF('ORDENES'!$A933="","",IF('ORDENES'!$AN933="","-",'ORDENES'!$AN933))</f>
        <v/>
      </c>
      <c r="I955" s="3">
        <f>IF('ORDENES'!$A933="","",IF('ORDENES'!$D933="","-",'ORDENES'!$D933))</f>
        <v/>
      </c>
      <c r="J955" s="3">
        <f>IF('ORDENES'!$A933="","",IF('ORDENES'!$E933="","-",'ORDENES'!$E933))</f>
        <v/>
      </c>
      <c r="K955" s="12">
        <f>IF('ORDENES'!$A933="","",IF('ORDENES'!$M933="",0,'ORDENES'!$M933))</f>
        <v/>
      </c>
      <c r="L955" s="3">
        <f>IF('ORDENES'!$A933="","",IF('ORDENES'!$N933="","-",'ORDENES'!$N933))</f>
        <v/>
      </c>
      <c r="M955" s="3">
        <f>IF('ORDENES'!$A933="","",'ORDENES'!$AA933)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IF('ORDENES'!$A934="","",IF('ORDENES'!$AC934="","-",'ORDENES'!$AC934))</f>
        <v/>
      </c>
      <c r="D956" s="3">
        <f>IF('ORDENES'!$A934="","",IF('ORDENES'!$V934="","-",'ORDENES'!$V934))</f>
        <v/>
      </c>
      <c r="E956" s="3">
        <f>IF('ORDENES'!$A934="","",IF('ORDENES'!$U934="","-",'ORDENES'!$U934))</f>
        <v/>
      </c>
      <c r="F956" s="3">
        <f>IF('ORDENES'!$A934="","",IF('ORDENES'!$W934="","-",'ORDENES'!$W934))</f>
        <v/>
      </c>
      <c r="G956" s="3">
        <f>IF('ORDENES'!$A934="","",IF('ORDENES'!$AB934="","-",'ORDENES'!$AB934))</f>
        <v/>
      </c>
      <c r="H956" s="3">
        <f>IF('ORDENES'!$A934="","",IF('ORDENES'!$AN934="","-",'ORDENES'!$AN934))</f>
        <v/>
      </c>
      <c r="I956" s="3">
        <f>IF('ORDENES'!$A934="","",IF('ORDENES'!$D934="","-",'ORDENES'!$D934))</f>
        <v/>
      </c>
      <c r="J956" s="3">
        <f>IF('ORDENES'!$A934="","",IF('ORDENES'!$E934="","-",'ORDENES'!$E934))</f>
        <v/>
      </c>
      <c r="K956" s="12">
        <f>IF('ORDENES'!$A934="","",IF('ORDENES'!$M934="",0,'ORDENES'!$M934))</f>
        <v/>
      </c>
      <c r="L956" s="3">
        <f>IF('ORDENES'!$A934="","",IF('ORDENES'!$N934="","-",'ORDENES'!$N934))</f>
        <v/>
      </c>
      <c r="M956" s="3">
        <f>IF('ORDENES'!$A934="","",'ORDENES'!$AA934)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IF('ORDENES'!$A935="","",IF('ORDENES'!$AC935="","-",'ORDENES'!$AC935))</f>
        <v/>
      </c>
      <c r="D957" s="3">
        <f>IF('ORDENES'!$A935="","",IF('ORDENES'!$V935="","-",'ORDENES'!$V935))</f>
        <v/>
      </c>
      <c r="E957" s="3">
        <f>IF('ORDENES'!$A935="","",IF('ORDENES'!$U935="","-",'ORDENES'!$U935))</f>
        <v/>
      </c>
      <c r="F957" s="3">
        <f>IF('ORDENES'!$A935="","",IF('ORDENES'!$W935="","-",'ORDENES'!$W935))</f>
        <v/>
      </c>
      <c r="G957" s="3">
        <f>IF('ORDENES'!$A935="","",IF('ORDENES'!$AB935="","-",'ORDENES'!$AB935))</f>
        <v/>
      </c>
      <c r="H957" s="3">
        <f>IF('ORDENES'!$A935="","",IF('ORDENES'!$AN935="","-",'ORDENES'!$AN935))</f>
        <v/>
      </c>
      <c r="I957" s="3">
        <f>IF('ORDENES'!$A935="","",IF('ORDENES'!$D935="","-",'ORDENES'!$D935))</f>
        <v/>
      </c>
      <c r="J957" s="3">
        <f>IF('ORDENES'!$A935="","",IF('ORDENES'!$E935="","-",'ORDENES'!$E935))</f>
        <v/>
      </c>
      <c r="K957" s="12">
        <f>IF('ORDENES'!$A935="","",IF('ORDENES'!$M935="",0,'ORDENES'!$M935))</f>
        <v/>
      </c>
      <c r="L957" s="3">
        <f>IF('ORDENES'!$A935="","",IF('ORDENES'!$N935="","-",'ORDENES'!$N935))</f>
        <v/>
      </c>
      <c r="M957" s="3">
        <f>IF('ORDENES'!$A935="","",'ORDENES'!$AA935)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IF('ORDENES'!$A936="","",IF('ORDENES'!$AC936="","-",'ORDENES'!$AC936))</f>
        <v/>
      </c>
      <c r="D958" s="3">
        <f>IF('ORDENES'!$A936="","",IF('ORDENES'!$V936="","-",'ORDENES'!$V936))</f>
        <v/>
      </c>
      <c r="E958" s="3">
        <f>IF('ORDENES'!$A936="","",IF('ORDENES'!$U936="","-",'ORDENES'!$U936))</f>
        <v/>
      </c>
      <c r="F958" s="3">
        <f>IF('ORDENES'!$A936="","",IF('ORDENES'!$W936="","-",'ORDENES'!$W936))</f>
        <v/>
      </c>
      <c r="G958" s="3">
        <f>IF('ORDENES'!$A936="","",IF('ORDENES'!$AB936="","-",'ORDENES'!$AB936))</f>
        <v/>
      </c>
      <c r="H958" s="3">
        <f>IF('ORDENES'!$A936="","",IF('ORDENES'!$AN936="","-",'ORDENES'!$AN936))</f>
        <v/>
      </c>
      <c r="I958" s="3">
        <f>IF('ORDENES'!$A936="","",IF('ORDENES'!$D936="","-",'ORDENES'!$D936))</f>
        <v/>
      </c>
      <c r="J958" s="3">
        <f>IF('ORDENES'!$A936="","",IF('ORDENES'!$E936="","-",'ORDENES'!$E936))</f>
        <v/>
      </c>
      <c r="K958" s="12">
        <f>IF('ORDENES'!$A936="","",IF('ORDENES'!$M936="",0,'ORDENES'!$M936))</f>
        <v/>
      </c>
      <c r="L958" s="3">
        <f>IF('ORDENES'!$A936="","",IF('ORDENES'!$N936="","-",'ORDENES'!$N936))</f>
        <v/>
      </c>
      <c r="M958" s="3">
        <f>IF('ORDENES'!$A936="","",'ORDENES'!$AA936)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IF('ORDENES'!$A937="","",IF('ORDENES'!$AC937="","-",'ORDENES'!$AC937))</f>
        <v/>
      </c>
      <c r="D959" s="3">
        <f>IF('ORDENES'!$A937="","",IF('ORDENES'!$V937="","-",'ORDENES'!$V937))</f>
        <v/>
      </c>
      <c r="E959" s="3">
        <f>IF('ORDENES'!$A937="","",IF('ORDENES'!$U937="","-",'ORDENES'!$U937))</f>
        <v/>
      </c>
      <c r="F959" s="3">
        <f>IF('ORDENES'!$A937="","",IF('ORDENES'!$W937="","-",'ORDENES'!$W937))</f>
        <v/>
      </c>
      <c r="G959" s="3">
        <f>IF('ORDENES'!$A937="","",IF('ORDENES'!$AB937="","-",'ORDENES'!$AB937))</f>
        <v/>
      </c>
      <c r="H959" s="3">
        <f>IF('ORDENES'!$A937="","",IF('ORDENES'!$AN937="","-",'ORDENES'!$AN937))</f>
        <v/>
      </c>
      <c r="I959" s="3">
        <f>IF('ORDENES'!$A937="","",IF('ORDENES'!$D937="","-",'ORDENES'!$D937))</f>
        <v/>
      </c>
      <c r="J959" s="3">
        <f>IF('ORDENES'!$A937="","",IF('ORDENES'!$E937="","-",'ORDENES'!$E937))</f>
        <v/>
      </c>
      <c r="K959" s="12">
        <f>IF('ORDENES'!$A937="","",IF('ORDENES'!$M937="",0,'ORDENES'!$M937))</f>
        <v/>
      </c>
      <c r="L959" s="3">
        <f>IF('ORDENES'!$A937="","",IF('ORDENES'!$N937="","-",'ORDENES'!$N937))</f>
        <v/>
      </c>
      <c r="M959" s="3">
        <f>IF('ORDENES'!$A937="","",'ORDENES'!$AA937)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IF('ORDENES'!$A938="","",IF('ORDENES'!$AC938="","-",'ORDENES'!$AC938))</f>
        <v/>
      </c>
      <c r="D960" s="3">
        <f>IF('ORDENES'!$A938="","",IF('ORDENES'!$V938="","-",'ORDENES'!$V938))</f>
        <v/>
      </c>
      <c r="E960" s="3">
        <f>IF('ORDENES'!$A938="","",IF('ORDENES'!$U938="","-",'ORDENES'!$U938))</f>
        <v/>
      </c>
      <c r="F960" s="3">
        <f>IF('ORDENES'!$A938="","",IF('ORDENES'!$W938="","-",'ORDENES'!$W938))</f>
        <v/>
      </c>
      <c r="G960" s="3">
        <f>IF('ORDENES'!$A938="","",IF('ORDENES'!$AB938="","-",'ORDENES'!$AB938))</f>
        <v/>
      </c>
      <c r="H960" s="3">
        <f>IF('ORDENES'!$A938="","",IF('ORDENES'!$AN938="","-",'ORDENES'!$AN938))</f>
        <v/>
      </c>
      <c r="I960" s="3">
        <f>IF('ORDENES'!$A938="","",IF('ORDENES'!$D938="","-",'ORDENES'!$D938))</f>
        <v/>
      </c>
      <c r="J960" s="3">
        <f>IF('ORDENES'!$A938="","",IF('ORDENES'!$E938="","-",'ORDENES'!$E938))</f>
        <v/>
      </c>
      <c r="K960" s="12">
        <f>IF('ORDENES'!$A938="","",IF('ORDENES'!$M938="",0,'ORDENES'!$M938))</f>
        <v/>
      </c>
      <c r="L960" s="3">
        <f>IF('ORDENES'!$A938="","",IF('ORDENES'!$N938="","-",'ORDENES'!$N938))</f>
        <v/>
      </c>
      <c r="M960" s="3">
        <f>IF('ORDENES'!$A938="","",'ORDENES'!$AA938)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IF('ORDENES'!$A939="","",IF('ORDENES'!$AC939="","-",'ORDENES'!$AC939))</f>
        <v/>
      </c>
      <c r="D961" s="3">
        <f>IF('ORDENES'!$A939="","",IF('ORDENES'!$V939="","-",'ORDENES'!$V939))</f>
        <v/>
      </c>
      <c r="E961" s="3">
        <f>IF('ORDENES'!$A939="","",IF('ORDENES'!$U939="","-",'ORDENES'!$U939))</f>
        <v/>
      </c>
      <c r="F961" s="3">
        <f>IF('ORDENES'!$A939="","",IF('ORDENES'!$W939="","-",'ORDENES'!$W939))</f>
        <v/>
      </c>
      <c r="G961" s="3">
        <f>IF('ORDENES'!$A939="","",IF('ORDENES'!$AB939="","-",'ORDENES'!$AB939))</f>
        <v/>
      </c>
      <c r="H961" s="3">
        <f>IF('ORDENES'!$A939="","",IF('ORDENES'!$AN939="","-",'ORDENES'!$AN939))</f>
        <v/>
      </c>
      <c r="I961" s="3">
        <f>IF('ORDENES'!$A939="","",IF('ORDENES'!$D939="","-",'ORDENES'!$D939))</f>
        <v/>
      </c>
      <c r="J961" s="3">
        <f>IF('ORDENES'!$A939="","",IF('ORDENES'!$E939="","-",'ORDENES'!$E939))</f>
        <v/>
      </c>
      <c r="K961" s="12">
        <f>IF('ORDENES'!$A939="","",IF('ORDENES'!$M939="",0,'ORDENES'!$M939))</f>
        <v/>
      </c>
      <c r="L961" s="3">
        <f>IF('ORDENES'!$A939="","",IF('ORDENES'!$N939="","-",'ORDENES'!$N939))</f>
        <v/>
      </c>
      <c r="M961" s="3">
        <f>IF('ORDENES'!$A939="","",'ORDENES'!$AA939)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IF('ORDENES'!$A940="","",IF('ORDENES'!$AC940="","-",'ORDENES'!$AC940))</f>
        <v/>
      </c>
      <c r="D962" s="3">
        <f>IF('ORDENES'!$A940="","",IF('ORDENES'!$V940="","-",'ORDENES'!$V940))</f>
        <v/>
      </c>
      <c r="E962" s="3">
        <f>IF('ORDENES'!$A940="","",IF('ORDENES'!$U940="","-",'ORDENES'!$U940))</f>
        <v/>
      </c>
      <c r="F962" s="3">
        <f>IF('ORDENES'!$A940="","",IF('ORDENES'!$W940="","-",'ORDENES'!$W940))</f>
        <v/>
      </c>
      <c r="G962" s="3">
        <f>IF('ORDENES'!$A940="","",IF('ORDENES'!$AB940="","-",'ORDENES'!$AB940))</f>
        <v/>
      </c>
      <c r="H962" s="3">
        <f>IF('ORDENES'!$A940="","",IF('ORDENES'!$AN940="","-",'ORDENES'!$AN940))</f>
        <v/>
      </c>
      <c r="I962" s="3">
        <f>IF('ORDENES'!$A940="","",IF('ORDENES'!$D940="","-",'ORDENES'!$D940))</f>
        <v/>
      </c>
      <c r="J962" s="3">
        <f>IF('ORDENES'!$A940="","",IF('ORDENES'!$E940="","-",'ORDENES'!$E940))</f>
        <v/>
      </c>
      <c r="K962" s="12">
        <f>IF('ORDENES'!$A940="","",IF('ORDENES'!$M940="",0,'ORDENES'!$M940))</f>
        <v/>
      </c>
      <c r="L962" s="3">
        <f>IF('ORDENES'!$A940="","",IF('ORDENES'!$N940="","-",'ORDENES'!$N940))</f>
        <v/>
      </c>
      <c r="M962" s="3">
        <f>IF('ORDENES'!$A940="","",'ORDENES'!$AA940)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IF('ORDENES'!$A941="","",IF('ORDENES'!$AC941="","-",'ORDENES'!$AC941))</f>
        <v/>
      </c>
      <c r="D963" s="3">
        <f>IF('ORDENES'!$A941="","",IF('ORDENES'!$V941="","-",'ORDENES'!$V941))</f>
        <v/>
      </c>
      <c r="E963" s="3">
        <f>IF('ORDENES'!$A941="","",IF('ORDENES'!$U941="","-",'ORDENES'!$U941))</f>
        <v/>
      </c>
      <c r="F963" s="3">
        <f>IF('ORDENES'!$A941="","",IF('ORDENES'!$W941="","-",'ORDENES'!$W941))</f>
        <v/>
      </c>
      <c r="G963" s="3">
        <f>IF('ORDENES'!$A941="","",IF('ORDENES'!$AB941="","-",'ORDENES'!$AB941))</f>
        <v/>
      </c>
      <c r="H963" s="3">
        <f>IF('ORDENES'!$A941="","",IF('ORDENES'!$AN941="","-",'ORDENES'!$AN941))</f>
        <v/>
      </c>
      <c r="I963" s="3">
        <f>IF('ORDENES'!$A941="","",IF('ORDENES'!$D941="","-",'ORDENES'!$D941))</f>
        <v/>
      </c>
      <c r="J963" s="3">
        <f>IF('ORDENES'!$A941="","",IF('ORDENES'!$E941="","-",'ORDENES'!$E941))</f>
        <v/>
      </c>
      <c r="K963" s="12">
        <f>IF('ORDENES'!$A941="","",IF('ORDENES'!$M941="",0,'ORDENES'!$M941))</f>
        <v/>
      </c>
      <c r="L963" s="3">
        <f>IF('ORDENES'!$A941="","",IF('ORDENES'!$N941="","-",'ORDENES'!$N941))</f>
        <v/>
      </c>
      <c r="M963" s="3">
        <f>IF('ORDENES'!$A941="","",'ORDENES'!$AA941)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IF('ORDENES'!$A942="","",IF('ORDENES'!$AC942="","-",'ORDENES'!$AC942))</f>
        <v/>
      </c>
      <c r="D964" s="3">
        <f>IF('ORDENES'!$A942="","",IF('ORDENES'!$V942="","-",'ORDENES'!$V942))</f>
        <v/>
      </c>
      <c r="E964" s="3">
        <f>IF('ORDENES'!$A942="","",IF('ORDENES'!$U942="","-",'ORDENES'!$U942))</f>
        <v/>
      </c>
      <c r="F964" s="3">
        <f>IF('ORDENES'!$A942="","",IF('ORDENES'!$W942="","-",'ORDENES'!$W942))</f>
        <v/>
      </c>
      <c r="G964" s="3">
        <f>IF('ORDENES'!$A942="","",IF('ORDENES'!$AB942="","-",'ORDENES'!$AB942))</f>
        <v/>
      </c>
      <c r="H964" s="3">
        <f>IF('ORDENES'!$A942="","",IF('ORDENES'!$AN942="","-",'ORDENES'!$AN942))</f>
        <v/>
      </c>
      <c r="I964" s="3">
        <f>IF('ORDENES'!$A942="","",IF('ORDENES'!$D942="","-",'ORDENES'!$D942))</f>
        <v/>
      </c>
      <c r="J964" s="3">
        <f>IF('ORDENES'!$A942="","",IF('ORDENES'!$E942="","-",'ORDENES'!$E942))</f>
        <v/>
      </c>
      <c r="K964" s="12">
        <f>IF('ORDENES'!$A942="","",IF('ORDENES'!$M942="",0,'ORDENES'!$M942))</f>
        <v/>
      </c>
      <c r="L964" s="3">
        <f>IF('ORDENES'!$A942="","",IF('ORDENES'!$N942="","-",'ORDENES'!$N942))</f>
        <v/>
      </c>
      <c r="M964" s="3">
        <f>IF('ORDENES'!$A942="","",'ORDENES'!$AA942)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IF('ORDENES'!$A943="","",IF('ORDENES'!$AC943="","-",'ORDENES'!$AC943))</f>
        <v/>
      </c>
      <c r="D965" s="3">
        <f>IF('ORDENES'!$A943="","",IF('ORDENES'!$V943="","-",'ORDENES'!$V943))</f>
        <v/>
      </c>
      <c r="E965" s="3">
        <f>IF('ORDENES'!$A943="","",IF('ORDENES'!$U943="","-",'ORDENES'!$U943))</f>
        <v/>
      </c>
      <c r="F965" s="3">
        <f>IF('ORDENES'!$A943="","",IF('ORDENES'!$W943="","-",'ORDENES'!$W943))</f>
        <v/>
      </c>
      <c r="G965" s="3">
        <f>IF('ORDENES'!$A943="","",IF('ORDENES'!$AB943="","-",'ORDENES'!$AB943))</f>
        <v/>
      </c>
      <c r="H965" s="3">
        <f>IF('ORDENES'!$A943="","",IF('ORDENES'!$AN943="","-",'ORDENES'!$AN943))</f>
        <v/>
      </c>
      <c r="I965" s="3">
        <f>IF('ORDENES'!$A943="","",IF('ORDENES'!$D943="","-",'ORDENES'!$D943))</f>
        <v/>
      </c>
      <c r="J965" s="3">
        <f>IF('ORDENES'!$A943="","",IF('ORDENES'!$E943="","-",'ORDENES'!$E943))</f>
        <v/>
      </c>
      <c r="K965" s="12">
        <f>IF('ORDENES'!$A943="","",IF('ORDENES'!$M943="",0,'ORDENES'!$M943))</f>
        <v/>
      </c>
      <c r="L965" s="3">
        <f>IF('ORDENES'!$A943="","",IF('ORDENES'!$N943="","-",'ORDENES'!$N943))</f>
        <v/>
      </c>
      <c r="M965" s="3">
        <f>IF('ORDENES'!$A943="","",'ORDENES'!$AA943)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IF('ORDENES'!$A944="","",IF('ORDENES'!$AC944="","-",'ORDENES'!$AC944))</f>
        <v/>
      </c>
      <c r="D966" s="3">
        <f>IF('ORDENES'!$A944="","",IF('ORDENES'!$V944="","-",'ORDENES'!$V944))</f>
        <v/>
      </c>
      <c r="E966" s="3">
        <f>IF('ORDENES'!$A944="","",IF('ORDENES'!$U944="","-",'ORDENES'!$U944))</f>
        <v/>
      </c>
      <c r="F966" s="3">
        <f>IF('ORDENES'!$A944="","",IF('ORDENES'!$W944="","-",'ORDENES'!$W944))</f>
        <v/>
      </c>
      <c r="G966" s="3">
        <f>IF('ORDENES'!$A944="","",IF('ORDENES'!$AB944="","-",'ORDENES'!$AB944))</f>
        <v/>
      </c>
      <c r="H966" s="3">
        <f>IF('ORDENES'!$A944="","",IF('ORDENES'!$AN944="","-",'ORDENES'!$AN944))</f>
        <v/>
      </c>
      <c r="I966" s="3">
        <f>IF('ORDENES'!$A944="","",IF('ORDENES'!$D944="","-",'ORDENES'!$D944))</f>
        <v/>
      </c>
      <c r="J966" s="3">
        <f>IF('ORDENES'!$A944="","",IF('ORDENES'!$E944="","-",'ORDENES'!$E944))</f>
        <v/>
      </c>
      <c r="K966" s="12">
        <f>IF('ORDENES'!$A944="","",IF('ORDENES'!$M944="",0,'ORDENES'!$M944))</f>
        <v/>
      </c>
      <c r="L966" s="3">
        <f>IF('ORDENES'!$A944="","",IF('ORDENES'!$N944="","-",'ORDENES'!$N944))</f>
        <v/>
      </c>
      <c r="M966" s="3">
        <f>IF('ORDENES'!$A944="","",'ORDENES'!$AA944)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IF('ORDENES'!$A945="","",IF('ORDENES'!$AC945="","-",'ORDENES'!$AC945))</f>
        <v/>
      </c>
      <c r="D967" s="3">
        <f>IF('ORDENES'!$A945="","",IF('ORDENES'!$V945="","-",'ORDENES'!$V945))</f>
        <v/>
      </c>
      <c r="E967" s="3">
        <f>IF('ORDENES'!$A945="","",IF('ORDENES'!$U945="","-",'ORDENES'!$U945))</f>
        <v/>
      </c>
      <c r="F967" s="3">
        <f>IF('ORDENES'!$A945="","",IF('ORDENES'!$W945="","-",'ORDENES'!$W945))</f>
        <v/>
      </c>
      <c r="G967" s="3">
        <f>IF('ORDENES'!$A945="","",IF('ORDENES'!$AB945="","-",'ORDENES'!$AB945))</f>
        <v/>
      </c>
      <c r="H967" s="3">
        <f>IF('ORDENES'!$A945="","",IF('ORDENES'!$AN945="","-",'ORDENES'!$AN945))</f>
        <v/>
      </c>
      <c r="I967" s="3">
        <f>IF('ORDENES'!$A945="","",IF('ORDENES'!$D945="","-",'ORDENES'!$D945))</f>
        <v/>
      </c>
      <c r="J967" s="3">
        <f>IF('ORDENES'!$A945="","",IF('ORDENES'!$E945="","-",'ORDENES'!$E945))</f>
        <v/>
      </c>
      <c r="K967" s="12">
        <f>IF('ORDENES'!$A945="","",IF('ORDENES'!$M945="",0,'ORDENES'!$M945))</f>
        <v/>
      </c>
      <c r="L967" s="3">
        <f>IF('ORDENES'!$A945="","",IF('ORDENES'!$N945="","-",'ORDENES'!$N945))</f>
        <v/>
      </c>
      <c r="M967" s="3">
        <f>IF('ORDENES'!$A945="","",'ORDENES'!$AA945)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IF('ORDENES'!$A946="","",IF('ORDENES'!$AC946="","-",'ORDENES'!$AC946))</f>
        <v/>
      </c>
      <c r="D968" s="3">
        <f>IF('ORDENES'!$A946="","",IF('ORDENES'!$V946="","-",'ORDENES'!$V946))</f>
        <v/>
      </c>
      <c r="E968" s="3">
        <f>IF('ORDENES'!$A946="","",IF('ORDENES'!$U946="","-",'ORDENES'!$U946))</f>
        <v/>
      </c>
      <c r="F968" s="3">
        <f>IF('ORDENES'!$A946="","",IF('ORDENES'!$W946="","-",'ORDENES'!$W946))</f>
        <v/>
      </c>
      <c r="G968" s="3">
        <f>IF('ORDENES'!$A946="","",IF('ORDENES'!$AB946="","-",'ORDENES'!$AB946))</f>
        <v/>
      </c>
      <c r="H968" s="3">
        <f>IF('ORDENES'!$A946="","",IF('ORDENES'!$AN946="","-",'ORDENES'!$AN946))</f>
        <v/>
      </c>
      <c r="I968" s="3">
        <f>IF('ORDENES'!$A946="","",IF('ORDENES'!$D946="","-",'ORDENES'!$D946))</f>
        <v/>
      </c>
      <c r="J968" s="3">
        <f>IF('ORDENES'!$A946="","",IF('ORDENES'!$E946="","-",'ORDENES'!$E946))</f>
        <v/>
      </c>
      <c r="K968" s="12">
        <f>IF('ORDENES'!$A946="","",IF('ORDENES'!$M946="",0,'ORDENES'!$M946))</f>
        <v/>
      </c>
      <c r="L968" s="3">
        <f>IF('ORDENES'!$A946="","",IF('ORDENES'!$N946="","-",'ORDENES'!$N946))</f>
        <v/>
      </c>
      <c r="M968" s="3">
        <f>IF('ORDENES'!$A946="","",'ORDENES'!$AA946)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IF('ORDENES'!$A947="","",IF('ORDENES'!$AC947="","-",'ORDENES'!$AC947))</f>
        <v/>
      </c>
      <c r="D969" s="3">
        <f>IF('ORDENES'!$A947="","",IF('ORDENES'!$V947="","-",'ORDENES'!$V947))</f>
        <v/>
      </c>
      <c r="E969" s="3">
        <f>IF('ORDENES'!$A947="","",IF('ORDENES'!$U947="","-",'ORDENES'!$U947))</f>
        <v/>
      </c>
      <c r="F969" s="3">
        <f>IF('ORDENES'!$A947="","",IF('ORDENES'!$W947="","-",'ORDENES'!$W947))</f>
        <v/>
      </c>
      <c r="G969" s="3">
        <f>IF('ORDENES'!$A947="","",IF('ORDENES'!$AB947="","-",'ORDENES'!$AB947))</f>
        <v/>
      </c>
      <c r="H969" s="3">
        <f>IF('ORDENES'!$A947="","",IF('ORDENES'!$AN947="","-",'ORDENES'!$AN947))</f>
        <v/>
      </c>
      <c r="I969" s="3">
        <f>IF('ORDENES'!$A947="","",IF('ORDENES'!$D947="","-",'ORDENES'!$D947))</f>
        <v/>
      </c>
      <c r="J969" s="3">
        <f>IF('ORDENES'!$A947="","",IF('ORDENES'!$E947="","-",'ORDENES'!$E947))</f>
        <v/>
      </c>
      <c r="K969" s="12">
        <f>IF('ORDENES'!$A947="","",IF('ORDENES'!$M947="",0,'ORDENES'!$M947))</f>
        <v/>
      </c>
      <c r="L969" s="3">
        <f>IF('ORDENES'!$A947="","",IF('ORDENES'!$N947="","-",'ORDENES'!$N947))</f>
        <v/>
      </c>
      <c r="M969" s="3">
        <f>IF('ORDENES'!$A947="","",'ORDENES'!$AA947)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IF('ORDENES'!$A948="","",IF('ORDENES'!$AC948="","-",'ORDENES'!$AC948))</f>
        <v/>
      </c>
      <c r="D970" s="3">
        <f>IF('ORDENES'!$A948="","",IF('ORDENES'!$V948="","-",'ORDENES'!$V948))</f>
        <v/>
      </c>
      <c r="E970" s="3">
        <f>IF('ORDENES'!$A948="","",IF('ORDENES'!$U948="","-",'ORDENES'!$U948))</f>
        <v/>
      </c>
      <c r="F970" s="3">
        <f>IF('ORDENES'!$A948="","",IF('ORDENES'!$W948="","-",'ORDENES'!$W948))</f>
        <v/>
      </c>
      <c r="G970" s="3">
        <f>IF('ORDENES'!$A948="","",IF('ORDENES'!$AB948="","-",'ORDENES'!$AB948))</f>
        <v/>
      </c>
      <c r="H970" s="3">
        <f>IF('ORDENES'!$A948="","",IF('ORDENES'!$AN948="","-",'ORDENES'!$AN948))</f>
        <v/>
      </c>
      <c r="I970" s="3">
        <f>IF('ORDENES'!$A948="","",IF('ORDENES'!$D948="","-",'ORDENES'!$D948))</f>
        <v/>
      </c>
      <c r="J970" s="3">
        <f>IF('ORDENES'!$A948="","",IF('ORDENES'!$E948="","-",'ORDENES'!$E948))</f>
        <v/>
      </c>
      <c r="K970" s="12">
        <f>IF('ORDENES'!$A948="","",IF('ORDENES'!$M948="",0,'ORDENES'!$M948))</f>
        <v/>
      </c>
      <c r="L970" s="3">
        <f>IF('ORDENES'!$A948="","",IF('ORDENES'!$N948="","-",'ORDENES'!$N948))</f>
        <v/>
      </c>
      <c r="M970" s="3">
        <f>IF('ORDENES'!$A948="","",'ORDENES'!$AA948)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IF('ORDENES'!$A949="","",IF('ORDENES'!$AC949="","-",'ORDENES'!$AC949))</f>
        <v/>
      </c>
      <c r="D971" s="3">
        <f>IF('ORDENES'!$A949="","",IF('ORDENES'!$V949="","-",'ORDENES'!$V949))</f>
        <v/>
      </c>
      <c r="E971" s="3">
        <f>IF('ORDENES'!$A949="","",IF('ORDENES'!$U949="","-",'ORDENES'!$U949))</f>
        <v/>
      </c>
      <c r="F971" s="3">
        <f>IF('ORDENES'!$A949="","",IF('ORDENES'!$W949="","-",'ORDENES'!$W949))</f>
        <v/>
      </c>
      <c r="G971" s="3">
        <f>IF('ORDENES'!$A949="","",IF('ORDENES'!$AB949="","-",'ORDENES'!$AB949))</f>
        <v/>
      </c>
      <c r="H971" s="3">
        <f>IF('ORDENES'!$A949="","",IF('ORDENES'!$AN949="","-",'ORDENES'!$AN949))</f>
        <v/>
      </c>
      <c r="I971" s="3">
        <f>IF('ORDENES'!$A949="","",IF('ORDENES'!$D949="","-",'ORDENES'!$D949))</f>
        <v/>
      </c>
      <c r="J971" s="3">
        <f>IF('ORDENES'!$A949="","",IF('ORDENES'!$E949="","-",'ORDENES'!$E949))</f>
        <v/>
      </c>
      <c r="K971" s="12">
        <f>IF('ORDENES'!$A949="","",IF('ORDENES'!$M949="",0,'ORDENES'!$M949))</f>
        <v/>
      </c>
      <c r="L971" s="3">
        <f>IF('ORDENES'!$A949="","",IF('ORDENES'!$N949="","-",'ORDENES'!$N949))</f>
        <v/>
      </c>
      <c r="M971" s="3">
        <f>IF('ORDENES'!$A949="","",'ORDENES'!$AA949)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IF('ORDENES'!$A950="","",IF('ORDENES'!$AC950="","-",'ORDENES'!$AC950))</f>
        <v/>
      </c>
      <c r="D972" s="3">
        <f>IF('ORDENES'!$A950="","",IF('ORDENES'!$V950="","-",'ORDENES'!$V950))</f>
        <v/>
      </c>
      <c r="E972" s="3">
        <f>IF('ORDENES'!$A950="","",IF('ORDENES'!$U950="","-",'ORDENES'!$U950))</f>
        <v/>
      </c>
      <c r="F972" s="3">
        <f>IF('ORDENES'!$A950="","",IF('ORDENES'!$W950="","-",'ORDENES'!$W950))</f>
        <v/>
      </c>
      <c r="G972" s="3">
        <f>IF('ORDENES'!$A950="","",IF('ORDENES'!$AB950="","-",'ORDENES'!$AB950))</f>
        <v/>
      </c>
      <c r="H972" s="3">
        <f>IF('ORDENES'!$A950="","",IF('ORDENES'!$AN950="","-",'ORDENES'!$AN950))</f>
        <v/>
      </c>
      <c r="I972" s="3">
        <f>IF('ORDENES'!$A950="","",IF('ORDENES'!$D950="","-",'ORDENES'!$D950))</f>
        <v/>
      </c>
      <c r="J972" s="3">
        <f>IF('ORDENES'!$A950="","",IF('ORDENES'!$E950="","-",'ORDENES'!$E950))</f>
        <v/>
      </c>
      <c r="K972" s="12">
        <f>IF('ORDENES'!$A950="","",IF('ORDENES'!$M950="",0,'ORDENES'!$M950))</f>
        <v/>
      </c>
      <c r="L972" s="3">
        <f>IF('ORDENES'!$A950="","",IF('ORDENES'!$N950="","-",'ORDENES'!$N950))</f>
        <v/>
      </c>
      <c r="M972" s="3">
        <f>IF('ORDENES'!$A950="","",'ORDENES'!$AA950)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IF('ORDENES'!$A951="","",IF('ORDENES'!$AC951="","-",'ORDENES'!$AC951))</f>
        <v/>
      </c>
      <c r="D973" s="3">
        <f>IF('ORDENES'!$A951="","",IF('ORDENES'!$V951="","-",'ORDENES'!$V951))</f>
        <v/>
      </c>
      <c r="E973" s="3">
        <f>IF('ORDENES'!$A951="","",IF('ORDENES'!$U951="","-",'ORDENES'!$U951))</f>
        <v/>
      </c>
      <c r="F973" s="3">
        <f>IF('ORDENES'!$A951="","",IF('ORDENES'!$W951="","-",'ORDENES'!$W951))</f>
        <v/>
      </c>
      <c r="G973" s="3">
        <f>IF('ORDENES'!$A951="","",IF('ORDENES'!$AB951="","-",'ORDENES'!$AB951))</f>
        <v/>
      </c>
      <c r="H973" s="3">
        <f>IF('ORDENES'!$A951="","",IF('ORDENES'!$AN951="","-",'ORDENES'!$AN951))</f>
        <v/>
      </c>
      <c r="I973" s="3">
        <f>IF('ORDENES'!$A951="","",IF('ORDENES'!$D951="","-",'ORDENES'!$D951))</f>
        <v/>
      </c>
      <c r="J973" s="3">
        <f>IF('ORDENES'!$A951="","",IF('ORDENES'!$E951="","-",'ORDENES'!$E951))</f>
        <v/>
      </c>
      <c r="K973" s="12">
        <f>IF('ORDENES'!$A951="","",IF('ORDENES'!$M951="",0,'ORDENES'!$M951))</f>
        <v/>
      </c>
      <c r="L973" s="3">
        <f>IF('ORDENES'!$A951="","",IF('ORDENES'!$N951="","-",'ORDENES'!$N951))</f>
        <v/>
      </c>
      <c r="M973" s="3">
        <f>IF('ORDENES'!$A951="","",'ORDENES'!$AA951)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IF('ORDENES'!$A952="","",IF('ORDENES'!$AC952="","-",'ORDENES'!$AC952))</f>
        <v/>
      </c>
      <c r="D974" s="3">
        <f>IF('ORDENES'!$A952="","",IF('ORDENES'!$V952="","-",'ORDENES'!$V952))</f>
        <v/>
      </c>
      <c r="E974" s="3">
        <f>IF('ORDENES'!$A952="","",IF('ORDENES'!$U952="","-",'ORDENES'!$U952))</f>
        <v/>
      </c>
      <c r="F974" s="3">
        <f>IF('ORDENES'!$A952="","",IF('ORDENES'!$W952="","-",'ORDENES'!$W952))</f>
        <v/>
      </c>
      <c r="G974" s="3">
        <f>IF('ORDENES'!$A952="","",IF('ORDENES'!$AB952="","-",'ORDENES'!$AB952))</f>
        <v/>
      </c>
      <c r="H974" s="3">
        <f>IF('ORDENES'!$A952="","",IF('ORDENES'!$AN952="","-",'ORDENES'!$AN952))</f>
        <v/>
      </c>
      <c r="I974" s="3">
        <f>IF('ORDENES'!$A952="","",IF('ORDENES'!$D952="","-",'ORDENES'!$D952))</f>
        <v/>
      </c>
      <c r="J974" s="3">
        <f>IF('ORDENES'!$A952="","",IF('ORDENES'!$E952="","-",'ORDENES'!$E952))</f>
        <v/>
      </c>
      <c r="K974" s="12">
        <f>IF('ORDENES'!$A952="","",IF('ORDENES'!$M952="",0,'ORDENES'!$M952))</f>
        <v/>
      </c>
      <c r="L974" s="3">
        <f>IF('ORDENES'!$A952="","",IF('ORDENES'!$N952="","-",'ORDENES'!$N952))</f>
        <v/>
      </c>
      <c r="M974" s="3">
        <f>IF('ORDENES'!$A952="","",'ORDENES'!$AA952)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IF('ORDENES'!$A953="","",IF('ORDENES'!$AC953="","-",'ORDENES'!$AC953))</f>
        <v/>
      </c>
      <c r="D975" s="3">
        <f>IF('ORDENES'!$A953="","",IF('ORDENES'!$V953="","-",'ORDENES'!$V953))</f>
        <v/>
      </c>
      <c r="E975" s="3">
        <f>IF('ORDENES'!$A953="","",IF('ORDENES'!$U953="","-",'ORDENES'!$U953))</f>
        <v/>
      </c>
      <c r="F975" s="3">
        <f>IF('ORDENES'!$A953="","",IF('ORDENES'!$W953="","-",'ORDENES'!$W953))</f>
        <v/>
      </c>
      <c r="G975" s="3">
        <f>IF('ORDENES'!$A953="","",IF('ORDENES'!$AB953="","-",'ORDENES'!$AB953))</f>
        <v/>
      </c>
      <c r="H975" s="3">
        <f>IF('ORDENES'!$A953="","",IF('ORDENES'!$AN953="","-",'ORDENES'!$AN953))</f>
        <v/>
      </c>
      <c r="I975" s="3">
        <f>IF('ORDENES'!$A953="","",IF('ORDENES'!$D953="","-",'ORDENES'!$D953))</f>
        <v/>
      </c>
      <c r="J975" s="3">
        <f>IF('ORDENES'!$A953="","",IF('ORDENES'!$E953="","-",'ORDENES'!$E953))</f>
        <v/>
      </c>
      <c r="K975" s="12">
        <f>IF('ORDENES'!$A953="","",IF('ORDENES'!$M953="",0,'ORDENES'!$M953))</f>
        <v/>
      </c>
      <c r="L975" s="3">
        <f>IF('ORDENES'!$A953="","",IF('ORDENES'!$N953="","-",'ORDENES'!$N953))</f>
        <v/>
      </c>
      <c r="M975" s="3">
        <f>IF('ORDENES'!$A953="","",'ORDENES'!$AA953)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IF('ORDENES'!$A954="","",IF('ORDENES'!$AC954="","-",'ORDENES'!$AC954))</f>
        <v/>
      </c>
      <c r="D976" s="3">
        <f>IF('ORDENES'!$A954="","",IF('ORDENES'!$V954="","-",'ORDENES'!$V954))</f>
        <v/>
      </c>
      <c r="E976" s="3">
        <f>IF('ORDENES'!$A954="","",IF('ORDENES'!$U954="","-",'ORDENES'!$U954))</f>
        <v/>
      </c>
      <c r="F976" s="3">
        <f>IF('ORDENES'!$A954="","",IF('ORDENES'!$W954="","-",'ORDENES'!$W954))</f>
        <v/>
      </c>
      <c r="G976" s="3">
        <f>IF('ORDENES'!$A954="","",IF('ORDENES'!$AB954="","-",'ORDENES'!$AB954))</f>
        <v/>
      </c>
      <c r="H976" s="3">
        <f>IF('ORDENES'!$A954="","",IF('ORDENES'!$AN954="","-",'ORDENES'!$AN954))</f>
        <v/>
      </c>
      <c r="I976" s="3">
        <f>IF('ORDENES'!$A954="","",IF('ORDENES'!$D954="","-",'ORDENES'!$D954))</f>
        <v/>
      </c>
      <c r="J976" s="3">
        <f>IF('ORDENES'!$A954="","",IF('ORDENES'!$E954="","-",'ORDENES'!$E954))</f>
        <v/>
      </c>
      <c r="K976" s="12">
        <f>IF('ORDENES'!$A954="","",IF('ORDENES'!$M954="",0,'ORDENES'!$M954))</f>
        <v/>
      </c>
      <c r="L976" s="3">
        <f>IF('ORDENES'!$A954="","",IF('ORDENES'!$N954="","-",'ORDENES'!$N954))</f>
        <v/>
      </c>
      <c r="M976" s="3">
        <f>IF('ORDENES'!$A954="","",'ORDENES'!$AA954)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IF('ORDENES'!$A955="","",IF('ORDENES'!$AC955="","-",'ORDENES'!$AC955))</f>
        <v/>
      </c>
      <c r="D977" s="3">
        <f>IF('ORDENES'!$A955="","",IF('ORDENES'!$V955="","-",'ORDENES'!$V955))</f>
        <v/>
      </c>
      <c r="E977" s="3">
        <f>IF('ORDENES'!$A955="","",IF('ORDENES'!$U955="","-",'ORDENES'!$U955))</f>
        <v/>
      </c>
      <c r="F977" s="3">
        <f>IF('ORDENES'!$A955="","",IF('ORDENES'!$W955="","-",'ORDENES'!$W955))</f>
        <v/>
      </c>
      <c r="G977" s="3">
        <f>IF('ORDENES'!$A955="","",IF('ORDENES'!$AB955="","-",'ORDENES'!$AB955))</f>
        <v/>
      </c>
      <c r="H977" s="3">
        <f>IF('ORDENES'!$A955="","",IF('ORDENES'!$AN955="","-",'ORDENES'!$AN955))</f>
        <v/>
      </c>
      <c r="I977" s="3">
        <f>IF('ORDENES'!$A955="","",IF('ORDENES'!$D955="","-",'ORDENES'!$D955))</f>
        <v/>
      </c>
      <c r="J977" s="3">
        <f>IF('ORDENES'!$A955="","",IF('ORDENES'!$E955="","-",'ORDENES'!$E955))</f>
        <v/>
      </c>
      <c r="K977" s="12">
        <f>IF('ORDENES'!$A955="","",IF('ORDENES'!$M955="",0,'ORDENES'!$M955))</f>
        <v/>
      </c>
      <c r="L977" s="3">
        <f>IF('ORDENES'!$A955="","",IF('ORDENES'!$N955="","-",'ORDENES'!$N955))</f>
        <v/>
      </c>
      <c r="M977" s="3">
        <f>IF('ORDENES'!$A955="","",'ORDENES'!$AA955)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IF('ORDENES'!$A956="","",IF('ORDENES'!$AC956="","-",'ORDENES'!$AC956))</f>
        <v/>
      </c>
      <c r="D978" s="3">
        <f>IF('ORDENES'!$A956="","",IF('ORDENES'!$V956="","-",'ORDENES'!$V956))</f>
        <v/>
      </c>
      <c r="E978" s="3">
        <f>IF('ORDENES'!$A956="","",IF('ORDENES'!$U956="","-",'ORDENES'!$U956))</f>
        <v/>
      </c>
      <c r="F978" s="3">
        <f>IF('ORDENES'!$A956="","",IF('ORDENES'!$W956="","-",'ORDENES'!$W956))</f>
        <v/>
      </c>
      <c r="G978" s="3">
        <f>IF('ORDENES'!$A956="","",IF('ORDENES'!$AB956="","-",'ORDENES'!$AB956))</f>
        <v/>
      </c>
      <c r="H978" s="3">
        <f>IF('ORDENES'!$A956="","",IF('ORDENES'!$AN956="","-",'ORDENES'!$AN956))</f>
        <v/>
      </c>
      <c r="I978" s="3">
        <f>IF('ORDENES'!$A956="","",IF('ORDENES'!$D956="","-",'ORDENES'!$D956))</f>
        <v/>
      </c>
      <c r="J978" s="3">
        <f>IF('ORDENES'!$A956="","",IF('ORDENES'!$E956="","-",'ORDENES'!$E956))</f>
        <v/>
      </c>
      <c r="K978" s="12">
        <f>IF('ORDENES'!$A956="","",IF('ORDENES'!$M956="",0,'ORDENES'!$M956))</f>
        <v/>
      </c>
      <c r="L978" s="3">
        <f>IF('ORDENES'!$A956="","",IF('ORDENES'!$N956="","-",'ORDENES'!$N956))</f>
        <v/>
      </c>
      <c r="M978" s="3">
        <f>IF('ORDENES'!$A956="","",'ORDENES'!$AA956)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IF('ORDENES'!$A957="","",IF('ORDENES'!$AC957="","-",'ORDENES'!$AC957))</f>
        <v/>
      </c>
      <c r="D979" s="3">
        <f>IF('ORDENES'!$A957="","",IF('ORDENES'!$V957="","-",'ORDENES'!$V957))</f>
        <v/>
      </c>
      <c r="E979" s="3">
        <f>IF('ORDENES'!$A957="","",IF('ORDENES'!$U957="","-",'ORDENES'!$U957))</f>
        <v/>
      </c>
      <c r="F979" s="3">
        <f>IF('ORDENES'!$A957="","",IF('ORDENES'!$W957="","-",'ORDENES'!$W957))</f>
        <v/>
      </c>
      <c r="G979" s="3">
        <f>IF('ORDENES'!$A957="","",IF('ORDENES'!$AB957="","-",'ORDENES'!$AB957))</f>
        <v/>
      </c>
      <c r="H979" s="3">
        <f>IF('ORDENES'!$A957="","",IF('ORDENES'!$AN957="","-",'ORDENES'!$AN957))</f>
        <v/>
      </c>
      <c r="I979" s="3">
        <f>IF('ORDENES'!$A957="","",IF('ORDENES'!$D957="","-",'ORDENES'!$D957))</f>
        <v/>
      </c>
      <c r="J979" s="3">
        <f>IF('ORDENES'!$A957="","",IF('ORDENES'!$E957="","-",'ORDENES'!$E957))</f>
        <v/>
      </c>
      <c r="K979" s="12">
        <f>IF('ORDENES'!$A957="","",IF('ORDENES'!$M957="",0,'ORDENES'!$M957))</f>
        <v/>
      </c>
      <c r="L979" s="3">
        <f>IF('ORDENES'!$A957="","",IF('ORDENES'!$N957="","-",'ORDENES'!$N957))</f>
        <v/>
      </c>
      <c r="M979" s="3">
        <f>IF('ORDENES'!$A957="","",'ORDENES'!$AA957)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IF('ORDENES'!$A958="","",IF('ORDENES'!$AC958="","-",'ORDENES'!$AC958))</f>
        <v/>
      </c>
      <c r="D980" s="3">
        <f>IF('ORDENES'!$A958="","",IF('ORDENES'!$V958="","-",'ORDENES'!$V958))</f>
        <v/>
      </c>
      <c r="E980" s="3">
        <f>IF('ORDENES'!$A958="","",IF('ORDENES'!$U958="","-",'ORDENES'!$U958))</f>
        <v/>
      </c>
      <c r="F980" s="3">
        <f>IF('ORDENES'!$A958="","",IF('ORDENES'!$W958="","-",'ORDENES'!$W958))</f>
        <v/>
      </c>
      <c r="G980" s="3">
        <f>IF('ORDENES'!$A958="","",IF('ORDENES'!$AB958="","-",'ORDENES'!$AB958))</f>
        <v/>
      </c>
      <c r="H980" s="3">
        <f>IF('ORDENES'!$A958="","",IF('ORDENES'!$AN958="","-",'ORDENES'!$AN958))</f>
        <v/>
      </c>
      <c r="I980" s="3">
        <f>IF('ORDENES'!$A958="","",IF('ORDENES'!$D958="","-",'ORDENES'!$D958))</f>
        <v/>
      </c>
      <c r="J980" s="3">
        <f>IF('ORDENES'!$A958="","",IF('ORDENES'!$E958="","-",'ORDENES'!$E958))</f>
        <v/>
      </c>
      <c r="K980" s="12">
        <f>IF('ORDENES'!$A958="","",IF('ORDENES'!$M958="",0,'ORDENES'!$M958))</f>
        <v/>
      </c>
      <c r="L980" s="3">
        <f>IF('ORDENES'!$A958="","",IF('ORDENES'!$N958="","-",'ORDENES'!$N958))</f>
        <v/>
      </c>
      <c r="M980" s="3">
        <f>IF('ORDENES'!$A958="","",'ORDENES'!$AA958)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IF('ORDENES'!$A959="","",IF('ORDENES'!$AC959="","-",'ORDENES'!$AC959))</f>
        <v/>
      </c>
      <c r="D981" s="3">
        <f>IF('ORDENES'!$A959="","",IF('ORDENES'!$V959="","-",'ORDENES'!$V959))</f>
        <v/>
      </c>
      <c r="E981" s="3">
        <f>IF('ORDENES'!$A959="","",IF('ORDENES'!$U959="","-",'ORDENES'!$U959))</f>
        <v/>
      </c>
      <c r="F981" s="3">
        <f>IF('ORDENES'!$A959="","",IF('ORDENES'!$W959="","-",'ORDENES'!$W959))</f>
        <v/>
      </c>
      <c r="G981" s="3">
        <f>IF('ORDENES'!$A959="","",IF('ORDENES'!$AB959="","-",'ORDENES'!$AB959))</f>
        <v/>
      </c>
      <c r="H981" s="3">
        <f>IF('ORDENES'!$A959="","",IF('ORDENES'!$AN959="","-",'ORDENES'!$AN959))</f>
        <v/>
      </c>
      <c r="I981" s="3">
        <f>IF('ORDENES'!$A959="","",IF('ORDENES'!$D959="","-",'ORDENES'!$D959))</f>
        <v/>
      </c>
      <c r="J981" s="3">
        <f>IF('ORDENES'!$A959="","",IF('ORDENES'!$E959="","-",'ORDENES'!$E959))</f>
        <v/>
      </c>
      <c r="K981" s="12">
        <f>IF('ORDENES'!$A959="","",IF('ORDENES'!$M959="",0,'ORDENES'!$M959))</f>
        <v/>
      </c>
      <c r="L981" s="3">
        <f>IF('ORDENES'!$A959="","",IF('ORDENES'!$N959="","-",'ORDENES'!$N959))</f>
        <v/>
      </c>
      <c r="M981" s="3">
        <f>IF('ORDENES'!$A959="","",'ORDENES'!$AA959)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IF('ORDENES'!$A960="","",IF('ORDENES'!$AC960="","-",'ORDENES'!$AC960))</f>
        <v/>
      </c>
      <c r="D982" s="3">
        <f>IF('ORDENES'!$A960="","",IF('ORDENES'!$V960="","-",'ORDENES'!$V960))</f>
        <v/>
      </c>
      <c r="E982" s="3">
        <f>IF('ORDENES'!$A960="","",IF('ORDENES'!$U960="","-",'ORDENES'!$U960))</f>
        <v/>
      </c>
      <c r="F982" s="3">
        <f>IF('ORDENES'!$A960="","",IF('ORDENES'!$W960="","-",'ORDENES'!$W960))</f>
        <v/>
      </c>
      <c r="G982" s="3">
        <f>IF('ORDENES'!$A960="","",IF('ORDENES'!$AB960="","-",'ORDENES'!$AB960))</f>
        <v/>
      </c>
      <c r="H982" s="3">
        <f>IF('ORDENES'!$A960="","",IF('ORDENES'!$AN960="","-",'ORDENES'!$AN960))</f>
        <v/>
      </c>
      <c r="I982" s="3">
        <f>IF('ORDENES'!$A960="","",IF('ORDENES'!$D960="","-",'ORDENES'!$D960))</f>
        <v/>
      </c>
      <c r="J982" s="3">
        <f>IF('ORDENES'!$A960="","",IF('ORDENES'!$E960="","-",'ORDENES'!$E960))</f>
        <v/>
      </c>
      <c r="K982" s="12">
        <f>IF('ORDENES'!$A960="","",IF('ORDENES'!$M960="",0,'ORDENES'!$M960))</f>
        <v/>
      </c>
      <c r="L982" s="3">
        <f>IF('ORDENES'!$A960="","",IF('ORDENES'!$N960="","-",'ORDENES'!$N960))</f>
        <v/>
      </c>
      <c r="M982" s="3">
        <f>IF('ORDENES'!$A960="","",'ORDENES'!$AA960)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IF('ORDENES'!$A961="","",IF('ORDENES'!$AC961="","-",'ORDENES'!$AC961))</f>
        <v/>
      </c>
      <c r="D983" s="3">
        <f>IF('ORDENES'!$A961="","",IF('ORDENES'!$V961="","-",'ORDENES'!$V961))</f>
        <v/>
      </c>
      <c r="E983" s="3">
        <f>IF('ORDENES'!$A961="","",IF('ORDENES'!$U961="","-",'ORDENES'!$U961))</f>
        <v/>
      </c>
      <c r="F983" s="3">
        <f>IF('ORDENES'!$A961="","",IF('ORDENES'!$W961="","-",'ORDENES'!$W961))</f>
        <v/>
      </c>
      <c r="G983" s="3">
        <f>IF('ORDENES'!$A961="","",IF('ORDENES'!$AB961="","-",'ORDENES'!$AB961))</f>
        <v/>
      </c>
      <c r="H983" s="3">
        <f>IF('ORDENES'!$A961="","",IF('ORDENES'!$AN961="","-",'ORDENES'!$AN961))</f>
        <v/>
      </c>
      <c r="I983" s="3">
        <f>IF('ORDENES'!$A961="","",IF('ORDENES'!$D961="","-",'ORDENES'!$D961))</f>
        <v/>
      </c>
      <c r="J983" s="3">
        <f>IF('ORDENES'!$A961="","",IF('ORDENES'!$E961="","-",'ORDENES'!$E961))</f>
        <v/>
      </c>
      <c r="K983" s="12">
        <f>IF('ORDENES'!$A961="","",IF('ORDENES'!$M961="",0,'ORDENES'!$M961))</f>
        <v/>
      </c>
      <c r="L983" s="3">
        <f>IF('ORDENES'!$A961="","",IF('ORDENES'!$N961="","-",'ORDENES'!$N961))</f>
        <v/>
      </c>
      <c r="M983" s="3">
        <f>IF('ORDENES'!$A961="","",'ORDENES'!$AA961)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IF('ORDENES'!$A962="","",IF('ORDENES'!$AC962="","-",'ORDENES'!$AC962))</f>
        <v/>
      </c>
      <c r="D984" s="3">
        <f>IF('ORDENES'!$A962="","",IF('ORDENES'!$V962="","-",'ORDENES'!$V962))</f>
        <v/>
      </c>
      <c r="E984" s="3">
        <f>IF('ORDENES'!$A962="","",IF('ORDENES'!$U962="","-",'ORDENES'!$U962))</f>
        <v/>
      </c>
      <c r="F984" s="3">
        <f>IF('ORDENES'!$A962="","",IF('ORDENES'!$W962="","-",'ORDENES'!$W962))</f>
        <v/>
      </c>
      <c r="G984" s="3">
        <f>IF('ORDENES'!$A962="","",IF('ORDENES'!$AB962="","-",'ORDENES'!$AB962))</f>
        <v/>
      </c>
      <c r="H984" s="3">
        <f>IF('ORDENES'!$A962="","",IF('ORDENES'!$AN962="","-",'ORDENES'!$AN962))</f>
        <v/>
      </c>
      <c r="I984" s="3">
        <f>IF('ORDENES'!$A962="","",IF('ORDENES'!$D962="","-",'ORDENES'!$D962))</f>
        <v/>
      </c>
      <c r="J984" s="3">
        <f>IF('ORDENES'!$A962="","",IF('ORDENES'!$E962="","-",'ORDENES'!$E962))</f>
        <v/>
      </c>
      <c r="K984" s="12">
        <f>IF('ORDENES'!$A962="","",IF('ORDENES'!$M962="",0,'ORDENES'!$M962))</f>
        <v/>
      </c>
      <c r="L984" s="3">
        <f>IF('ORDENES'!$A962="","",IF('ORDENES'!$N962="","-",'ORDENES'!$N962))</f>
        <v/>
      </c>
      <c r="M984" s="3">
        <f>IF('ORDENES'!$A962="","",'ORDENES'!$AA962)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IF('ORDENES'!$A963="","",IF('ORDENES'!$AC963="","-",'ORDENES'!$AC963))</f>
        <v/>
      </c>
      <c r="D985" s="3">
        <f>IF('ORDENES'!$A963="","",IF('ORDENES'!$V963="","-",'ORDENES'!$V963))</f>
        <v/>
      </c>
      <c r="E985" s="3">
        <f>IF('ORDENES'!$A963="","",IF('ORDENES'!$U963="","-",'ORDENES'!$U963))</f>
        <v/>
      </c>
      <c r="F985" s="3">
        <f>IF('ORDENES'!$A963="","",IF('ORDENES'!$W963="","-",'ORDENES'!$W963))</f>
        <v/>
      </c>
      <c r="G985" s="3">
        <f>IF('ORDENES'!$A963="","",IF('ORDENES'!$AB963="","-",'ORDENES'!$AB963))</f>
        <v/>
      </c>
      <c r="H985" s="3">
        <f>IF('ORDENES'!$A963="","",IF('ORDENES'!$AN963="","-",'ORDENES'!$AN963))</f>
        <v/>
      </c>
      <c r="I985" s="3">
        <f>IF('ORDENES'!$A963="","",IF('ORDENES'!$D963="","-",'ORDENES'!$D963))</f>
        <v/>
      </c>
      <c r="J985" s="3">
        <f>IF('ORDENES'!$A963="","",IF('ORDENES'!$E963="","-",'ORDENES'!$E963))</f>
        <v/>
      </c>
      <c r="K985" s="12">
        <f>IF('ORDENES'!$A963="","",IF('ORDENES'!$M963="",0,'ORDENES'!$M963))</f>
        <v/>
      </c>
      <c r="L985" s="3">
        <f>IF('ORDENES'!$A963="","",IF('ORDENES'!$N963="","-",'ORDENES'!$N963))</f>
        <v/>
      </c>
      <c r="M985" s="3">
        <f>IF('ORDENES'!$A963="","",'ORDENES'!$AA963)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IF('ORDENES'!$A964="","",IF('ORDENES'!$AC964="","-",'ORDENES'!$AC964))</f>
        <v/>
      </c>
      <c r="D986" s="3">
        <f>IF('ORDENES'!$A964="","",IF('ORDENES'!$V964="","-",'ORDENES'!$V964))</f>
        <v/>
      </c>
      <c r="E986" s="3">
        <f>IF('ORDENES'!$A964="","",IF('ORDENES'!$U964="","-",'ORDENES'!$U964))</f>
        <v/>
      </c>
      <c r="F986" s="3">
        <f>IF('ORDENES'!$A964="","",IF('ORDENES'!$W964="","-",'ORDENES'!$W964))</f>
        <v/>
      </c>
      <c r="G986" s="3">
        <f>IF('ORDENES'!$A964="","",IF('ORDENES'!$AB964="","-",'ORDENES'!$AB964))</f>
        <v/>
      </c>
      <c r="H986" s="3">
        <f>IF('ORDENES'!$A964="","",IF('ORDENES'!$AN964="","-",'ORDENES'!$AN964))</f>
        <v/>
      </c>
      <c r="I986" s="3">
        <f>IF('ORDENES'!$A964="","",IF('ORDENES'!$D964="","-",'ORDENES'!$D964))</f>
        <v/>
      </c>
      <c r="J986" s="3">
        <f>IF('ORDENES'!$A964="","",IF('ORDENES'!$E964="","-",'ORDENES'!$E964))</f>
        <v/>
      </c>
      <c r="K986" s="12">
        <f>IF('ORDENES'!$A964="","",IF('ORDENES'!$M964="",0,'ORDENES'!$M964))</f>
        <v/>
      </c>
      <c r="L986" s="3">
        <f>IF('ORDENES'!$A964="","",IF('ORDENES'!$N964="","-",'ORDENES'!$N964))</f>
        <v/>
      </c>
      <c r="M986" s="3">
        <f>IF('ORDENES'!$A964="","",'ORDENES'!$AA964)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IF('ORDENES'!$A965="","",IF('ORDENES'!$AC965="","-",'ORDENES'!$AC965))</f>
        <v/>
      </c>
      <c r="D987" s="3">
        <f>IF('ORDENES'!$A965="","",IF('ORDENES'!$V965="","-",'ORDENES'!$V965))</f>
        <v/>
      </c>
      <c r="E987" s="3">
        <f>IF('ORDENES'!$A965="","",IF('ORDENES'!$U965="","-",'ORDENES'!$U965))</f>
        <v/>
      </c>
      <c r="F987" s="3">
        <f>IF('ORDENES'!$A965="","",IF('ORDENES'!$W965="","-",'ORDENES'!$W965))</f>
        <v/>
      </c>
      <c r="G987" s="3">
        <f>IF('ORDENES'!$A965="","",IF('ORDENES'!$AB965="","-",'ORDENES'!$AB965))</f>
        <v/>
      </c>
      <c r="H987" s="3">
        <f>IF('ORDENES'!$A965="","",IF('ORDENES'!$AN965="","-",'ORDENES'!$AN965))</f>
        <v/>
      </c>
      <c r="I987" s="3">
        <f>IF('ORDENES'!$A965="","",IF('ORDENES'!$D965="","-",'ORDENES'!$D965))</f>
        <v/>
      </c>
      <c r="J987" s="3">
        <f>IF('ORDENES'!$A965="","",IF('ORDENES'!$E965="","-",'ORDENES'!$E965))</f>
        <v/>
      </c>
      <c r="K987" s="12">
        <f>IF('ORDENES'!$A965="","",IF('ORDENES'!$M965="",0,'ORDENES'!$M965))</f>
        <v/>
      </c>
      <c r="L987" s="3">
        <f>IF('ORDENES'!$A965="","",IF('ORDENES'!$N965="","-",'ORDENES'!$N965))</f>
        <v/>
      </c>
      <c r="M987" s="3">
        <f>IF('ORDENES'!$A965="","",'ORDENES'!$AA965)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IF('ORDENES'!$A966="","",IF('ORDENES'!$AC966="","-",'ORDENES'!$AC966))</f>
        <v/>
      </c>
      <c r="D988" s="3">
        <f>IF('ORDENES'!$A966="","",IF('ORDENES'!$V966="","-",'ORDENES'!$V966))</f>
        <v/>
      </c>
      <c r="E988" s="3">
        <f>IF('ORDENES'!$A966="","",IF('ORDENES'!$U966="","-",'ORDENES'!$U966))</f>
        <v/>
      </c>
      <c r="F988" s="3">
        <f>IF('ORDENES'!$A966="","",IF('ORDENES'!$W966="","-",'ORDENES'!$W966))</f>
        <v/>
      </c>
      <c r="G988" s="3">
        <f>IF('ORDENES'!$A966="","",IF('ORDENES'!$AB966="","-",'ORDENES'!$AB966))</f>
        <v/>
      </c>
      <c r="H988" s="3">
        <f>IF('ORDENES'!$A966="","",IF('ORDENES'!$AN966="","-",'ORDENES'!$AN966))</f>
        <v/>
      </c>
      <c r="I988" s="3">
        <f>IF('ORDENES'!$A966="","",IF('ORDENES'!$D966="","-",'ORDENES'!$D966))</f>
        <v/>
      </c>
      <c r="J988" s="3">
        <f>IF('ORDENES'!$A966="","",IF('ORDENES'!$E966="","-",'ORDENES'!$E966))</f>
        <v/>
      </c>
      <c r="K988" s="12">
        <f>IF('ORDENES'!$A966="","",IF('ORDENES'!$M966="",0,'ORDENES'!$M966))</f>
        <v/>
      </c>
      <c r="L988" s="3">
        <f>IF('ORDENES'!$A966="","",IF('ORDENES'!$N966="","-",'ORDENES'!$N966))</f>
        <v/>
      </c>
      <c r="M988" s="3">
        <f>IF('ORDENES'!$A966="","",'ORDENES'!$AA966)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IF('ORDENES'!$A967="","",IF('ORDENES'!$AC967="","-",'ORDENES'!$AC967))</f>
        <v/>
      </c>
      <c r="D989" s="3">
        <f>IF('ORDENES'!$A967="","",IF('ORDENES'!$V967="","-",'ORDENES'!$V967))</f>
        <v/>
      </c>
      <c r="E989" s="3">
        <f>IF('ORDENES'!$A967="","",IF('ORDENES'!$U967="","-",'ORDENES'!$U967))</f>
        <v/>
      </c>
      <c r="F989" s="3">
        <f>IF('ORDENES'!$A967="","",IF('ORDENES'!$W967="","-",'ORDENES'!$W967))</f>
        <v/>
      </c>
      <c r="G989" s="3">
        <f>IF('ORDENES'!$A967="","",IF('ORDENES'!$AB967="","-",'ORDENES'!$AB967))</f>
        <v/>
      </c>
      <c r="H989" s="3">
        <f>IF('ORDENES'!$A967="","",IF('ORDENES'!$AN967="","-",'ORDENES'!$AN967))</f>
        <v/>
      </c>
      <c r="I989" s="3">
        <f>IF('ORDENES'!$A967="","",IF('ORDENES'!$D967="","-",'ORDENES'!$D967))</f>
        <v/>
      </c>
      <c r="J989" s="3">
        <f>IF('ORDENES'!$A967="","",IF('ORDENES'!$E967="","-",'ORDENES'!$E967))</f>
        <v/>
      </c>
      <c r="K989" s="12">
        <f>IF('ORDENES'!$A967="","",IF('ORDENES'!$M967="",0,'ORDENES'!$M967))</f>
        <v/>
      </c>
      <c r="L989" s="3">
        <f>IF('ORDENES'!$A967="","",IF('ORDENES'!$N967="","-",'ORDENES'!$N967))</f>
        <v/>
      </c>
      <c r="M989" s="3">
        <f>IF('ORDENES'!$A967="","",'ORDENES'!$AA967)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IF('ORDENES'!$A968="","",IF('ORDENES'!$AC968="","-",'ORDENES'!$AC968))</f>
        <v/>
      </c>
      <c r="D990" s="3">
        <f>IF('ORDENES'!$A968="","",IF('ORDENES'!$V968="","-",'ORDENES'!$V968))</f>
        <v/>
      </c>
      <c r="E990" s="3">
        <f>IF('ORDENES'!$A968="","",IF('ORDENES'!$U968="","-",'ORDENES'!$U968))</f>
        <v/>
      </c>
      <c r="F990" s="3">
        <f>IF('ORDENES'!$A968="","",IF('ORDENES'!$W968="","-",'ORDENES'!$W968))</f>
        <v/>
      </c>
      <c r="G990" s="3">
        <f>IF('ORDENES'!$A968="","",IF('ORDENES'!$AB968="","-",'ORDENES'!$AB968))</f>
        <v/>
      </c>
      <c r="H990" s="3">
        <f>IF('ORDENES'!$A968="","",IF('ORDENES'!$AN968="","-",'ORDENES'!$AN968))</f>
        <v/>
      </c>
      <c r="I990" s="3">
        <f>IF('ORDENES'!$A968="","",IF('ORDENES'!$D968="","-",'ORDENES'!$D968))</f>
        <v/>
      </c>
      <c r="J990" s="3">
        <f>IF('ORDENES'!$A968="","",IF('ORDENES'!$E968="","-",'ORDENES'!$E968))</f>
        <v/>
      </c>
      <c r="K990" s="12">
        <f>IF('ORDENES'!$A968="","",IF('ORDENES'!$M968="",0,'ORDENES'!$M968))</f>
        <v/>
      </c>
      <c r="L990" s="3">
        <f>IF('ORDENES'!$A968="","",IF('ORDENES'!$N968="","-",'ORDENES'!$N968))</f>
        <v/>
      </c>
      <c r="M990" s="3">
        <f>IF('ORDENES'!$A968="","",'ORDENES'!$AA968)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IF('ORDENES'!$A969="","",IF('ORDENES'!$AC969="","-",'ORDENES'!$AC969))</f>
        <v/>
      </c>
      <c r="D991" s="3">
        <f>IF('ORDENES'!$A969="","",IF('ORDENES'!$V969="","-",'ORDENES'!$V969))</f>
        <v/>
      </c>
      <c r="E991" s="3">
        <f>IF('ORDENES'!$A969="","",IF('ORDENES'!$U969="","-",'ORDENES'!$U969))</f>
        <v/>
      </c>
      <c r="F991" s="3">
        <f>IF('ORDENES'!$A969="","",IF('ORDENES'!$W969="","-",'ORDENES'!$W969))</f>
        <v/>
      </c>
      <c r="G991" s="3">
        <f>IF('ORDENES'!$A969="","",IF('ORDENES'!$AB969="","-",'ORDENES'!$AB969))</f>
        <v/>
      </c>
      <c r="H991" s="3">
        <f>IF('ORDENES'!$A969="","",IF('ORDENES'!$AN969="","-",'ORDENES'!$AN969))</f>
        <v/>
      </c>
      <c r="I991" s="3">
        <f>IF('ORDENES'!$A969="","",IF('ORDENES'!$D969="","-",'ORDENES'!$D969))</f>
        <v/>
      </c>
      <c r="J991" s="3">
        <f>IF('ORDENES'!$A969="","",IF('ORDENES'!$E969="","-",'ORDENES'!$E969))</f>
        <v/>
      </c>
      <c r="K991" s="12">
        <f>IF('ORDENES'!$A969="","",IF('ORDENES'!$M969="",0,'ORDENES'!$M969))</f>
        <v/>
      </c>
      <c r="L991" s="3">
        <f>IF('ORDENES'!$A969="","",IF('ORDENES'!$N969="","-",'ORDENES'!$N969))</f>
        <v/>
      </c>
      <c r="M991" s="3">
        <f>IF('ORDENES'!$A969="","",'ORDENES'!$AA969)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IF('ORDENES'!$A970="","",IF('ORDENES'!$AC970="","-",'ORDENES'!$AC970))</f>
        <v/>
      </c>
      <c r="D992" s="3">
        <f>IF('ORDENES'!$A970="","",IF('ORDENES'!$V970="","-",'ORDENES'!$V970))</f>
        <v/>
      </c>
      <c r="E992" s="3">
        <f>IF('ORDENES'!$A970="","",IF('ORDENES'!$U970="","-",'ORDENES'!$U970))</f>
        <v/>
      </c>
      <c r="F992" s="3">
        <f>IF('ORDENES'!$A970="","",IF('ORDENES'!$W970="","-",'ORDENES'!$W970))</f>
        <v/>
      </c>
      <c r="G992" s="3">
        <f>IF('ORDENES'!$A970="","",IF('ORDENES'!$AB970="","-",'ORDENES'!$AB970))</f>
        <v/>
      </c>
      <c r="H992" s="3">
        <f>IF('ORDENES'!$A970="","",IF('ORDENES'!$AN970="","-",'ORDENES'!$AN970))</f>
        <v/>
      </c>
      <c r="I992" s="3">
        <f>IF('ORDENES'!$A970="","",IF('ORDENES'!$D970="","-",'ORDENES'!$D970))</f>
        <v/>
      </c>
      <c r="J992" s="3">
        <f>IF('ORDENES'!$A970="","",IF('ORDENES'!$E970="","-",'ORDENES'!$E970))</f>
        <v/>
      </c>
      <c r="K992" s="12">
        <f>IF('ORDENES'!$A970="","",IF('ORDENES'!$M970="",0,'ORDENES'!$M970))</f>
        <v/>
      </c>
      <c r="L992" s="3">
        <f>IF('ORDENES'!$A970="","",IF('ORDENES'!$N970="","-",'ORDENES'!$N970))</f>
        <v/>
      </c>
      <c r="M992" s="3">
        <f>IF('ORDENES'!$A970="","",'ORDENES'!$AA970)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IF('ORDENES'!$A971="","",IF('ORDENES'!$AC971="","-",'ORDENES'!$AC971))</f>
        <v/>
      </c>
      <c r="D993" s="3">
        <f>IF('ORDENES'!$A971="","",IF('ORDENES'!$V971="","-",'ORDENES'!$V971))</f>
        <v/>
      </c>
      <c r="E993" s="3">
        <f>IF('ORDENES'!$A971="","",IF('ORDENES'!$U971="","-",'ORDENES'!$U971))</f>
        <v/>
      </c>
      <c r="F993" s="3">
        <f>IF('ORDENES'!$A971="","",IF('ORDENES'!$W971="","-",'ORDENES'!$W971))</f>
        <v/>
      </c>
      <c r="G993" s="3">
        <f>IF('ORDENES'!$A971="","",IF('ORDENES'!$AB971="","-",'ORDENES'!$AB971))</f>
        <v/>
      </c>
      <c r="H993" s="3">
        <f>IF('ORDENES'!$A971="","",IF('ORDENES'!$AN971="","-",'ORDENES'!$AN971))</f>
        <v/>
      </c>
      <c r="I993" s="3">
        <f>IF('ORDENES'!$A971="","",IF('ORDENES'!$D971="","-",'ORDENES'!$D971))</f>
        <v/>
      </c>
      <c r="J993" s="3">
        <f>IF('ORDENES'!$A971="","",IF('ORDENES'!$E971="","-",'ORDENES'!$E971))</f>
        <v/>
      </c>
      <c r="K993" s="12">
        <f>IF('ORDENES'!$A971="","",IF('ORDENES'!$M971="",0,'ORDENES'!$M971))</f>
        <v/>
      </c>
      <c r="L993" s="3">
        <f>IF('ORDENES'!$A971="","",IF('ORDENES'!$N971="","-",'ORDENES'!$N971))</f>
        <v/>
      </c>
      <c r="M993" s="3">
        <f>IF('ORDENES'!$A971="","",'ORDENES'!$AA971)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IF('ORDENES'!$A972="","",IF('ORDENES'!$AC972="","-",'ORDENES'!$AC972))</f>
        <v/>
      </c>
      <c r="D994" s="3">
        <f>IF('ORDENES'!$A972="","",IF('ORDENES'!$V972="","-",'ORDENES'!$V972))</f>
        <v/>
      </c>
      <c r="E994" s="3">
        <f>IF('ORDENES'!$A972="","",IF('ORDENES'!$U972="","-",'ORDENES'!$U972))</f>
        <v/>
      </c>
      <c r="F994" s="3">
        <f>IF('ORDENES'!$A972="","",IF('ORDENES'!$W972="","-",'ORDENES'!$W972))</f>
        <v/>
      </c>
      <c r="G994" s="3">
        <f>IF('ORDENES'!$A972="","",IF('ORDENES'!$AB972="","-",'ORDENES'!$AB972))</f>
        <v/>
      </c>
      <c r="H994" s="3">
        <f>IF('ORDENES'!$A972="","",IF('ORDENES'!$AN972="","-",'ORDENES'!$AN972))</f>
        <v/>
      </c>
      <c r="I994" s="3">
        <f>IF('ORDENES'!$A972="","",IF('ORDENES'!$D972="","-",'ORDENES'!$D972))</f>
        <v/>
      </c>
      <c r="J994" s="3">
        <f>IF('ORDENES'!$A972="","",IF('ORDENES'!$E972="","-",'ORDENES'!$E972))</f>
        <v/>
      </c>
      <c r="K994" s="12">
        <f>IF('ORDENES'!$A972="","",IF('ORDENES'!$M972="",0,'ORDENES'!$M972))</f>
        <v/>
      </c>
      <c r="L994" s="3">
        <f>IF('ORDENES'!$A972="","",IF('ORDENES'!$N972="","-",'ORDENES'!$N972))</f>
        <v/>
      </c>
      <c r="M994" s="3">
        <f>IF('ORDENES'!$A972="","",'ORDENES'!$AA972)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IF('ORDENES'!$A973="","",IF('ORDENES'!$AC973="","-",'ORDENES'!$AC973))</f>
        <v/>
      </c>
      <c r="D995" s="3">
        <f>IF('ORDENES'!$A973="","",IF('ORDENES'!$V973="","-",'ORDENES'!$V973))</f>
        <v/>
      </c>
      <c r="E995" s="3">
        <f>IF('ORDENES'!$A973="","",IF('ORDENES'!$U973="","-",'ORDENES'!$U973))</f>
        <v/>
      </c>
      <c r="F995" s="3">
        <f>IF('ORDENES'!$A973="","",IF('ORDENES'!$W973="","-",'ORDENES'!$W973))</f>
        <v/>
      </c>
      <c r="G995" s="3">
        <f>IF('ORDENES'!$A973="","",IF('ORDENES'!$AB973="","-",'ORDENES'!$AB973))</f>
        <v/>
      </c>
      <c r="H995" s="3">
        <f>IF('ORDENES'!$A973="","",IF('ORDENES'!$AN973="","-",'ORDENES'!$AN973))</f>
        <v/>
      </c>
      <c r="I995" s="3">
        <f>IF('ORDENES'!$A973="","",IF('ORDENES'!$D973="","-",'ORDENES'!$D973))</f>
        <v/>
      </c>
      <c r="J995" s="3">
        <f>IF('ORDENES'!$A973="","",IF('ORDENES'!$E973="","-",'ORDENES'!$E973))</f>
        <v/>
      </c>
      <c r="K995" s="12">
        <f>IF('ORDENES'!$A973="","",IF('ORDENES'!$M973="",0,'ORDENES'!$M973))</f>
        <v/>
      </c>
      <c r="L995" s="3">
        <f>IF('ORDENES'!$A973="","",IF('ORDENES'!$N973="","-",'ORDENES'!$N973))</f>
        <v/>
      </c>
      <c r="M995" s="3">
        <f>IF('ORDENES'!$A973="","",'ORDENES'!$AA973)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IF('ORDENES'!$A974="","",IF('ORDENES'!$AC974="","-",'ORDENES'!$AC974))</f>
        <v/>
      </c>
      <c r="D996" s="3">
        <f>IF('ORDENES'!$A974="","",IF('ORDENES'!$V974="","-",'ORDENES'!$V974))</f>
        <v/>
      </c>
      <c r="E996" s="3">
        <f>IF('ORDENES'!$A974="","",IF('ORDENES'!$U974="","-",'ORDENES'!$U974))</f>
        <v/>
      </c>
      <c r="F996" s="3">
        <f>IF('ORDENES'!$A974="","",IF('ORDENES'!$W974="","-",'ORDENES'!$W974))</f>
        <v/>
      </c>
      <c r="G996" s="3">
        <f>IF('ORDENES'!$A974="","",IF('ORDENES'!$AB974="","-",'ORDENES'!$AB974))</f>
        <v/>
      </c>
      <c r="H996" s="3">
        <f>IF('ORDENES'!$A974="","",IF('ORDENES'!$AN974="","-",'ORDENES'!$AN974))</f>
        <v/>
      </c>
      <c r="I996" s="3">
        <f>IF('ORDENES'!$A974="","",IF('ORDENES'!$D974="","-",'ORDENES'!$D974))</f>
        <v/>
      </c>
      <c r="J996" s="3">
        <f>IF('ORDENES'!$A974="","",IF('ORDENES'!$E974="","-",'ORDENES'!$E974))</f>
        <v/>
      </c>
      <c r="K996" s="12">
        <f>IF('ORDENES'!$A974="","",IF('ORDENES'!$M974="",0,'ORDENES'!$M974))</f>
        <v/>
      </c>
      <c r="L996" s="3">
        <f>IF('ORDENES'!$A974="","",IF('ORDENES'!$N974="","-",'ORDENES'!$N974))</f>
        <v/>
      </c>
      <c r="M996" s="3">
        <f>IF('ORDENES'!$A974="","",'ORDENES'!$AA974)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IF('ORDENES'!$A975="","",IF('ORDENES'!$AC975="","-",'ORDENES'!$AC975))</f>
        <v/>
      </c>
      <c r="D997" s="3">
        <f>IF('ORDENES'!$A975="","",IF('ORDENES'!$V975="","-",'ORDENES'!$V975))</f>
        <v/>
      </c>
      <c r="E997" s="3">
        <f>IF('ORDENES'!$A975="","",IF('ORDENES'!$U975="","-",'ORDENES'!$U975))</f>
        <v/>
      </c>
      <c r="F997" s="3">
        <f>IF('ORDENES'!$A975="","",IF('ORDENES'!$W975="","-",'ORDENES'!$W975))</f>
        <v/>
      </c>
      <c r="G997" s="3">
        <f>IF('ORDENES'!$A975="","",IF('ORDENES'!$AB975="","-",'ORDENES'!$AB975))</f>
        <v/>
      </c>
      <c r="H997" s="3">
        <f>IF('ORDENES'!$A975="","",IF('ORDENES'!$AN975="","-",'ORDENES'!$AN975))</f>
        <v/>
      </c>
      <c r="I997" s="3">
        <f>IF('ORDENES'!$A975="","",IF('ORDENES'!$D975="","-",'ORDENES'!$D975))</f>
        <v/>
      </c>
      <c r="J997" s="3">
        <f>IF('ORDENES'!$A975="","",IF('ORDENES'!$E975="","-",'ORDENES'!$E975))</f>
        <v/>
      </c>
      <c r="K997" s="12">
        <f>IF('ORDENES'!$A975="","",IF('ORDENES'!$M975="",0,'ORDENES'!$M975))</f>
        <v/>
      </c>
      <c r="L997" s="3">
        <f>IF('ORDENES'!$A975="","",IF('ORDENES'!$N975="","-",'ORDENES'!$N975))</f>
        <v/>
      </c>
      <c r="M997" s="3">
        <f>IF('ORDENES'!$A975="","",'ORDENES'!$AA975)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IF('ORDENES'!$A976="","",IF('ORDENES'!$AC976="","-",'ORDENES'!$AC976))</f>
        <v/>
      </c>
      <c r="D998" s="3">
        <f>IF('ORDENES'!$A976="","",IF('ORDENES'!$V976="","-",'ORDENES'!$V976))</f>
        <v/>
      </c>
      <c r="E998" s="3">
        <f>IF('ORDENES'!$A976="","",IF('ORDENES'!$U976="","-",'ORDENES'!$U976))</f>
        <v/>
      </c>
      <c r="F998" s="3">
        <f>IF('ORDENES'!$A976="","",IF('ORDENES'!$W976="","-",'ORDENES'!$W976))</f>
        <v/>
      </c>
      <c r="G998" s="3">
        <f>IF('ORDENES'!$A976="","",IF('ORDENES'!$AB976="","-",'ORDENES'!$AB976))</f>
        <v/>
      </c>
      <c r="H998" s="3">
        <f>IF('ORDENES'!$A976="","",IF('ORDENES'!$AN976="","-",'ORDENES'!$AN976))</f>
        <v/>
      </c>
      <c r="I998" s="3">
        <f>IF('ORDENES'!$A976="","",IF('ORDENES'!$D976="","-",'ORDENES'!$D976))</f>
        <v/>
      </c>
      <c r="J998" s="3">
        <f>IF('ORDENES'!$A976="","",IF('ORDENES'!$E976="","-",'ORDENES'!$E976))</f>
        <v/>
      </c>
      <c r="K998" s="12">
        <f>IF('ORDENES'!$A976="","",IF('ORDENES'!$M976="",0,'ORDENES'!$M976))</f>
        <v/>
      </c>
      <c r="L998" s="3">
        <f>IF('ORDENES'!$A976="","",IF('ORDENES'!$N976="","-",'ORDENES'!$N976))</f>
        <v/>
      </c>
      <c r="M998" s="3">
        <f>IF('ORDENES'!$A976="","",'ORDENES'!$AA976)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IF('ORDENES'!$A977="","",IF('ORDENES'!$AC977="","-",'ORDENES'!$AC977))</f>
        <v/>
      </c>
      <c r="D999" s="3">
        <f>IF('ORDENES'!$A977="","",IF('ORDENES'!$V977="","-",'ORDENES'!$V977))</f>
        <v/>
      </c>
      <c r="E999" s="3">
        <f>IF('ORDENES'!$A977="","",IF('ORDENES'!$U977="","-",'ORDENES'!$U977))</f>
        <v/>
      </c>
      <c r="F999" s="3">
        <f>IF('ORDENES'!$A977="","",IF('ORDENES'!$W977="","-",'ORDENES'!$W977))</f>
        <v/>
      </c>
      <c r="G999" s="3">
        <f>IF('ORDENES'!$A977="","",IF('ORDENES'!$AB977="","-",'ORDENES'!$AB977))</f>
        <v/>
      </c>
      <c r="H999" s="3">
        <f>IF('ORDENES'!$A977="","",IF('ORDENES'!$AN977="","-",'ORDENES'!$AN977))</f>
        <v/>
      </c>
      <c r="I999" s="3">
        <f>IF('ORDENES'!$A977="","",IF('ORDENES'!$D977="","-",'ORDENES'!$D977))</f>
        <v/>
      </c>
      <c r="J999" s="3">
        <f>IF('ORDENES'!$A977="","",IF('ORDENES'!$E977="","-",'ORDENES'!$E977))</f>
        <v/>
      </c>
      <c r="K999" s="12">
        <f>IF('ORDENES'!$A977="","",IF('ORDENES'!$M977="",0,'ORDENES'!$M977))</f>
        <v/>
      </c>
      <c r="L999" s="3">
        <f>IF('ORDENES'!$A977="","",IF('ORDENES'!$N977="","-",'ORDENES'!$N977))</f>
        <v/>
      </c>
      <c r="M999" s="3">
        <f>IF('ORDENES'!$A977="","",'ORDENES'!$AA977)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IF('ORDENES'!$A978="","",IF('ORDENES'!$AC978="","-",'ORDENES'!$AC978))</f>
        <v/>
      </c>
      <c r="D1000" s="3">
        <f>IF('ORDENES'!$A978="","",IF('ORDENES'!$V978="","-",'ORDENES'!$V978))</f>
        <v/>
      </c>
      <c r="E1000" s="3">
        <f>IF('ORDENES'!$A978="","",IF('ORDENES'!$U978="","-",'ORDENES'!$U978))</f>
        <v/>
      </c>
      <c r="F1000" s="3">
        <f>IF('ORDENES'!$A978="","",IF('ORDENES'!$W978="","-",'ORDENES'!$W978))</f>
        <v/>
      </c>
      <c r="G1000" s="3">
        <f>IF('ORDENES'!$A978="","",IF('ORDENES'!$AB978="","-",'ORDENES'!$AB978))</f>
        <v/>
      </c>
      <c r="H1000" s="3">
        <f>IF('ORDENES'!$A978="","",IF('ORDENES'!$AN978="","-",'ORDENES'!$AN978))</f>
        <v/>
      </c>
      <c r="I1000" s="3">
        <f>IF('ORDENES'!$A978="","",IF('ORDENES'!$D978="","-",'ORDENES'!$D978))</f>
        <v/>
      </c>
      <c r="J1000" s="3">
        <f>IF('ORDENES'!$A978="","",IF('ORDENES'!$E978="","-",'ORDENES'!$E978))</f>
        <v/>
      </c>
      <c r="K1000" s="12">
        <f>IF('ORDENES'!$A978="","",IF('ORDENES'!$M978="",0,'ORDENES'!$M978))</f>
        <v/>
      </c>
      <c r="L1000" s="3">
        <f>IF('ORDENES'!$A978="","",IF('ORDENES'!$N978="","-",'ORDENES'!$N978))</f>
        <v/>
      </c>
      <c r="M1000" s="3">
        <f>IF('ORDENES'!$A978="","",'ORDENES'!$AA978)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IF('ORDENES'!$A979="","",IF('ORDENES'!$AC979="","-",'ORDENES'!$AC979))</f>
        <v/>
      </c>
      <c r="D1001" s="3">
        <f>IF('ORDENES'!$A979="","",IF('ORDENES'!$V979="","-",'ORDENES'!$V979))</f>
        <v/>
      </c>
      <c r="E1001" s="3">
        <f>IF('ORDENES'!$A979="","",IF('ORDENES'!$U979="","-",'ORDENES'!$U979))</f>
        <v/>
      </c>
      <c r="F1001" s="3">
        <f>IF('ORDENES'!$A979="","",IF('ORDENES'!$W979="","-",'ORDENES'!$W979))</f>
        <v/>
      </c>
      <c r="G1001" s="3">
        <f>IF('ORDENES'!$A979="","",IF('ORDENES'!$AB979="","-",'ORDENES'!$AB979))</f>
        <v/>
      </c>
      <c r="H1001" s="3">
        <f>IF('ORDENES'!$A979="","",IF('ORDENES'!$AN979="","-",'ORDENES'!$AN979))</f>
        <v/>
      </c>
      <c r="I1001" s="3">
        <f>IF('ORDENES'!$A979="","",IF('ORDENES'!$D979="","-",'ORDENES'!$D979))</f>
        <v/>
      </c>
      <c r="J1001" s="3">
        <f>IF('ORDENES'!$A979="","",IF('ORDENES'!$E979="","-",'ORDENES'!$E979))</f>
        <v/>
      </c>
      <c r="K1001" s="12">
        <f>IF('ORDENES'!$A979="","",IF('ORDENES'!$M979="",0,'ORDENES'!$M979))</f>
        <v/>
      </c>
      <c r="L1001" s="3">
        <f>IF('ORDENES'!$A979="","",IF('ORDENES'!$N979="","-",'ORDENES'!$N979))</f>
        <v/>
      </c>
      <c r="M1001" s="3">
        <f>IF('ORDENES'!$A979="","",'ORDENES'!$AA979)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IF('ORDENES'!$A980="","",IF('ORDENES'!$AC980="","-",'ORDENES'!$AC980))</f>
        <v/>
      </c>
      <c r="D1002" s="3">
        <f>IF('ORDENES'!$A980="","",IF('ORDENES'!$V980="","-",'ORDENES'!$V980))</f>
        <v/>
      </c>
      <c r="E1002" s="3">
        <f>IF('ORDENES'!$A980="","",IF('ORDENES'!$U980="","-",'ORDENES'!$U980))</f>
        <v/>
      </c>
      <c r="F1002" s="3">
        <f>IF('ORDENES'!$A980="","",IF('ORDENES'!$W980="","-",'ORDENES'!$W980))</f>
        <v/>
      </c>
      <c r="G1002" s="3">
        <f>IF('ORDENES'!$A980="","",IF('ORDENES'!$AB980="","-",'ORDENES'!$AB980))</f>
        <v/>
      </c>
      <c r="H1002" s="3">
        <f>IF('ORDENES'!$A980="","",IF('ORDENES'!$AN980="","-",'ORDENES'!$AN980))</f>
        <v/>
      </c>
      <c r="I1002" s="3">
        <f>IF('ORDENES'!$A980="","",IF('ORDENES'!$D980="","-",'ORDENES'!$D980))</f>
        <v/>
      </c>
      <c r="J1002" s="3">
        <f>IF('ORDENES'!$A980="","",IF('ORDENES'!$E980="","-",'ORDENES'!$E980))</f>
        <v/>
      </c>
      <c r="K1002" s="12">
        <f>IF('ORDENES'!$A980="","",IF('ORDENES'!$M980="",0,'ORDENES'!$M980))</f>
        <v/>
      </c>
      <c r="L1002" s="3">
        <f>IF('ORDENES'!$A980="","",IF('ORDENES'!$N980="","-",'ORDENES'!$N980))</f>
        <v/>
      </c>
      <c r="M1002" s="3">
        <f>IF('ORDENES'!$A980="","",'ORDENES'!$AA980)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IF('ORDENES'!$A981="","",IF('ORDENES'!$AC981="","-",'ORDENES'!$AC981))</f>
        <v/>
      </c>
      <c r="D1003" s="3">
        <f>IF('ORDENES'!$A981="","",IF('ORDENES'!$V981="","-",'ORDENES'!$V981))</f>
        <v/>
      </c>
      <c r="E1003" s="3">
        <f>IF('ORDENES'!$A981="","",IF('ORDENES'!$U981="","-",'ORDENES'!$U981))</f>
        <v/>
      </c>
      <c r="F1003" s="3">
        <f>IF('ORDENES'!$A981="","",IF('ORDENES'!$W981="","-",'ORDENES'!$W981))</f>
        <v/>
      </c>
      <c r="G1003" s="3">
        <f>IF('ORDENES'!$A981="","",IF('ORDENES'!$AB981="","-",'ORDENES'!$AB981))</f>
        <v/>
      </c>
      <c r="H1003" s="3">
        <f>IF('ORDENES'!$A981="","",IF('ORDENES'!$AN981="","-",'ORDENES'!$AN981))</f>
        <v/>
      </c>
      <c r="I1003" s="3">
        <f>IF('ORDENES'!$A981="","",IF('ORDENES'!$D981="","-",'ORDENES'!$D981))</f>
        <v/>
      </c>
      <c r="J1003" s="3">
        <f>IF('ORDENES'!$A981="","",IF('ORDENES'!$E981="","-",'ORDENES'!$E981))</f>
        <v/>
      </c>
      <c r="K1003" s="12">
        <f>IF('ORDENES'!$A981="","",IF('ORDENES'!$M981="",0,'ORDENES'!$M981))</f>
        <v/>
      </c>
      <c r="L1003" s="3">
        <f>IF('ORDENES'!$A981="","",IF('ORDENES'!$N981="","-",'ORDENES'!$N981))</f>
        <v/>
      </c>
      <c r="M1003" s="3">
        <f>IF('ORDENES'!$A981="","",'ORDENES'!$AA981)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IF('ORDENES'!$A982="","",IF('ORDENES'!$AC982="","-",'ORDENES'!$AC982))</f>
        <v/>
      </c>
      <c r="D1004" s="3">
        <f>IF('ORDENES'!$A982="","",IF('ORDENES'!$V982="","-",'ORDENES'!$V982))</f>
        <v/>
      </c>
      <c r="E1004" s="3">
        <f>IF('ORDENES'!$A982="","",IF('ORDENES'!$U982="","-",'ORDENES'!$U982))</f>
        <v/>
      </c>
      <c r="F1004" s="3">
        <f>IF('ORDENES'!$A982="","",IF('ORDENES'!$W982="","-",'ORDENES'!$W982))</f>
        <v/>
      </c>
      <c r="G1004" s="3">
        <f>IF('ORDENES'!$A982="","",IF('ORDENES'!$AB982="","-",'ORDENES'!$AB982))</f>
        <v/>
      </c>
      <c r="H1004" s="3">
        <f>IF('ORDENES'!$A982="","",IF('ORDENES'!$AN982="","-",'ORDENES'!$AN982))</f>
        <v/>
      </c>
      <c r="I1004" s="3">
        <f>IF('ORDENES'!$A982="","",IF('ORDENES'!$D982="","-",'ORDENES'!$D982))</f>
        <v/>
      </c>
      <c r="J1004" s="3">
        <f>IF('ORDENES'!$A982="","",IF('ORDENES'!$E982="","-",'ORDENES'!$E982))</f>
        <v/>
      </c>
      <c r="K1004" s="12">
        <f>IF('ORDENES'!$A982="","",IF('ORDENES'!$M982="",0,'ORDENES'!$M982))</f>
        <v/>
      </c>
      <c r="L1004" s="3">
        <f>IF('ORDENES'!$A982="","",IF('ORDENES'!$N982="","-",'ORDENES'!$N982))</f>
        <v/>
      </c>
      <c r="M1004" s="3">
        <f>IF('ORDENES'!$A982="","",'ORDENES'!$AA982)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IF('ORDENES'!$A983="","",IF('ORDENES'!$AC983="","-",'ORDENES'!$AC983))</f>
        <v/>
      </c>
      <c r="D1005" s="3">
        <f>IF('ORDENES'!$A983="","",IF('ORDENES'!$V983="","-",'ORDENES'!$V983))</f>
        <v/>
      </c>
      <c r="E1005" s="3">
        <f>IF('ORDENES'!$A983="","",IF('ORDENES'!$U983="","-",'ORDENES'!$U983))</f>
        <v/>
      </c>
      <c r="F1005" s="3">
        <f>IF('ORDENES'!$A983="","",IF('ORDENES'!$W983="","-",'ORDENES'!$W983))</f>
        <v/>
      </c>
      <c r="G1005" s="3">
        <f>IF('ORDENES'!$A983="","",IF('ORDENES'!$AB983="","-",'ORDENES'!$AB983))</f>
        <v/>
      </c>
      <c r="H1005" s="3">
        <f>IF('ORDENES'!$A983="","",IF('ORDENES'!$AN983="","-",'ORDENES'!$AN983))</f>
        <v/>
      </c>
      <c r="I1005" s="3">
        <f>IF('ORDENES'!$A983="","",IF('ORDENES'!$D983="","-",'ORDENES'!$D983))</f>
        <v/>
      </c>
      <c r="J1005" s="3">
        <f>IF('ORDENES'!$A983="","",IF('ORDENES'!$E983="","-",'ORDENES'!$E983))</f>
        <v/>
      </c>
      <c r="K1005" s="12">
        <f>IF('ORDENES'!$A983="","",IF('ORDENES'!$M983="",0,'ORDENES'!$M983))</f>
        <v/>
      </c>
      <c r="L1005" s="3">
        <f>IF('ORDENES'!$A983="","",IF('ORDENES'!$N983="","-",'ORDENES'!$N983))</f>
        <v/>
      </c>
      <c r="M1005" s="3">
        <f>IF('ORDENES'!$A983="","",'ORDENES'!$AA983)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IF('ORDENES'!$A984="","",IF('ORDENES'!$AC984="","-",'ORDENES'!$AC984))</f>
        <v/>
      </c>
      <c r="D1006" s="3">
        <f>IF('ORDENES'!$A984="","",IF('ORDENES'!$V984="","-",'ORDENES'!$V984))</f>
        <v/>
      </c>
      <c r="E1006" s="3">
        <f>IF('ORDENES'!$A984="","",IF('ORDENES'!$U984="","-",'ORDENES'!$U984))</f>
        <v/>
      </c>
      <c r="F1006" s="3">
        <f>IF('ORDENES'!$A984="","",IF('ORDENES'!$W984="","-",'ORDENES'!$W984))</f>
        <v/>
      </c>
      <c r="G1006" s="3">
        <f>IF('ORDENES'!$A984="","",IF('ORDENES'!$AB984="","-",'ORDENES'!$AB984))</f>
        <v/>
      </c>
      <c r="H1006" s="3">
        <f>IF('ORDENES'!$A984="","",IF('ORDENES'!$AN984="","-",'ORDENES'!$AN984))</f>
        <v/>
      </c>
      <c r="I1006" s="3">
        <f>IF('ORDENES'!$A984="","",IF('ORDENES'!$D984="","-",'ORDENES'!$D984))</f>
        <v/>
      </c>
      <c r="J1006" s="3">
        <f>IF('ORDENES'!$A984="","",IF('ORDENES'!$E984="","-",'ORDENES'!$E984))</f>
        <v/>
      </c>
      <c r="K1006" s="12">
        <f>IF('ORDENES'!$A984="","",IF('ORDENES'!$M984="",0,'ORDENES'!$M984))</f>
        <v/>
      </c>
      <c r="L1006" s="3">
        <f>IF('ORDENES'!$A984="","",IF('ORDENES'!$N984="","-",'ORDENES'!$N984))</f>
        <v/>
      </c>
      <c r="M1006" s="3">
        <f>IF('ORDENES'!$A984="","",'ORDENES'!$AA984)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IF('ORDENES'!$A985="","",IF('ORDENES'!$AC985="","-",'ORDENES'!$AC985))</f>
        <v/>
      </c>
      <c r="D1007" s="3">
        <f>IF('ORDENES'!$A985="","",IF('ORDENES'!$V985="","-",'ORDENES'!$V985))</f>
        <v/>
      </c>
      <c r="E1007" s="3">
        <f>IF('ORDENES'!$A985="","",IF('ORDENES'!$U985="","-",'ORDENES'!$U985))</f>
        <v/>
      </c>
      <c r="F1007" s="3">
        <f>IF('ORDENES'!$A985="","",IF('ORDENES'!$W985="","-",'ORDENES'!$W985))</f>
        <v/>
      </c>
      <c r="G1007" s="3">
        <f>IF('ORDENES'!$A985="","",IF('ORDENES'!$AB985="","-",'ORDENES'!$AB985))</f>
        <v/>
      </c>
      <c r="H1007" s="3">
        <f>IF('ORDENES'!$A985="","",IF('ORDENES'!$AN985="","-",'ORDENES'!$AN985))</f>
        <v/>
      </c>
      <c r="I1007" s="3">
        <f>IF('ORDENES'!$A985="","",IF('ORDENES'!$D985="","-",'ORDENES'!$D985))</f>
        <v/>
      </c>
      <c r="J1007" s="3">
        <f>IF('ORDENES'!$A985="","",IF('ORDENES'!$E985="","-",'ORDENES'!$E985))</f>
        <v/>
      </c>
      <c r="K1007" s="12">
        <f>IF('ORDENES'!$A985="","",IF('ORDENES'!$M985="",0,'ORDENES'!$M985))</f>
        <v/>
      </c>
      <c r="L1007" s="3">
        <f>IF('ORDENES'!$A985="","",IF('ORDENES'!$N985="","-",'ORDENES'!$N985))</f>
        <v/>
      </c>
      <c r="M1007" s="3">
        <f>IF('ORDENES'!$A985="","",'ORDENES'!$AA985)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IF('ORDENES'!$A986="","",IF('ORDENES'!$AC986="","-",'ORDENES'!$AC986))</f>
        <v/>
      </c>
      <c r="D1008" s="3">
        <f>IF('ORDENES'!$A986="","",IF('ORDENES'!$V986="","-",'ORDENES'!$V986))</f>
        <v/>
      </c>
      <c r="E1008" s="3">
        <f>IF('ORDENES'!$A986="","",IF('ORDENES'!$U986="","-",'ORDENES'!$U986))</f>
        <v/>
      </c>
      <c r="F1008" s="3">
        <f>IF('ORDENES'!$A986="","",IF('ORDENES'!$W986="","-",'ORDENES'!$W986))</f>
        <v/>
      </c>
      <c r="G1008" s="3">
        <f>IF('ORDENES'!$A986="","",IF('ORDENES'!$AB986="","-",'ORDENES'!$AB986))</f>
        <v/>
      </c>
      <c r="H1008" s="3">
        <f>IF('ORDENES'!$A986="","",IF('ORDENES'!$AN986="","-",'ORDENES'!$AN986))</f>
        <v/>
      </c>
      <c r="I1008" s="3">
        <f>IF('ORDENES'!$A986="","",IF('ORDENES'!$D986="","-",'ORDENES'!$D986))</f>
        <v/>
      </c>
      <c r="J1008" s="3">
        <f>IF('ORDENES'!$A986="","",IF('ORDENES'!$E986="","-",'ORDENES'!$E986))</f>
        <v/>
      </c>
      <c r="K1008" s="12">
        <f>IF('ORDENES'!$A986="","",IF('ORDENES'!$M986="",0,'ORDENES'!$M986))</f>
        <v/>
      </c>
      <c r="L1008" s="3">
        <f>IF('ORDENES'!$A986="","",IF('ORDENES'!$N986="","-",'ORDENES'!$N986))</f>
        <v/>
      </c>
      <c r="M1008" s="3">
        <f>IF('ORDENES'!$A986="","",'ORDENES'!$AA986)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IF('ORDENES'!$A987="","",IF('ORDENES'!$AC987="","-",'ORDENES'!$AC987))</f>
        <v/>
      </c>
      <c r="D1009" s="3">
        <f>IF('ORDENES'!$A987="","",IF('ORDENES'!$V987="","-",'ORDENES'!$V987))</f>
        <v/>
      </c>
      <c r="E1009" s="3">
        <f>IF('ORDENES'!$A987="","",IF('ORDENES'!$U987="","-",'ORDENES'!$U987))</f>
        <v/>
      </c>
      <c r="F1009" s="3">
        <f>IF('ORDENES'!$A987="","",IF('ORDENES'!$W987="","-",'ORDENES'!$W987))</f>
        <v/>
      </c>
      <c r="G1009" s="3">
        <f>IF('ORDENES'!$A987="","",IF('ORDENES'!$AB987="","-",'ORDENES'!$AB987))</f>
        <v/>
      </c>
      <c r="H1009" s="3">
        <f>IF('ORDENES'!$A987="","",IF('ORDENES'!$AN987="","-",'ORDENES'!$AN987))</f>
        <v/>
      </c>
      <c r="I1009" s="3">
        <f>IF('ORDENES'!$A987="","",IF('ORDENES'!$D987="","-",'ORDENES'!$D987))</f>
        <v/>
      </c>
      <c r="J1009" s="3">
        <f>IF('ORDENES'!$A987="","",IF('ORDENES'!$E987="","-",'ORDENES'!$E987))</f>
        <v/>
      </c>
      <c r="K1009" s="12">
        <f>IF('ORDENES'!$A987="","",IF('ORDENES'!$M987="",0,'ORDENES'!$M987))</f>
        <v/>
      </c>
      <c r="L1009" s="3">
        <f>IF('ORDENES'!$A987="","",IF('ORDENES'!$N987="","-",'ORDENES'!$N987))</f>
        <v/>
      </c>
      <c r="M1009" s="3">
        <f>IF('ORDENES'!$A987="","",'ORDENES'!$AA987)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IF('ORDENES'!$A988="","",IF('ORDENES'!$AC988="","-",'ORDENES'!$AC988))</f>
        <v/>
      </c>
      <c r="D1010" s="3">
        <f>IF('ORDENES'!$A988="","",IF('ORDENES'!$V988="","-",'ORDENES'!$V988))</f>
        <v/>
      </c>
      <c r="E1010" s="3">
        <f>IF('ORDENES'!$A988="","",IF('ORDENES'!$U988="","-",'ORDENES'!$U988))</f>
        <v/>
      </c>
      <c r="F1010" s="3">
        <f>IF('ORDENES'!$A988="","",IF('ORDENES'!$W988="","-",'ORDENES'!$W988))</f>
        <v/>
      </c>
      <c r="G1010" s="3">
        <f>IF('ORDENES'!$A988="","",IF('ORDENES'!$AB988="","-",'ORDENES'!$AB988))</f>
        <v/>
      </c>
      <c r="H1010" s="3">
        <f>IF('ORDENES'!$A988="","",IF('ORDENES'!$AN988="","-",'ORDENES'!$AN988))</f>
        <v/>
      </c>
      <c r="I1010" s="3">
        <f>IF('ORDENES'!$A988="","",IF('ORDENES'!$D988="","-",'ORDENES'!$D988))</f>
        <v/>
      </c>
      <c r="J1010" s="3">
        <f>IF('ORDENES'!$A988="","",IF('ORDENES'!$E988="","-",'ORDENES'!$E988))</f>
        <v/>
      </c>
      <c r="K1010" s="12">
        <f>IF('ORDENES'!$A988="","",IF('ORDENES'!$M988="",0,'ORDENES'!$M988))</f>
        <v/>
      </c>
      <c r="L1010" s="3">
        <f>IF('ORDENES'!$A988="","",IF('ORDENES'!$N988="","-",'ORDENES'!$N988))</f>
        <v/>
      </c>
      <c r="M1010" s="3">
        <f>IF('ORDENES'!$A988="","",'ORDENES'!$AA988)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IF('ORDENES'!$A989="","",IF('ORDENES'!$AC989="","-",'ORDENES'!$AC989))</f>
        <v/>
      </c>
      <c r="D1011" s="3">
        <f>IF('ORDENES'!$A989="","",IF('ORDENES'!$V989="","-",'ORDENES'!$V989))</f>
        <v/>
      </c>
      <c r="E1011" s="3">
        <f>IF('ORDENES'!$A989="","",IF('ORDENES'!$U989="","-",'ORDENES'!$U989))</f>
        <v/>
      </c>
      <c r="F1011" s="3">
        <f>IF('ORDENES'!$A989="","",IF('ORDENES'!$W989="","-",'ORDENES'!$W989))</f>
        <v/>
      </c>
      <c r="G1011" s="3">
        <f>IF('ORDENES'!$A989="","",IF('ORDENES'!$AB989="","-",'ORDENES'!$AB989))</f>
        <v/>
      </c>
      <c r="H1011" s="3">
        <f>IF('ORDENES'!$A989="","",IF('ORDENES'!$AN989="","-",'ORDENES'!$AN989))</f>
        <v/>
      </c>
      <c r="I1011" s="3">
        <f>IF('ORDENES'!$A989="","",IF('ORDENES'!$D989="","-",'ORDENES'!$D989))</f>
        <v/>
      </c>
      <c r="J1011" s="3">
        <f>IF('ORDENES'!$A989="","",IF('ORDENES'!$E989="","-",'ORDENES'!$E989))</f>
        <v/>
      </c>
      <c r="K1011" s="12">
        <f>IF('ORDENES'!$A989="","",IF('ORDENES'!$M989="",0,'ORDENES'!$M989))</f>
        <v/>
      </c>
      <c r="L1011" s="3">
        <f>IF('ORDENES'!$A989="","",IF('ORDENES'!$N989="","-",'ORDENES'!$N989))</f>
        <v/>
      </c>
      <c r="M1011" s="3">
        <f>IF('ORDENES'!$A989="","",'ORDENES'!$AA989)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IF('ORDENES'!$A990="","",IF('ORDENES'!$AC990="","-",'ORDENES'!$AC990))</f>
        <v/>
      </c>
      <c r="D1012" s="3">
        <f>IF('ORDENES'!$A990="","",IF('ORDENES'!$V990="","-",'ORDENES'!$V990))</f>
        <v/>
      </c>
      <c r="E1012" s="3">
        <f>IF('ORDENES'!$A990="","",IF('ORDENES'!$U990="","-",'ORDENES'!$U990))</f>
        <v/>
      </c>
      <c r="F1012" s="3">
        <f>IF('ORDENES'!$A990="","",IF('ORDENES'!$W990="","-",'ORDENES'!$W990))</f>
        <v/>
      </c>
      <c r="G1012" s="3">
        <f>IF('ORDENES'!$A990="","",IF('ORDENES'!$AB990="","-",'ORDENES'!$AB990))</f>
        <v/>
      </c>
      <c r="H1012" s="3">
        <f>IF('ORDENES'!$A990="","",IF('ORDENES'!$AN990="","-",'ORDENES'!$AN990))</f>
        <v/>
      </c>
      <c r="I1012" s="3">
        <f>IF('ORDENES'!$A990="","",IF('ORDENES'!$D990="","-",'ORDENES'!$D990))</f>
        <v/>
      </c>
      <c r="J1012" s="3">
        <f>IF('ORDENES'!$A990="","",IF('ORDENES'!$E990="","-",'ORDENES'!$E990))</f>
        <v/>
      </c>
      <c r="K1012" s="12">
        <f>IF('ORDENES'!$A990="","",IF('ORDENES'!$M990="",0,'ORDENES'!$M990))</f>
        <v/>
      </c>
      <c r="L1012" s="3">
        <f>IF('ORDENES'!$A990="","",IF('ORDENES'!$N990="","-",'ORDENES'!$N990))</f>
        <v/>
      </c>
      <c r="M1012" s="3">
        <f>IF('ORDENES'!$A990="","",'ORDENES'!$AA990)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IF('ORDENES'!$A991="","",IF('ORDENES'!$AC991="","-",'ORDENES'!$AC991))</f>
        <v/>
      </c>
      <c r="D1013" s="3">
        <f>IF('ORDENES'!$A991="","",IF('ORDENES'!$V991="","-",'ORDENES'!$V991))</f>
        <v/>
      </c>
      <c r="E1013" s="3">
        <f>IF('ORDENES'!$A991="","",IF('ORDENES'!$U991="","-",'ORDENES'!$U991))</f>
        <v/>
      </c>
      <c r="F1013" s="3">
        <f>IF('ORDENES'!$A991="","",IF('ORDENES'!$W991="","-",'ORDENES'!$W991))</f>
        <v/>
      </c>
      <c r="G1013" s="3">
        <f>IF('ORDENES'!$A991="","",IF('ORDENES'!$AB991="","-",'ORDENES'!$AB991))</f>
        <v/>
      </c>
      <c r="H1013" s="3">
        <f>IF('ORDENES'!$A991="","",IF('ORDENES'!$AN991="","-",'ORDENES'!$AN991))</f>
        <v/>
      </c>
      <c r="I1013" s="3">
        <f>IF('ORDENES'!$A991="","",IF('ORDENES'!$D991="","-",'ORDENES'!$D991))</f>
        <v/>
      </c>
      <c r="J1013" s="3">
        <f>IF('ORDENES'!$A991="","",IF('ORDENES'!$E991="","-",'ORDENES'!$E991))</f>
        <v/>
      </c>
      <c r="K1013" s="12">
        <f>IF('ORDENES'!$A991="","",IF('ORDENES'!$M991="",0,'ORDENES'!$M991))</f>
        <v/>
      </c>
      <c r="L1013" s="3">
        <f>IF('ORDENES'!$A991="","",IF('ORDENES'!$N991="","-",'ORDENES'!$N991))</f>
        <v/>
      </c>
      <c r="M1013" s="3">
        <f>IF('ORDENES'!$A991="","",'ORDENES'!$AA991)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IF('ORDENES'!$A992="","",IF('ORDENES'!$AC992="","-",'ORDENES'!$AC992))</f>
        <v/>
      </c>
      <c r="D1014" s="3">
        <f>IF('ORDENES'!$A992="","",IF('ORDENES'!$V992="","-",'ORDENES'!$V992))</f>
        <v/>
      </c>
      <c r="E1014" s="3">
        <f>IF('ORDENES'!$A992="","",IF('ORDENES'!$U992="","-",'ORDENES'!$U992))</f>
        <v/>
      </c>
      <c r="F1014" s="3">
        <f>IF('ORDENES'!$A992="","",IF('ORDENES'!$W992="","-",'ORDENES'!$W992))</f>
        <v/>
      </c>
      <c r="G1014" s="3">
        <f>IF('ORDENES'!$A992="","",IF('ORDENES'!$AB992="","-",'ORDENES'!$AB992))</f>
        <v/>
      </c>
      <c r="H1014" s="3">
        <f>IF('ORDENES'!$A992="","",IF('ORDENES'!$AN992="","-",'ORDENES'!$AN992))</f>
        <v/>
      </c>
      <c r="I1014" s="3">
        <f>IF('ORDENES'!$A992="","",IF('ORDENES'!$D992="","-",'ORDENES'!$D992))</f>
        <v/>
      </c>
      <c r="J1014" s="3">
        <f>IF('ORDENES'!$A992="","",IF('ORDENES'!$E992="","-",'ORDENES'!$E992))</f>
        <v/>
      </c>
      <c r="K1014" s="12">
        <f>IF('ORDENES'!$A992="","",IF('ORDENES'!$M992="",0,'ORDENES'!$M992))</f>
        <v/>
      </c>
      <c r="L1014" s="3">
        <f>IF('ORDENES'!$A992="","",IF('ORDENES'!$N992="","-",'ORDENES'!$N992))</f>
        <v/>
      </c>
      <c r="M1014" s="3">
        <f>IF('ORDENES'!$A992="","",'ORDENES'!$AA992)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IF('ORDENES'!$A993="","",IF('ORDENES'!$AC993="","-",'ORDENES'!$AC993))</f>
        <v/>
      </c>
      <c r="D1015" s="3">
        <f>IF('ORDENES'!$A993="","",IF('ORDENES'!$V993="","-",'ORDENES'!$V993))</f>
        <v/>
      </c>
      <c r="E1015" s="3">
        <f>IF('ORDENES'!$A993="","",IF('ORDENES'!$U993="","-",'ORDENES'!$U993))</f>
        <v/>
      </c>
      <c r="F1015" s="3">
        <f>IF('ORDENES'!$A993="","",IF('ORDENES'!$W993="","-",'ORDENES'!$W993))</f>
        <v/>
      </c>
      <c r="G1015" s="3">
        <f>IF('ORDENES'!$A993="","",IF('ORDENES'!$AB993="","-",'ORDENES'!$AB993))</f>
        <v/>
      </c>
      <c r="H1015" s="3">
        <f>IF('ORDENES'!$A993="","",IF('ORDENES'!$AN993="","-",'ORDENES'!$AN993))</f>
        <v/>
      </c>
      <c r="I1015" s="3">
        <f>IF('ORDENES'!$A993="","",IF('ORDENES'!$D993="","-",'ORDENES'!$D993))</f>
        <v/>
      </c>
      <c r="J1015" s="3">
        <f>IF('ORDENES'!$A993="","",IF('ORDENES'!$E993="","-",'ORDENES'!$E993))</f>
        <v/>
      </c>
      <c r="K1015" s="12">
        <f>IF('ORDENES'!$A993="","",IF('ORDENES'!$M993="",0,'ORDENES'!$M993))</f>
        <v/>
      </c>
      <c r="L1015" s="3">
        <f>IF('ORDENES'!$A993="","",IF('ORDENES'!$N993="","-",'ORDENES'!$N993))</f>
        <v/>
      </c>
      <c r="M1015" s="3">
        <f>IF('ORDENES'!$A993="","",'ORDENES'!$AA993)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IF('ORDENES'!$A994="","",IF('ORDENES'!$AC994="","-",'ORDENES'!$AC994))</f>
        <v/>
      </c>
      <c r="D1016" s="3">
        <f>IF('ORDENES'!$A994="","",IF('ORDENES'!$V994="","-",'ORDENES'!$V994))</f>
        <v/>
      </c>
      <c r="E1016" s="3">
        <f>IF('ORDENES'!$A994="","",IF('ORDENES'!$U994="","-",'ORDENES'!$U994))</f>
        <v/>
      </c>
      <c r="F1016" s="3">
        <f>IF('ORDENES'!$A994="","",IF('ORDENES'!$W994="","-",'ORDENES'!$W994))</f>
        <v/>
      </c>
      <c r="G1016" s="3">
        <f>IF('ORDENES'!$A994="","",IF('ORDENES'!$AB994="","-",'ORDENES'!$AB994))</f>
        <v/>
      </c>
      <c r="H1016" s="3">
        <f>IF('ORDENES'!$A994="","",IF('ORDENES'!$AN994="","-",'ORDENES'!$AN994))</f>
        <v/>
      </c>
      <c r="I1016" s="3">
        <f>IF('ORDENES'!$A994="","",IF('ORDENES'!$D994="","-",'ORDENES'!$D994))</f>
        <v/>
      </c>
      <c r="J1016" s="3">
        <f>IF('ORDENES'!$A994="","",IF('ORDENES'!$E994="","-",'ORDENES'!$E994))</f>
        <v/>
      </c>
      <c r="K1016" s="12">
        <f>IF('ORDENES'!$A994="","",IF('ORDENES'!$M994="",0,'ORDENES'!$M994))</f>
        <v/>
      </c>
      <c r="L1016" s="3">
        <f>IF('ORDENES'!$A994="","",IF('ORDENES'!$N994="","-",'ORDENES'!$N994))</f>
        <v/>
      </c>
      <c r="M1016" s="3">
        <f>IF('ORDENES'!$A994="","",'ORDENES'!$AA994)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IF('ORDENES'!$A995="","",IF('ORDENES'!$AC995="","-",'ORDENES'!$AC995))</f>
        <v/>
      </c>
      <c r="D1017" s="3">
        <f>IF('ORDENES'!$A995="","",IF('ORDENES'!$V995="","-",'ORDENES'!$V995))</f>
        <v/>
      </c>
      <c r="E1017" s="3">
        <f>IF('ORDENES'!$A995="","",IF('ORDENES'!$U995="","-",'ORDENES'!$U995))</f>
        <v/>
      </c>
      <c r="F1017" s="3">
        <f>IF('ORDENES'!$A995="","",IF('ORDENES'!$W995="","-",'ORDENES'!$W995))</f>
        <v/>
      </c>
      <c r="G1017" s="3">
        <f>IF('ORDENES'!$A995="","",IF('ORDENES'!$AB995="","-",'ORDENES'!$AB995))</f>
        <v/>
      </c>
      <c r="H1017" s="3">
        <f>IF('ORDENES'!$A995="","",IF('ORDENES'!$AN995="","-",'ORDENES'!$AN995))</f>
        <v/>
      </c>
      <c r="I1017" s="3">
        <f>IF('ORDENES'!$A995="","",IF('ORDENES'!$D995="","-",'ORDENES'!$D995))</f>
        <v/>
      </c>
      <c r="J1017" s="3">
        <f>IF('ORDENES'!$A995="","",IF('ORDENES'!$E995="","-",'ORDENES'!$E995))</f>
        <v/>
      </c>
      <c r="K1017" s="12">
        <f>IF('ORDENES'!$A995="","",IF('ORDENES'!$M995="",0,'ORDENES'!$M995))</f>
        <v/>
      </c>
      <c r="L1017" s="3">
        <f>IF('ORDENES'!$A995="","",IF('ORDENES'!$N995="","-",'ORDENES'!$N995))</f>
        <v/>
      </c>
      <c r="M1017" s="3">
        <f>IF('ORDENES'!$A995="","",'ORDENES'!$AA995)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IF('ORDENES'!$A996="","",IF('ORDENES'!$AC996="","-",'ORDENES'!$AC996))</f>
        <v/>
      </c>
      <c r="D1018" s="3">
        <f>IF('ORDENES'!$A996="","",IF('ORDENES'!$V996="","-",'ORDENES'!$V996))</f>
        <v/>
      </c>
      <c r="E1018" s="3">
        <f>IF('ORDENES'!$A996="","",IF('ORDENES'!$U996="","-",'ORDENES'!$U996))</f>
        <v/>
      </c>
      <c r="F1018" s="3">
        <f>IF('ORDENES'!$A996="","",IF('ORDENES'!$W996="","-",'ORDENES'!$W996))</f>
        <v/>
      </c>
      <c r="G1018" s="3">
        <f>IF('ORDENES'!$A996="","",IF('ORDENES'!$AB996="","-",'ORDENES'!$AB996))</f>
        <v/>
      </c>
      <c r="H1018" s="3">
        <f>IF('ORDENES'!$A996="","",IF('ORDENES'!$AN996="","-",'ORDENES'!$AN996))</f>
        <v/>
      </c>
      <c r="I1018" s="3">
        <f>IF('ORDENES'!$A996="","",IF('ORDENES'!$D996="","-",'ORDENES'!$D996))</f>
        <v/>
      </c>
      <c r="J1018" s="3">
        <f>IF('ORDENES'!$A996="","",IF('ORDENES'!$E996="","-",'ORDENES'!$E996))</f>
        <v/>
      </c>
      <c r="K1018" s="12">
        <f>IF('ORDENES'!$A996="","",IF('ORDENES'!$M996="",0,'ORDENES'!$M996))</f>
        <v/>
      </c>
      <c r="L1018" s="3">
        <f>IF('ORDENES'!$A996="","",IF('ORDENES'!$N996="","-",'ORDENES'!$N996))</f>
        <v/>
      </c>
      <c r="M1018" s="3">
        <f>IF('ORDENES'!$A996="","",'ORDENES'!$AA996)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IF('ORDENES'!$A997="","",IF('ORDENES'!$AC997="","-",'ORDENES'!$AC997))</f>
        <v/>
      </c>
      <c r="D1019" s="3">
        <f>IF('ORDENES'!$A997="","",IF('ORDENES'!$V997="","-",'ORDENES'!$V997))</f>
        <v/>
      </c>
      <c r="E1019" s="3">
        <f>IF('ORDENES'!$A997="","",IF('ORDENES'!$U997="","-",'ORDENES'!$U997))</f>
        <v/>
      </c>
      <c r="F1019" s="3">
        <f>IF('ORDENES'!$A997="","",IF('ORDENES'!$W997="","-",'ORDENES'!$W997))</f>
        <v/>
      </c>
      <c r="G1019" s="3">
        <f>IF('ORDENES'!$A997="","",IF('ORDENES'!$AB997="","-",'ORDENES'!$AB997))</f>
        <v/>
      </c>
      <c r="H1019" s="3">
        <f>IF('ORDENES'!$A997="","",IF('ORDENES'!$AN997="","-",'ORDENES'!$AN997))</f>
        <v/>
      </c>
      <c r="I1019" s="3">
        <f>IF('ORDENES'!$A997="","",IF('ORDENES'!$D997="","-",'ORDENES'!$D997))</f>
        <v/>
      </c>
      <c r="J1019" s="3">
        <f>IF('ORDENES'!$A997="","",IF('ORDENES'!$E997="","-",'ORDENES'!$E997))</f>
        <v/>
      </c>
      <c r="K1019" s="12">
        <f>IF('ORDENES'!$A997="","",IF('ORDENES'!$M997="",0,'ORDENES'!$M997))</f>
        <v/>
      </c>
      <c r="L1019" s="3">
        <f>IF('ORDENES'!$A997="","",IF('ORDENES'!$N997="","-",'ORDENES'!$N997))</f>
        <v/>
      </c>
      <c r="M1019" s="3">
        <f>IF('ORDENES'!$A997="","",'ORDENES'!$AA997)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IF('ORDENES'!$A998="","",IF('ORDENES'!$AC998="","-",'ORDENES'!$AC998))</f>
        <v/>
      </c>
      <c r="D1020" s="3">
        <f>IF('ORDENES'!$A998="","",IF('ORDENES'!$V998="","-",'ORDENES'!$V998))</f>
        <v/>
      </c>
      <c r="E1020" s="3">
        <f>IF('ORDENES'!$A998="","",IF('ORDENES'!$U998="","-",'ORDENES'!$U998))</f>
        <v/>
      </c>
      <c r="F1020" s="3">
        <f>IF('ORDENES'!$A998="","",IF('ORDENES'!$W998="","-",'ORDENES'!$W998))</f>
        <v/>
      </c>
      <c r="G1020" s="3">
        <f>IF('ORDENES'!$A998="","",IF('ORDENES'!$AB998="","-",'ORDENES'!$AB998))</f>
        <v/>
      </c>
      <c r="H1020" s="3">
        <f>IF('ORDENES'!$A998="","",IF('ORDENES'!$AN998="","-",'ORDENES'!$AN998))</f>
        <v/>
      </c>
      <c r="I1020" s="3">
        <f>IF('ORDENES'!$A998="","",IF('ORDENES'!$D998="","-",'ORDENES'!$D998))</f>
        <v/>
      </c>
      <c r="J1020" s="3">
        <f>IF('ORDENES'!$A998="","",IF('ORDENES'!$E998="","-",'ORDENES'!$E998))</f>
        <v/>
      </c>
      <c r="K1020" s="12">
        <f>IF('ORDENES'!$A998="","",IF('ORDENES'!$M998="",0,'ORDENES'!$M998))</f>
        <v/>
      </c>
      <c r="L1020" s="3">
        <f>IF('ORDENES'!$A998="","",IF('ORDENES'!$N998="","-",'ORDENES'!$N998))</f>
        <v/>
      </c>
      <c r="M1020" s="3">
        <f>IF('ORDENES'!$A998="","",'ORDENES'!$AA998)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IF('ORDENES'!$A999="","",IF('ORDENES'!$AC999="","-",'ORDENES'!$AC999))</f>
        <v/>
      </c>
      <c r="D1021" s="3">
        <f>IF('ORDENES'!$A999="","",IF('ORDENES'!$V999="","-",'ORDENES'!$V999))</f>
        <v/>
      </c>
      <c r="E1021" s="3">
        <f>IF('ORDENES'!$A999="","",IF('ORDENES'!$U999="","-",'ORDENES'!$U999))</f>
        <v/>
      </c>
      <c r="F1021" s="3">
        <f>IF('ORDENES'!$A999="","",IF('ORDENES'!$W999="","-",'ORDENES'!$W999))</f>
        <v/>
      </c>
      <c r="G1021" s="3">
        <f>IF('ORDENES'!$A999="","",IF('ORDENES'!$AB999="","-",'ORDENES'!$AB999))</f>
        <v/>
      </c>
      <c r="H1021" s="3">
        <f>IF('ORDENES'!$A999="","",IF('ORDENES'!$AN999="","-",'ORDENES'!$AN999))</f>
        <v/>
      </c>
      <c r="I1021" s="3">
        <f>IF('ORDENES'!$A999="","",IF('ORDENES'!$D999="","-",'ORDENES'!$D999))</f>
        <v/>
      </c>
      <c r="J1021" s="3">
        <f>IF('ORDENES'!$A999="","",IF('ORDENES'!$E999="","-",'ORDENES'!$E999))</f>
        <v/>
      </c>
      <c r="K1021" s="12">
        <f>IF('ORDENES'!$A999="","",IF('ORDENES'!$M999="",0,'ORDENES'!$M999))</f>
        <v/>
      </c>
      <c r="L1021" s="3">
        <f>IF('ORDENES'!$A999="","",IF('ORDENES'!$N999="","-",'ORDENES'!$N999))</f>
        <v/>
      </c>
      <c r="M1021" s="3">
        <f>IF('ORDENES'!$A999="","",'ORDENES'!$AA999)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IF('ORDENES'!$A1000="","",IF('ORDENES'!$AC1000="","-",'ORDENES'!$AC1000))</f>
        <v/>
      </c>
      <c r="D1022" s="3">
        <f>IF('ORDENES'!$A1000="","",IF('ORDENES'!$V1000="","-",'ORDENES'!$V1000))</f>
        <v/>
      </c>
      <c r="E1022" s="3">
        <f>IF('ORDENES'!$A1000="","",IF('ORDENES'!$U1000="","-",'ORDENES'!$U1000))</f>
        <v/>
      </c>
      <c r="F1022" s="3">
        <f>IF('ORDENES'!$A1000="","",IF('ORDENES'!$W1000="","-",'ORDENES'!$W1000))</f>
        <v/>
      </c>
      <c r="G1022" s="3">
        <f>IF('ORDENES'!$A1000="","",IF('ORDENES'!$AB1000="","-",'ORDENES'!$AB1000))</f>
        <v/>
      </c>
      <c r="H1022" s="3">
        <f>IF('ORDENES'!$A1000="","",IF('ORDENES'!$AN1000="","-",'ORDENES'!$AN1000))</f>
        <v/>
      </c>
      <c r="I1022" s="3">
        <f>IF('ORDENES'!$A1000="","",IF('ORDENES'!$D1000="","-",'ORDENES'!$D1000))</f>
        <v/>
      </c>
      <c r="J1022" s="3">
        <f>IF('ORDENES'!$A1000="","",IF('ORDENES'!$E1000="","-",'ORDENES'!$E1000))</f>
        <v/>
      </c>
      <c r="K1022" s="12">
        <f>IF('ORDENES'!$A1000="","",IF('ORDENES'!$M1000="",0,'ORDENES'!$M1000))</f>
        <v/>
      </c>
      <c r="L1022" s="3">
        <f>IF('ORDENES'!$A1000="","",IF('ORDENES'!$N1000="","-",'ORDENES'!$N1000))</f>
        <v/>
      </c>
      <c r="M1022" s="3">
        <f>IF('ORDENES'!$A1000="","",'ORDENES'!$AA1000)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IF('ORDENES'!$A1001="","",IF('ORDENES'!$AC1001="","-",'ORDENES'!$AC1001))</f>
        <v/>
      </c>
      <c r="D1023" s="3">
        <f>IF('ORDENES'!$A1001="","",IF('ORDENES'!$V1001="","-",'ORDENES'!$V1001))</f>
        <v/>
      </c>
      <c r="E1023" s="3">
        <f>IF('ORDENES'!$A1001="","",IF('ORDENES'!$U1001="","-",'ORDENES'!$U1001))</f>
        <v/>
      </c>
      <c r="F1023" s="3">
        <f>IF('ORDENES'!$A1001="","",IF('ORDENES'!$W1001="","-",'ORDENES'!$W1001))</f>
        <v/>
      </c>
      <c r="G1023" s="3">
        <f>IF('ORDENES'!$A1001="","",IF('ORDENES'!$AB1001="","-",'ORDENES'!$AB1001))</f>
        <v/>
      </c>
      <c r="H1023" s="3">
        <f>IF('ORDENES'!$A1001="","",IF('ORDENES'!$AN1001="","-",'ORDENES'!$AN1001))</f>
        <v/>
      </c>
      <c r="I1023" s="3">
        <f>IF('ORDENES'!$A1001="","",IF('ORDENES'!$D1001="","-",'ORDENES'!$D1001))</f>
        <v/>
      </c>
      <c r="J1023" s="3">
        <f>IF('ORDENES'!$A1001="","",IF('ORDENES'!$E1001="","-",'ORDENES'!$E1001))</f>
        <v/>
      </c>
      <c r="K1023" s="12">
        <f>IF('ORDENES'!$A1001="","",IF('ORDENES'!$M1001="",0,'ORDENES'!$M1001))</f>
        <v/>
      </c>
      <c r="L1023" s="3">
        <f>IF('ORDENES'!$A1001="","",IF('ORDENES'!$N1001="","-",'ORDENES'!$N1001))</f>
        <v/>
      </c>
      <c r="M1023" s="3">
        <f>IF('ORDENES'!$A1001="","",'ORDENES'!$AA1001)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IF('ORDENES'!$A1002="","",IF('ORDENES'!$AC1002="","-",'ORDENES'!$AC1002))</f>
        <v/>
      </c>
      <c r="D1024" s="3">
        <f>IF('ORDENES'!$A1002="","",IF('ORDENES'!$V1002="","-",'ORDENES'!$V1002))</f>
        <v/>
      </c>
      <c r="E1024" s="3">
        <f>IF('ORDENES'!$A1002="","",IF('ORDENES'!$U1002="","-",'ORDENES'!$U1002))</f>
        <v/>
      </c>
      <c r="F1024" s="3">
        <f>IF('ORDENES'!$A1002="","",IF('ORDENES'!$W1002="","-",'ORDENES'!$W1002))</f>
        <v/>
      </c>
      <c r="G1024" s="3">
        <f>IF('ORDENES'!$A1002="","",IF('ORDENES'!$AB1002="","-",'ORDENES'!$AB1002))</f>
        <v/>
      </c>
      <c r="H1024" s="3">
        <f>IF('ORDENES'!$A1002="","",IF('ORDENES'!$AN1002="","-",'ORDENES'!$AN1002))</f>
        <v/>
      </c>
      <c r="I1024" s="3">
        <f>IF('ORDENES'!$A1002="","",IF('ORDENES'!$D1002="","-",'ORDENES'!$D1002))</f>
        <v/>
      </c>
      <c r="J1024" s="3">
        <f>IF('ORDENES'!$A1002="","",IF('ORDENES'!$E1002="","-",'ORDENES'!$E1002))</f>
        <v/>
      </c>
      <c r="K1024" s="12">
        <f>IF('ORDENES'!$A1002="","",IF('ORDENES'!$M1002="",0,'ORDENES'!$M1002))</f>
        <v/>
      </c>
      <c r="L1024" s="3">
        <f>IF('ORDENES'!$A1002="","",IF('ORDENES'!$N1002="","-",'ORDENES'!$N1002))</f>
        <v/>
      </c>
      <c r="M1024" s="3">
        <f>IF('ORDENES'!$A1002="","",'ORDENES'!$AA1002)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IF('ORDENES'!$A1003="","",IF('ORDENES'!$AC1003="","-",'ORDENES'!$AC1003))</f>
        <v/>
      </c>
      <c r="D1025" s="3">
        <f>IF('ORDENES'!$A1003="","",IF('ORDENES'!$V1003="","-",'ORDENES'!$V1003))</f>
        <v/>
      </c>
      <c r="E1025" s="3">
        <f>IF('ORDENES'!$A1003="","",IF('ORDENES'!$U1003="","-",'ORDENES'!$U1003))</f>
        <v/>
      </c>
      <c r="F1025" s="3">
        <f>IF('ORDENES'!$A1003="","",IF('ORDENES'!$W1003="","-",'ORDENES'!$W1003))</f>
        <v/>
      </c>
      <c r="G1025" s="3">
        <f>IF('ORDENES'!$A1003="","",IF('ORDENES'!$AB1003="","-",'ORDENES'!$AB1003))</f>
        <v/>
      </c>
      <c r="H1025" s="3">
        <f>IF('ORDENES'!$A1003="","",IF('ORDENES'!$AN1003="","-",'ORDENES'!$AN1003))</f>
        <v/>
      </c>
      <c r="I1025" s="3">
        <f>IF('ORDENES'!$A1003="","",IF('ORDENES'!$D1003="","-",'ORDENES'!$D1003))</f>
        <v/>
      </c>
      <c r="J1025" s="3">
        <f>IF('ORDENES'!$A1003="","",IF('ORDENES'!$E1003="","-",'ORDENES'!$E1003))</f>
        <v/>
      </c>
      <c r="K1025" s="12">
        <f>IF('ORDENES'!$A1003="","",IF('ORDENES'!$M1003="",0,'ORDENES'!$M1003))</f>
        <v/>
      </c>
      <c r="L1025" s="3">
        <f>IF('ORDENES'!$A1003="","",IF('ORDENES'!$N1003="","-",'ORDENES'!$N1003))</f>
        <v/>
      </c>
      <c r="M1025" s="3">
        <f>IF('ORDENES'!$A1003="","",'ORDENES'!$AA1003)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IF('ORDENES'!$A1004="","",IF('ORDENES'!$AC1004="","-",'ORDENES'!$AC1004))</f>
        <v/>
      </c>
      <c r="D1026" s="3">
        <f>IF('ORDENES'!$A1004="","",IF('ORDENES'!$V1004="","-",'ORDENES'!$V1004))</f>
        <v/>
      </c>
      <c r="E1026" s="3">
        <f>IF('ORDENES'!$A1004="","",IF('ORDENES'!$U1004="","-",'ORDENES'!$U1004))</f>
        <v/>
      </c>
      <c r="F1026" s="3">
        <f>IF('ORDENES'!$A1004="","",IF('ORDENES'!$W1004="","-",'ORDENES'!$W1004))</f>
        <v/>
      </c>
      <c r="G1026" s="3">
        <f>IF('ORDENES'!$A1004="","",IF('ORDENES'!$AB1004="","-",'ORDENES'!$AB1004))</f>
        <v/>
      </c>
      <c r="H1026" s="3">
        <f>IF('ORDENES'!$A1004="","",IF('ORDENES'!$AN1004="","-",'ORDENES'!$AN1004))</f>
        <v/>
      </c>
      <c r="I1026" s="3">
        <f>IF('ORDENES'!$A1004="","",IF('ORDENES'!$D1004="","-",'ORDENES'!$D1004))</f>
        <v/>
      </c>
      <c r="J1026" s="3">
        <f>IF('ORDENES'!$A1004="","",IF('ORDENES'!$E1004="","-",'ORDENES'!$E1004))</f>
        <v/>
      </c>
      <c r="K1026" s="12">
        <f>IF('ORDENES'!$A1004="","",IF('ORDENES'!$M1004="",0,'ORDENES'!$M1004))</f>
        <v/>
      </c>
      <c r="L1026" s="3">
        <f>IF('ORDENES'!$A1004="","",IF('ORDENES'!$N1004="","-",'ORDENES'!$N1004))</f>
        <v/>
      </c>
      <c r="M1026" s="3">
        <f>IF('ORDENES'!$A1004="","",'ORDENES'!$AA1004)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IF('ORDENES'!$A1005="","",IF('ORDENES'!$AC1005="","-",'ORDENES'!$AC1005))</f>
        <v/>
      </c>
      <c r="D1027" s="3">
        <f>IF('ORDENES'!$A1005="","",IF('ORDENES'!$V1005="","-",'ORDENES'!$V1005))</f>
        <v/>
      </c>
      <c r="E1027" s="3">
        <f>IF('ORDENES'!$A1005="","",IF('ORDENES'!$U1005="","-",'ORDENES'!$U1005))</f>
        <v/>
      </c>
      <c r="F1027" s="3">
        <f>IF('ORDENES'!$A1005="","",IF('ORDENES'!$W1005="","-",'ORDENES'!$W1005))</f>
        <v/>
      </c>
      <c r="G1027" s="3">
        <f>IF('ORDENES'!$A1005="","",IF('ORDENES'!$AB1005="","-",'ORDENES'!$AB1005))</f>
        <v/>
      </c>
      <c r="H1027" s="3">
        <f>IF('ORDENES'!$A1005="","",IF('ORDENES'!$AN1005="","-",'ORDENES'!$AN1005))</f>
        <v/>
      </c>
      <c r="I1027" s="3">
        <f>IF('ORDENES'!$A1005="","",IF('ORDENES'!$D1005="","-",'ORDENES'!$D1005))</f>
        <v/>
      </c>
      <c r="J1027" s="3">
        <f>IF('ORDENES'!$A1005="","",IF('ORDENES'!$E1005="","-",'ORDENES'!$E1005))</f>
        <v/>
      </c>
      <c r="K1027" s="12">
        <f>IF('ORDENES'!$A1005="","",IF('ORDENES'!$M1005="",0,'ORDENES'!$M1005))</f>
        <v/>
      </c>
      <c r="L1027" s="3">
        <f>IF('ORDENES'!$A1005="","",IF('ORDENES'!$N1005="","-",'ORDENES'!$N1005))</f>
        <v/>
      </c>
      <c r="M1027" s="3">
        <f>IF('ORDENES'!$A1005="","",'ORDENES'!$AA1005)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IF('ORDENES'!$A1006="","",IF('ORDENES'!$AC1006="","-",'ORDENES'!$AC1006))</f>
        <v/>
      </c>
      <c r="D1028" s="3">
        <f>IF('ORDENES'!$A1006="","",IF('ORDENES'!$V1006="","-",'ORDENES'!$V1006))</f>
        <v/>
      </c>
      <c r="E1028" s="3">
        <f>IF('ORDENES'!$A1006="","",IF('ORDENES'!$U1006="","-",'ORDENES'!$U1006))</f>
        <v/>
      </c>
      <c r="F1028" s="3">
        <f>IF('ORDENES'!$A1006="","",IF('ORDENES'!$W1006="","-",'ORDENES'!$W1006))</f>
        <v/>
      </c>
      <c r="G1028" s="3">
        <f>IF('ORDENES'!$A1006="","",IF('ORDENES'!$AB1006="","-",'ORDENES'!$AB1006))</f>
        <v/>
      </c>
      <c r="H1028" s="3">
        <f>IF('ORDENES'!$A1006="","",IF('ORDENES'!$AN1006="","-",'ORDENES'!$AN1006))</f>
        <v/>
      </c>
      <c r="I1028" s="3">
        <f>IF('ORDENES'!$A1006="","",IF('ORDENES'!$D1006="","-",'ORDENES'!$D1006))</f>
        <v/>
      </c>
      <c r="J1028" s="3">
        <f>IF('ORDENES'!$A1006="","",IF('ORDENES'!$E1006="","-",'ORDENES'!$E1006))</f>
        <v/>
      </c>
      <c r="K1028" s="12">
        <f>IF('ORDENES'!$A1006="","",IF('ORDENES'!$M1006="",0,'ORDENES'!$M1006))</f>
        <v/>
      </c>
      <c r="L1028" s="3">
        <f>IF('ORDENES'!$A1006="","",IF('ORDENES'!$N1006="","-",'ORDENES'!$N1006))</f>
        <v/>
      </c>
      <c r="M1028" s="3">
        <f>IF('ORDENES'!$A1006="","",'ORDENES'!$AA1006)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IF('ORDENES'!$A1007="","",IF('ORDENES'!$AC1007="","-",'ORDENES'!$AC1007))</f>
        <v/>
      </c>
      <c r="D1029" s="3">
        <f>IF('ORDENES'!$A1007="","",IF('ORDENES'!$V1007="","-",'ORDENES'!$V1007))</f>
        <v/>
      </c>
      <c r="E1029" s="3">
        <f>IF('ORDENES'!$A1007="","",IF('ORDENES'!$U1007="","-",'ORDENES'!$U1007))</f>
        <v/>
      </c>
      <c r="F1029" s="3">
        <f>IF('ORDENES'!$A1007="","",IF('ORDENES'!$W1007="","-",'ORDENES'!$W1007))</f>
        <v/>
      </c>
      <c r="G1029" s="3">
        <f>IF('ORDENES'!$A1007="","",IF('ORDENES'!$AB1007="","-",'ORDENES'!$AB1007))</f>
        <v/>
      </c>
      <c r="H1029" s="3">
        <f>IF('ORDENES'!$A1007="","",IF('ORDENES'!$AN1007="","-",'ORDENES'!$AN1007))</f>
        <v/>
      </c>
      <c r="I1029" s="3">
        <f>IF('ORDENES'!$A1007="","",IF('ORDENES'!$D1007="","-",'ORDENES'!$D1007))</f>
        <v/>
      </c>
      <c r="J1029" s="3">
        <f>IF('ORDENES'!$A1007="","",IF('ORDENES'!$E1007="","-",'ORDENES'!$E1007))</f>
        <v/>
      </c>
      <c r="K1029" s="12">
        <f>IF('ORDENES'!$A1007="","",IF('ORDENES'!$M1007="",0,'ORDENES'!$M1007))</f>
        <v/>
      </c>
      <c r="L1029" s="3">
        <f>IF('ORDENES'!$A1007="","",IF('ORDENES'!$N1007="","-",'ORDENES'!$N1007))</f>
        <v/>
      </c>
      <c r="M1029" s="3">
        <f>IF('ORDENES'!$A1007="","",'ORDENES'!$AA1007)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IF('ORDENES'!$A1008="","",IF('ORDENES'!$AC1008="","-",'ORDENES'!$AC1008))</f>
        <v/>
      </c>
      <c r="D1030" s="3">
        <f>IF('ORDENES'!$A1008="","",IF('ORDENES'!$V1008="","-",'ORDENES'!$V1008))</f>
        <v/>
      </c>
      <c r="E1030" s="3">
        <f>IF('ORDENES'!$A1008="","",IF('ORDENES'!$U1008="","-",'ORDENES'!$U1008))</f>
        <v/>
      </c>
      <c r="F1030" s="3">
        <f>IF('ORDENES'!$A1008="","",IF('ORDENES'!$W1008="","-",'ORDENES'!$W1008))</f>
        <v/>
      </c>
      <c r="G1030" s="3">
        <f>IF('ORDENES'!$A1008="","",IF('ORDENES'!$AB1008="","-",'ORDENES'!$AB1008))</f>
        <v/>
      </c>
      <c r="H1030" s="3">
        <f>IF('ORDENES'!$A1008="","",IF('ORDENES'!$AN1008="","-",'ORDENES'!$AN1008))</f>
        <v/>
      </c>
      <c r="I1030" s="3">
        <f>IF('ORDENES'!$A1008="","",IF('ORDENES'!$D1008="","-",'ORDENES'!$D1008))</f>
        <v/>
      </c>
      <c r="J1030" s="3">
        <f>IF('ORDENES'!$A1008="","",IF('ORDENES'!$E1008="","-",'ORDENES'!$E1008))</f>
        <v/>
      </c>
      <c r="K1030" s="12">
        <f>IF('ORDENES'!$A1008="","",IF('ORDENES'!$M1008="",0,'ORDENES'!$M1008))</f>
        <v/>
      </c>
      <c r="L1030" s="3">
        <f>IF('ORDENES'!$A1008="","",IF('ORDENES'!$N1008="","-",'ORDENES'!$N1008))</f>
        <v/>
      </c>
      <c r="M1030" s="3">
        <f>IF('ORDENES'!$A1008="","",'ORDENES'!$AA1008)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IF('ORDENES'!$A1009="","",IF('ORDENES'!$AC1009="","-",'ORDENES'!$AC1009))</f>
        <v/>
      </c>
      <c r="D1031" s="3">
        <f>IF('ORDENES'!$A1009="","",IF('ORDENES'!$V1009="","-",'ORDENES'!$V1009))</f>
        <v/>
      </c>
      <c r="E1031" s="3">
        <f>IF('ORDENES'!$A1009="","",IF('ORDENES'!$U1009="","-",'ORDENES'!$U1009))</f>
        <v/>
      </c>
      <c r="F1031" s="3">
        <f>IF('ORDENES'!$A1009="","",IF('ORDENES'!$W1009="","-",'ORDENES'!$W1009))</f>
        <v/>
      </c>
      <c r="G1031" s="3">
        <f>IF('ORDENES'!$A1009="","",IF('ORDENES'!$AB1009="","-",'ORDENES'!$AB1009))</f>
        <v/>
      </c>
      <c r="H1031" s="3">
        <f>IF('ORDENES'!$A1009="","",IF('ORDENES'!$AN1009="","-",'ORDENES'!$AN1009))</f>
        <v/>
      </c>
      <c r="I1031" s="3">
        <f>IF('ORDENES'!$A1009="","",IF('ORDENES'!$D1009="","-",'ORDENES'!$D1009))</f>
        <v/>
      </c>
      <c r="J1031" s="3">
        <f>IF('ORDENES'!$A1009="","",IF('ORDENES'!$E1009="","-",'ORDENES'!$E1009))</f>
        <v/>
      </c>
      <c r="K1031" s="12">
        <f>IF('ORDENES'!$A1009="","",IF('ORDENES'!$M1009="",0,'ORDENES'!$M1009))</f>
        <v/>
      </c>
      <c r="L1031" s="3">
        <f>IF('ORDENES'!$A1009="","",IF('ORDENES'!$N1009="","-",'ORDENES'!$N1009))</f>
        <v/>
      </c>
      <c r="M1031" s="3">
        <f>IF('ORDENES'!$A1009="","",'ORDENES'!$AA1009)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IF('ORDENES'!$A1010="","",IF('ORDENES'!$AC1010="","-",'ORDENES'!$AC1010))</f>
        <v/>
      </c>
      <c r="D1032" s="3">
        <f>IF('ORDENES'!$A1010="","",IF('ORDENES'!$V1010="","-",'ORDENES'!$V1010))</f>
        <v/>
      </c>
      <c r="E1032" s="3">
        <f>IF('ORDENES'!$A1010="","",IF('ORDENES'!$U1010="","-",'ORDENES'!$U1010))</f>
        <v/>
      </c>
      <c r="F1032" s="3">
        <f>IF('ORDENES'!$A1010="","",IF('ORDENES'!$W1010="","-",'ORDENES'!$W1010))</f>
        <v/>
      </c>
      <c r="G1032" s="3">
        <f>IF('ORDENES'!$A1010="","",IF('ORDENES'!$AB1010="","-",'ORDENES'!$AB1010))</f>
        <v/>
      </c>
      <c r="H1032" s="3">
        <f>IF('ORDENES'!$A1010="","",IF('ORDENES'!$AN1010="","-",'ORDENES'!$AN1010))</f>
        <v/>
      </c>
      <c r="I1032" s="3">
        <f>IF('ORDENES'!$A1010="","",IF('ORDENES'!$D1010="","-",'ORDENES'!$D1010))</f>
        <v/>
      </c>
      <c r="J1032" s="3">
        <f>IF('ORDENES'!$A1010="","",IF('ORDENES'!$E1010="","-",'ORDENES'!$E1010))</f>
        <v/>
      </c>
      <c r="K1032" s="12">
        <f>IF('ORDENES'!$A1010="","",IF('ORDENES'!$M1010="",0,'ORDENES'!$M1010))</f>
        <v/>
      </c>
      <c r="L1032" s="3">
        <f>IF('ORDENES'!$A1010="","",IF('ORDENES'!$N1010="","-",'ORDENES'!$N1010))</f>
        <v/>
      </c>
      <c r="M1032" s="3">
        <f>IF('ORDENES'!$A1010="","",'ORDENES'!$AA1010)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IF('ORDENES'!$A1011="","",IF('ORDENES'!$AC1011="","-",'ORDENES'!$AC1011))</f>
        <v/>
      </c>
      <c r="D1033" s="3">
        <f>IF('ORDENES'!$A1011="","",IF('ORDENES'!$V1011="","-",'ORDENES'!$V1011))</f>
        <v/>
      </c>
      <c r="E1033" s="3">
        <f>IF('ORDENES'!$A1011="","",IF('ORDENES'!$U1011="","-",'ORDENES'!$U1011))</f>
        <v/>
      </c>
      <c r="F1033" s="3">
        <f>IF('ORDENES'!$A1011="","",IF('ORDENES'!$W1011="","-",'ORDENES'!$W1011))</f>
        <v/>
      </c>
      <c r="G1033" s="3">
        <f>IF('ORDENES'!$A1011="","",IF('ORDENES'!$AB1011="","-",'ORDENES'!$AB1011))</f>
        <v/>
      </c>
      <c r="H1033" s="3">
        <f>IF('ORDENES'!$A1011="","",IF('ORDENES'!$AN1011="","-",'ORDENES'!$AN1011))</f>
        <v/>
      </c>
      <c r="I1033" s="3">
        <f>IF('ORDENES'!$A1011="","",IF('ORDENES'!$D1011="","-",'ORDENES'!$D1011))</f>
        <v/>
      </c>
      <c r="J1033" s="3">
        <f>IF('ORDENES'!$A1011="","",IF('ORDENES'!$E1011="","-",'ORDENES'!$E1011))</f>
        <v/>
      </c>
      <c r="K1033" s="12">
        <f>IF('ORDENES'!$A1011="","",IF('ORDENES'!$M1011="",0,'ORDENES'!$M1011))</f>
        <v/>
      </c>
      <c r="L1033" s="3">
        <f>IF('ORDENES'!$A1011="","",IF('ORDENES'!$N1011="","-",'ORDENES'!$N1011))</f>
        <v/>
      </c>
      <c r="M1033" s="3">
        <f>IF('ORDENES'!$A1011="","",'ORDENES'!$AA1011)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IF('ORDENES'!$A1012="","",IF('ORDENES'!$AC1012="","-",'ORDENES'!$AC1012))</f>
        <v/>
      </c>
      <c r="D1034" s="3">
        <f>IF('ORDENES'!$A1012="","",IF('ORDENES'!$V1012="","-",'ORDENES'!$V1012))</f>
        <v/>
      </c>
      <c r="E1034" s="3">
        <f>IF('ORDENES'!$A1012="","",IF('ORDENES'!$U1012="","-",'ORDENES'!$U1012))</f>
        <v/>
      </c>
      <c r="F1034" s="3">
        <f>IF('ORDENES'!$A1012="","",IF('ORDENES'!$W1012="","-",'ORDENES'!$W1012))</f>
        <v/>
      </c>
      <c r="G1034" s="3">
        <f>IF('ORDENES'!$A1012="","",IF('ORDENES'!$AB1012="","-",'ORDENES'!$AB1012))</f>
        <v/>
      </c>
      <c r="H1034" s="3">
        <f>IF('ORDENES'!$A1012="","",IF('ORDENES'!$AN1012="","-",'ORDENES'!$AN1012))</f>
        <v/>
      </c>
      <c r="I1034" s="3">
        <f>IF('ORDENES'!$A1012="","",IF('ORDENES'!$D1012="","-",'ORDENES'!$D1012))</f>
        <v/>
      </c>
      <c r="J1034" s="3">
        <f>IF('ORDENES'!$A1012="","",IF('ORDENES'!$E1012="","-",'ORDENES'!$E1012))</f>
        <v/>
      </c>
      <c r="K1034" s="12">
        <f>IF('ORDENES'!$A1012="","",IF('ORDENES'!$M1012="",0,'ORDENES'!$M1012))</f>
        <v/>
      </c>
      <c r="L1034" s="3">
        <f>IF('ORDENES'!$A1012="","",IF('ORDENES'!$N1012="","-",'ORDENES'!$N1012))</f>
        <v/>
      </c>
      <c r="M1034" s="3">
        <f>IF('ORDENES'!$A1012="","",'ORDENES'!$AA1012)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IF('ORDENES'!$A1013="","",IF('ORDENES'!$AC1013="","-",'ORDENES'!$AC1013))</f>
        <v/>
      </c>
      <c r="D1035" s="3">
        <f>IF('ORDENES'!$A1013="","",IF('ORDENES'!$V1013="","-",'ORDENES'!$V1013))</f>
        <v/>
      </c>
      <c r="E1035" s="3">
        <f>IF('ORDENES'!$A1013="","",IF('ORDENES'!$U1013="","-",'ORDENES'!$U1013))</f>
        <v/>
      </c>
      <c r="F1035" s="3">
        <f>IF('ORDENES'!$A1013="","",IF('ORDENES'!$W1013="","-",'ORDENES'!$W1013))</f>
        <v/>
      </c>
      <c r="G1035" s="3">
        <f>IF('ORDENES'!$A1013="","",IF('ORDENES'!$AB1013="","-",'ORDENES'!$AB1013))</f>
        <v/>
      </c>
      <c r="H1035" s="3">
        <f>IF('ORDENES'!$A1013="","",IF('ORDENES'!$AN1013="","-",'ORDENES'!$AN1013))</f>
        <v/>
      </c>
      <c r="I1035" s="3">
        <f>IF('ORDENES'!$A1013="","",IF('ORDENES'!$D1013="","-",'ORDENES'!$D1013))</f>
        <v/>
      </c>
      <c r="J1035" s="3">
        <f>IF('ORDENES'!$A1013="","",IF('ORDENES'!$E1013="","-",'ORDENES'!$E1013))</f>
        <v/>
      </c>
      <c r="K1035" s="12">
        <f>IF('ORDENES'!$A1013="","",IF('ORDENES'!$M1013="",0,'ORDENES'!$M1013))</f>
        <v/>
      </c>
      <c r="L1035" s="3">
        <f>IF('ORDENES'!$A1013="","",IF('ORDENES'!$N1013="","-",'ORDENES'!$N1013))</f>
        <v/>
      </c>
      <c r="M1035" s="3">
        <f>IF('ORDENES'!$A1013="","",'ORDENES'!$AA1013)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IF('ORDENES'!$A1014="","",IF('ORDENES'!$AC1014="","-",'ORDENES'!$AC1014))</f>
        <v/>
      </c>
      <c r="D1036" s="3">
        <f>IF('ORDENES'!$A1014="","",IF('ORDENES'!$V1014="","-",'ORDENES'!$V1014))</f>
        <v/>
      </c>
      <c r="E1036" s="3">
        <f>IF('ORDENES'!$A1014="","",IF('ORDENES'!$U1014="","-",'ORDENES'!$U1014))</f>
        <v/>
      </c>
      <c r="F1036" s="3">
        <f>IF('ORDENES'!$A1014="","",IF('ORDENES'!$W1014="","-",'ORDENES'!$W1014))</f>
        <v/>
      </c>
      <c r="G1036" s="3">
        <f>IF('ORDENES'!$A1014="","",IF('ORDENES'!$AB1014="","-",'ORDENES'!$AB1014))</f>
        <v/>
      </c>
      <c r="H1036" s="3">
        <f>IF('ORDENES'!$A1014="","",IF('ORDENES'!$AN1014="","-",'ORDENES'!$AN1014))</f>
        <v/>
      </c>
      <c r="I1036" s="3">
        <f>IF('ORDENES'!$A1014="","",IF('ORDENES'!$D1014="","-",'ORDENES'!$D1014))</f>
        <v/>
      </c>
      <c r="J1036" s="3">
        <f>IF('ORDENES'!$A1014="","",IF('ORDENES'!$E1014="","-",'ORDENES'!$E1014))</f>
        <v/>
      </c>
      <c r="K1036" s="12">
        <f>IF('ORDENES'!$A1014="","",IF('ORDENES'!$M1014="",0,'ORDENES'!$M1014))</f>
        <v/>
      </c>
      <c r="L1036" s="3">
        <f>IF('ORDENES'!$A1014="","",IF('ORDENES'!$N1014="","-",'ORDENES'!$N1014))</f>
        <v/>
      </c>
      <c r="M1036" s="3">
        <f>IF('ORDENES'!$A1014="","",'ORDENES'!$AA1014)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IF('ORDENES'!$A1015="","",IF('ORDENES'!$AC1015="","-",'ORDENES'!$AC1015))</f>
        <v/>
      </c>
      <c r="D1037" s="3">
        <f>IF('ORDENES'!$A1015="","",IF('ORDENES'!$V1015="","-",'ORDENES'!$V1015))</f>
        <v/>
      </c>
      <c r="E1037" s="3">
        <f>IF('ORDENES'!$A1015="","",IF('ORDENES'!$U1015="","-",'ORDENES'!$U1015))</f>
        <v/>
      </c>
      <c r="F1037" s="3">
        <f>IF('ORDENES'!$A1015="","",IF('ORDENES'!$W1015="","-",'ORDENES'!$W1015))</f>
        <v/>
      </c>
      <c r="G1037" s="3">
        <f>IF('ORDENES'!$A1015="","",IF('ORDENES'!$AB1015="","-",'ORDENES'!$AB1015))</f>
        <v/>
      </c>
      <c r="H1037" s="3">
        <f>IF('ORDENES'!$A1015="","",IF('ORDENES'!$AN1015="","-",'ORDENES'!$AN1015))</f>
        <v/>
      </c>
      <c r="I1037" s="3">
        <f>IF('ORDENES'!$A1015="","",IF('ORDENES'!$D1015="","-",'ORDENES'!$D1015))</f>
        <v/>
      </c>
      <c r="J1037" s="3">
        <f>IF('ORDENES'!$A1015="","",IF('ORDENES'!$E1015="","-",'ORDENES'!$E1015))</f>
        <v/>
      </c>
      <c r="K1037" s="12">
        <f>IF('ORDENES'!$A1015="","",IF('ORDENES'!$M1015="",0,'ORDENES'!$M1015))</f>
        <v/>
      </c>
      <c r="L1037" s="3">
        <f>IF('ORDENES'!$A1015="","",IF('ORDENES'!$N1015="","-",'ORDENES'!$N1015))</f>
        <v/>
      </c>
      <c r="M1037" s="3">
        <f>IF('ORDENES'!$A1015="","",'ORDENES'!$AA1015)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IF('ORDENES'!$A1016="","",IF('ORDENES'!$AC1016="","-",'ORDENES'!$AC1016))</f>
        <v/>
      </c>
      <c r="D1038" s="3">
        <f>IF('ORDENES'!$A1016="","",IF('ORDENES'!$V1016="","-",'ORDENES'!$V1016))</f>
        <v/>
      </c>
      <c r="E1038" s="3">
        <f>IF('ORDENES'!$A1016="","",IF('ORDENES'!$U1016="","-",'ORDENES'!$U1016))</f>
        <v/>
      </c>
      <c r="F1038" s="3">
        <f>IF('ORDENES'!$A1016="","",IF('ORDENES'!$W1016="","-",'ORDENES'!$W1016))</f>
        <v/>
      </c>
      <c r="G1038" s="3">
        <f>IF('ORDENES'!$A1016="","",IF('ORDENES'!$AB1016="","-",'ORDENES'!$AB1016))</f>
        <v/>
      </c>
      <c r="H1038" s="3">
        <f>IF('ORDENES'!$A1016="","",IF('ORDENES'!$AN1016="","-",'ORDENES'!$AN1016))</f>
        <v/>
      </c>
      <c r="I1038" s="3">
        <f>IF('ORDENES'!$A1016="","",IF('ORDENES'!$D1016="","-",'ORDENES'!$D1016))</f>
        <v/>
      </c>
      <c r="J1038" s="3">
        <f>IF('ORDENES'!$A1016="","",IF('ORDENES'!$E1016="","-",'ORDENES'!$E1016))</f>
        <v/>
      </c>
      <c r="K1038" s="12">
        <f>IF('ORDENES'!$A1016="","",IF('ORDENES'!$M1016="",0,'ORDENES'!$M1016))</f>
        <v/>
      </c>
      <c r="L1038" s="3">
        <f>IF('ORDENES'!$A1016="","",IF('ORDENES'!$N1016="","-",'ORDENES'!$N1016))</f>
        <v/>
      </c>
      <c r="M1038" s="3">
        <f>IF('ORDENES'!$A1016="","",'ORDENES'!$AA1016)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IF('ORDENES'!$A1017="","",IF('ORDENES'!$AC1017="","-",'ORDENES'!$AC1017))</f>
        <v/>
      </c>
      <c r="D1039" s="3">
        <f>IF('ORDENES'!$A1017="","",IF('ORDENES'!$V1017="","-",'ORDENES'!$V1017))</f>
        <v/>
      </c>
      <c r="E1039" s="3">
        <f>IF('ORDENES'!$A1017="","",IF('ORDENES'!$U1017="","-",'ORDENES'!$U1017))</f>
        <v/>
      </c>
      <c r="F1039" s="3">
        <f>IF('ORDENES'!$A1017="","",IF('ORDENES'!$W1017="","-",'ORDENES'!$W1017))</f>
        <v/>
      </c>
      <c r="G1039" s="3">
        <f>IF('ORDENES'!$A1017="","",IF('ORDENES'!$AB1017="","-",'ORDENES'!$AB1017))</f>
        <v/>
      </c>
      <c r="H1039" s="3">
        <f>IF('ORDENES'!$A1017="","",IF('ORDENES'!$AN1017="","-",'ORDENES'!$AN1017))</f>
        <v/>
      </c>
      <c r="I1039" s="3">
        <f>IF('ORDENES'!$A1017="","",IF('ORDENES'!$D1017="","-",'ORDENES'!$D1017))</f>
        <v/>
      </c>
      <c r="J1039" s="3">
        <f>IF('ORDENES'!$A1017="","",IF('ORDENES'!$E1017="","-",'ORDENES'!$E1017))</f>
        <v/>
      </c>
      <c r="K1039" s="12">
        <f>IF('ORDENES'!$A1017="","",IF('ORDENES'!$M1017="",0,'ORDENES'!$M1017))</f>
        <v/>
      </c>
      <c r="L1039" s="3">
        <f>IF('ORDENES'!$A1017="","",IF('ORDENES'!$N1017="","-",'ORDENES'!$N1017))</f>
        <v/>
      </c>
      <c r="M1039" s="3">
        <f>IF('ORDENES'!$A1017="","",'ORDENES'!$AA1017)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IF('ORDENES'!$A1018="","",IF('ORDENES'!$AC1018="","-",'ORDENES'!$AC1018))</f>
        <v/>
      </c>
      <c r="D1040" s="3">
        <f>IF('ORDENES'!$A1018="","",IF('ORDENES'!$V1018="","-",'ORDENES'!$V1018))</f>
        <v/>
      </c>
      <c r="E1040" s="3">
        <f>IF('ORDENES'!$A1018="","",IF('ORDENES'!$U1018="","-",'ORDENES'!$U1018))</f>
        <v/>
      </c>
      <c r="F1040" s="3">
        <f>IF('ORDENES'!$A1018="","",IF('ORDENES'!$W1018="","-",'ORDENES'!$W1018))</f>
        <v/>
      </c>
      <c r="G1040" s="3">
        <f>IF('ORDENES'!$A1018="","",IF('ORDENES'!$AB1018="","-",'ORDENES'!$AB1018))</f>
        <v/>
      </c>
      <c r="H1040" s="3">
        <f>IF('ORDENES'!$A1018="","",IF('ORDENES'!$AN1018="","-",'ORDENES'!$AN1018))</f>
        <v/>
      </c>
      <c r="I1040" s="3">
        <f>IF('ORDENES'!$A1018="","",IF('ORDENES'!$D1018="","-",'ORDENES'!$D1018))</f>
        <v/>
      </c>
      <c r="J1040" s="3">
        <f>IF('ORDENES'!$A1018="","",IF('ORDENES'!$E1018="","-",'ORDENES'!$E1018))</f>
        <v/>
      </c>
      <c r="K1040" s="12">
        <f>IF('ORDENES'!$A1018="","",IF('ORDENES'!$M1018="",0,'ORDENES'!$M1018))</f>
        <v/>
      </c>
      <c r="L1040" s="3">
        <f>IF('ORDENES'!$A1018="","",IF('ORDENES'!$N1018="","-",'ORDENES'!$N1018))</f>
        <v/>
      </c>
      <c r="M1040" s="3">
        <f>IF('ORDENES'!$A1018="","",'ORDENES'!$AA1018)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IF('ORDENES'!$A1019="","",IF('ORDENES'!$AC1019="","-",'ORDENES'!$AC1019))</f>
        <v/>
      </c>
      <c r="D1041" s="3">
        <f>IF('ORDENES'!$A1019="","",IF('ORDENES'!$V1019="","-",'ORDENES'!$V1019))</f>
        <v/>
      </c>
      <c r="E1041" s="3">
        <f>IF('ORDENES'!$A1019="","",IF('ORDENES'!$U1019="","-",'ORDENES'!$U1019))</f>
        <v/>
      </c>
      <c r="F1041" s="3">
        <f>IF('ORDENES'!$A1019="","",IF('ORDENES'!$W1019="","-",'ORDENES'!$W1019))</f>
        <v/>
      </c>
      <c r="G1041" s="3">
        <f>IF('ORDENES'!$A1019="","",IF('ORDENES'!$AB1019="","-",'ORDENES'!$AB1019))</f>
        <v/>
      </c>
      <c r="H1041" s="3">
        <f>IF('ORDENES'!$A1019="","",IF('ORDENES'!$AN1019="","-",'ORDENES'!$AN1019))</f>
        <v/>
      </c>
      <c r="I1041" s="3">
        <f>IF('ORDENES'!$A1019="","",IF('ORDENES'!$D1019="","-",'ORDENES'!$D1019))</f>
        <v/>
      </c>
      <c r="J1041" s="3">
        <f>IF('ORDENES'!$A1019="","",IF('ORDENES'!$E1019="","-",'ORDENES'!$E1019))</f>
        <v/>
      </c>
      <c r="K1041" s="12">
        <f>IF('ORDENES'!$A1019="","",IF('ORDENES'!$M1019="",0,'ORDENES'!$M1019))</f>
        <v/>
      </c>
      <c r="L1041" s="3">
        <f>IF('ORDENES'!$A1019="","",IF('ORDENES'!$N1019="","-",'ORDENES'!$N1019))</f>
        <v/>
      </c>
      <c r="M1041" s="3">
        <f>IF('ORDENES'!$A1019="","",'ORDENES'!$AA1019)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IF('ORDENES'!$A1020="","",IF('ORDENES'!$AC1020="","-",'ORDENES'!$AC1020))</f>
        <v/>
      </c>
      <c r="D1042" s="3">
        <f>IF('ORDENES'!$A1020="","",IF('ORDENES'!$V1020="","-",'ORDENES'!$V1020))</f>
        <v/>
      </c>
      <c r="E1042" s="3">
        <f>IF('ORDENES'!$A1020="","",IF('ORDENES'!$U1020="","-",'ORDENES'!$U1020))</f>
        <v/>
      </c>
      <c r="F1042" s="3">
        <f>IF('ORDENES'!$A1020="","",IF('ORDENES'!$W1020="","-",'ORDENES'!$W1020))</f>
        <v/>
      </c>
      <c r="G1042" s="3">
        <f>IF('ORDENES'!$A1020="","",IF('ORDENES'!$AB1020="","-",'ORDENES'!$AB1020))</f>
        <v/>
      </c>
      <c r="H1042" s="3">
        <f>IF('ORDENES'!$A1020="","",IF('ORDENES'!$AN1020="","-",'ORDENES'!$AN1020))</f>
        <v/>
      </c>
      <c r="I1042" s="3">
        <f>IF('ORDENES'!$A1020="","",IF('ORDENES'!$D1020="","-",'ORDENES'!$D1020))</f>
        <v/>
      </c>
      <c r="J1042" s="3">
        <f>IF('ORDENES'!$A1020="","",IF('ORDENES'!$E1020="","-",'ORDENES'!$E1020))</f>
        <v/>
      </c>
      <c r="K1042" s="12">
        <f>IF('ORDENES'!$A1020="","",IF('ORDENES'!$M1020="",0,'ORDENES'!$M1020))</f>
        <v/>
      </c>
      <c r="L1042" s="3">
        <f>IF('ORDENES'!$A1020="","",IF('ORDENES'!$N1020="","-",'ORDENES'!$N1020))</f>
        <v/>
      </c>
      <c r="M1042" s="3">
        <f>IF('ORDENES'!$A1020="","",'ORDENES'!$AA1020)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IF('ORDENES'!$A1021="","",IF('ORDENES'!$AC1021="","-",'ORDENES'!$AC1021))</f>
        <v/>
      </c>
      <c r="D1043" s="3">
        <f>IF('ORDENES'!$A1021="","",IF('ORDENES'!$V1021="","-",'ORDENES'!$V1021))</f>
        <v/>
      </c>
      <c r="E1043" s="3">
        <f>IF('ORDENES'!$A1021="","",IF('ORDENES'!$U1021="","-",'ORDENES'!$U1021))</f>
        <v/>
      </c>
      <c r="F1043" s="3">
        <f>IF('ORDENES'!$A1021="","",IF('ORDENES'!$W1021="","-",'ORDENES'!$W1021))</f>
        <v/>
      </c>
      <c r="G1043" s="3">
        <f>IF('ORDENES'!$A1021="","",IF('ORDENES'!$AB1021="","-",'ORDENES'!$AB1021))</f>
        <v/>
      </c>
      <c r="H1043" s="3">
        <f>IF('ORDENES'!$A1021="","",IF('ORDENES'!$AN1021="","-",'ORDENES'!$AN1021))</f>
        <v/>
      </c>
      <c r="I1043" s="3">
        <f>IF('ORDENES'!$A1021="","",IF('ORDENES'!$D1021="","-",'ORDENES'!$D1021))</f>
        <v/>
      </c>
      <c r="J1043" s="3">
        <f>IF('ORDENES'!$A1021="","",IF('ORDENES'!$E1021="","-",'ORDENES'!$E1021))</f>
        <v/>
      </c>
      <c r="K1043" s="12">
        <f>IF('ORDENES'!$A1021="","",IF('ORDENES'!$M1021="",0,'ORDENES'!$M1021))</f>
        <v/>
      </c>
      <c r="L1043" s="3">
        <f>IF('ORDENES'!$A1021="","",IF('ORDENES'!$N1021="","-",'ORDENES'!$N1021))</f>
        <v/>
      </c>
      <c r="M1043" s="3">
        <f>IF('ORDENES'!$A1021="","",'ORDENES'!$AA1021)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IF('ORDENES'!$A1022="","",IF('ORDENES'!$AC1022="","-",'ORDENES'!$AC1022))</f>
        <v/>
      </c>
      <c r="D1044" s="3">
        <f>IF('ORDENES'!$A1022="","",IF('ORDENES'!$V1022="","-",'ORDENES'!$V1022))</f>
        <v/>
      </c>
      <c r="E1044" s="3">
        <f>IF('ORDENES'!$A1022="","",IF('ORDENES'!$U1022="","-",'ORDENES'!$U1022))</f>
        <v/>
      </c>
      <c r="F1044" s="3">
        <f>IF('ORDENES'!$A1022="","",IF('ORDENES'!$W1022="","-",'ORDENES'!$W1022))</f>
        <v/>
      </c>
      <c r="G1044" s="3">
        <f>IF('ORDENES'!$A1022="","",IF('ORDENES'!$AB1022="","-",'ORDENES'!$AB1022))</f>
        <v/>
      </c>
      <c r="H1044" s="3">
        <f>IF('ORDENES'!$A1022="","",IF('ORDENES'!$AN1022="","-",'ORDENES'!$AN1022))</f>
        <v/>
      </c>
      <c r="I1044" s="3">
        <f>IF('ORDENES'!$A1022="","",IF('ORDENES'!$D1022="","-",'ORDENES'!$D1022))</f>
        <v/>
      </c>
      <c r="J1044" s="3">
        <f>IF('ORDENES'!$A1022="","",IF('ORDENES'!$E1022="","-",'ORDENES'!$E1022))</f>
        <v/>
      </c>
      <c r="K1044" s="12">
        <f>IF('ORDENES'!$A1022="","",IF('ORDENES'!$M1022="",0,'ORDENES'!$M1022))</f>
        <v/>
      </c>
      <c r="L1044" s="3">
        <f>IF('ORDENES'!$A1022="","",IF('ORDENES'!$N1022="","-",'ORDENES'!$N1022))</f>
        <v/>
      </c>
      <c r="M1044" s="3">
        <f>IF('ORDENES'!$A1022="","",'ORDENES'!$AA1022)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IF('ORDENES'!$A1023="","",IF('ORDENES'!$AC1023="","-",'ORDENES'!$AC1023))</f>
        <v/>
      </c>
      <c r="D1045" s="3">
        <f>IF('ORDENES'!$A1023="","",IF('ORDENES'!$V1023="","-",'ORDENES'!$V1023))</f>
        <v/>
      </c>
      <c r="E1045" s="3">
        <f>IF('ORDENES'!$A1023="","",IF('ORDENES'!$U1023="","-",'ORDENES'!$U1023))</f>
        <v/>
      </c>
      <c r="F1045" s="3">
        <f>IF('ORDENES'!$A1023="","",IF('ORDENES'!$W1023="","-",'ORDENES'!$W1023))</f>
        <v/>
      </c>
      <c r="G1045" s="3">
        <f>IF('ORDENES'!$A1023="","",IF('ORDENES'!$AB1023="","-",'ORDENES'!$AB1023))</f>
        <v/>
      </c>
      <c r="H1045" s="3">
        <f>IF('ORDENES'!$A1023="","",IF('ORDENES'!$AN1023="","-",'ORDENES'!$AN1023))</f>
        <v/>
      </c>
      <c r="I1045" s="3">
        <f>IF('ORDENES'!$A1023="","",IF('ORDENES'!$D1023="","-",'ORDENES'!$D1023))</f>
        <v/>
      </c>
      <c r="J1045" s="3">
        <f>IF('ORDENES'!$A1023="","",IF('ORDENES'!$E1023="","-",'ORDENES'!$E1023))</f>
        <v/>
      </c>
      <c r="K1045" s="12">
        <f>IF('ORDENES'!$A1023="","",IF('ORDENES'!$M1023="",0,'ORDENES'!$M1023))</f>
        <v/>
      </c>
      <c r="L1045" s="3">
        <f>IF('ORDENES'!$A1023="","",IF('ORDENES'!$N1023="","-",'ORDENES'!$N1023))</f>
        <v/>
      </c>
      <c r="M1045" s="3">
        <f>IF('ORDENES'!$A1023="","",'ORDENES'!$AA1023)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IF('ORDENES'!$A1024="","",IF('ORDENES'!$AC1024="","-",'ORDENES'!$AC1024))</f>
        <v/>
      </c>
      <c r="D1046" s="3">
        <f>IF('ORDENES'!$A1024="","",IF('ORDENES'!$V1024="","-",'ORDENES'!$V1024))</f>
        <v/>
      </c>
      <c r="E1046" s="3">
        <f>IF('ORDENES'!$A1024="","",IF('ORDENES'!$U1024="","-",'ORDENES'!$U1024))</f>
        <v/>
      </c>
      <c r="F1046" s="3">
        <f>IF('ORDENES'!$A1024="","",IF('ORDENES'!$W1024="","-",'ORDENES'!$W1024))</f>
        <v/>
      </c>
      <c r="G1046" s="3">
        <f>IF('ORDENES'!$A1024="","",IF('ORDENES'!$AB1024="","-",'ORDENES'!$AB1024))</f>
        <v/>
      </c>
      <c r="H1046" s="3">
        <f>IF('ORDENES'!$A1024="","",IF('ORDENES'!$AN1024="","-",'ORDENES'!$AN1024))</f>
        <v/>
      </c>
      <c r="I1046" s="3">
        <f>IF('ORDENES'!$A1024="","",IF('ORDENES'!$D1024="","-",'ORDENES'!$D1024))</f>
        <v/>
      </c>
      <c r="J1046" s="3">
        <f>IF('ORDENES'!$A1024="","",IF('ORDENES'!$E1024="","-",'ORDENES'!$E1024))</f>
        <v/>
      </c>
      <c r="K1046" s="12">
        <f>IF('ORDENES'!$A1024="","",IF('ORDENES'!$M1024="",0,'ORDENES'!$M1024))</f>
        <v/>
      </c>
      <c r="L1046" s="3">
        <f>IF('ORDENES'!$A1024="","",IF('ORDENES'!$N1024="","-",'ORDENES'!$N1024))</f>
        <v/>
      </c>
      <c r="M1046" s="3">
        <f>IF('ORDENES'!$A1024="","",'ORDENES'!$AA1024)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IF('ORDENES'!$A1025="","",IF('ORDENES'!$AC1025="","-",'ORDENES'!$AC1025))</f>
        <v/>
      </c>
      <c r="D1047" s="3">
        <f>IF('ORDENES'!$A1025="","",IF('ORDENES'!$V1025="","-",'ORDENES'!$V1025))</f>
        <v/>
      </c>
      <c r="E1047" s="3">
        <f>IF('ORDENES'!$A1025="","",IF('ORDENES'!$U1025="","-",'ORDENES'!$U1025))</f>
        <v/>
      </c>
      <c r="F1047" s="3">
        <f>IF('ORDENES'!$A1025="","",IF('ORDENES'!$W1025="","-",'ORDENES'!$W1025))</f>
        <v/>
      </c>
      <c r="G1047" s="3">
        <f>IF('ORDENES'!$A1025="","",IF('ORDENES'!$AB1025="","-",'ORDENES'!$AB1025))</f>
        <v/>
      </c>
      <c r="H1047" s="3">
        <f>IF('ORDENES'!$A1025="","",IF('ORDENES'!$AN1025="","-",'ORDENES'!$AN1025))</f>
        <v/>
      </c>
      <c r="I1047" s="3">
        <f>IF('ORDENES'!$A1025="","",IF('ORDENES'!$D1025="","-",'ORDENES'!$D1025))</f>
        <v/>
      </c>
      <c r="J1047" s="3">
        <f>IF('ORDENES'!$A1025="","",IF('ORDENES'!$E1025="","-",'ORDENES'!$E1025))</f>
        <v/>
      </c>
      <c r="K1047" s="12">
        <f>IF('ORDENES'!$A1025="","",IF('ORDENES'!$M1025="",0,'ORDENES'!$M1025))</f>
        <v/>
      </c>
      <c r="L1047" s="3">
        <f>IF('ORDENES'!$A1025="","",IF('ORDENES'!$N1025="","-",'ORDENES'!$N1025))</f>
        <v/>
      </c>
      <c r="M1047" s="3">
        <f>IF('ORDENES'!$A1025="","",'ORDENES'!$AA1025)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IF('ORDENES'!$A1026="","",IF('ORDENES'!$AC1026="","-",'ORDENES'!$AC1026))</f>
        <v/>
      </c>
      <c r="D1048" s="3">
        <f>IF('ORDENES'!$A1026="","",IF('ORDENES'!$V1026="","-",'ORDENES'!$V1026))</f>
        <v/>
      </c>
      <c r="E1048" s="3">
        <f>IF('ORDENES'!$A1026="","",IF('ORDENES'!$U1026="","-",'ORDENES'!$U1026))</f>
        <v/>
      </c>
      <c r="F1048" s="3">
        <f>IF('ORDENES'!$A1026="","",IF('ORDENES'!$W1026="","-",'ORDENES'!$W1026))</f>
        <v/>
      </c>
      <c r="G1048" s="3">
        <f>IF('ORDENES'!$A1026="","",IF('ORDENES'!$AB1026="","-",'ORDENES'!$AB1026))</f>
        <v/>
      </c>
      <c r="H1048" s="3">
        <f>IF('ORDENES'!$A1026="","",IF('ORDENES'!$AN1026="","-",'ORDENES'!$AN1026))</f>
        <v/>
      </c>
      <c r="I1048" s="3">
        <f>IF('ORDENES'!$A1026="","",IF('ORDENES'!$D1026="","-",'ORDENES'!$D1026))</f>
        <v/>
      </c>
      <c r="J1048" s="3">
        <f>IF('ORDENES'!$A1026="","",IF('ORDENES'!$E1026="","-",'ORDENES'!$E1026))</f>
        <v/>
      </c>
      <c r="K1048" s="12">
        <f>IF('ORDENES'!$A1026="","",IF('ORDENES'!$M1026="",0,'ORDENES'!$M1026))</f>
        <v/>
      </c>
      <c r="L1048" s="3">
        <f>IF('ORDENES'!$A1026="","",IF('ORDENES'!$N1026="","-",'ORDENES'!$N1026))</f>
        <v/>
      </c>
      <c r="M1048" s="3">
        <f>IF('ORDENES'!$A1026="","",'ORDENES'!$AA1026)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IF('ORDENES'!$A1027="","",IF('ORDENES'!$AC1027="","-",'ORDENES'!$AC1027))</f>
        <v/>
      </c>
      <c r="D1049" s="3">
        <f>IF('ORDENES'!$A1027="","",IF('ORDENES'!$V1027="","-",'ORDENES'!$V1027))</f>
        <v/>
      </c>
      <c r="E1049" s="3">
        <f>IF('ORDENES'!$A1027="","",IF('ORDENES'!$U1027="","-",'ORDENES'!$U1027))</f>
        <v/>
      </c>
      <c r="F1049" s="3">
        <f>IF('ORDENES'!$A1027="","",IF('ORDENES'!$W1027="","-",'ORDENES'!$W1027))</f>
        <v/>
      </c>
      <c r="G1049" s="3">
        <f>IF('ORDENES'!$A1027="","",IF('ORDENES'!$AB1027="","-",'ORDENES'!$AB1027))</f>
        <v/>
      </c>
      <c r="H1049" s="3">
        <f>IF('ORDENES'!$A1027="","",IF('ORDENES'!$AN1027="","-",'ORDENES'!$AN1027))</f>
        <v/>
      </c>
      <c r="I1049" s="3">
        <f>IF('ORDENES'!$A1027="","",IF('ORDENES'!$D1027="","-",'ORDENES'!$D1027))</f>
        <v/>
      </c>
      <c r="J1049" s="3">
        <f>IF('ORDENES'!$A1027="","",IF('ORDENES'!$E1027="","-",'ORDENES'!$E1027))</f>
        <v/>
      </c>
      <c r="K1049" s="12">
        <f>IF('ORDENES'!$A1027="","",IF('ORDENES'!$M1027="",0,'ORDENES'!$M1027))</f>
        <v/>
      </c>
      <c r="L1049" s="3">
        <f>IF('ORDENES'!$A1027="","",IF('ORDENES'!$N1027="","-",'ORDENES'!$N1027))</f>
        <v/>
      </c>
      <c r="M1049" s="3">
        <f>IF('ORDENES'!$A1027="","",'ORDENES'!$AA1027)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IF('ORDENES'!$A1028="","",IF('ORDENES'!$AC1028="","-",'ORDENES'!$AC1028))</f>
        <v/>
      </c>
      <c r="D1050" s="3">
        <f>IF('ORDENES'!$A1028="","",IF('ORDENES'!$V1028="","-",'ORDENES'!$V1028))</f>
        <v/>
      </c>
      <c r="E1050" s="3">
        <f>IF('ORDENES'!$A1028="","",IF('ORDENES'!$U1028="","-",'ORDENES'!$U1028))</f>
        <v/>
      </c>
      <c r="F1050" s="3">
        <f>IF('ORDENES'!$A1028="","",IF('ORDENES'!$W1028="","-",'ORDENES'!$W1028))</f>
        <v/>
      </c>
      <c r="G1050" s="3">
        <f>IF('ORDENES'!$A1028="","",IF('ORDENES'!$AB1028="","-",'ORDENES'!$AB1028))</f>
        <v/>
      </c>
      <c r="H1050" s="3">
        <f>IF('ORDENES'!$A1028="","",IF('ORDENES'!$AN1028="","-",'ORDENES'!$AN1028))</f>
        <v/>
      </c>
      <c r="I1050" s="3">
        <f>IF('ORDENES'!$A1028="","",IF('ORDENES'!$D1028="","-",'ORDENES'!$D1028))</f>
        <v/>
      </c>
      <c r="J1050" s="3">
        <f>IF('ORDENES'!$A1028="","",IF('ORDENES'!$E1028="","-",'ORDENES'!$E1028))</f>
        <v/>
      </c>
      <c r="K1050" s="12">
        <f>IF('ORDENES'!$A1028="","",IF('ORDENES'!$M1028="",0,'ORDENES'!$M1028))</f>
        <v/>
      </c>
      <c r="L1050" s="3">
        <f>IF('ORDENES'!$A1028="","",IF('ORDENES'!$N1028="","-",'ORDENES'!$N1028))</f>
        <v/>
      </c>
      <c r="M1050" s="3">
        <f>IF('ORDENES'!$A1028="","",'ORDENES'!$AA1028)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IF('ORDENES'!$A1029="","",IF('ORDENES'!$AC1029="","-",'ORDENES'!$AC1029))</f>
        <v/>
      </c>
      <c r="D1051" s="3">
        <f>IF('ORDENES'!$A1029="","",IF('ORDENES'!$V1029="","-",'ORDENES'!$V1029))</f>
        <v/>
      </c>
      <c r="E1051" s="3">
        <f>IF('ORDENES'!$A1029="","",IF('ORDENES'!$U1029="","-",'ORDENES'!$U1029))</f>
        <v/>
      </c>
      <c r="F1051" s="3">
        <f>IF('ORDENES'!$A1029="","",IF('ORDENES'!$W1029="","-",'ORDENES'!$W1029))</f>
        <v/>
      </c>
      <c r="G1051" s="3">
        <f>IF('ORDENES'!$A1029="","",IF('ORDENES'!$AB1029="","-",'ORDENES'!$AB1029))</f>
        <v/>
      </c>
      <c r="H1051" s="3">
        <f>IF('ORDENES'!$A1029="","",IF('ORDENES'!$AN1029="","-",'ORDENES'!$AN1029))</f>
        <v/>
      </c>
      <c r="I1051" s="3">
        <f>IF('ORDENES'!$A1029="","",IF('ORDENES'!$D1029="","-",'ORDENES'!$D1029))</f>
        <v/>
      </c>
      <c r="J1051" s="3">
        <f>IF('ORDENES'!$A1029="","",IF('ORDENES'!$E1029="","-",'ORDENES'!$E1029))</f>
        <v/>
      </c>
      <c r="K1051" s="12">
        <f>IF('ORDENES'!$A1029="","",IF('ORDENES'!$M1029="",0,'ORDENES'!$M1029))</f>
        <v/>
      </c>
      <c r="L1051" s="3">
        <f>IF('ORDENES'!$A1029="","",IF('ORDENES'!$N1029="","-",'ORDENES'!$N1029))</f>
        <v/>
      </c>
      <c r="M1051" s="3">
        <f>IF('ORDENES'!$A1029="","",'ORDENES'!$AA1029)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IF('ORDENES'!$A1030="","",IF('ORDENES'!$AC1030="","-",'ORDENES'!$AC1030))</f>
        <v/>
      </c>
      <c r="D1052" s="3">
        <f>IF('ORDENES'!$A1030="","",IF('ORDENES'!$V1030="","-",'ORDENES'!$V1030))</f>
        <v/>
      </c>
      <c r="E1052" s="3">
        <f>IF('ORDENES'!$A1030="","",IF('ORDENES'!$U1030="","-",'ORDENES'!$U1030))</f>
        <v/>
      </c>
      <c r="F1052" s="3">
        <f>IF('ORDENES'!$A1030="","",IF('ORDENES'!$W1030="","-",'ORDENES'!$W1030))</f>
        <v/>
      </c>
      <c r="G1052" s="3">
        <f>IF('ORDENES'!$A1030="","",IF('ORDENES'!$AB1030="","-",'ORDENES'!$AB1030))</f>
        <v/>
      </c>
      <c r="H1052" s="3">
        <f>IF('ORDENES'!$A1030="","",IF('ORDENES'!$AN1030="","-",'ORDENES'!$AN1030))</f>
        <v/>
      </c>
      <c r="I1052" s="3">
        <f>IF('ORDENES'!$A1030="","",IF('ORDENES'!$D1030="","-",'ORDENES'!$D1030))</f>
        <v/>
      </c>
      <c r="J1052" s="3">
        <f>IF('ORDENES'!$A1030="","",IF('ORDENES'!$E1030="","-",'ORDENES'!$E1030))</f>
        <v/>
      </c>
      <c r="K1052" s="12">
        <f>IF('ORDENES'!$A1030="","",IF('ORDENES'!$M1030="",0,'ORDENES'!$M1030))</f>
        <v/>
      </c>
      <c r="L1052" s="3">
        <f>IF('ORDENES'!$A1030="","",IF('ORDENES'!$N1030="","-",'ORDENES'!$N1030))</f>
        <v/>
      </c>
      <c r="M1052" s="3">
        <f>IF('ORDENES'!$A1030="","",'ORDENES'!$AA1030)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IF('ORDENES'!$A1031="","",IF('ORDENES'!$AC1031="","-",'ORDENES'!$AC1031))</f>
        <v/>
      </c>
      <c r="D1053" s="3">
        <f>IF('ORDENES'!$A1031="","",IF('ORDENES'!$V1031="","-",'ORDENES'!$V1031))</f>
        <v/>
      </c>
      <c r="E1053" s="3">
        <f>IF('ORDENES'!$A1031="","",IF('ORDENES'!$U1031="","-",'ORDENES'!$U1031))</f>
        <v/>
      </c>
      <c r="F1053" s="3">
        <f>IF('ORDENES'!$A1031="","",IF('ORDENES'!$W1031="","-",'ORDENES'!$W1031))</f>
        <v/>
      </c>
      <c r="G1053" s="3">
        <f>IF('ORDENES'!$A1031="","",IF('ORDENES'!$AB1031="","-",'ORDENES'!$AB1031))</f>
        <v/>
      </c>
      <c r="H1053" s="3">
        <f>IF('ORDENES'!$A1031="","",IF('ORDENES'!$AN1031="","-",'ORDENES'!$AN1031))</f>
        <v/>
      </c>
      <c r="I1053" s="3">
        <f>IF('ORDENES'!$A1031="","",IF('ORDENES'!$D1031="","-",'ORDENES'!$D1031))</f>
        <v/>
      </c>
      <c r="J1053" s="3">
        <f>IF('ORDENES'!$A1031="","",IF('ORDENES'!$E1031="","-",'ORDENES'!$E1031))</f>
        <v/>
      </c>
      <c r="K1053" s="12">
        <f>IF('ORDENES'!$A1031="","",IF('ORDENES'!$M1031="",0,'ORDENES'!$M1031))</f>
        <v/>
      </c>
      <c r="L1053" s="3">
        <f>IF('ORDENES'!$A1031="","",IF('ORDENES'!$N1031="","-",'ORDENES'!$N1031))</f>
        <v/>
      </c>
      <c r="M1053" s="3">
        <f>IF('ORDENES'!$A1031="","",'ORDENES'!$AA1031)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IF('ORDENES'!$A1032="","",IF('ORDENES'!$AC1032="","-",'ORDENES'!$AC1032))</f>
        <v/>
      </c>
      <c r="D1054" s="3">
        <f>IF('ORDENES'!$A1032="","",IF('ORDENES'!$V1032="","-",'ORDENES'!$V1032))</f>
        <v/>
      </c>
      <c r="E1054" s="3">
        <f>IF('ORDENES'!$A1032="","",IF('ORDENES'!$U1032="","-",'ORDENES'!$U1032))</f>
        <v/>
      </c>
      <c r="F1054" s="3">
        <f>IF('ORDENES'!$A1032="","",IF('ORDENES'!$W1032="","-",'ORDENES'!$W1032))</f>
        <v/>
      </c>
      <c r="G1054" s="3">
        <f>IF('ORDENES'!$A1032="","",IF('ORDENES'!$AB1032="","-",'ORDENES'!$AB1032))</f>
        <v/>
      </c>
      <c r="H1054" s="3">
        <f>IF('ORDENES'!$A1032="","",IF('ORDENES'!$AN1032="","-",'ORDENES'!$AN1032))</f>
        <v/>
      </c>
      <c r="I1054" s="3">
        <f>IF('ORDENES'!$A1032="","",IF('ORDENES'!$D1032="","-",'ORDENES'!$D1032))</f>
        <v/>
      </c>
      <c r="J1054" s="3">
        <f>IF('ORDENES'!$A1032="","",IF('ORDENES'!$E1032="","-",'ORDENES'!$E1032))</f>
        <v/>
      </c>
      <c r="K1054" s="12">
        <f>IF('ORDENES'!$A1032="","",IF('ORDENES'!$M1032="",0,'ORDENES'!$M1032))</f>
        <v/>
      </c>
      <c r="L1054" s="3">
        <f>IF('ORDENES'!$A1032="","",IF('ORDENES'!$N1032="","-",'ORDENES'!$N1032))</f>
        <v/>
      </c>
      <c r="M1054" s="3">
        <f>IF('ORDENES'!$A1032="","",'ORDENES'!$AA1032)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IF('ORDENES'!$A1033="","",IF('ORDENES'!$AC1033="","-",'ORDENES'!$AC1033))</f>
        <v/>
      </c>
      <c r="D1055" s="3">
        <f>IF('ORDENES'!$A1033="","",IF('ORDENES'!$V1033="","-",'ORDENES'!$V1033))</f>
        <v/>
      </c>
      <c r="E1055" s="3">
        <f>IF('ORDENES'!$A1033="","",IF('ORDENES'!$U1033="","-",'ORDENES'!$U1033))</f>
        <v/>
      </c>
      <c r="F1055" s="3">
        <f>IF('ORDENES'!$A1033="","",IF('ORDENES'!$W1033="","-",'ORDENES'!$W1033))</f>
        <v/>
      </c>
      <c r="G1055" s="3">
        <f>IF('ORDENES'!$A1033="","",IF('ORDENES'!$AB1033="","-",'ORDENES'!$AB1033))</f>
        <v/>
      </c>
      <c r="H1055" s="3">
        <f>IF('ORDENES'!$A1033="","",IF('ORDENES'!$AN1033="","-",'ORDENES'!$AN1033))</f>
        <v/>
      </c>
      <c r="I1055" s="3">
        <f>IF('ORDENES'!$A1033="","",IF('ORDENES'!$D1033="","-",'ORDENES'!$D1033))</f>
        <v/>
      </c>
      <c r="J1055" s="3">
        <f>IF('ORDENES'!$A1033="","",IF('ORDENES'!$E1033="","-",'ORDENES'!$E1033))</f>
        <v/>
      </c>
      <c r="K1055" s="12">
        <f>IF('ORDENES'!$A1033="","",IF('ORDENES'!$M1033="",0,'ORDENES'!$M1033))</f>
        <v/>
      </c>
      <c r="L1055" s="3">
        <f>IF('ORDENES'!$A1033="","",IF('ORDENES'!$N1033="","-",'ORDENES'!$N1033))</f>
        <v/>
      </c>
      <c r="M1055" s="3">
        <f>IF('ORDENES'!$A1033="","",'ORDENES'!$AA1033)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IF('ORDENES'!$A1034="","",IF('ORDENES'!$AC1034="","-",'ORDENES'!$AC1034))</f>
        <v/>
      </c>
      <c r="D1056" s="3">
        <f>IF('ORDENES'!$A1034="","",IF('ORDENES'!$V1034="","-",'ORDENES'!$V1034))</f>
        <v/>
      </c>
      <c r="E1056" s="3">
        <f>IF('ORDENES'!$A1034="","",IF('ORDENES'!$U1034="","-",'ORDENES'!$U1034))</f>
        <v/>
      </c>
      <c r="F1056" s="3">
        <f>IF('ORDENES'!$A1034="","",IF('ORDENES'!$W1034="","-",'ORDENES'!$W1034))</f>
        <v/>
      </c>
      <c r="G1056" s="3">
        <f>IF('ORDENES'!$A1034="","",IF('ORDENES'!$AB1034="","-",'ORDENES'!$AB1034))</f>
        <v/>
      </c>
      <c r="H1056" s="3">
        <f>IF('ORDENES'!$A1034="","",IF('ORDENES'!$AN1034="","-",'ORDENES'!$AN1034))</f>
        <v/>
      </c>
      <c r="I1056" s="3">
        <f>IF('ORDENES'!$A1034="","",IF('ORDENES'!$D1034="","-",'ORDENES'!$D1034))</f>
        <v/>
      </c>
      <c r="J1056" s="3">
        <f>IF('ORDENES'!$A1034="","",IF('ORDENES'!$E1034="","-",'ORDENES'!$E1034))</f>
        <v/>
      </c>
      <c r="K1056" s="12">
        <f>IF('ORDENES'!$A1034="","",IF('ORDENES'!$M1034="",0,'ORDENES'!$M1034))</f>
        <v/>
      </c>
      <c r="L1056" s="3">
        <f>IF('ORDENES'!$A1034="","",IF('ORDENES'!$N1034="","-",'ORDENES'!$N1034))</f>
        <v/>
      </c>
      <c r="M1056" s="3">
        <f>IF('ORDENES'!$A1034="","",'ORDENES'!$AA1034)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IF('ORDENES'!$A1035="","",IF('ORDENES'!$AC1035="","-",'ORDENES'!$AC1035))</f>
        <v/>
      </c>
      <c r="D1057" s="3">
        <f>IF('ORDENES'!$A1035="","",IF('ORDENES'!$V1035="","-",'ORDENES'!$V1035))</f>
        <v/>
      </c>
      <c r="E1057" s="3">
        <f>IF('ORDENES'!$A1035="","",IF('ORDENES'!$U1035="","-",'ORDENES'!$U1035))</f>
        <v/>
      </c>
      <c r="F1057" s="3">
        <f>IF('ORDENES'!$A1035="","",IF('ORDENES'!$W1035="","-",'ORDENES'!$W1035))</f>
        <v/>
      </c>
      <c r="G1057" s="3">
        <f>IF('ORDENES'!$A1035="","",IF('ORDENES'!$AB1035="","-",'ORDENES'!$AB1035))</f>
        <v/>
      </c>
      <c r="H1057" s="3">
        <f>IF('ORDENES'!$A1035="","",IF('ORDENES'!$AN1035="","-",'ORDENES'!$AN1035))</f>
        <v/>
      </c>
      <c r="I1057" s="3">
        <f>IF('ORDENES'!$A1035="","",IF('ORDENES'!$D1035="","-",'ORDENES'!$D1035))</f>
        <v/>
      </c>
      <c r="J1057" s="3">
        <f>IF('ORDENES'!$A1035="","",IF('ORDENES'!$E1035="","-",'ORDENES'!$E1035))</f>
        <v/>
      </c>
      <c r="K1057" s="12">
        <f>IF('ORDENES'!$A1035="","",IF('ORDENES'!$M1035="",0,'ORDENES'!$M1035))</f>
        <v/>
      </c>
      <c r="L1057" s="3">
        <f>IF('ORDENES'!$A1035="","",IF('ORDENES'!$N1035="","-",'ORDENES'!$N1035))</f>
        <v/>
      </c>
      <c r="M1057" s="3">
        <f>IF('ORDENES'!$A1035="","",'ORDENES'!$AA1035)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IF('ORDENES'!$A1036="","",IF('ORDENES'!$AC1036="","-",'ORDENES'!$AC1036))</f>
        <v/>
      </c>
      <c r="D1058" s="3">
        <f>IF('ORDENES'!$A1036="","",IF('ORDENES'!$V1036="","-",'ORDENES'!$V1036))</f>
        <v/>
      </c>
      <c r="E1058" s="3">
        <f>IF('ORDENES'!$A1036="","",IF('ORDENES'!$U1036="","-",'ORDENES'!$U1036))</f>
        <v/>
      </c>
      <c r="F1058" s="3">
        <f>IF('ORDENES'!$A1036="","",IF('ORDENES'!$W1036="","-",'ORDENES'!$W1036))</f>
        <v/>
      </c>
      <c r="G1058" s="3">
        <f>IF('ORDENES'!$A1036="","",IF('ORDENES'!$AB1036="","-",'ORDENES'!$AB1036))</f>
        <v/>
      </c>
      <c r="H1058" s="3">
        <f>IF('ORDENES'!$A1036="","",IF('ORDENES'!$AN1036="","-",'ORDENES'!$AN1036))</f>
        <v/>
      </c>
      <c r="I1058" s="3">
        <f>IF('ORDENES'!$A1036="","",IF('ORDENES'!$D1036="","-",'ORDENES'!$D1036))</f>
        <v/>
      </c>
      <c r="J1058" s="3">
        <f>IF('ORDENES'!$A1036="","",IF('ORDENES'!$E1036="","-",'ORDENES'!$E1036))</f>
        <v/>
      </c>
      <c r="K1058" s="12">
        <f>IF('ORDENES'!$A1036="","",IF('ORDENES'!$M1036="",0,'ORDENES'!$M1036))</f>
        <v/>
      </c>
      <c r="L1058" s="3">
        <f>IF('ORDENES'!$A1036="","",IF('ORDENES'!$N1036="","-",'ORDENES'!$N1036))</f>
        <v/>
      </c>
      <c r="M1058" s="3">
        <f>IF('ORDENES'!$A1036="","",'ORDENES'!$AA1036)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IF('ORDENES'!$A1037="","",IF('ORDENES'!$AC1037="","-",'ORDENES'!$AC1037))</f>
        <v/>
      </c>
      <c r="D1059" s="3">
        <f>IF('ORDENES'!$A1037="","",IF('ORDENES'!$V1037="","-",'ORDENES'!$V1037))</f>
        <v/>
      </c>
      <c r="E1059" s="3">
        <f>IF('ORDENES'!$A1037="","",IF('ORDENES'!$U1037="","-",'ORDENES'!$U1037))</f>
        <v/>
      </c>
      <c r="F1059" s="3">
        <f>IF('ORDENES'!$A1037="","",IF('ORDENES'!$W1037="","-",'ORDENES'!$W1037))</f>
        <v/>
      </c>
      <c r="G1059" s="3">
        <f>IF('ORDENES'!$A1037="","",IF('ORDENES'!$AB1037="","-",'ORDENES'!$AB1037))</f>
        <v/>
      </c>
      <c r="H1059" s="3">
        <f>IF('ORDENES'!$A1037="","",IF('ORDENES'!$AN1037="","-",'ORDENES'!$AN1037))</f>
        <v/>
      </c>
      <c r="I1059" s="3">
        <f>IF('ORDENES'!$A1037="","",IF('ORDENES'!$D1037="","-",'ORDENES'!$D1037))</f>
        <v/>
      </c>
      <c r="J1059" s="3">
        <f>IF('ORDENES'!$A1037="","",IF('ORDENES'!$E1037="","-",'ORDENES'!$E1037))</f>
        <v/>
      </c>
      <c r="K1059" s="12">
        <f>IF('ORDENES'!$A1037="","",IF('ORDENES'!$M1037="",0,'ORDENES'!$M1037))</f>
        <v/>
      </c>
      <c r="L1059" s="3">
        <f>IF('ORDENES'!$A1037="","",IF('ORDENES'!$N1037="","-",'ORDENES'!$N1037))</f>
        <v/>
      </c>
      <c r="M1059" s="3">
        <f>IF('ORDENES'!$A1037="","",'ORDENES'!$AA1037)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IF('ORDENES'!$A1038="","",IF('ORDENES'!$AC1038="","-",'ORDENES'!$AC1038))</f>
        <v/>
      </c>
      <c r="D1060" s="3">
        <f>IF('ORDENES'!$A1038="","",IF('ORDENES'!$V1038="","-",'ORDENES'!$V1038))</f>
        <v/>
      </c>
      <c r="E1060" s="3">
        <f>IF('ORDENES'!$A1038="","",IF('ORDENES'!$U1038="","-",'ORDENES'!$U1038))</f>
        <v/>
      </c>
      <c r="F1060" s="3">
        <f>IF('ORDENES'!$A1038="","",IF('ORDENES'!$W1038="","-",'ORDENES'!$W1038))</f>
        <v/>
      </c>
      <c r="G1060" s="3">
        <f>IF('ORDENES'!$A1038="","",IF('ORDENES'!$AB1038="","-",'ORDENES'!$AB1038))</f>
        <v/>
      </c>
      <c r="H1060" s="3">
        <f>IF('ORDENES'!$A1038="","",IF('ORDENES'!$AN1038="","-",'ORDENES'!$AN1038))</f>
        <v/>
      </c>
      <c r="I1060" s="3">
        <f>IF('ORDENES'!$A1038="","",IF('ORDENES'!$D1038="","-",'ORDENES'!$D1038))</f>
        <v/>
      </c>
      <c r="J1060" s="3">
        <f>IF('ORDENES'!$A1038="","",IF('ORDENES'!$E1038="","-",'ORDENES'!$E1038))</f>
        <v/>
      </c>
      <c r="K1060" s="12">
        <f>IF('ORDENES'!$A1038="","",IF('ORDENES'!$M1038="",0,'ORDENES'!$M1038))</f>
        <v/>
      </c>
      <c r="L1060" s="3">
        <f>IF('ORDENES'!$A1038="","",IF('ORDENES'!$N1038="","-",'ORDENES'!$N1038))</f>
        <v/>
      </c>
      <c r="M1060" s="3">
        <f>IF('ORDENES'!$A1038="","",'ORDENES'!$AA1038)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IF('ORDENES'!$A1039="","",IF('ORDENES'!$AC1039="","-",'ORDENES'!$AC1039))</f>
        <v/>
      </c>
      <c r="D1061" s="3">
        <f>IF('ORDENES'!$A1039="","",IF('ORDENES'!$V1039="","-",'ORDENES'!$V1039))</f>
        <v/>
      </c>
      <c r="E1061" s="3">
        <f>IF('ORDENES'!$A1039="","",IF('ORDENES'!$U1039="","-",'ORDENES'!$U1039))</f>
        <v/>
      </c>
      <c r="F1061" s="3">
        <f>IF('ORDENES'!$A1039="","",IF('ORDENES'!$W1039="","-",'ORDENES'!$W1039))</f>
        <v/>
      </c>
      <c r="G1061" s="3">
        <f>IF('ORDENES'!$A1039="","",IF('ORDENES'!$AB1039="","-",'ORDENES'!$AB1039))</f>
        <v/>
      </c>
      <c r="H1061" s="3">
        <f>IF('ORDENES'!$A1039="","",IF('ORDENES'!$AN1039="","-",'ORDENES'!$AN1039))</f>
        <v/>
      </c>
      <c r="I1061" s="3">
        <f>IF('ORDENES'!$A1039="","",IF('ORDENES'!$D1039="","-",'ORDENES'!$D1039))</f>
        <v/>
      </c>
      <c r="J1061" s="3">
        <f>IF('ORDENES'!$A1039="","",IF('ORDENES'!$E1039="","-",'ORDENES'!$E1039))</f>
        <v/>
      </c>
      <c r="K1061" s="12">
        <f>IF('ORDENES'!$A1039="","",IF('ORDENES'!$M1039="",0,'ORDENES'!$M1039))</f>
        <v/>
      </c>
      <c r="L1061" s="3">
        <f>IF('ORDENES'!$A1039="","",IF('ORDENES'!$N1039="","-",'ORDENES'!$N1039))</f>
        <v/>
      </c>
      <c r="M1061" s="3">
        <f>IF('ORDENES'!$A1039="","",'ORDENES'!$AA1039)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IF('ORDENES'!$A1040="","",IF('ORDENES'!$AC1040="","-",'ORDENES'!$AC1040))</f>
        <v/>
      </c>
      <c r="D1062" s="3">
        <f>IF('ORDENES'!$A1040="","",IF('ORDENES'!$V1040="","-",'ORDENES'!$V1040))</f>
        <v/>
      </c>
      <c r="E1062" s="3">
        <f>IF('ORDENES'!$A1040="","",IF('ORDENES'!$U1040="","-",'ORDENES'!$U1040))</f>
        <v/>
      </c>
      <c r="F1062" s="3">
        <f>IF('ORDENES'!$A1040="","",IF('ORDENES'!$W1040="","-",'ORDENES'!$W1040))</f>
        <v/>
      </c>
      <c r="G1062" s="3">
        <f>IF('ORDENES'!$A1040="","",IF('ORDENES'!$AB1040="","-",'ORDENES'!$AB1040))</f>
        <v/>
      </c>
      <c r="H1062" s="3">
        <f>IF('ORDENES'!$A1040="","",IF('ORDENES'!$AN1040="","-",'ORDENES'!$AN1040))</f>
        <v/>
      </c>
      <c r="I1062" s="3">
        <f>IF('ORDENES'!$A1040="","",IF('ORDENES'!$D1040="","-",'ORDENES'!$D1040))</f>
        <v/>
      </c>
      <c r="J1062" s="3">
        <f>IF('ORDENES'!$A1040="","",IF('ORDENES'!$E1040="","-",'ORDENES'!$E1040))</f>
        <v/>
      </c>
      <c r="K1062" s="12">
        <f>IF('ORDENES'!$A1040="","",IF('ORDENES'!$M1040="",0,'ORDENES'!$M1040))</f>
        <v/>
      </c>
      <c r="L1062" s="3">
        <f>IF('ORDENES'!$A1040="","",IF('ORDENES'!$N1040="","-",'ORDENES'!$N1040))</f>
        <v/>
      </c>
      <c r="M1062" s="3">
        <f>IF('ORDENES'!$A1040="","",'ORDENES'!$AA1040)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IF('ORDENES'!$A1041="","",IF('ORDENES'!$AC1041="","-",'ORDENES'!$AC1041))</f>
        <v/>
      </c>
      <c r="D1063" s="3">
        <f>IF('ORDENES'!$A1041="","",IF('ORDENES'!$V1041="","-",'ORDENES'!$V1041))</f>
        <v/>
      </c>
      <c r="E1063" s="3">
        <f>IF('ORDENES'!$A1041="","",IF('ORDENES'!$U1041="","-",'ORDENES'!$U1041))</f>
        <v/>
      </c>
      <c r="F1063" s="3">
        <f>IF('ORDENES'!$A1041="","",IF('ORDENES'!$W1041="","-",'ORDENES'!$W1041))</f>
        <v/>
      </c>
      <c r="G1063" s="3">
        <f>IF('ORDENES'!$A1041="","",IF('ORDENES'!$AB1041="","-",'ORDENES'!$AB1041))</f>
        <v/>
      </c>
      <c r="H1063" s="3">
        <f>IF('ORDENES'!$A1041="","",IF('ORDENES'!$AN1041="","-",'ORDENES'!$AN1041))</f>
        <v/>
      </c>
      <c r="I1063" s="3">
        <f>IF('ORDENES'!$A1041="","",IF('ORDENES'!$D1041="","-",'ORDENES'!$D1041))</f>
        <v/>
      </c>
      <c r="J1063" s="3">
        <f>IF('ORDENES'!$A1041="","",IF('ORDENES'!$E1041="","-",'ORDENES'!$E1041))</f>
        <v/>
      </c>
      <c r="K1063" s="12">
        <f>IF('ORDENES'!$A1041="","",IF('ORDENES'!$M1041="",0,'ORDENES'!$M1041))</f>
        <v/>
      </c>
      <c r="L1063" s="3">
        <f>IF('ORDENES'!$A1041="","",IF('ORDENES'!$N1041="","-",'ORDENES'!$N1041))</f>
        <v/>
      </c>
      <c r="M1063" s="3">
        <f>IF('ORDENES'!$A1041="","",'ORDENES'!$AA1041)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IF('ORDENES'!$A1042="","",IF('ORDENES'!$AC1042="","-",'ORDENES'!$AC1042))</f>
        <v/>
      </c>
      <c r="D1064" s="3">
        <f>IF('ORDENES'!$A1042="","",IF('ORDENES'!$V1042="","-",'ORDENES'!$V1042))</f>
        <v/>
      </c>
      <c r="E1064" s="3">
        <f>IF('ORDENES'!$A1042="","",IF('ORDENES'!$U1042="","-",'ORDENES'!$U1042))</f>
        <v/>
      </c>
      <c r="F1064" s="3">
        <f>IF('ORDENES'!$A1042="","",IF('ORDENES'!$W1042="","-",'ORDENES'!$W1042))</f>
        <v/>
      </c>
      <c r="G1064" s="3">
        <f>IF('ORDENES'!$A1042="","",IF('ORDENES'!$AB1042="","-",'ORDENES'!$AB1042))</f>
        <v/>
      </c>
      <c r="H1064" s="3">
        <f>IF('ORDENES'!$A1042="","",IF('ORDENES'!$AN1042="","-",'ORDENES'!$AN1042))</f>
        <v/>
      </c>
      <c r="I1064" s="3">
        <f>IF('ORDENES'!$A1042="","",IF('ORDENES'!$D1042="","-",'ORDENES'!$D1042))</f>
        <v/>
      </c>
      <c r="J1064" s="3">
        <f>IF('ORDENES'!$A1042="","",IF('ORDENES'!$E1042="","-",'ORDENES'!$E1042))</f>
        <v/>
      </c>
      <c r="K1064" s="12">
        <f>IF('ORDENES'!$A1042="","",IF('ORDENES'!$M1042="",0,'ORDENES'!$M1042))</f>
        <v/>
      </c>
      <c r="L1064" s="3">
        <f>IF('ORDENES'!$A1042="","",IF('ORDENES'!$N1042="","-",'ORDENES'!$N1042))</f>
        <v/>
      </c>
      <c r="M1064" s="3">
        <f>IF('ORDENES'!$A1042="","",'ORDENES'!$AA1042)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IF('ORDENES'!$A1043="","",IF('ORDENES'!$AC1043="","-",'ORDENES'!$AC1043))</f>
        <v/>
      </c>
      <c r="D1065" s="3">
        <f>IF('ORDENES'!$A1043="","",IF('ORDENES'!$V1043="","-",'ORDENES'!$V1043))</f>
        <v/>
      </c>
      <c r="E1065" s="3">
        <f>IF('ORDENES'!$A1043="","",IF('ORDENES'!$U1043="","-",'ORDENES'!$U1043))</f>
        <v/>
      </c>
      <c r="F1065" s="3">
        <f>IF('ORDENES'!$A1043="","",IF('ORDENES'!$W1043="","-",'ORDENES'!$W1043))</f>
        <v/>
      </c>
      <c r="G1065" s="3">
        <f>IF('ORDENES'!$A1043="","",IF('ORDENES'!$AB1043="","-",'ORDENES'!$AB1043))</f>
        <v/>
      </c>
      <c r="H1065" s="3">
        <f>IF('ORDENES'!$A1043="","",IF('ORDENES'!$AN1043="","-",'ORDENES'!$AN1043))</f>
        <v/>
      </c>
      <c r="I1065" s="3">
        <f>IF('ORDENES'!$A1043="","",IF('ORDENES'!$D1043="","-",'ORDENES'!$D1043))</f>
        <v/>
      </c>
      <c r="J1065" s="3">
        <f>IF('ORDENES'!$A1043="","",IF('ORDENES'!$E1043="","-",'ORDENES'!$E1043))</f>
        <v/>
      </c>
      <c r="K1065" s="12">
        <f>IF('ORDENES'!$A1043="","",IF('ORDENES'!$M1043="",0,'ORDENES'!$M1043))</f>
        <v/>
      </c>
      <c r="L1065" s="3">
        <f>IF('ORDENES'!$A1043="","",IF('ORDENES'!$N1043="","-",'ORDENES'!$N1043))</f>
        <v/>
      </c>
      <c r="M1065" s="3">
        <f>IF('ORDENES'!$A1043="","",'ORDENES'!$AA1043)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IF('ORDENES'!$A1044="","",IF('ORDENES'!$AC1044="","-",'ORDENES'!$AC1044))</f>
        <v/>
      </c>
      <c r="D1066" s="3">
        <f>IF('ORDENES'!$A1044="","",IF('ORDENES'!$V1044="","-",'ORDENES'!$V1044))</f>
        <v/>
      </c>
      <c r="E1066" s="3">
        <f>IF('ORDENES'!$A1044="","",IF('ORDENES'!$U1044="","-",'ORDENES'!$U1044))</f>
        <v/>
      </c>
      <c r="F1066" s="3">
        <f>IF('ORDENES'!$A1044="","",IF('ORDENES'!$W1044="","-",'ORDENES'!$W1044))</f>
        <v/>
      </c>
      <c r="G1066" s="3">
        <f>IF('ORDENES'!$A1044="","",IF('ORDENES'!$AB1044="","-",'ORDENES'!$AB1044))</f>
        <v/>
      </c>
      <c r="H1066" s="3">
        <f>IF('ORDENES'!$A1044="","",IF('ORDENES'!$AN1044="","-",'ORDENES'!$AN1044))</f>
        <v/>
      </c>
      <c r="I1066" s="3">
        <f>IF('ORDENES'!$A1044="","",IF('ORDENES'!$D1044="","-",'ORDENES'!$D1044))</f>
        <v/>
      </c>
      <c r="J1066" s="3">
        <f>IF('ORDENES'!$A1044="","",IF('ORDENES'!$E1044="","-",'ORDENES'!$E1044))</f>
        <v/>
      </c>
      <c r="K1066" s="12">
        <f>IF('ORDENES'!$A1044="","",IF('ORDENES'!$M1044="",0,'ORDENES'!$M1044))</f>
        <v/>
      </c>
      <c r="L1066" s="3">
        <f>IF('ORDENES'!$A1044="","",IF('ORDENES'!$N1044="","-",'ORDENES'!$N1044))</f>
        <v/>
      </c>
      <c r="M1066" s="3">
        <f>IF('ORDENES'!$A1044="","",'ORDENES'!$AA1044)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IF('ORDENES'!$A1045="","",IF('ORDENES'!$AC1045="","-",'ORDENES'!$AC1045))</f>
        <v/>
      </c>
      <c r="D1067" s="3">
        <f>IF('ORDENES'!$A1045="","",IF('ORDENES'!$V1045="","-",'ORDENES'!$V1045))</f>
        <v/>
      </c>
      <c r="E1067" s="3">
        <f>IF('ORDENES'!$A1045="","",IF('ORDENES'!$U1045="","-",'ORDENES'!$U1045))</f>
        <v/>
      </c>
      <c r="F1067" s="3">
        <f>IF('ORDENES'!$A1045="","",IF('ORDENES'!$W1045="","-",'ORDENES'!$W1045))</f>
        <v/>
      </c>
      <c r="G1067" s="3">
        <f>IF('ORDENES'!$A1045="","",IF('ORDENES'!$AB1045="","-",'ORDENES'!$AB1045))</f>
        <v/>
      </c>
      <c r="H1067" s="3">
        <f>IF('ORDENES'!$A1045="","",IF('ORDENES'!$AN1045="","-",'ORDENES'!$AN1045))</f>
        <v/>
      </c>
      <c r="I1067" s="3">
        <f>IF('ORDENES'!$A1045="","",IF('ORDENES'!$D1045="","-",'ORDENES'!$D1045))</f>
        <v/>
      </c>
      <c r="J1067" s="3">
        <f>IF('ORDENES'!$A1045="","",IF('ORDENES'!$E1045="","-",'ORDENES'!$E1045))</f>
        <v/>
      </c>
      <c r="K1067" s="12">
        <f>IF('ORDENES'!$A1045="","",IF('ORDENES'!$M1045="",0,'ORDENES'!$M1045))</f>
        <v/>
      </c>
      <c r="L1067" s="3">
        <f>IF('ORDENES'!$A1045="","",IF('ORDENES'!$N1045="","-",'ORDENES'!$N1045))</f>
        <v/>
      </c>
      <c r="M1067" s="3">
        <f>IF('ORDENES'!$A1045="","",'ORDENES'!$AA1045)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IF('ORDENES'!$A1046="","",IF('ORDENES'!$AC1046="","-",'ORDENES'!$AC1046))</f>
        <v/>
      </c>
      <c r="D1068" s="3">
        <f>IF('ORDENES'!$A1046="","",IF('ORDENES'!$V1046="","-",'ORDENES'!$V1046))</f>
        <v/>
      </c>
      <c r="E1068" s="3">
        <f>IF('ORDENES'!$A1046="","",IF('ORDENES'!$U1046="","-",'ORDENES'!$U1046))</f>
        <v/>
      </c>
      <c r="F1068" s="3">
        <f>IF('ORDENES'!$A1046="","",IF('ORDENES'!$W1046="","-",'ORDENES'!$W1046))</f>
        <v/>
      </c>
      <c r="G1068" s="3">
        <f>IF('ORDENES'!$A1046="","",IF('ORDENES'!$AB1046="","-",'ORDENES'!$AB1046))</f>
        <v/>
      </c>
      <c r="H1068" s="3">
        <f>IF('ORDENES'!$A1046="","",IF('ORDENES'!$AN1046="","-",'ORDENES'!$AN1046))</f>
        <v/>
      </c>
      <c r="I1068" s="3">
        <f>IF('ORDENES'!$A1046="","",IF('ORDENES'!$D1046="","-",'ORDENES'!$D1046))</f>
        <v/>
      </c>
      <c r="J1068" s="3">
        <f>IF('ORDENES'!$A1046="","",IF('ORDENES'!$E1046="","-",'ORDENES'!$E1046))</f>
        <v/>
      </c>
      <c r="K1068" s="12">
        <f>IF('ORDENES'!$A1046="","",IF('ORDENES'!$M1046="",0,'ORDENES'!$M1046))</f>
        <v/>
      </c>
      <c r="L1068" s="3">
        <f>IF('ORDENES'!$A1046="","",IF('ORDENES'!$N1046="","-",'ORDENES'!$N1046))</f>
        <v/>
      </c>
      <c r="M1068" s="3">
        <f>IF('ORDENES'!$A1046="","",'ORDENES'!$AA1046)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IF('ORDENES'!$A1047="","",IF('ORDENES'!$AC1047="","-",'ORDENES'!$AC1047))</f>
        <v/>
      </c>
      <c r="D1069" s="3">
        <f>IF('ORDENES'!$A1047="","",IF('ORDENES'!$V1047="","-",'ORDENES'!$V1047))</f>
        <v/>
      </c>
      <c r="E1069" s="3">
        <f>IF('ORDENES'!$A1047="","",IF('ORDENES'!$U1047="","-",'ORDENES'!$U1047))</f>
        <v/>
      </c>
      <c r="F1069" s="3">
        <f>IF('ORDENES'!$A1047="","",IF('ORDENES'!$W1047="","-",'ORDENES'!$W1047))</f>
        <v/>
      </c>
      <c r="G1069" s="3">
        <f>IF('ORDENES'!$A1047="","",IF('ORDENES'!$AB1047="","-",'ORDENES'!$AB1047))</f>
        <v/>
      </c>
      <c r="H1069" s="3">
        <f>IF('ORDENES'!$A1047="","",IF('ORDENES'!$AN1047="","-",'ORDENES'!$AN1047))</f>
        <v/>
      </c>
      <c r="I1069" s="3">
        <f>IF('ORDENES'!$A1047="","",IF('ORDENES'!$D1047="","-",'ORDENES'!$D1047))</f>
        <v/>
      </c>
      <c r="J1069" s="3">
        <f>IF('ORDENES'!$A1047="","",IF('ORDENES'!$E1047="","-",'ORDENES'!$E1047))</f>
        <v/>
      </c>
      <c r="K1069" s="12">
        <f>IF('ORDENES'!$A1047="","",IF('ORDENES'!$M1047="",0,'ORDENES'!$M1047))</f>
        <v/>
      </c>
      <c r="L1069" s="3">
        <f>IF('ORDENES'!$A1047="","",IF('ORDENES'!$N1047="","-",'ORDENES'!$N1047))</f>
        <v/>
      </c>
      <c r="M1069" s="3">
        <f>IF('ORDENES'!$A1047="","",'ORDENES'!$AA1047)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IF('ORDENES'!$A1048="","",IF('ORDENES'!$AC1048="","-",'ORDENES'!$AC1048))</f>
        <v/>
      </c>
      <c r="D1070" s="3">
        <f>IF('ORDENES'!$A1048="","",IF('ORDENES'!$V1048="","-",'ORDENES'!$V1048))</f>
        <v/>
      </c>
      <c r="E1070" s="3">
        <f>IF('ORDENES'!$A1048="","",IF('ORDENES'!$U1048="","-",'ORDENES'!$U1048))</f>
        <v/>
      </c>
      <c r="F1070" s="3">
        <f>IF('ORDENES'!$A1048="","",IF('ORDENES'!$W1048="","-",'ORDENES'!$W1048))</f>
        <v/>
      </c>
      <c r="G1070" s="3">
        <f>IF('ORDENES'!$A1048="","",IF('ORDENES'!$AB1048="","-",'ORDENES'!$AB1048))</f>
        <v/>
      </c>
      <c r="H1070" s="3">
        <f>IF('ORDENES'!$A1048="","",IF('ORDENES'!$AN1048="","-",'ORDENES'!$AN1048))</f>
        <v/>
      </c>
      <c r="I1070" s="3">
        <f>IF('ORDENES'!$A1048="","",IF('ORDENES'!$D1048="","-",'ORDENES'!$D1048))</f>
        <v/>
      </c>
      <c r="J1070" s="3">
        <f>IF('ORDENES'!$A1048="","",IF('ORDENES'!$E1048="","-",'ORDENES'!$E1048))</f>
        <v/>
      </c>
      <c r="K1070" s="12">
        <f>IF('ORDENES'!$A1048="","",IF('ORDENES'!$M1048="",0,'ORDENES'!$M1048))</f>
        <v/>
      </c>
      <c r="L1070" s="3">
        <f>IF('ORDENES'!$A1048="","",IF('ORDENES'!$N1048="","-",'ORDENES'!$N1048))</f>
        <v/>
      </c>
      <c r="M1070" s="3">
        <f>IF('ORDENES'!$A1048="","",'ORDENES'!$AA1048)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IF('ORDENES'!$A1049="","",IF('ORDENES'!$AC1049="","-",'ORDENES'!$AC1049))</f>
        <v/>
      </c>
      <c r="D1071" s="3">
        <f>IF('ORDENES'!$A1049="","",IF('ORDENES'!$V1049="","-",'ORDENES'!$V1049))</f>
        <v/>
      </c>
      <c r="E1071" s="3">
        <f>IF('ORDENES'!$A1049="","",IF('ORDENES'!$U1049="","-",'ORDENES'!$U1049))</f>
        <v/>
      </c>
      <c r="F1071" s="3">
        <f>IF('ORDENES'!$A1049="","",IF('ORDENES'!$W1049="","-",'ORDENES'!$W1049))</f>
        <v/>
      </c>
      <c r="G1071" s="3">
        <f>IF('ORDENES'!$A1049="","",IF('ORDENES'!$AB1049="","-",'ORDENES'!$AB1049))</f>
        <v/>
      </c>
      <c r="H1071" s="3">
        <f>IF('ORDENES'!$A1049="","",IF('ORDENES'!$AN1049="","-",'ORDENES'!$AN1049))</f>
        <v/>
      </c>
      <c r="I1071" s="3">
        <f>IF('ORDENES'!$A1049="","",IF('ORDENES'!$D1049="","-",'ORDENES'!$D1049))</f>
        <v/>
      </c>
      <c r="J1071" s="3">
        <f>IF('ORDENES'!$A1049="","",IF('ORDENES'!$E1049="","-",'ORDENES'!$E1049))</f>
        <v/>
      </c>
      <c r="K1071" s="12">
        <f>IF('ORDENES'!$A1049="","",IF('ORDENES'!$M1049="",0,'ORDENES'!$M1049))</f>
        <v/>
      </c>
      <c r="L1071" s="3">
        <f>IF('ORDENES'!$A1049="","",IF('ORDENES'!$N1049="","-",'ORDENES'!$N1049))</f>
        <v/>
      </c>
      <c r="M1071" s="3">
        <f>IF('ORDENES'!$A1049="","",'ORDENES'!$AA1049)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IF('ORDENES'!$A1050="","",IF('ORDENES'!$AC1050="","-",'ORDENES'!$AC1050))</f>
        <v/>
      </c>
      <c r="D1072" s="3">
        <f>IF('ORDENES'!$A1050="","",IF('ORDENES'!$V1050="","-",'ORDENES'!$V1050))</f>
        <v/>
      </c>
      <c r="E1072" s="3">
        <f>IF('ORDENES'!$A1050="","",IF('ORDENES'!$U1050="","-",'ORDENES'!$U1050))</f>
        <v/>
      </c>
      <c r="F1072" s="3">
        <f>IF('ORDENES'!$A1050="","",IF('ORDENES'!$W1050="","-",'ORDENES'!$W1050))</f>
        <v/>
      </c>
      <c r="G1072" s="3">
        <f>IF('ORDENES'!$A1050="","",IF('ORDENES'!$AB1050="","-",'ORDENES'!$AB1050))</f>
        <v/>
      </c>
      <c r="H1072" s="3">
        <f>IF('ORDENES'!$A1050="","",IF('ORDENES'!$AN1050="","-",'ORDENES'!$AN1050))</f>
        <v/>
      </c>
      <c r="I1072" s="3">
        <f>IF('ORDENES'!$A1050="","",IF('ORDENES'!$D1050="","-",'ORDENES'!$D1050))</f>
        <v/>
      </c>
      <c r="J1072" s="3">
        <f>IF('ORDENES'!$A1050="","",IF('ORDENES'!$E1050="","-",'ORDENES'!$E1050))</f>
        <v/>
      </c>
      <c r="K1072" s="12">
        <f>IF('ORDENES'!$A1050="","",IF('ORDENES'!$M1050="",0,'ORDENES'!$M1050))</f>
        <v/>
      </c>
      <c r="L1072" s="3">
        <f>IF('ORDENES'!$A1050="","",IF('ORDENES'!$N1050="","-",'ORDENES'!$N1050))</f>
        <v/>
      </c>
      <c r="M1072" s="3">
        <f>IF('ORDENES'!$A1050="","",'ORDENES'!$AA1050)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IF('ORDENES'!$A1051="","",IF('ORDENES'!$AC1051="","-",'ORDENES'!$AC1051))</f>
        <v/>
      </c>
      <c r="D1073" s="3">
        <f>IF('ORDENES'!$A1051="","",IF('ORDENES'!$V1051="","-",'ORDENES'!$V1051))</f>
        <v/>
      </c>
      <c r="E1073" s="3">
        <f>IF('ORDENES'!$A1051="","",IF('ORDENES'!$U1051="","-",'ORDENES'!$U1051))</f>
        <v/>
      </c>
      <c r="F1073" s="3">
        <f>IF('ORDENES'!$A1051="","",IF('ORDENES'!$W1051="","-",'ORDENES'!$W1051))</f>
        <v/>
      </c>
      <c r="G1073" s="3">
        <f>IF('ORDENES'!$A1051="","",IF('ORDENES'!$AB1051="","-",'ORDENES'!$AB1051))</f>
        <v/>
      </c>
      <c r="H1073" s="3">
        <f>IF('ORDENES'!$A1051="","",IF('ORDENES'!$AN1051="","-",'ORDENES'!$AN1051))</f>
        <v/>
      </c>
      <c r="I1073" s="3">
        <f>IF('ORDENES'!$A1051="","",IF('ORDENES'!$D1051="","-",'ORDENES'!$D1051))</f>
        <v/>
      </c>
      <c r="J1073" s="3">
        <f>IF('ORDENES'!$A1051="","",IF('ORDENES'!$E1051="","-",'ORDENES'!$E1051))</f>
        <v/>
      </c>
      <c r="K1073" s="12">
        <f>IF('ORDENES'!$A1051="","",IF('ORDENES'!$M1051="",0,'ORDENES'!$M1051))</f>
        <v/>
      </c>
      <c r="L1073" s="3">
        <f>IF('ORDENES'!$A1051="","",IF('ORDENES'!$N1051="","-",'ORDENES'!$N1051))</f>
        <v/>
      </c>
      <c r="M1073" s="3">
        <f>IF('ORDENES'!$A1051="","",'ORDENES'!$AA1051)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IF('ORDENES'!$A1052="","",IF('ORDENES'!$AC1052="","-",'ORDENES'!$AC1052))</f>
        <v/>
      </c>
      <c r="D1074" s="3">
        <f>IF('ORDENES'!$A1052="","",IF('ORDENES'!$V1052="","-",'ORDENES'!$V1052))</f>
        <v/>
      </c>
      <c r="E1074" s="3">
        <f>IF('ORDENES'!$A1052="","",IF('ORDENES'!$U1052="","-",'ORDENES'!$U1052))</f>
        <v/>
      </c>
      <c r="F1074" s="3">
        <f>IF('ORDENES'!$A1052="","",IF('ORDENES'!$W1052="","-",'ORDENES'!$W1052))</f>
        <v/>
      </c>
      <c r="G1074" s="3">
        <f>IF('ORDENES'!$A1052="","",IF('ORDENES'!$AB1052="","-",'ORDENES'!$AB1052))</f>
        <v/>
      </c>
      <c r="H1074" s="3">
        <f>IF('ORDENES'!$A1052="","",IF('ORDENES'!$AN1052="","-",'ORDENES'!$AN1052))</f>
        <v/>
      </c>
      <c r="I1074" s="3">
        <f>IF('ORDENES'!$A1052="","",IF('ORDENES'!$D1052="","-",'ORDENES'!$D1052))</f>
        <v/>
      </c>
      <c r="J1074" s="3">
        <f>IF('ORDENES'!$A1052="","",IF('ORDENES'!$E1052="","-",'ORDENES'!$E1052))</f>
        <v/>
      </c>
      <c r="K1074" s="12">
        <f>IF('ORDENES'!$A1052="","",IF('ORDENES'!$M1052="",0,'ORDENES'!$M1052))</f>
        <v/>
      </c>
      <c r="L1074" s="3">
        <f>IF('ORDENES'!$A1052="","",IF('ORDENES'!$N1052="","-",'ORDENES'!$N1052))</f>
        <v/>
      </c>
      <c r="M1074" s="3">
        <f>IF('ORDENES'!$A1052="","",'ORDENES'!$AA1052)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IF('ORDENES'!$A1053="","",IF('ORDENES'!$AC1053="","-",'ORDENES'!$AC1053))</f>
        <v/>
      </c>
      <c r="D1075" s="3">
        <f>IF('ORDENES'!$A1053="","",IF('ORDENES'!$V1053="","-",'ORDENES'!$V1053))</f>
        <v/>
      </c>
      <c r="E1075" s="3">
        <f>IF('ORDENES'!$A1053="","",IF('ORDENES'!$U1053="","-",'ORDENES'!$U1053))</f>
        <v/>
      </c>
      <c r="F1075" s="3">
        <f>IF('ORDENES'!$A1053="","",IF('ORDENES'!$W1053="","-",'ORDENES'!$W1053))</f>
        <v/>
      </c>
      <c r="G1075" s="3">
        <f>IF('ORDENES'!$A1053="","",IF('ORDENES'!$AB1053="","-",'ORDENES'!$AB1053))</f>
        <v/>
      </c>
      <c r="H1075" s="3">
        <f>IF('ORDENES'!$A1053="","",IF('ORDENES'!$AN1053="","-",'ORDENES'!$AN1053))</f>
        <v/>
      </c>
      <c r="I1075" s="3">
        <f>IF('ORDENES'!$A1053="","",IF('ORDENES'!$D1053="","-",'ORDENES'!$D1053))</f>
        <v/>
      </c>
      <c r="J1075" s="3">
        <f>IF('ORDENES'!$A1053="","",IF('ORDENES'!$E1053="","-",'ORDENES'!$E1053))</f>
        <v/>
      </c>
      <c r="K1075" s="12">
        <f>IF('ORDENES'!$A1053="","",IF('ORDENES'!$M1053="",0,'ORDENES'!$M1053))</f>
        <v/>
      </c>
      <c r="L1075" s="3">
        <f>IF('ORDENES'!$A1053="","",IF('ORDENES'!$N1053="","-",'ORDENES'!$N1053))</f>
        <v/>
      </c>
      <c r="M1075" s="3">
        <f>IF('ORDENES'!$A1053="","",'ORDENES'!$AA1053)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IF('ORDENES'!$A1054="","",IF('ORDENES'!$AC1054="","-",'ORDENES'!$AC1054))</f>
        <v/>
      </c>
      <c r="D1076" s="3">
        <f>IF('ORDENES'!$A1054="","",IF('ORDENES'!$V1054="","-",'ORDENES'!$V1054))</f>
        <v/>
      </c>
      <c r="E1076" s="3">
        <f>IF('ORDENES'!$A1054="","",IF('ORDENES'!$U1054="","-",'ORDENES'!$U1054))</f>
        <v/>
      </c>
      <c r="F1076" s="3">
        <f>IF('ORDENES'!$A1054="","",IF('ORDENES'!$W1054="","-",'ORDENES'!$W1054))</f>
        <v/>
      </c>
      <c r="G1076" s="3">
        <f>IF('ORDENES'!$A1054="","",IF('ORDENES'!$AB1054="","-",'ORDENES'!$AB1054))</f>
        <v/>
      </c>
      <c r="H1076" s="3">
        <f>IF('ORDENES'!$A1054="","",IF('ORDENES'!$AN1054="","-",'ORDENES'!$AN1054))</f>
        <v/>
      </c>
      <c r="I1076" s="3">
        <f>IF('ORDENES'!$A1054="","",IF('ORDENES'!$D1054="","-",'ORDENES'!$D1054))</f>
        <v/>
      </c>
      <c r="J1076" s="3">
        <f>IF('ORDENES'!$A1054="","",IF('ORDENES'!$E1054="","-",'ORDENES'!$E1054))</f>
        <v/>
      </c>
      <c r="K1076" s="12">
        <f>IF('ORDENES'!$A1054="","",IF('ORDENES'!$M1054="",0,'ORDENES'!$M1054))</f>
        <v/>
      </c>
      <c r="L1076" s="3">
        <f>IF('ORDENES'!$A1054="","",IF('ORDENES'!$N1054="","-",'ORDENES'!$N1054))</f>
        <v/>
      </c>
      <c r="M1076" s="3">
        <f>IF('ORDENES'!$A1054="","",'ORDENES'!$AA1054)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IF('ORDENES'!$A1055="","",IF('ORDENES'!$AC1055="","-",'ORDENES'!$AC1055))</f>
        <v/>
      </c>
      <c r="D1077" s="3">
        <f>IF('ORDENES'!$A1055="","",IF('ORDENES'!$V1055="","-",'ORDENES'!$V1055))</f>
        <v/>
      </c>
      <c r="E1077" s="3">
        <f>IF('ORDENES'!$A1055="","",IF('ORDENES'!$U1055="","-",'ORDENES'!$U1055))</f>
        <v/>
      </c>
      <c r="F1077" s="3">
        <f>IF('ORDENES'!$A1055="","",IF('ORDENES'!$W1055="","-",'ORDENES'!$W1055))</f>
        <v/>
      </c>
      <c r="G1077" s="3">
        <f>IF('ORDENES'!$A1055="","",IF('ORDENES'!$AB1055="","-",'ORDENES'!$AB1055))</f>
        <v/>
      </c>
      <c r="H1077" s="3">
        <f>IF('ORDENES'!$A1055="","",IF('ORDENES'!$AN1055="","-",'ORDENES'!$AN1055))</f>
        <v/>
      </c>
      <c r="I1077" s="3">
        <f>IF('ORDENES'!$A1055="","",IF('ORDENES'!$D1055="","-",'ORDENES'!$D1055))</f>
        <v/>
      </c>
      <c r="J1077" s="3">
        <f>IF('ORDENES'!$A1055="","",IF('ORDENES'!$E1055="","-",'ORDENES'!$E1055))</f>
        <v/>
      </c>
      <c r="K1077" s="12">
        <f>IF('ORDENES'!$A1055="","",IF('ORDENES'!$M1055="",0,'ORDENES'!$M1055))</f>
        <v/>
      </c>
      <c r="L1077" s="3">
        <f>IF('ORDENES'!$A1055="","",IF('ORDENES'!$N1055="","-",'ORDENES'!$N1055))</f>
        <v/>
      </c>
      <c r="M1077" s="3">
        <f>IF('ORDENES'!$A1055="","",'ORDENES'!$AA1055)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IF('ORDENES'!$A1056="","",IF('ORDENES'!$AC1056="","-",'ORDENES'!$AC1056))</f>
        <v/>
      </c>
      <c r="D1078" s="3">
        <f>IF('ORDENES'!$A1056="","",IF('ORDENES'!$V1056="","-",'ORDENES'!$V1056))</f>
        <v/>
      </c>
      <c r="E1078" s="3">
        <f>IF('ORDENES'!$A1056="","",IF('ORDENES'!$U1056="","-",'ORDENES'!$U1056))</f>
        <v/>
      </c>
      <c r="F1078" s="3">
        <f>IF('ORDENES'!$A1056="","",IF('ORDENES'!$W1056="","-",'ORDENES'!$W1056))</f>
        <v/>
      </c>
      <c r="G1078" s="3">
        <f>IF('ORDENES'!$A1056="","",IF('ORDENES'!$AB1056="","-",'ORDENES'!$AB1056))</f>
        <v/>
      </c>
      <c r="H1078" s="3">
        <f>IF('ORDENES'!$A1056="","",IF('ORDENES'!$AN1056="","-",'ORDENES'!$AN1056))</f>
        <v/>
      </c>
      <c r="I1078" s="3">
        <f>IF('ORDENES'!$A1056="","",IF('ORDENES'!$D1056="","-",'ORDENES'!$D1056))</f>
        <v/>
      </c>
      <c r="J1078" s="3">
        <f>IF('ORDENES'!$A1056="","",IF('ORDENES'!$E1056="","-",'ORDENES'!$E1056))</f>
        <v/>
      </c>
      <c r="K1078" s="12">
        <f>IF('ORDENES'!$A1056="","",IF('ORDENES'!$M1056="",0,'ORDENES'!$M1056))</f>
        <v/>
      </c>
      <c r="L1078" s="3">
        <f>IF('ORDENES'!$A1056="","",IF('ORDENES'!$N1056="","-",'ORDENES'!$N1056))</f>
        <v/>
      </c>
      <c r="M1078" s="3">
        <f>IF('ORDENES'!$A1056="","",'ORDENES'!$AA1056)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IF('ORDENES'!$A1057="","",IF('ORDENES'!$AC1057="","-",'ORDENES'!$AC1057))</f>
        <v/>
      </c>
      <c r="D1079" s="3">
        <f>IF('ORDENES'!$A1057="","",IF('ORDENES'!$V1057="","-",'ORDENES'!$V1057))</f>
        <v/>
      </c>
      <c r="E1079" s="3">
        <f>IF('ORDENES'!$A1057="","",IF('ORDENES'!$U1057="","-",'ORDENES'!$U1057))</f>
        <v/>
      </c>
      <c r="F1079" s="3">
        <f>IF('ORDENES'!$A1057="","",IF('ORDENES'!$W1057="","-",'ORDENES'!$W1057))</f>
        <v/>
      </c>
      <c r="G1079" s="3">
        <f>IF('ORDENES'!$A1057="","",IF('ORDENES'!$AB1057="","-",'ORDENES'!$AB1057))</f>
        <v/>
      </c>
      <c r="H1079" s="3">
        <f>IF('ORDENES'!$A1057="","",IF('ORDENES'!$AN1057="","-",'ORDENES'!$AN1057))</f>
        <v/>
      </c>
      <c r="I1079" s="3">
        <f>IF('ORDENES'!$A1057="","",IF('ORDENES'!$D1057="","-",'ORDENES'!$D1057))</f>
        <v/>
      </c>
      <c r="J1079" s="3">
        <f>IF('ORDENES'!$A1057="","",IF('ORDENES'!$E1057="","-",'ORDENES'!$E1057))</f>
        <v/>
      </c>
      <c r="K1079" s="12">
        <f>IF('ORDENES'!$A1057="","",IF('ORDENES'!$M1057="",0,'ORDENES'!$M1057))</f>
        <v/>
      </c>
      <c r="L1079" s="3">
        <f>IF('ORDENES'!$A1057="","",IF('ORDENES'!$N1057="","-",'ORDENES'!$N1057))</f>
        <v/>
      </c>
      <c r="M1079" s="3">
        <f>IF('ORDENES'!$A1057="","",'ORDENES'!$AA1057)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IF('ORDENES'!$A1058="","",IF('ORDENES'!$AC1058="","-",'ORDENES'!$AC1058))</f>
        <v/>
      </c>
      <c r="D1080" s="3">
        <f>IF('ORDENES'!$A1058="","",IF('ORDENES'!$V1058="","-",'ORDENES'!$V1058))</f>
        <v/>
      </c>
      <c r="E1080" s="3">
        <f>IF('ORDENES'!$A1058="","",IF('ORDENES'!$U1058="","-",'ORDENES'!$U1058))</f>
        <v/>
      </c>
      <c r="F1080" s="3">
        <f>IF('ORDENES'!$A1058="","",IF('ORDENES'!$W1058="","-",'ORDENES'!$W1058))</f>
        <v/>
      </c>
      <c r="G1080" s="3">
        <f>IF('ORDENES'!$A1058="","",IF('ORDENES'!$AB1058="","-",'ORDENES'!$AB1058))</f>
        <v/>
      </c>
      <c r="H1080" s="3">
        <f>IF('ORDENES'!$A1058="","",IF('ORDENES'!$AN1058="","-",'ORDENES'!$AN1058))</f>
        <v/>
      </c>
      <c r="I1080" s="3">
        <f>IF('ORDENES'!$A1058="","",IF('ORDENES'!$D1058="","-",'ORDENES'!$D1058))</f>
        <v/>
      </c>
      <c r="J1080" s="3">
        <f>IF('ORDENES'!$A1058="","",IF('ORDENES'!$E1058="","-",'ORDENES'!$E1058))</f>
        <v/>
      </c>
      <c r="K1080" s="12">
        <f>IF('ORDENES'!$A1058="","",IF('ORDENES'!$M1058="",0,'ORDENES'!$M1058))</f>
        <v/>
      </c>
      <c r="L1080" s="3">
        <f>IF('ORDENES'!$A1058="","",IF('ORDENES'!$N1058="","-",'ORDENES'!$N1058))</f>
        <v/>
      </c>
      <c r="M1080" s="3">
        <f>IF('ORDENES'!$A1058="","",'ORDENES'!$AA1058)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IF('ORDENES'!$A1059="","",IF('ORDENES'!$AC1059="","-",'ORDENES'!$AC1059))</f>
        <v/>
      </c>
      <c r="D1081" s="3">
        <f>IF('ORDENES'!$A1059="","",IF('ORDENES'!$V1059="","-",'ORDENES'!$V1059))</f>
        <v/>
      </c>
      <c r="E1081" s="3">
        <f>IF('ORDENES'!$A1059="","",IF('ORDENES'!$U1059="","-",'ORDENES'!$U1059))</f>
        <v/>
      </c>
      <c r="F1081" s="3">
        <f>IF('ORDENES'!$A1059="","",IF('ORDENES'!$W1059="","-",'ORDENES'!$W1059))</f>
        <v/>
      </c>
      <c r="G1081" s="3">
        <f>IF('ORDENES'!$A1059="","",IF('ORDENES'!$AB1059="","-",'ORDENES'!$AB1059))</f>
        <v/>
      </c>
      <c r="H1081" s="3">
        <f>IF('ORDENES'!$A1059="","",IF('ORDENES'!$AN1059="","-",'ORDENES'!$AN1059))</f>
        <v/>
      </c>
      <c r="I1081" s="3">
        <f>IF('ORDENES'!$A1059="","",IF('ORDENES'!$D1059="","-",'ORDENES'!$D1059))</f>
        <v/>
      </c>
      <c r="J1081" s="3">
        <f>IF('ORDENES'!$A1059="","",IF('ORDENES'!$E1059="","-",'ORDENES'!$E1059))</f>
        <v/>
      </c>
      <c r="K1081" s="12">
        <f>IF('ORDENES'!$A1059="","",IF('ORDENES'!$M1059="",0,'ORDENES'!$M1059))</f>
        <v/>
      </c>
      <c r="L1081" s="3">
        <f>IF('ORDENES'!$A1059="","",IF('ORDENES'!$N1059="","-",'ORDENES'!$N1059))</f>
        <v/>
      </c>
      <c r="M1081" s="3">
        <f>IF('ORDENES'!$A1059="","",'ORDENES'!$AA1059)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IF('ORDENES'!$A1060="","",IF('ORDENES'!$AC1060="","-",'ORDENES'!$AC1060))</f>
        <v/>
      </c>
      <c r="D1082" s="3">
        <f>IF('ORDENES'!$A1060="","",IF('ORDENES'!$V1060="","-",'ORDENES'!$V1060))</f>
        <v/>
      </c>
      <c r="E1082" s="3">
        <f>IF('ORDENES'!$A1060="","",IF('ORDENES'!$U1060="","-",'ORDENES'!$U1060))</f>
        <v/>
      </c>
      <c r="F1082" s="3">
        <f>IF('ORDENES'!$A1060="","",IF('ORDENES'!$W1060="","-",'ORDENES'!$W1060))</f>
        <v/>
      </c>
      <c r="G1082" s="3">
        <f>IF('ORDENES'!$A1060="","",IF('ORDENES'!$AB1060="","-",'ORDENES'!$AB1060))</f>
        <v/>
      </c>
      <c r="H1082" s="3">
        <f>IF('ORDENES'!$A1060="","",IF('ORDENES'!$AN1060="","-",'ORDENES'!$AN1060))</f>
        <v/>
      </c>
      <c r="I1082" s="3">
        <f>IF('ORDENES'!$A1060="","",IF('ORDENES'!$D1060="","-",'ORDENES'!$D1060))</f>
        <v/>
      </c>
      <c r="J1082" s="3">
        <f>IF('ORDENES'!$A1060="","",IF('ORDENES'!$E1060="","-",'ORDENES'!$E1060))</f>
        <v/>
      </c>
      <c r="K1082" s="12">
        <f>IF('ORDENES'!$A1060="","",IF('ORDENES'!$M1060="",0,'ORDENES'!$M1060))</f>
        <v/>
      </c>
      <c r="L1082" s="3">
        <f>IF('ORDENES'!$A1060="","",IF('ORDENES'!$N1060="","-",'ORDENES'!$N1060))</f>
        <v/>
      </c>
      <c r="M1082" s="3">
        <f>IF('ORDENES'!$A1060="","",'ORDENES'!$AA1060)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IF('ORDENES'!$A1061="","",IF('ORDENES'!$AC1061="","-",'ORDENES'!$AC1061))</f>
        <v/>
      </c>
      <c r="D1083" s="3">
        <f>IF('ORDENES'!$A1061="","",IF('ORDENES'!$V1061="","-",'ORDENES'!$V1061))</f>
        <v/>
      </c>
      <c r="E1083" s="3">
        <f>IF('ORDENES'!$A1061="","",IF('ORDENES'!$U1061="","-",'ORDENES'!$U1061))</f>
        <v/>
      </c>
      <c r="F1083" s="3">
        <f>IF('ORDENES'!$A1061="","",IF('ORDENES'!$W1061="","-",'ORDENES'!$W1061))</f>
        <v/>
      </c>
      <c r="G1083" s="3">
        <f>IF('ORDENES'!$A1061="","",IF('ORDENES'!$AB1061="","-",'ORDENES'!$AB1061))</f>
        <v/>
      </c>
      <c r="H1083" s="3">
        <f>IF('ORDENES'!$A1061="","",IF('ORDENES'!$AN1061="","-",'ORDENES'!$AN1061))</f>
        <v/>
      </c>
      <c r="I1083" s="3">
        <f>IF('ORDENES'!$A1061="","",IF('ORDENES'!$D1061="","-",'ORDENES'!$D1061))</f>
        <v/>
      </c>
      <c r="J1083" s="3">
        <f>IF('ORDENES'!$A1061="","",IF('ORDENES'!$E1061="","-",'ORDENES'!$E1061))</f>
        <v/>
      </c>
      <c r="K1083" s="12">
        <f>IF('ORDENES'!$A1061="","",IF('ORDENES'!$M1061="",0,'ORDENES'!$M1061))</f>
        <v/>
      </c>
      <c r="L1083" s="3">
        <f>IF('ORDENES'!$A1061="","",IF('ORDENES'!$N1061="","-",'ORDENES'!$N1061))</f>
        <v/>
      </c>
      <c r="M1083" s="3">
        <f>IF('ORDENES'!$A1061="","",'ORDENES'!$AA1061)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IF('ORDENES'!$A1062="","",IF('ORDENES'!$AC1062="","-",'ORDENES'!$AC1062))</f>
        <v/>
      </c>
      <c r="D1084" s="3">
        <f>IF('ORDENES'!$A1062="","",IF('ORDENES'!$V1062="","-",'ORDENES'!$V1062))</f>
        <v/>
      </c>
      <c r="E1084" s="3">
        <f>IF('ORDENES'!$A1062="","",IF('ORDENES'!$U1062="","-",'ORDENES'!$U1062))</f>
        <v/>
      </c>
      <c r="F1084" s="3">
        <f>IF('ORDENES'!$A1062="","",IF('ORDENES'!$W1062="","-",'ORDENES'!$W1062))</f>
        <v/>
      </c>
      <c r="G1084" s="3">
        <f>IF('ORDENES'!$A1062="","",IF('ORDENES'!$AB1062="","-",'ORDENES'!$AB1062))</f>
        <v/>
      </c>
      <c r="H1084" s="3">
        <f>IF('ORDENES'!$A1062="","",IF('ORDENES'!$AN1062="","-",'ORDENES'!$AN1062))</f>
        <v/>
      </c>
      <c r="I1084" s="3">
        <f>IF('ORDENES'!$A1062="","",IF('ORDENES'!$D1062="","-",'ORDENES'!$D1062))</f>
        <v/>
      </c>
      <c r="J1084" s="3">
        <f>IF('ORDENES'!$A1062="","",IF('ORDENES'!$E1062="","-",'ORDENES'!$E1062))</f>
        <v/>
      </c>
      <c r="K1084" s="12">
        <f>IF('ORDENES'!$A1062="","",IF('ORDENES'!$M1062="",0,'ORDENES'!$M1062))</f>
        <v/>
      </c>
      <c r="L1084" s="3">
        <f>IF('ORDENES'!$A1062="","",IF('ORDENES'!$N1062="","-",'ORDENES'!$N1062))</f>
        <v/>
      </c>
      <c r="M1084" s="3">
        <f>IF('ORDENES'!$A1062="","",'ORDENES'!$AA1062)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IF('ORDENES'!$A1063="","",IF('ORDENES'!$AC1063="","-",'ORDENES'!$AC1063))</f>
        <v/>
      </c>
      <c r="D1085" s="3">
        <f>IF('ORDENES'!$A1063="","",IF('ORDENES'!$V1063="","-",'ORDENES'!$V1063))</f>
        <v/>
      </c>
      <c r="E1085" s="3">
        <f>IF('ORDENES'!$A1063="","",IF('ORDENES'!$U1063="","-",'ORDENES'!$U1063))</f>
        <v/>
      </c>
      <c r="F1085" s="3">
        <f>IF('ORDENES'!$A1063="","",IF('ORDENES'!$W1063="","-",'ORDENES'!$W1063))</f>
        <v/>
      </c>
      <c r="G1085" s="3">
        <f>IF('ORDENES'!$A1063="","",IF('ORDENES'!$AB1063="","-",'ORDENES'!$AB1063))</f>
        <v/>
      </c>
      <c r="H1085" s="3">
        <f>IF('ORDENES'!$A1063="","",IF('ORDENES'!$AN1063="","-",'ORDENES'!$AN1063))</f>
        <v/>
      </c>
      <c r="I1085" s="3">
        <f>IF('ORDENES'!$A1063="","",IF('ORDENES'!$D1063="","-",'ORDENES'!$D1063))</f>
        <v/>
      </c>
      <c r="J1085" s="3">
        <f>IF('ORDENES'!$A1063="","",IF('ORDENES'!$E1063="","-",'ORDENES'!$E1063))</f>
        <v/>
      </c>
      <c r="K1085" s="12">
        <f>IF('ORDENES'!$A1063="","",IF('ORDENES'!$M1063="",0,'ORDENES'!$M1063))</f>
        <v/>
      </c>
      <c r="L1085" s="3">
        <f>IF('ORDENES'!$A1063="","",IF('ORDENES'!$N1063="","-",'ORDENES'!$N1063))</f>
        <v/>
      </c>
      <c r="M1085" s="3">
        <f>IF('ORDENES'!$A1063="","",'ORDENES'!$AA1063)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IF('ORDENES'!$A1064="","",IF('ORDENES'!$AC1064="","-",'ORDENES'!$AC1064))</f>
        <v/>
      </c>
      <c r="D1086" s="3">
        <f>IF('ORDENES'!$A1064="","",IF('ORDENES'!$V1064="","-",'ORDENES'!$V1064))</f>
        <v/>
      </c>
      <c r="E1086" s="3">
        <f>IF('ORDENES'!$A1064="","",IF('ORDENES'!$U1064="","-",'ORDENES'!$U1064))</f>
        <v/>
      </c>
      <c r="F1086" s="3">
        <f>IF('ORDENES'!$A1064="","",IF('ORDENES'!$W1064="","-",'ORDENES'!$W1064))</f>
        <v/>
      </c>
      <c r="G1086" s="3">
        <f>IF('ORDENES'!$A1064="","",IF('ORDENES'!$AB1064="","-",'ORDENES'!$AB1064))</f>
        <v/>
      </c>
      <c r="H1086" s="3">
        <f>IF('ORDENES'!$A1064="","",IF('ORDENES'!$AN1064="","-",'ORDENES'!$AN1064))</f>
        <v/>
      </c>
      <c r="I1086" s="3">
        <f>IF('ORDENES'!$A1064="","",IF('ORDENES'!$D1064="","-",'ORDENES'!$D1064))</f>
        <v/>
      </c>
      <c r="J1086" s="3">
        <f>IF('ORDENES'!$A1064="","",IF('ORDENES'!$E1064="","-",'ORDENES'!$E1064))</f>
        <v/>
      </c>
      <c r="K1086" s="12">
        <f>IF('ORDENES'!$A1064="","",IF('ORDENES'!$M1064="",0,'ORDENES'!$M1064))</f>
        <v/>
      </c>
      <c r="L1086" s="3">
        <f>IF('ORDENES'!$A1064="","",IF('ORDENES'!$N1064="","-",'ORDENES'!$N1064))</f>
        <v/>
      </c>
      <c r="M1086" s="3">
        <f>IF('ORDENES'!$A1064="","",'ORDENES'!$AA1064)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IF('ORDENES'!$A1065="","",IF('ORDENES'!$AC1065="","-",'ORDENES'!$AC1065))</f>
        <v/>
      </c>
      <c r="D1087" s="3">
        <f>IF('ORDENES'!$A1065="","",IF('ORDENES'!$V1065="","-",'ORDENES'!$V1065))</f>
        <v/>
      </c>
      <c r="E1087" s="3">
        <f>IF('ORDENES'!$A1065="","",IF('ORDENES'!$U1065="","-",'ORDENES'!$U1065))</f>
        <v/>
      </c>
      <c r="F1087" s="3">
        <f>IF('ORDENES'!$A1065="","",IF('ORDENES'!$W1065="","-",'ORDENES'!$W1065))</f>
        <v/>
      </c>
      <c r="G1087" s="3">
        <f>IF('ORDENES'!$A1065="","",IF('ORDENES'!$AB1065="","-",'ORDENES'!$AB1065))</f>
        <v/>
      </c>
      <c r="H1087" s="3">
        <f>IF('ORDENES'!$A1065="","",IF('ORDENES'!$AN1065="","-",'ORDENES'!$AN1065))</f>
        <v/>
      </c>
      <c r="I1087" s="3">
        <f>IF('ORDENES'!$A1065="","",IF('ORDENES'!$D1065="","-",'ORDENES'!$D1065))</f>
        <v/>
      </c>
      <c r="J1087" s="3">
        <f>IF('ORDENES'!$A1065="","",IF('ORDENES'!$E1065="","-",'ORDENES'!$E1065))</f>
        <v/>
      </c>
      <c r="K1087" s="12">
        <f>IF('ORDENES'!$A1065="","",IF('ORDENES'!$M1065="",0,'ORDENES'!$M1065))</f>
        <v/>
      </c>
      <c r="L1087" s="3">
        <f>IF('ORDENES'!$A1065="","",IF('ORDENES'!$N1065="","-",'ORDENES'!$N1065))</f>
        <v/>
      </c>
      <c r="M1087" s="3">
        <f>IF('ORDENES'!$A1065="","",'ORDENES'!$AA1065)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IF('ORDENES'!$A1066="","",IF('ORDENES'!$AC1066="","-",'ORDENES'!$AC1066))</f>
        <v/>
      </c>
      <c r="D1088" s="3">
        <f>IF('ORDENES'!$A1066="","",IF('ORDENES'!$V1066="","-",'ORDENES'!$V1066))</f>
        <v/>
      </c>
      <c r="E1088" s="3">
        <f>IF('ORDENES'!$A1066="","",IF('ORDENES'!$U1066="","-",'ORDENES'!$U1066))</f>
        <v/>
      </c>
      <c r="F1088" s="3">
        <f>IF('ORDENES'!$A1066="","",IF('ORDENES'!$W1066="","-",'ORDENES'!$W1066))</f>
        <v/>
      </c>
      <c r="G1088" s="3">
        <f>IF('ORDENES'!$A1066="","",IF('ORDENES'!$AB1066="","-",'ORDENES'!$AB1066))</f>
        <v/>
      </c>
      <c r="H1088" s="3">
        <f>IF('ORDENES'!$A1066="","",IF('ORDENES'!$AN1066="","-",'ORDENES'!$AN1066))</f>
        <v/>
      </c>
      <c r="I1088" s="3">
        <f>IF('ORDENES'!$A1066="","",IF('ORDENES'!$D1066="","-",'ORDENES'!$D1066))</f>
        <v/>
      </c>
      <c r="J1088" s="3">
        <f>IF('ORDENES'!$A1066="","",IF('ORDENES'!$E1066="","-",'ORDENES'!$E1066))</f>
        <v/>
      </c>
      <c r="K1088" s="12">
        <f>IF('ORDENES'!$A1066="","",IF('ORDENES'!$M1066="",0,'ORDENES'!$M1066))</f>
        <v/>
      </c>
      <c r="L1088" s="3">
        <f>IF('ORDENES'!$A1066="","",IF('ORDENES'!$N1066="","-",'ORDENES'!$N1066))</f>
        <v/>
      </c>
      <c r="M1088" s="3">
        <f>IF('ORDENES'!$A1066="","",'ORDENES'!$AA1066)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IF('ORDENES'!$A1067="","",IF('ORDENES'!$AC1067="","-",'ORDENES'!$AC1067))</f>
        <v/>
      </c>
      <c r="D1089" s="3">
        <f>IF('ORDENES'!$A1067="","",IF('ORDENES'!$V1067="","-",'ORDENES'!$V1067))</f>
        <v/>
      </c>
      <c r="E1089" s="3">
        <f>IF('ORDENES'!$A1067="","",IF('ORDENES'!$U1067="","-",'ORDENES'!$U1067))</f>
        <v/>
      </c>
      <c r="F1089" s="3">
        <f>IF('ORDENES'!$A1067="","",IF('ORDENES'!$W1067="","-",'ORDENES'!$W1067))</f>
        <v/>
      </c>
      <c r="G1089" s="3">
        <f>IF('ORDENES'!$A1067="","",IF('ORDENES'!$AB1067="","-",'ORDENES'!$AB1067))</f>
        <v/>
      </c>
      <c r="H1089" s="3">
        <f>IF('ORDENES'!$A1067="","",IF('ORDENES'!$AN1067="","-",'ORDENES'!$AN1067))</f>
        <v/>
      </c>
      <c r="I1089" s="3">
        <f>IF('ORDENES'!$A1067="","",IF('ORDENES'!$D1067="","-",'ORDENES'!$D1067))</f>
        <v/>
      </c>
      <c r="J1089" s="3">
        <f>IF('ORDENES'!$A1067="","",IF('ORDENES'!$E1067="","-",'ORDENES'!$E1067))</f>
        <v/>
      </c>
      <c r="K1089" s="12">
        <f>IF('ORDENES'!$A1067="","",IF('ORDENES'!$M1067="",0,'ORDENES'!$M1067))</f>
        <v/>
      </c>
      <c r="L1089" s="3">
        <f>IF('ORDENES'!$A1067="","",IF('ORDENES'!$N1067="","-",'ORDENES'!$N1067))</f>
        <v/>
      </c>
      <c r="M1089" s="3">
        <f>IF('ORDENES'!$A1067="","",'ORDENES'!$AA1067)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IF('ORDENES'!$A1068="","",IF('ORDENES'!$AC1068="","-",'ORDENES'!$AC1068))</f>
        <v/>
      </c>
      <c r="D1090" s="3">
        <f>IF('ORDENES'!$A1068="","",IF('ORDENES'!$V1068="","-",'ORDENES'!$V1068))</f>
        <v/>
      </c>
      <c r="E1090" s="3">
        <f>IF('ORDENES'!$A1068="","",IF('ORDENES'!$U1068="","-",'ORDENES'!$U1068))</f>
        <v/>
      </c>
      <c r="F1090" s="3">
        <f>IF('ORDENES'!$A1068="","",IF('ORDENES'!$W1068="","-",'ORDENES'!$W1068))</f>
        <v/>
      </c>
      <c r="G1090" s="3">
        <f>IF('ORDENES'!$A1068="","",IF('ORDENES'!$AB1068="","-",'ORDENES'!$AB1068))</f>
        <v/>
      </c>
      <c r="H1090" s="3">
        <f>IF('ORDENES'!$A1068="","",IF('ORDENES'!$AN1068="","-",'ORDENES'!$AN1068))</f>
        <v/>
      </c>
      <c r="I1090" s="3">
        <f>IF('ORDENES'!$A1068="","",IF('ORDENES'!$D1068="","-",'ORDENES'!$D1068))</f>
        <v/>
      </c>
      <c r="J1090" s="3">
        <f>IF('ORDENES'!$A1068="","",IF('ORDENES'!$E1068="","-",'ORDENES'!$E1068))</f>
        <v/>
      </c>
      <c r="K1090" s="12">
        <f>IF('ORDENES'!$A1068="","",IF('ORDENES'!$M1068="",0,'ORDENES'!$M1068))</f>
        <v/>
      </c>
      <c r="L1090" s="3">
        <f>IF('ORDENES'!$A1068="","",IF('ORDENES'!$N1068="","-",'ORDENES'!$N1068))</f>
        <v/>
      </c>
      <c r="M1090" s="3">
        <f>IF('ORDENES'!$A1068="","",'ORDENES'!$AA1068)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IF('ORDENES'!$A1069="","",IF('ORDENES'!$AC1069="","-",'ORDENES'!$AC1069))</f>
        <v/>
      </c>
      <c r="D1091" s="3">
        <f>IF('ORDENES'!$A1069="","",IF('ORDENES'!$V1069="","-",'ORDENES'!$V1069))</f>
        <v/>
      </c>
      <c r="E1091" s="3">
        <f>IF('ORDENES'!$A1069="","",IF('ORDENES'!$U1069="","-",'ORDENES'!$U1069))</f>
        <v/>
      </c>
      <c r="F1091" s="3">
        <f>IF('ORDENES'!$A1069="","",IF('ORDENES'!$W1069="","-",'ORDENES'!$W1069))</f>
        <v/>
      </c>
      <c r="G1091" s="3">
        <f>IF('ORDENES'!$A1069="","",IF('ORDENES'!$AB1069="","-",'ORDENES'!$AB1069))</f>
        <v/>
      </c>
      <c r="H1091" s="3">
        <f>IF('ORDENES'!$A1069="","",IF('ORDENES'!$AN1069="","-",'ORDENES'!$AN1069))</f>
        <v/>
      </c>
      <c r="I1091" s="3">
        <f>IF('ORDENES'!$A1069="","",IF('ORDENES'!$D1069="","-",'ORDENES'!$D1069))</f>
        <v/>
      </c>
      <c r="J1091" s="3">
        <f>IF('ORDENES'!$A1069="","",IF('ORDENES'!$E1069="","-",'ORDENES'!$E1069))</f>
        <v/>
      </c>
      <c r="K1091" s="12">
        <f>IF('ORDENES'!$A1069="","",IF('ORDENES'!$M1069="",0,'ORDENES'!$M1069))</f>
        <v/>
      </c>
      <c r="L1091" s="3">
        <f>IF('ORDENES'!$A1069="","",IF('ORDENES'!$N1069="","-",'ORDENES'!$N1069))</f>
        <v/>
      </c>
      <c r="M1091" s="3">
        <f>IF('ORDENES'!$A1069="","",'ORDENES'!$AA1069)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IF('ORDENES'!$A1070="","",IF('ORDENES'!$AC1070="","-",'ORDENES'!$AC1070))</f>
        <v/>
      </c>
      <c r="D1092" s="3">
        <f>IF('ORDENES'!$A1070="","",IF('ORDENES'!$V1070="","-",'ORDENES'!$V1070))</f>
        <v/>
      </c>
      <c r="E1092" s="3">
        <f>IF('ORDENES'!$A1070="","",IF('ORDENES'!$U1070="","-",'ORDENES'!$U1070))</f>
        <v/>
      </c>
      <c r="F1092" s="3">
        <f>IF('ORDENES'!$A1070="","",IF('ORDENES'!$W1070="","-",'ORDENES'!$W1070))</f>
        <v/>
      </c>
      <c r="G1092" s="3">
        <f>IF('ORDENES'!$A1070="","",IF('ORDENES'!$AB1070="","-",'ORDENES'!$AB1070))</f>
        <v/>
      </c>
      <c r="H1092" s="3">
        <f>IF('ORDENES'!$A1070="","",IF('ORDENES'!$AN1070="","-",'ORDENES'!$AN1070))</f>
        <v/>
      </c>
      <c r="I1092" s="3">
        <f>IF('ORDENES'!$A1070="","",IF('ORDENES'!$D1070="","-",'ORDENES'!$D1070))</f>
        <v/>
      </c>
      <c r="J1092" s="3">
        <f>IF('ORDENES'!$A1070="","",IF('ORDENES'!$E1070="","-",'ORDENES'!$E1070))</f>
        <v/>
      </c>
      <c r="K1092" s="12">
        <f>IF('ORDENES'!$A1070="","",IF('ORDENES'!$M1070="",0,'ORDENES'!$M1070))</f>
        <v/>
      </c>
      <c r="L1092" s="3">
        <f>IF('ORDENES'!$A1070="","",IF('ORDENES'!$N1070="","-",'ORDENES'!$N1070))</f>
        <v/>
      </c>
      <c r="M1092" s="3">
        <f>IF('ORDENES'!$A1070="","",'ORDENES'!$AA1070)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IF('ORDENES'!$A1071="","",IF('ORDENES'!$AC1071="","-",'ORDENES'!$AC1071))</f>
        <v/>
      </c>
      <c r="D1093" s="3">
        <f>IF('ORDENES'!$A1071="","",IF('ORDENES'!$V1071="","-",'ORDENES'!$V1071))</f>
        <v/>
      </c>
      <c r="E1093" s="3">
        <f>IF('ORDENES'!$A1071="","",IF('ORDENES'!$U1071="","-",'ORDENES'!$U1071))</f>
        <v/>
      </c>
      <c r="F1093" s="3">
        <f>IF('ORDENES'!$A1071="","",IF('ORDENES'!$W1071="","-",'ORDENES'!$W1071))</f>
        <v/>
      </c>
      <c r="G1093" s="3">
        <f>IF('ORDENES'!$A1071="","",IF('ORDENES'!$AB1071="","-",'ORDENES'!$AB1071))</f>
        <v/>
      </c>
      <c r="H1093" s="3">
        <f>IF('ORDENES'!$A1071="","",IF('ORDENES'!$AN1071="","-",'ORDENES'!$AN1071))</f>
        <v/>
      </c>
      <c r="I1093" s="3">
        <f>IF('ORDENES'!$A1071="","",IF('ORDENES'!$D1071="","-",'ORDENES'!$D1071))</f>
        <v/>
      </c>
      <c r="J1093" s="3">
        <f>IF('ORDENES'!$A1071="","",IF('ORDENES'!$E1071="","-",'ORDENES'!$E1071))</f>
        <v/>
      </c>
      <c r="K1093" s="12">
        <f>IF('ORDENES'!$A1071="","",IF('ORDENES'!$M1071="",0,'ORDENES'!$M1071))</f>
        <v/>
      </c>
      <c r="L1093" s="3">
        <f>IF('ORDENES'!$A1071="","",IF('ORDENES'!$N1071="","-",'ORDENES'!$N1071))</f>
        <v/>
      </c>
      <c r="M1093" s="3">
        <f>IF('ORDENES'!$A1071="","",'ORDENES'!$AA1071)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IF('ORDENES'!$A1072="","",IF('ORDENES'!$AC1072="","-",'ORDENES'!$AC1072))</f>
        <v/>
      </c>
      <c r="D1094" s="3">
        <f>IF('ORDENES'!$A1072="","",IF('ORDENES'!$V1072="","-",'ORDENES'!$V1072))</f>
        <v/>
      </c>
      <c r="E1094" s="3">
        <f>IF('ORDENES'!$A1072="","",IF('ORDENES'!$U1072="","-",'ORDENES'!$U1072))</f>
        <v/>
      </c>
      <c r="F1094" s="3">
        <f>IF('ORDENES'!$A1072="","",IF('ORDENES'!$W1072="","-",'ORDENES'!$W1072))</f>
        <v/>
      </c>
      <c r="G1094" s="3">
        <f>IF('ORDENES'!$A1072="","",IF('ORDENES'!$AB1072="","-",'ORDENES'!$AB1072))</f>
        <v/>
      </c>
      <c r="H1094" s="3">
        <f>IF('ORDENES'!$A1072="","",IF('ORDENES'!$AN1072="","-",'ORDENES'!$AN1072))</f>
        <v/>
      </c>
      <c r="I1094" s="3">
        <f>IF('ORDENES'!$A1072="","",IF('ORDENES'!$D1072="","-",'ORDENES'!$D1072))</f>
        <v/>
      </c>
      <c r="J1094" s="3">
        <f>IF('ORDENES'!$A1072="","",IF('ORDENES'!$E1072="","-",'ORDENES'!$E1072))</f>
        <v/>
      </c>
      <c r="K1094" s="12">
        <f>IF('ORDENES'!$A1072="","",IF('ORDENES'!$M1072="",0,'ORDENES'!$M1072))</f>
        <v/>
      </c>
      <c r="L1094" s="3">
        <f>IF('ORDENES'!$A1072="","",IF('ORDENES'!$N1072="","-",'ORDENES'!$N1072))</f>
        <v/>
      </c>
      <c r="M1094" s="3">
        <f>IF('ORDENES'!$A1072="","",'ORDENES'!$AA1072)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IF('ORDENES'!$A1073="","",IF('ORDENES'!$AC1073="","-",'ORDENES'!$AC1073))</f>
        <v/>
      </c>
      <c r="D1095" s="3">
        <f>IF('ORDENES'!$A1073="","",IF('ORDENES'!$V1073="","-",'ORDENES'!$V1073))</f>
        <v/>
      </c>
      <c r="E1095" s="3">
        <f>IF('ORDENES'!$A1073="","",IF('ORDENES'!$U1073="","-",'ORDENES'!$U1073))</f>
        <v/>
      </c>
      <c r="F1095" s="3">
        <f>IF('ORDENES'!$A1073="","",IF('ORDENES'!$W1073="","-",'ORDENES'!$W1073))</f>
        <v/>
      </c>
      <c r="G1095" s="3">
        <f>IF('ORDENES'!$A1073="","",IF('ORDENES'!$AB1073="","-",'ORDENES'!$AB1073))</f>
        <v/>
      </c>
      <c r="H1095" s="3">
        <f>IF('ORDENES'!$A1073="","",IF('ORDENES'!$AN1073="","-",'ORDENES'!$AN1073))</f>
        <v/>
      </c>
      <c r="I1095" s="3">
        <f>IF('ORDENES'!$A1073="","",IF('ORDENES'!$D1073="","-",'ORDENES'!$D1073))</f>
        <v/>
      </c>
      <c r="J1095" s="3">
        <f>IF('ORDENES'!$A1073="","",IF('ORDENES'!$E1073="","-",'ORDENES'!$E1073))</f>
        <v/>
      </c>
      <c r="K1095" s="12">
        <f>IF('ORDENES'!$A1073="","",IF('ORDENES'!$M1073="",0,'ORDENES'!$M1073))</f>
        <v/>
      </c>
      <c r="L1095" s="3">
        <f>IF('ORDENES'!$A1073="","",IF('ORDENES'!$N1073="","-",'ORDENES'!$N1073))</f>
        <v/>
      </c>
      <c r="M1095" s="3">
        <f>IF('ORDENES'!$A1073="","",'ORDENES'!$AA1073)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IF('ORDENES'!$A1074="","",IF('ORDENES'!$AC1074="","-",'ORDENES'!$AC1074))</f>
        <v/>
      </c>
      <c r="D1096" s="3">
        <f>IF('ORDENES'!$A1074="","",IF('ORDENES'!$V1074="","-",'ORDENES'!$V1074))</f>
        <v/>
      </c>
      <c r="E1096" s="3">
        <f>IF('ORDENES'!$A1074="","",IF('ORDENES'!$U1074="","-",'ORDENES'!$U1074))</f>
        <v/>
      </c>
      <c r="F1096" s="3">
        <f>IF('ORDENES'!$A1074="","",IF('ORDENES'!$W1074="","-",'ORDENES'!$W1074))</f>
        <v/>
      </c>
      <c r="G1096" s="3">
        <f>IF('ORDENES'!$A1074="","",IF('ORDENES'!$AB1074="","-",'ORDENES'!$AB1074))</f>
        <v/>
      </c>
      <c r="H1096" s="3">
        <f>IF('ORDENES'!$A1074="","",IF('ORDENES'!$AN1074="","-",'ORDENES'!$AN1074))</f>
        <v/>
      </c>
      <c r="I1096" s="3">
        <f>IF('ORDENES'!$A1074="","",IF('ORDENES'!$D1074="","-",'ORDENES'!$D1074))</f>
        <v/>
      </c>
      <c r="J1096" s="3">
        <f>IF('ORDENES'!$A1074="","",IF('ORDENES'!$E1074="","-",'ORDENES'!$E1074))</f>
        <v/>
      </c>
      <c r="K1096" s="12">
        <f>IF('ORDENES'!$A1074="","",IF('ORDENES'!$M1074="",0,'ORDENES'!$M1074))</f>
        <v/>
      </c>
      <c r="L1096" s="3">
        <f>IF('ORDENES'!$A1074="","",IF('ORDENES'!$N1074="","-",'ORDENES'!$N1074))</f>
        <v/>
      </c>
      <c r="M1096" s="3">
        <f>IF('ORDENES'!$A1074="","",'ORDENES'!$AA1074)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IF('ORDENES'!$A1075="","",IF('ORDENES'!$AC1075="","-",'ORDENES'!$AC1075))</f>
        <v/>
      </c>
      <c r="D1097" s="3">
        <f>IF('ORDENES'!$A1075="","",IF('ORDENES'!$V1075="","-",'ORDENES'!$V1075))</f>
        <v/>
      </c>
      <c r="E1097" s="3">
        <f>IF('ORDENES'!$A1075="","",IF('ORDENES'!$U1075="","-",'ORDENES'!$U1075))</f>
        <v/>
      </c>
      <c r="F1097" s="3">
        <f>IF('ORDENES'!$A1075="","",IF('ORDENES'!$W1075="","-",'ORDENES'!$W1075))</f>
        <v/>
      </c>
      <c r="G1097" s="3">
        <f>IF('ORDENES'!$A1075="","",IF('ORDENES'!$AB1075="","-",'ORDENES'!$AB1075))</f>
        <v/>
      </c>
      <c r="H1097" s="3">
        <f>IF('ORDENES'!$A1075="","",IF('ORDENES'!$AN1075="","-",'ORDENES'!$AN1075))</f>
        <v/>
      </c>
      <c r="I1097" s="3">
        <f>IF('ORDENES'!$A1075="","",IF('ORDENES'!$D1075="","-",'ORDENES'!$D1075))</f>
        <v/>
      </c>
      <c r="J1097" s="3">
        <f>IF('ORDENES'!$A1075="","",IF('ORDENES'!$E1075="","-",'ORDENES'!$E1075))</f>
        <v/>
      </c>
      <c r="K1097" s="12">
        <f>IF('ORDENES'!$A1075="","",IF('ORDENES'!$M1075="",0,'ORDENES'!$M1075))</f>
        <v/>
      </c>
      <c r="L1097" s="3">
        <f>IF('ORDENES'!$A1075="","",IF('ORDENES'!$N1075="","-",'ORDENES'!$N1075))</f>
        <v/>
      </c>
      <c r="M1097" s="3">
        <f>IF('ORDENES'!$A1075="","",'ORDENES'!$AA1075)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IF('ORDENES'!$A1076="","",IF('ORDENES'!$AC1076="","-",'ORDENES'!$AC1076))</f>
        <v/>
      </c>
      <c r="D1098" s="3">
        <f>IF('ORDENES'!$A1076="","",IF('ORDENES'!$V1076="","-",'ORDENES'!$V1076))</f>
        <v/>
      </c>
      <c r="E1098" s="3">
        <f>IF('ORDENES'!$A1076="","",IF('ORDENES'!$U1076="","-",'ORDENES'!$U1076))</f>
        <v/>
      </c>
      <c r="F1098" s="3">
        <f>IF('ORDENES'!$A1076="","",IF('ORDENES'!$W1076="","-",'ORDENES'!$W1076))</f>
        <v/>
      </c>
      <c r="G1098" s="3">
        <f>IF('ORDENES'!$A1076="","",IF('ORDENES'!$AB1076="","-",'ORDENES'!$AB1076))</f>
        <v/>
      </c>
      <c r="H1098" s="3">
        <f>IF('ORDENES'!$A1076="","",IF('ORDENES'!$AN1076="","-",'ORDENES'!$AN1076))</f>
        <v/>
      </c>
      <c r="I1098" s="3">
        <f>IF('ORDENES'!$A1076="","",IF('ORDENES'!$D1076="","-",'ORDENES'!$D1076))</f>
        <v/>
      </c>
      <c r="J1098" s="3">
        <f>IF('ORDENES'!$A1076="","",IF('ORDENES'!$E1076="","-",'ORDENES'!$E1076))</f>
        <v/>
      </c>
      <c r="K1098" s="12">
        <f>IF('ORDENES'!$A1076="","",IF('ORDENES'!$M1076="",0,'ORDENES'!$M1076))</f>
        <v/>
      </c>
      <c r="L1098" s="3">
        <f>IF('ORDENES'!$A1076="","",IF('ORDENES'!$N1076="","-",'ORDENES'!$N1076))</f>
        <v/>
      </c>
      <c r="M1098" s="3">
        <f>IF('ORDENES'!$A1076="","",'ORDENES'!$AA1076)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IF('ORDENES'!$A1077="","",IF('ORDENES'!$AC1077="","-",'ORDENES'!$AC1077))</f>
        <v/>
      </c>
      <c r="D1099" s="3">
        <f>IF('ORDENES'!$A1077="","",IF('ORDENES'!$V1077="","-",'ORDENES'!$V1077))</f>
        <v/>
      </c>
      <c r="E1099" s="3">
        <f>IF('ORDENES'!$A1077="","",IF('ORDENES'!$U1077="","-",'ORDENES'!$U1077))</f>
        <v/>
      </c>
      <c r="F1099" s="3">
        <f>IF('ORDENES'!$A1077="","",IF('ORDENES'!$W1077="","-",'ORDENES'!$W1077))</f>
        <v/>
      </c>
      <c r="G1099" s="3">
        <f>IF('ORDENES'!$A1077="","",IF('ORDENES'!$AB1077="","-",'ORDENES'!$AB1077))</f>
        <v/>
      </c>
      <c r="H1099" s="3">
        <f>IF('ORDENES'!$A1077="","",IF('ORDENES'!$AN1077="","-",'ORDENES'!$AN1077))</f>
        <v/>
      </c>
      <c r="I1099" s="3">
        <f>IF('ORDENES'!$A1077="","",IF('ORDENES'!$D1077="","-",'ORDENES'!$D1077))</f>
        <v/>
      </c>
      <c r="J1099" s="3">
        <f>IF('ORDENES'!$A1077="","",IF('ORDENES'!$E1077="","-",'ORDENES'!$E1077))</f>
        <v/>
      </c>
      <c r="K1099" s="12">
        <f>IF('ORDENES'!$A1077="","",IF('ORDENES'!$M1077="",0,'ORDENES'!$M1077))</f>
        <v/>
      </c>
      <c r="L1099" s="3">
        <f>IF('ORDENES'!$A1077="","",IF('ORDENES'!$N1077="","-",'ORDENES'!$N1077))</f>
        <v/>
      </c>
      <c r="M1099" s="3">
        <f>IF('ORDENES'!$A1077="","",'ORDENES'!$AA1077)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IF('ORDENES'!$A1078="","",IF('ORDENES'!$AC1078="","-",'ORDENES'!$AC1078))</f>
        <v/>
      </c>
      <c r="D1100" s="3">
        <f>IF('ORDENES'!$A1078="","",IF('ORDENES'!$V1078="","-",'ORDENES'!$V1078))</f>
        <v/>
      </c>
      <c r="E1100" s="3">
        <f>IF('ORDENES'!$A1078="","",IF('ORDENES'!$U1078="","-",'ORDENES'!$U1078))</f>
        <v/>
      </c>
      <c r="F1100" s="3">
        <f>IF('ORDENES'!$A1078="","",IF('ORDENES'!$W1078="","-",'ORDENES'!$W1078))</f>
        <v/>
      </c>
      <c r="G1100" s="3">
        <f>IF('ORDENES'!$A1078="","",IF('ORDENES'!$AB1078="","-",'ORDENES'!$AB1078))</f>
        <v/>
      </c>
      <c r="H1100" s="3">
        <f>IF('ORDENES'!$A1078="","",IF('ORDENES'!$AN1078="","-",'ORDENES'!$AN1078))</f>
        <v/>
      </c>
      <c r="I1100" s="3">
        <f>IF('ORDENES'!$A1078="","",IF('ORDENES'!$D1078="","-",'ORDENES'!$D1078))</f>
        <v/>
      </c>
      <c r="J1100" s="3">
        <f>IF('ORDENES'!$A1078="","",IF('ORDENES'!$E1078="","-",'ORDENES'!$E1078))</f>
        <v/>
      </c>
      <c r="K1100" s="12">
        <f>IF('ORDENES'!$A1078="","",IF('ORDENES'!$M1078="",0,'ORDENES'!$M1078))</f>
        <v/>
      </c>
      <c r="L1100" s="3">
        <f>IF('ORDENES'!$A1078="","",IF('ORDENES'!$N1078="","-",'ORDENES'!$N1078))</f>
        <v/>
      </c>
      <c r="M1100" s="3">
        <f>IF('ORDENES'!$A1078="","",'ORDENES'!$AA1078)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IF('ORDENES'!$A1079="","",IF('ORDENES'!$AC1079="","-",'ORDENES'!$AC1079))</f>
        <v/>
      </c>
      <c r="D1101" s="3">
        <f>IF('ORDENES'!$A1079="","",IF('ORDENES'!$V1079="","-",'ORDENES'!$V1079))</f>
        <v/>
      </c>
      <c r="E1101" s="3">
        <f>IF('ORDENES'!$A1079="","",IF('ORDENES'!$U1079="","-",'ORDENES'!$U1079))</f>
        <v/>
      </c>
      <c r="F1101" s="3">
        <f>IF('ORDENES'!$A1079="","",IF('ORDENES'!$W1079="","-",'ORDENES'!$W1079))</f>
        <v/>
      </c>
      <c r="G1101" s="3">
        <f>IF('ORDENES'!$A1079="","",IF('ORDENES'!$AB1079="","-",'ORDENES'!$AB1079))</f>
        <v/>
      </c>
      <c r="H1101" s="3">
        <f>IF('ORDENES'!$A1079="","",IF('ORDENES'!$AN1079="","-",'ORDENES'!$AN1079))</f>
        <v/>
      </c>
      <c r="I1101" s="3">
        <f>IF('ORDENES'!$A1079="","",IF('ORDENES'!$D1079="","-",'ORDENES'!$D1079))</f>
        <v/>
      </c>
      <c r="J1101" s="3">
        <f>IF('ORDENES'!$A1079="","",IF('ORDENES'!$E1079="","-",'ORDENES'!$E1079))</f>
        <v/>
      </c>
      <c r="K1101" s="12">
        <f>IF('ORDENES'!$A1079="","",IF('ORDENES'!$M1079="",0,'ORDENES'!$M1079))</f>
        <v/>
      </c>
      <c r="L1101" s="3">
        <f>IF('ORDENES'!$A1079="","",IF('ORDENES'!$N1079="","-",'ORDENES'!$N1079))</f>
        <v/>
      </c>
      <c r="M1101" s="3">
        <f>IF('ORDENES'!$A1079="","",'ORDENES'!$AA1079)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IF('ORDENES'!$A1080="","",IF('ORDENES'!$AC1080="","-",'ORDENES'!$AC1080))</f>
        <v/>
      </c>
      <c r="D1102" s="3">
        <f>IF('ORDENES'!$A1080="","",IF('ORDENES'!$V1080="","-",'ORDENES'!$V1080))</f>
        <v/>
      </c>
      <c r="E1102" s="3">
        <f>IF('ORDENES'!$A1080="","",IF('ORDENES'!$U1080="","-",'ORDENES'!$U1080))</f>
        <v/>
      </c>
      <c r="F1102" s="3">
        <f>IF('ORDENES'!$A1080="","",IF('ORDENES'!$W1080="","-",'ORDENES'!$W1080))</f>
        <v/>
      </c>
      <c r="G1102" s="3">
        <f>IF('ORDENES'!$A1080="","",IF('ORDENES'!$AB1080="","-",'ORDENES'!$AB1080))</f>
        <v/>
      </c>
      <c r="H1102" s="3">
        <f>IF('ORDENES'!$A1080="","",IF('ORDENES'!$AN1080="","-",'ORDENES'!$AN1080))</f>
        <v/>
      </c>
      <c r="I1102" s="3">
        <f>IF('ORDENES'!$A1080="","",IF('ORDENES'!$D1080="","-",'ORDENES'!$D1080))</f>
        <v/>
      </c>
      <c r="J1102" s="3">
        <f>IF('ORDENES'!$A1080="","",IF('ORDENES'!$E1080="","-",'ORDENES'!$E1080))</f>
        <v/>
      </c>
      <c r="K1102" s="12">
        <f>IF('ORDENES'!$A1080="","",IF('ORDENES'!$M1080="",0,'ORDENES'!$M1080))</f>
        <v/>
      </c>
      <c r="L1102" s="3">
        <f>IF('ORDENES'!$A1080="","",IF('ORDENES'!$N1080="","-",'ORDENES'!$N1080))</f>
        <v/>
      </c>
      <c r="M1102" s="3">
        <f>IF('ORDENES'!$A1080="","",'ORDENES'!$AA1080)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IF('ORDENES'!$A1081="","",IF('ORDENES'!$AC1081="","-",'ORDENES'!$AC1081))</f>
        <v/>
      </c>
      <c r="D1103" s="3">
        <f>IF('ORDENES'!$A1081="","",IF('ORDENES'!$V1081="","-",'ORDENES'!$V1081))</f>
        <v/>
      </c>
      <c r="E1103" s="3">
        <f>IF('ORDENES'!$A1081="","",IF('ORDENES'!$U1081="","-",'ORDENES'!$U1081))</f>
        <v/>
      </c>
      <c r="F1103" s="3">
        <f>IF('ORDENES'!$A1081="","",IF('ORDENES'!$W1081="","-",'ORDENES'!$W1081))</f>
        <v/>
      </c>
      <c r="G1103" s="3">
        <f>IF('ORDENES'!$A1081="","",IF('ORDENES'!$AB1081="","-",'ORDENES'!$AB1081))</f>
        <v/>
      </c>
      <c r="H1103" s="3">
        <f>IF('ORDENES'!$A1081="","",IF('ORDENES'!$AN1081="","-",'ORDENES'!$AN1081))</f>
        <v/>
      </c>
      <c r="I1103" s="3">
        <f>IF('ORDENES'!$A1081="","",IF('ORDENES'!$D1081="","-",'ORDENES'!$D1081))</f>
        <v/>
      </c>
      <c r="J1103" s="3">
        <f>IF('ORDENES'!$A1081="","",IF('ORDENES'!$E1081="","-",'ORDENES'!$E1081))</f>
        <v/>
      </c>
      <c r="K1103" s="12">
        <f>IF('ORDENES'!$A1081="","",IF('ORDENES'!$M1081="",0,'ORDENES'!$M1081))</f>
        <v/>
      </c>
      <c r="L1103" s="3">
        <f>IF('ORDENES'!$A1081="","",IF('ORDENES'!$N1081="","-",'ORDENES'!$N1081))</f>
        <v/>
      </c>
      <c r="M1103" s="3">
        <f>IF('ORDENES'!$A1081="","",'ORDENES'!$AA1081)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IF('ORDENES'!$A1082="","",IF('ORDENES'!$AC1082="","-",'ORDENES'!$AC1082))</f>
        <v/>
      </c>
      <c r="D1104" s="3">
        <f>IF('ORDENES'!$A1082="","",IF('ORDENES'!$V1082="","-",'ORDENES'!$V1082))</f>
        <v/>
      </c>
      <c r="E1104" s="3">
        <f>IF('ORDENES'!$A1082="","",IF('ORDENES'!$U1082="","-",'ORDENES'!$U1082))</f>
        <v/>
      </c>
      <c r="F1104" s="3">
        <f>IF('ORDENES'!$A1082="","",IF('ORDENES'!$W1082="","-",'ORDENES'!$W1082))</f>
        <v/>
      </c>
      <c r="G1104" s="3">
        <f>IF('ORDENES'!$A1082="","",IF('ORDENES'!$AB1082="","-",'ORDENES'!$AB1082))</f>
        <v/>
      </c>
      <c r="H1104" s="3">
        <f>IF('ORDENES'!$A1082="","",IF('ORDENES'!$AN1082="","-",'ORDENES'!$AN1082))</f>
        <v/>
      </c>
      <c r="I1104" s="3">
        <f>IF('ORDENES'!$A1082="","",IF('ORDENES'!$D1082="","-",'ORDENES'!$D1082))</f>
        <v/>
      </c>
      <c r="J1104" s="3">
        <f>IF('ORDENES'!$A1082="","",IF('ORDENES'!$E1082="","-",'ORDENES'!$E1082))</f>
        <v/>
      </c>
      <c r="K1104" s="12">
        <f>IF('ORDENES'!$A1082="","",IF('ORDENES'!$M1082="",0,'ORDENES'!$M1082))</f>
        <v/>
      </c>
      <c r="L1104" s="3">
        <f>IF('ORDENES'!$A1082="","",IF('ORDENES'!$N1082="","-",'ORDENES'!$N1082))</f>
        <v/>
      </c>
      <c r="M1104" s="3">
        <f>IF('ORDENES'!$A1082="","",'ORDENES'!$AA1082)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IF('ORDENES'!$A1083="","",IF('ORDENES'!$AC1083="","-",'ORDENES'!$AC1083))</f>
        <v/>
      </c>
      <c r="D1105" s="3">
        <f>IF('ORDENES'!$A1083="","",IF('ORDENES'!$V1083="","-",'ORDENES'!$V1083))</f>
        <v/>
      </c>
      <c r="E1105" s="3">
        <f>IF('ORDENES'!$A1083="","",IF('ORDENES'!$U1083="","-",'ORDENES'!$U1083))</f>
        <v/>
      </c>
      <c r="F1105" s="3">
        <f>IF('ORDENES'!$A1083="","",IF('ORDENES'!$W1083="","-",'ORDENES'!$W1083))</f>
        <v/>
      </c>
      <c r="G1105" s="3">
        <f>IF('ORDENES'!$A1083="","",IF('ORDENES'!$AB1083="","-",'ORDENES'!$AB1083))</f>
        <v/>
      </c>
      <c r="H1105" s="3">
        <f>IF('ORDENES'!$A1083="","",IF('ORDENES'!$AN1083="","-",'ORDENES'!$AN1083))</f>
        <v/>
      </c>
      <c r="I1105" s="3">
        <f>IF('ORDENES'!$A1083="","",IF('ORDENES'!$D1083="","-",'ORDENES'!$D1083))</f>
        <v/>
      </c>
      <c r="J1105" s="3">
        <f>IF('ORDENES'!$A1083="","",IF('ORDENES'!$E1083="","-",'ORDENES'!$E1083))</f>
        <v/>
      </c>
      <c r="K1105" s="12">
        <f>IF('ORDENES'!$A1083="","",IF('ORDENES'!$M1083="",0,'ORDENES'!$M1083))</f>
        <v/>
      </c>
      <c r="L1105" s="3">
        <f>IF('ORDENES'!$A1083="","",IF('ORDENES'!$N1083="","-",'ORDENES'!$N1083))</f>
        <v/>
      </c>
      <c r="M1105" s="3">
        <f>IF('ORDENES'!$A1083="","",'ORDENES'!$AA1083)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IF('ORDENES'!$A1084="","",IF('ORDENES'!$AC1084="","-",'ORDENES'!$AC1084))</f>
        <v/>
      </c>
      <c r="D1106" s="3">
        <f>IF('ORDENES'!$A1084="","",IF('ORDENES'!$V1084="","-",'ORDENES'!$V1084))</f>
        <v/>
      </c>
      <c r="E1106" s="3">
        <f>IF('ORDENES'!$A1084="","",IF('ORDENES'!$U1084="","-",'ORDENES'!$U1084))</f>
        <v/>
      </c>
      <c r="F1106" s="3">
        <f>IF('ORDENES'!$A1084="","",IF('ORDENES'!$W1084="","-",'ORDENES'!$W1084))</f>
        <v/>
      </c>
      <c r="G1106" s="3">
        <f>IF('ORDENES'!$A1084="","",IF('ORDENES'!$AB1084="","-",'ORDENES'!$AB1084))</f>
        <v/>
      </c>
      <c r="H1106" s="3">
        <f>IF('ORDENES'!$A1084="","",IF('ORDENES'!$AN1084="","-",'ORDENES'!$AN1084))</f>
        <v/>
      </c>
      <c r="I1106" s="3">
        <f>IF('ORDENES'!$A1084="","",IF('ORDENES'!$D1084="","-",'ORDENES'!$D1084))</f>
        <v/>
      </c>
      <c r="J1106" s="3">
        <f>IF('ORDENES'!$A1084="","",IF('ORDENES'!$E1084="","-",'ORDENES'!$E1084))</f>
        <v/>
      </c>
      <c r="K1106" s="12">
        <f>IF('ORDENES'!$A1084="","",IF('ORDENES'!$M1084="",0,'ORDENES'!$M1084))</f>
        <v/>
      </c>
      <c r="L1106" s="3">
        <f>IF('ORDENES'!$A1084="","",IF('ORDENES'!$N1084="","-",'ORDENES'!$N1084))</f>
        <v/>
      </c>
      <c r="M1106" s="3">
        <f>IF('ORDENES'!$A1084="","",'ORDENES'!$AA1084)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IF('ORDENES'!$A1085="","",IF('ORDENES'!$AC1085="","-",'ORDENES'!$AC1085))</f>
        <v/>
      </c>
      <c r="D1107" s="3">
        <f>IF('ORDENES'!$A1085="","",IF('ORDENES'!$V1085="","-",'ORDENES'!$V1085))</f>
        <v/>
      </c>
      <c r="E1107" s="3">
        <f>IF('ORDENES'!$A1085="","",IF('ORDENES'!$U1085="","-",'ORDENES'!$U1085))</f>
        <v/>
      </c>
      <c r="F1107" s="3">
        <f>IF('ORDENES'!$A1085="","",IF('ORDENES'!$W1085="","-",'ORDENES'!$W1085))</f>
        <v/>
      </c>
      <c r="G1107" s="3">
        <f>IF('ORDENES'!$A1085="","",IF('ORDENES'!$AB1085="","-",'ORDENES'!$AB1085))</f>
        <v/>
      </c>
      <c r="H1107" s="3">
        <f>IF('ORDENES'!$A1085="","",IF('ORDENES'!$AN1085="","-",'ORDENES'!$AN1085))</f>
        <v/>
      </c>
      <c r="I1107" s="3">
        <f>IF('ORDENES'!$A1085="","",IF('ORDENES'!$D1085="","-",'ORDENES'!$D1085))</f>
        <v/>
      </c>
      <c r="J1107" s="3">
        <f>IF('ORDENES'!$A1085="","",IF('ORDENES'!$E1085="","-",'ORDENES'!$E1085))</f>
        <v/>
      </c>
      <c r="K1107" s="12">
        <f>IF('ORDENES'!$A1085="","",IF('ORDENES'!$M1085="",0,'ORDENES'!$M1085))</f>
        <v/>
      </c>
      <c r="L1107" s="3">
        <f>IF('ORDENES'!$A1085="","",IF('ORDENES'!$N1085="","-",'ORDENES'!$N1085))</f>
        <v/>
      </c>
      <c r="M1107" s="3">
        <f>IF('ORDENES'!$A1085="","",'ORDENES'!$AA1085)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IF('ORDENES'!$A1086="","",IF('ORDENES'!$AC1086="","-",'ORDENES'!$AC1086))</f>
        <v/>
      </c>
      <c r="D1108" s="3">
        <f>IF('ORDENES'!$A1086="","",IF('ORDENES'!$V1086="","-",'ORDENES'!$V1086))</f>
        <v/>
      </c>
      <c r="E1108" s="3">
        <f>IF('ORDENES'!$A1086="","",IF('ORDENES'!$U1086="","-",'ORDENES'!$U1086))</f>
        <v/>
      </c>
      <c r="F1108" s="3">
        <f>IF('ORDENES'!$A1086="","",IF('ORDENES'!$W1086="","-",'ORDENES'!$W1086))</f>
        <v/>
      </c>
      <c r="G1108" s="3">
        <f>IF('ORDENES'!$A1086="","",IF('ORDENES'!$AB1086="","-",'ORDENES'!$AB1086))</f>
        <v/>
      </c>
      <c r="H1108" s="3">
        <f>IF('ORDENES'!$A1086="","",IF('ORDENES'!$AN1086="","-",'ORDENES'!$AN1086))</f>
        <v/>
      </c>
      <c r="I1108" s="3">
        <f>IF('ORDENES'!$A1086="","",IF('ORDENES'!$D1086="","-",'ORDENES'!$D1086))</f>
        <v/>
      </c>
      <c r="J1108" s="3">
        <f>IF('ORDENES'!$A1086="","",IF('ORDENES'!$E1086="","-",'ORDENES'!$E1086))</f>
        <v/>
      </c>
      <c r="K1108" s="12">
        <f>IF('ORDENES'!$A1086="","",IF('ORDENES'!$M1086="",0,'ORDENES'!$M1086))</f>
        <v/>
      </c>
      <c r="L1108" s="3">
        <f>IF('ORDENES'!$A1086="","",IF('ORDENES'!$N1086="","-",'ORDENES'!$N1086))</f>
        <v/>
      </c>
      <c r="M1108" s="3">
        <f>IF('ORDENES'!$A1086="","",'ORDENES'!$AA1086)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IF('ORDENES'!$A1087="","",IF('ORDENES'!$AC1087="","-",'ORDENES'!$AC1087))</f>
        <v/>
      </c>
      <c r="D1109" s="3">
        <f>IF('ORDENES'!$A1087="","",IF('ORDENES'!$V1087="","-",'ORDENES'!$V1087))</f>
        <v/>
      </c>
      <c r="E1109" s="3">
        <f>IF('ORDENES'!$A1087="","",IF('ORDENES'!$U1087="","-",'ORDENES'!$U1087))</f>
        <v/>
      </c>
      <c r="F1109" s="3">
        <f>IF('ORDENES'!$A1087="","",IF('ORDENES'!$W1087="","-",'ORDENES'!$W1087))</f>
        <v/>
      </c>
      <c r="G1109" s="3">
        <f>IF('ORDENES'!$A1087="","",IF('ORDENES'!$AB1087="","-",'ORDENES'!$AB1087))</f>
        <v/>
      </c>
      <c r="H1109" s="3">
        <f>IF('ORDENES'!$A1087="","",IF('ORDENES'!$AN1087="","-",'ORDENES'!$AN1087))</f>
        <v/>
      </c>
      <c r="I1109" s="3">
        <f>IF('ORDENES'!$A1087="","",IF('ORDENES'!$D1087="","-",'ORDENES'!$D1087))</f>
        <v/>
      </c>
      <c r="J1109" s="3">
        <f>IF('ORDENES'!$A1087="","",IF('ORDENES'!$E1087="","-",'ORDENES'!$E1087))</f>
        <v/>
      </c>
      <c r="K1109" s="12">
        <f>IF('ORDENES'!$A1087="","",IF('ORDENES'!$M1087="",0,'ORDENES'!$M1087))</f>
        <v/>
      </c>
      <c r="L1109" s="3">
        <f>IF('ORDENES'!$A1087="","",IF('ORDENES'!$N1087="","-",'ORDENES'!$N1087))</f>
        <v/>
      </c>
      <c r="M1109" s="3">
        <f>IF('ORDENES'!$A1087="","",'ORDENES'!$AA1087)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IF('ORDENES'!$A1088="","",IF('ORDENES'!$AC1088="","-",'ORDENES'!$AC1088))</f>
        <v/>
      </c>
      <c r="D1110" s="3">
        <f>IF('ORDENES'!$A1088="","",IF('ORDENES'!$V1088="","-",'ORDENES'!$V1088))</f>
        <v/>
      </c>
      <c r="E1110" s="3">
        <f>IF('ORDENES'!$A1088="","",IF('ORDENES'!$U1088="","-",'ORDENES'!$U1088))</f>
        <v/>
      </c>
      <c r="F1110" s="3">
        <f>IF('ORDENES'!$A1088="","",IF('ORDENES'!$W1088="","-",'ORDENES'!$W1088))</f>
        <v/>
      </c>
      <c r="G1110" s="3">
        <f>IF('ORDENES'!$A1088="","",IF('ORDENES'!$AB1088="","-",'ORDENES'!$AB1088))</f>
        <v/>
      </c>
      <c r="H1110" s="3">
        <f>IF('ORDENES'!$A1088="","",IF('ORDENES'!$AN1088="","-",'ORDENES'!$AN1088))</f>
        <v/>
      </c>
      <c r="I1110" s="3">
        <f>IF('ORDENES'!$A1088="","",IF('ORDENES'!$D1088="","-",'ORDENES'!$D1088))</f>
        <v/>
      </c>
      <c r="J1110" s="3">
        <f>IF('ORDENES'!$A1088="","",IF('ORDENES'!$E1088="","-",'ORDENES'!$E1088))</f>
        <v/>
      </c>
      <c r="K1110" s="12">
        <f>IF('ORDENES'!$A1088="","",IF('ORDENES'!$M1088="",0,'ORDENES'!$M1088))</f>
        <v/>
      </c>
      <c r="L1110" s="3">
        <f>IF('ORDENES'!$A1088="","",IF('ORDENES'!$N1088="","-",'ORDENES'!$N1088))</f>
        <v/>
      </c>
      <c r="M1110" s="3">
        <f>IF('ORDENES'!$A1088="","",'ORDENES'!$AA1088)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IF('ORDENES'!$A1089="","",IF('ORDENES'!$AC1089="","-",'ORDENES'!$AC1089))</f>
        <v/>
      </c>
      <c r="D1111" s="3">
        <f>IF('ORDENES'!$A1089="","",IF('ORDENES'!$V1089="","-",'ORDENES'!$V1089))</f>
        <v/>
      </c>
      <c r="E1111" s="3">
        <f>IF('ORDENES'!$A1089="","",IF('ORDENES'!$U1089="","-",'ORDENES'!$U1089))</f>
        <v/>
      </c>
      <c r="F1111" s="3">
        <f>IF('ORDENES'!$A1089="","",IF('ORDENES'!$W1089="","-",'ORDENES'!$W1089))</f>
        <v/>
      </c>
      <c r="G1111" s="3">
        <f>IF('ORDENES'!$A1089="","",IF('ORDENES'!$AB1089="","-",'ORDENES'!$AB1089))</f>
        <v/>
      </c>
      <c r="H1111" s="3">
        <f>IF('ORDENES'!$A1089="","",IF('ORDENES'!$AN1089="","-",'ORDENES'!$AN1089))</f>
        <v/>
      </c>
      <c r="I1111" s="3">
        <f>IF('ORDENES'!$A1089="","",IF('ORDENES'!$D1089="","-",'ORDENES'!$D1089))</f>
        <v/>
      </c>
      <c r="J1111" s="3">
        <f>IF('ORDENES'!$A1089="","",IF('ORDENES'!$E1089="","-",'ORDENES'!$E1089))</f>
        <v/>
      </c>
      <c r="K1111" s="12">
        <f>IF('ORDENES'!$A1089="","",IF('ORDENES'!$M1089="",0,'ORDENES'!$M1089))</f>
        <v/>
      </c>
      <c r="L1111" s="3">
        <f>IF('ORDENES'!$A1089="","",IF('ORDENES'!$N1089="","-",'ORDENES'!$N1089))</f>
        <v/>
      </c>
      <c r="M1111" s="3">
        <f>IF('ORDENES'!$A1089="","",'ORDENES'!$AA1089)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IF('ORDENES'!$A1090="","",IF('ORDENES'!$AC1090="","-",'ORDENES'!$AC1090))</f>
        <v/>
      </c>
      <c r="D1112" s="3">
        <f>IF('ORDENES'!$A1090="","",IF('ORDENES'!$V1090="","-",'ORDENES'!$V1090))</f>
        <v/>
      </c>
      <c r="E1112" s="3">
        <f>IF('ORDENES'!$A1090="","",IF('ORDENES'!$U1090="","-",'ORDENES'!$U1090))</f>
        <v/>
      </c>
      <c r="F1112" s="3">
        <f>IF('ORDENES'!$A1090="","",IF('ORDENES'!$W1090="","-",'ORDENES'!$W1090))</f>
        <v/>
      </c>
      <c r="G1112" s="3">
        <f>IF('ORDENES'!$A1090="","",IF('ORDENES'!$AB1090="","-",'ORDENES'!$AB1090))</f>
        <v/>
      </c>
      <c r="H1112" s="3">
        <f>IF('ORDENES'!$A1090="","",IF('ORDENES'!$AN1090="","-",'ORDENES'!$AN1090))</f>
        <v/>
      </c>
      <c r="I1112" s="3">
        <f>IF('ORDENES'!$A1090="","",IF('ORDENES'!$D1090="","-",'ORDENES'!$D1090))</f>
        <v/>
      </c>
      <c r="J1112" s="3">
        <f>IF('ORDENES'!$A1090="","",IF('ORDENES'!$E1090="","-",'ORDENES'!$E1090))</f>
        <v/>
      </c>
      <c r="K1112" s="12">
        <f>IF('ORDENES'!$A1090="","",IF('ORDENES'!$M1090="",0,'ORDENES'!$M1090))</f>
        <v/>
      </c>
      <c r="L1112" s="3">
        <f>IF('ORDENES'!$A1090="","",IF('ORDENES'!$N1090="","-",'ORDENES'!$N1090))</f>
        <v/>
      </c>
      <c r="M1112" s="3">
        <f>IF('ORDENES'!$A1090="","",'ORDENES'!$AA1090)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IF('ORDENES'!$A1091="","",IF('ORDENES'!$AC1091="","-",'ORDENES'!$AC1091))</f>
        <v/>
      </c>
      <c r="D1113" s="3">
        <f>IF('ORDENES'!$A1091="","",IF('ORDENES'!$V1091="","-",'ORDENES'!$V1091))</f>
        <v/>
      </c>
      <c r="E1113" s="3">
        <f>IF('ORDENES'!$A1091="","",IF('ORDENES'!$U1091="","-",'ORDENES'!$U1091))</f>
        <v/>
      </c>
      <c r="F1113" s="3">
        <f>IF('ORDENES'!$A1091="","",IF('ORDENES'!$W1091="","-",'ORDENES'!$W1091))</f>
        <v/>
      </c>
      <c r="G1113" s="3">
        <f>IF('ORDENES'!$A1091="","",IF('ORDENES'!$AB1091="","-",'ORDENES'!$AB1091))</f>
        <v/>
      </c>
      <c r="H1113" s="3">
        <f>IF('ORDENES'!$A1091="","",IF('ORDENES'!$AN1091="","-",'ORDENES'!$AN1091))</f>
        <v/>
      </c>
      <c r="I1113" s="3">
        <f>IF('ORDENES'!$A1091="","",IF('ORDENES'!$D1091="","-",'ORDENES'!$D1091))</f>
        <v/>
      </c>
      <c r="J1113" s="3">
        <f>IF('ORDENES'!$A1091="","",IF('ORDENES'!$E1091="","-",'ORDENES'!$E1091))</f>
        <v/>
      </c>
      <c r="K1113" s="12">
        <f>IF('ORDENES'!$A1091="","",IF('ORDENES'!$M1091="",0,'ORDENES'!$M1091))</f>
        <v/>
      </c>
      <c r="L1113" s="3">
        <f>IF('ORDENES'!$A1091="","",IF('ORDENES'!$N1091="","-",'ORDENES'!$N1091))</f>
        <v/>
      </c>
      <c r="M1113" s="3">
        <f>IF('ORDENES'!$A1091="","",'ORDENES'!$AA1091)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IF('ORDENES'!$A1092="","",IF('ORDENES'!$AC1092="","-",'ORDENES'!$AC1092))</f>
        <v/>
      </c>
      <c r="D1114" s="3">
        <f>IF('ORDENES'!$A1092="","",IF('ORDENES'!$V1092="","-",'ORDENES'!$V1092))</f>
        <v/>
      </c>
      <c r="E1114" s="3">
        <f>IF('ORDENES'!$A1092="","",IF('ORDENES'!$U1092="","-",'ORDENES'!$U1092))</f>
        <v/>
      </c>
      <c r="F1114" s="3">
        <f>IF('ORDENES'!$A1092="","",IF('ORDENES'!$W1092="","-",'ORDENES'!$W1092))</f>
        <v/>
      </c>
      <c r="G1114" s="3">
        <f>IF('ORDENES'!$A1092="","",IF('ORDENES'!$AB1092="","-",'ORDENES'!$AB1092))</f>
        <v/>
      </c>
      <c r="H1114" s="3">
        <f>IF('ORDENES'!$A1092="","",IF('ORDENES'!$AN1092="","-",'ORDENES'!$AN1092))</f>
        <v/>
      </c>
      <c r="I1114" s="3">
        <f>IF('ORDENES'!$A1092="","",IF('ORDENES'!$D1092="","-",'ORDENES'!$D1092))</f>
        <v/>
      </c>
      <c r="J1114" s="3">
        <f>IF('ORDENES'!$A1092="","",IF('ORDENES'!$E1092="","-",'ORDENES'!$E1092))</f>
        <v/>
      </c>
      <c r="K1114" s="12">
        <f>IF('ORDENES'!$A1092="","",IF('ORDENES'!$M1092="",0,'ORDENES'!$M1092))</f>
        <v/>
      </c>
      <c r="L1114" s="3">
        <f>IF('ORDENES'!$A1092="","",IF('ORDENES'!$N1092="","-",'ORDENES'!$N1092))</f>
        <v/>
      </c>
      <c r="M1114" s="3">
        <f>IF('ORDENES'!$A1092="","",'ORDENES'!$AA1092)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IF('ORDENES'!$A1093="","",IF('ORDENES'!$AC1093="","-",'ORDENES'!$AC1093))</f>
        <v/>
      </c>
      <c r="D1115" s="3">
        <f>IF('ORDENES'!$A1093="","",IF('ORDENES'!$V1093="","-",'ORDENES'!$V1093))</f>
        <v/>
      </c>
      <c r="E1115" s="3">
        <f>IF('ORDENES'!$A1093="","",IF('ORDENES'!$U1093="","-",'ORDENES'!$U1093))</f>
        <v/>
      </c>
      <c r="F1115" s="3">
        <f>IF('ORDENES'!$A1093="","",IF('ORDENES'!$W1093="","-",'ORDENES'!$W1093))</f>
        <v/>
      </c>
      <c r="G1115" s="3">
        <f>IF('ORDENES'!$A1093="","",IF('ORDENES'!$AB1093="","-",'ORDENES'!$AB1093))</f>
        <v/>
      </c>
      <c r="H1115" s="3">
        <f>IF('ORDENES'!$A1093="","",IF('ORDENES'!$AN1093="","-",'ORDENES'!$AN1093))</f>
        <v/>
      </c>
      <c r="I1115" s="3">
        <f>IF('ORDENES'!$A1093="","",IF('ORDENES'!$D1093="","-",'ORDENES'!$D1093))</f>
        <v/>
      </c>
      <c r="J1115" s="3">
        <f>IF('ORDENES'!$A1093="","",IF('ORDENES'!$E1093="","-",'ORDENES'!$E1093))</f>
        <v/>
      </c>
      <c r="K1115" s="12">
        <f>IF('ORDENES'!$A1093="","",IF('ORDENES'!$M1093="",0,'ORDENES'!$M1093))</f>
        <v/>
      </c>
      <c r="L1115" s="3">
        <f>IF('ORDENES'!$A1093="","",IF('ORDENES'!$N1093="","-",'ORDENES'!$N1093))</f>
        <v/>
      </c>
      <c r="M1115" s="3">
        <f>IF('ORDENES'!$A1093="","",'ORDENES'!$AA1093)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IF('ORDENES'!$A1094="","",IF('ORDENES'!$AC1094="","-",'ORDENES'!$AC1094))</f>
        <v/>
      </c>
      <c r="D1116" s="3">
        <f>IF('ORDENES'!$A1094="","",IF('ORDENES'!$V1094="","-",'ORDENES'!$V1094))</f>
        <v/>
      </c>
      <c r="E1116" s="3">
        <f>IF('ORDENES'!$A1094="","",IF('ORDENES'!$U1094="","-",'ORDENES'!$U1094))</f>
        <v/>
      </c>
      <c r="F1116" s="3">
        <f>IF('ORDENES'!$A1094="","",IF('ORDENES'!$W1094="","-",'ORDENES'!$W1094))</f>
        <v/>
      </c>
      <c r="G1116" s="3">
        <f>IF('ORDENES'!$A1094="","",IF('ORDENES'!$AB1094="","-",'ORDENES'!$AB1094))</f>
        <v/>
      </c>
      <c r="H1116" s="3">
        <f>IF('ORDENES'!$A1094="","",IF('ORDENES'!$AN1094="","-",'ORDENES'!$AN1094))</f>
        <v/>
      </c>
      <c r="I1116" s="3">
        <f>IF('ORDENES'!$A1094="","",IF('ORDENES'!$D1094="","-",'ORDENES'!$D1094))</f>
        <v/>
      </c>
      <c r="J1116" s="3">
        <f>IF('ORDENES'!$A1094="","",IF('ORDENES'!$E1094="","-",'ORDENES'!$E1094))</f>
        <v/>
      </c>
      <c r="K1116" s="12">
        <f>IF('ORDENES'!$A1094="","",IF('ORDENES'!$M1094="",0,'ORDENES'!$M1094))</f>
        <v/>
      </c>
      <c r="L1116" s="3">
        <f>IF('ORDENES'!$A1094="","",IF('ORDENES'!$N1094="","-",'ORDENES'!$N1094))</f>
        <v/>
      </c>
      <c r="M1116" s="3">
        <f>IF('ORDENES'!$A1094="","",'ORDENES'!$AA1094)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IF('ORDENES'!$A1095="","",IF('ORDENES'!$AC1095="","-",'ORDENES'!$AC1095))</f>
        <v/>
      </c>
      <c r="D1117" s="3">
        <f>IF('ORDENES'!$A1095="","",IF('ORDENES'!$V1095="","-",'ORDENES'!$V1095))</f>
        <v/>
      </c>
      <c r="E1117" s="3">
        <f>IF('ORDENES'!$A1095="","",IF('ORDENES'!$U1095="","-",'ORDENES'!$U1095))</f>
        <v/>
      </c>
      <c r="F1117" s="3">
        <f>IF('ORDENES'!$A1095="","",IF('ORDENES'!$W1095="","-",'ORDENES'!$W1095))</f>
        <v/>
      </c>
      <c r="G1117" s="3">
        <f>IF('ORDENES'!$A1095="","",IF('ORDENES'!$AB1095="","-",'ORDENES'!$AB1095))</f>
        <v/>
      </c>
      <c r="H1117" s="3">
        <f>IF('ORDENES'!$A1095="","",IF('ORDENES'!$AN1095="","-",'ORDENES'!$AN1095))</f>
        <v/>
      </c>
      <c r="I1117" s="3">
        <f>IF('ORDENES'!$A1095="","",IF('ORDENES'!$D1095="","-",'ORDENES'!$D1095))</f>
        <v/>
      </c>
      <c r="J1117" s="3">
        <f>IF('ORDENES'!$A1095="","",IF('ORDENES'!$E1095="","-",'ORDENES'!$E1095))</f>
        <v/>
      </c>
      <c r="K1117" s="12">
        <f>IF('ORDENES'!$A1095="","",IF('ORDENES'!$M1095="",0,'ORDENES'!$M1095))</f>
        <v/>
      </c>
      <c r="L1117" s="3">
        <f>IF('ORDENES'!$A1095="","",IF('ORDENES'!$N1095="","-",'ORDENES'!$N1095))</f>
        <v/>
      </c>
      <c r="M1117" s="3">
        <f>IF('ORDENES'!$A1095="","",'ORDENES'!$AA1095)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IF('ORDENES'!$A1096="","",IF('ORDENES'!$AC1096="","-",'ORDENES'!$AC1096))</f>
        <v/>
      </c>
      <c r="D1118" s="3">
        <f>IF('ORDENES'!$A1096="","",IF('ORDENES'!$V1096="","-",'ORDENES'!$V1096))</f>
        <v/>
      </c>
      <c r="E1118" s="3">
        <f>IF('ORDENES'!$A1096="","",IF('ORDENES'!$U1096="","-",'ORDENES'!$U1096))</f>
        <v/>
      </c>
      <c r="F1118" s="3">
        <f>IF('ORDENES'!$A1096="","",IF('ORDENES'!$W1096="","-",'ORDENES'!$W1096))</f>
        <v/>
      </c>
      <c r="G1118" s="3">
        <f>IF('ORDENES'!$A1096="","",IF('ORDENES'!$AB1096="","-",'ORDENES'!$AB1096))</f>
        <v/>
      </c>
      <c r="H1118" s="3">
        <f>IF('ORDENES'!$A1096="","",IF('ORDENES'!$AN1096="","-",'ORDENES'!$AN1096))</f>
        <v/>
      </c>
      <c r="I1118" s="3">
        <f>IF('ORDENES'!$A1096="","",IF('ORDENES'!$D1096="","-",'ORDENES'!$D1096))</f>
        <v/>
      </c>
      <c r="J1118" s="3">
        <f>IF('ORDENES'!$A1096="","",IF('ORDENES'!$E1096="","-",'ORDENES'!$E1096))</f>
        <v/>
      </c>
      <c r="K1118" s="12">
        <f>IF('ORDENES'!$A1096="","",IF('ORDENES'!$M1096="",0,'ORDENES'!$M1096))</f>
        <v/>
      </c>
      <c r="L1118" s="3">
        <f>IF('ORDENES'!$A1096="","",IF('ORDENES'!$N1096="","-",'ORDENES'!$N1096))</f>
        <v/>
      </c>
      <c r="M1118" s="3">
        <f>IF('ORDENES'!$A1096="","",'ORDENES'!$AA1096)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IF('ORDENES'!$A1097="","",IF('ORDENES'!$AC1097="","-",'ORDENES'!$AC1097))</f>
        <v/>
      </c>
      <c r="D1119" s="3">
        <f>IF('ORDENES'!$A1097="","",IF('ORDENES'!$V1097="","-",'ORDENES'!$V1097))</f>
        <v/>
      </c>
      <c r="E1119" s="3">
        <f>IF('ORDENES'!$A1097="","",IF('ORDENES'!$U1097="","-",'ORDENES'!$U1097))</f>
        <v/>
      </c>
      <c r="F1119" s="3">
        <f>IF('ORDENES'!$A1097="","",IF('ORDENES'!$W1097="","-",'ORDENES'!$W1097))</f>
        <v/>
      </c>
      <c r="G1119" s="3">
        <f>IF('ORDENES'!$A1097="","",IF('ORDENES'!$AB1097="","-",'ORDENES'!$AB1097))</f>
        <v/>
      </c>
      <c r="H1119" s="3">
        <f>IF('ORDENES'!$A1097="","",IF('ORDENES'!$AN1097="","-",'ORDENES'!$AN1097))</f>
        <v/>
      </c>
      <c r="I1119" s="3">
        <f>IF('ORDENES'!$A1097="","",IF('ORDENES'!$D1097="","-",'ORDENES'!$D1097))</f>
        <v/>
      </c>
      <c r="J1119" s="3">
        <f>IF('ORDENES'!$A1097="","",IF('ORDENES'!$E1097="","-",'ORDENES'!$E1097))</f>
        <v/>
      </c>
      <c r="K1119" s="12">
        <f>IF('ORDENES'!$A1097="","",IF('ORDENES'!$M1097="",0,'ORDENES'!$M1097))</f>
        <v/>
      </c>
      <c r="L1119" s="3">
        <f>IF('ORDENES'!$A1097="","",IF('ORDENES'!$N1097="","-",'ORDENES'!$N1097))</f>
        <v/>
      </c>
      <c r="M1119" s="3">
        <f>IF('ORDENES'!$A1097="","",'ORDENES'!$AA1097)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IF('ORDENES'!$A1098="","",IF('ORDENES'!$AC1098="","-",'ORDENES'!$AC1098))</f>
        <v/>
      </c>
      <c r="D1120" s="3">
        <f>IF('ORDENES'!$A1098="","",IF('ORDENES'!$V1098="","-",'ORDENES'!$V1098))</f>
        <v/>
      </c>
      <c r="E1120" s="3">
        <f>IF('ORDENES'!$A1098="","",IF('ORDENES'!$U1098="","-",'ORDENES'!$U1098))</f>
        <v/>
      </c>
      <c r="F1120" s="3">
        <f>IF('ORDENES'!$A1098="","",IF('ORDENES'!$W1098="","-",'ORDENES'!$W1098))</f>
        <v/>
      </c>
      <c r="G1120" s="3">
        <f>IF('ORDENES'!$A1098="","",IF('ORDENES'!$AB1098="","-",'ORDENES'!$AB1098))</f>
        <v/>
      </c>
      <c r="H1120" s="3">
        <f>IF('ORDENES'!$A1098="","",IF('ORDENES'!$AN1098="","-",'ORDENES'!$AN1098))</f>
        <v/>
      </c>
      <c r="I1120" s="3">
        <f>IF('ORDENES'!$A1098="","",IF('ORDENES'!$D1098="","-",'ORDENES'!$D1098))</f>
        <v/>
      </c>
      <c r="J1120" s="3">
        <f>IF('ORDENES'!$A1098="","",IF('ORDENES'!$E1098="","-",'ORDENES'!$E1098))</f>
        <v/>
      </c>
      <c r="K1120" s="12">
        <f>IF('ORDENES'!$A1098="","",IF('ORDENES'!$M1098="",0,'ORDENES'!$M1098))</f>
        <v/>
      </c>
      <c r="L1120" s="3">
        <f>IF('ORDENES'!$A1098="","",IF('ORDENES'!$N1098="","-",'ORDENES'!$N1098))</f>
        <v/>
      </c>
      <c r="M1120" s="3">
        <f>IF('ORDENES'!$A1098="","",'ORDENES'!$AA1098)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IF('ORDENES'!$A1099="","",IF('ORDENES'!$AC1099="","-",'ORDENES'!$AC1099))</f>
        <v/>
      </c>
      <c r="D1121" s="3">
        <f>IF('ORDENES'!$A1099="","",IF('ORDENES'!$V1099="","-",'ORDENES'!$V1099))</f>
        <v/>
      </c>
      <c r="E1121" s="3">
        <f>IF('ORDENES'!$A1099="","",IF('ORDENES'!$U1099="","-",'ORDENES'!$U1099))</f>
        <v/>
      </c>
      <c r="F1121" s="3">
        <f>IF('ORDENES'!$A1099="","",IF('ORDENES'!$W1099="","-",'ORDENES'!$W1099))</f>
        <v/>
      </c>
      <c r="G1121" s="3">
        <f>IF('ORDENES'!$A1099="","",IF('ORDENES'!$AB1099="","-",'ORDENES'!$AB1099))</f>
        <v/>
      </c>
      <c r="H1121" s="3">
        <f>IF('ORDENES'!$A1099="","",IF('ORDENES'!$AN1099="","-",'ORDENES'!$AN1099))</f>
        <v/>
      </c>
      <c r="I1121" s="3">
        <f>IF('ORDENES'!$A1099="","",IF('ORDENES'!$D1099="","-",'ORDENES'!$D1099))</f>
        <v/>
      </c>
      <c r="J1121" s="3">
        <f>IF('ORDENES'!$A1099="","",IF('ORDENES'!$E1099="","-",'ORDENES'!$E1099))</f>
        <v/>
      </c>
      <c r="K1121" s="12">
        <f>IF('ORDENES'!$A1099="","",IF('ORDENES'!$M1099="",0,'ORDENES'!$M1099))</f>
        <v/>
      </c>
      <c r="L1121" s="3">
        <f>IF('ORDENES'!$A1099="","",IF('ORDENES'!$N1099="","-",'ORDENES'!$N1099))</f>
        <v/>
      </c>
      <c r="M1121" s="3">
        <f>IF('ORDENES'!$A1099="","",'ORDENES'!$AA1099)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IF('ORDENES'!$A1100="","",IF('ORDENES'!$AC1100="","-",'ORDENES'!$AC1100))</f>
        <v/>
      </c>
      <c r="D1122" s="3">
        <f>IF('ORDENES'!$A1100="","",IF('ORDENES'!$V1100="","-",'ORDENES'!$V1100))</f>
        <v/>
      </c>
      <c r="E1122" s="3">
        <f>IF('ORDENES'!$A1100="","",IF('ORDENES'!$U1100="","-",'ORDENES'!$U1100))</f>
        <v/>
      </c>
      <c r="F1122" s="3">
        <f>IF('ORDENES'!$A1100="","",IF('ORDENES'!$W1100="","-",'ORDENES'!$W1100))</f>
        <v/>
      </c>
      <c r="G1122" s="3">
        <f>IF('ORDENES'!$A1100="","",IF('ORDENES'!$AB1100="","-",'ORDENES'!$AB1100))</f>
        <v/>
      </c>
      <c r="H1122" s="3">
        <f>IF('ORDENES'!$A1100="","",IF('ORDENES'!$AN1100="","-",'ORDENES'!$AN1100))</f>
        <v/>
      </c>
      <c r="I1122" s="3">
        <f>IF('ORDENES'!$A1100="","",IF('ORDENES'!$D1100="","-",'ORDENES'!$D1100))</f>
        <v/>
      </c>
      <c r="J1122" s="3">
        <f>IF('ORDENES'!$A1100="","",IF('ORDENES'!$E1100="","-",'ORDENES'!$E1100))</f>
        <v/>
      </c>
      <c r="K1122" s="12">
        <f>IF('ORDENES'!$A1100="","",IF('ORDENES'!$M1100="",0,'ORDENES'!$M1100))</f>
        <v/>
      </c>
      <c r="L1122" s="3">
        <f>IF('ORDENES'!$A1100="","",IF('ORDENES'!$N1100="","-",'ORDENES'!$N1100))</f>
        <v/>
      </c>
      <c r="M1122" s="3">
        <f>IF('ORDENES'!$A1100="","",'ORDENES'!$AA1100)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IF('ORDENES'!$A1101="","",IF('ORDENES'!$AC1101="","-",'ORDENES'!$AC1101))</f>
        <v/>
      </c>
      <c r="D1123" s="3">
        <f>IF('ORDENES'!$A1101="","",IF('ORDENES'!$V1101="","-",'ORDENES'!$V1101))</f>
        <v/>
      </c>
      <c r="E1123" s="3">
        <f>IF('ORDENES'!$A1101="","",IF('ORDENES'!$U1101="","-",'ORDENES'!$U1101))</f>
        <v/>
      </c>
      <c r="F1123" s="3">
        <f>IF('ORDENES'!$A1101="","",IF('ORDENES'!$W1101="","-",'ORDENES'!$W1101))</f>
        <v/>
      </c>
      <c r="G1123" s="3">
        <f>IF('ORDENES'!$A1101="","",IF('ORDENES'!$AB1101="","-",'ORDENES'!$AB1101))</f>
        <v/>
      </c>
      <c r="H1123" s="3">
        <f>IF('ORDENES'!$A1101="","",IF('ORDENES'!$AN1101="","-",'ORDENES'!$AN1101))</f>
        <v/>
      </c>
      <c r="I1123" s="3">
        <f>IF('ORDENES'!$A1101="","",IF('ORDENES'!$D1101="","-",'ORDENES'!$D1101))</f>
        <v/>
      </c>
      <c r="J1123" s="3">
        <f>IF('ORDENES'!$A1101="","",IF('ORDENES'!$E1101="","-",'ORDENES'!$E1101))</f>
        <v/>
      </c>
      <c r="K1123" s="12">
        <f>IF('ORDENES'!$A1101="","",IF('ORDENES'!$M1101="",0,'ORDENES'!$M1101))</f>
        <v/>
      </c>
      <c r="L1123" s="3">
        <f>IF('ORDENES'!$A1101="","",IF('ORDENES'!$N1101="","-",'ORDENES'!$N1101))</f>
        <v/>
      </c>
      <c r="M1123" s="3">
        <f>IF('ORDENES'!$A1101="","",'ORDENES'!$AA1101)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IF('ORDENES'!$A1102="","",IF('ORDENES'!$AC1102="","-",'ORDENES'!$AC1102))</f>
        <v/>
      </c>
      <c r="D1124" s="3">
        <f>IF('ORDENES'!$A1102="","",IF('ORDENES'!$V1102="","-",'ORDENES'!$V1102))</f>
        <v/>
      </c>
      <c r="E1124" s="3">
        <f>IF('ORDENES'!$A1102="","",IF('ORDENES'!$U1102="","-",'ORDENES'!$U1102))</f>
        <v/>
      </c>
      <c r="F1124" s="3">
        <f>IF('ORDENES'!$A1102="","",IF('ORDENES'!$W1102="","-",'ORDENES'!$W1102))</f>
        <v/>
      </c>
      <c r="G1124" s="3">
        <f>IF('ORDENES'!$A1102="","",IF('ORDENES'!$AB1102="","-",'ORDENES'!$AB1102))</f>
        <v/>
      </c>
      <c r="H1124" s="3">
        <f>IF('ORDENES'!$A1102="","",IF('ORDENES'!$AN1102="","-",'ORDENES'!$AN1102))</f>
        <v/>
      </c>
      <c r="I1124" s="3">
        <f>IF('ORDENES'!$A1102="","",IF('ORDENES'!$D1102="","-",'ORDENES'!$D1102))</f>
        <v/>
      </c>
      <c r="J1124" s="3">
        <f>IF('ORDENES'!$A1102="","",IF('ORDENES'!$E1102="","-",'ORDENES'!$E1102))</f>
        <v/>
      </c>
      <c r="K1124" s="12">
        <f>IF('ORDENES'!$A1102="","",IF('ORDENES'!$M1102="",0,'ORDENES'!$M1102))</f>
        <v/>
      </c>
      <c r="L1124" s="3">
        <f>IF('ORDENES'!$A1102="","",IF('ORDENES'!$N1102="","-",'ORDENES'!$N1102))</f>
        <v/>
      </c>
      <c r="M1124" s="3">
        <f>IF('ORDENES'!$A1102="","",'ORDENES'!$AA1102)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IF('ORDENES'!$A1103="","",IF('ORDENES'!$AC1103="","-",'ORDENES'!$AC1103))</f>
        <v/>
      </c>
      <c r="D1125" s="3">
        <f>IF('ORDENES'!$A1103="","",IF('ORDENES'!$V1103="","-",'ORDENES'!$V1103))</f>
        <v/>
      </c>
      <c r="E1125" s="3">
        <f>IF('ORDENES'!$A1103="","",IF('ORDENES'!$U1103="","-",'ORDENES'!$U1103))</f>
        <v/>
      </c>
      <c r="F1125" s="3">
        <f>IF('ORDENES'!$A1103="","",IF('ORDENES'!$W1103="","-",'ORDENES'!$W1103))</f>
        <v/>
      </c>
      <c r="G1125" s="3">
        <f>IF('ORDENES'!$A1103="","",IF('ORDENES'!$AB1103="","-",'ORDENES'!$AB1103))</f>
        <v/>
      </c>
      <c r="H1125" s="3">
        <f>IF('ORDENES'!$A1103="","",IF('ORDENES'!$AN1103="","-",'ORDENES'!$AN1103))</f>
        <v/>
      </c>
      <c r="I1125" s="3">
        <f>IF('ORDENES'!$A1103="","",IF('ORDENES'!$D1103="","-",'ORDENES'!$D1103))</f>
        <v/>
      </c>
      <c r="J1125" s="3">
        <f>IF('ORDENES'!$A1103="","",IF('ORDENES'!$E1103="","-",'ORDENES'!$E1103))</f>
        <v/>
      </c>
      <c r="K1125" s="12">
        <f>IF('ORDENES'!$A1103="","",IF('ORDENES'!$M1103="",0,'ORDENES'!$M1103))</f>
        <v/>
      </c>
      <c r="L1125" s="3">
        <f>IF('ORDENES'!$A1103="","",IF('ORDENES'!$N1103="","-",'ORDENES'!$N1103))</f>
        <v/>
      </c>
      <c r="M1125" s="3">
        <f>IF('ORDENES'!$A1103="","",'ORDENES'!$AA1103)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IF('ORDENES'!$A1104="","",IF('ORDENES'!$AC1104="","-",'ORDENES'!$AC1104))</f>
        <v/>
      </c>
      <c r="D1126" s="3">
        <f>IF('ORDENES'!$A1104="","",IF('ORDENES'!$V1104="","-",'ORDENES'!$V1104))</f>
        <v/>
      </c>
      <c r="E1126" s="3">
        <f>IF('ORDENES'!$A1104="","",IF('ORDENES'!$U1104="","-",'ORDENES'!$U1104))</f>
        <v/>
      </c>
      <c r="F1126" s="3">
        <f>IF('ORDENES'!$A1104="","",IF('ORDENES'!$W1104="","-",'ORDENES'!$W1104))</f>
        <v/>
      </c>
      <c r="G1126" s="3">
        <f>IF('ORDENES'!$A1104="","",IF('ORDENES'!$AB1104="","-",'ORDENES'!$AB1104))</f>
        <v/>
      </c>
      <c r="H1126" s="3">
        <f>IF('ORDENES'!$A1104="","",IF('ORDENES'!$AN1104="","-",'ORDENES'!$AN1104))</f>
        <v/>
      </c>
      <c r="I1126" s="3">
        <f>IF('ORDENES'!$A1104="","",IF('ORDENES'!$D1104="","-",'ORDENES'!$D1104))</f>
        <v/>
      </c>
      <c r="J1126" s="3">
        <f>IF('ORDENES'!$A1104="","",IF('ORDENES'!$E1104="","-",'ORDENES'!$E1104))</f>
        <v/>
      </c>
      <c r="K1126" s="12">
        <f>IF('ORDENES'!$A1104="","",IF('ORDENES'!$M1104="",0,'ORDENES'!$M1104))</f>
        <v/>
      </c>
      <c r="L1126" s="3">
        <f>IF('ORDENES'!$A1104="","",IF('ORDENES'!$N1104="","-",'ORDENES'!$N1104))</f>
        <v/>
      </c>
      <c r="M1126" s="3">
        <f>IF('ORDENES'!$A1104="","",'ORDENES'!$AA1104)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IF('ORDENES'!$A1105="","",IF('ORDENES'!$AC1105="","-",'ORDENES'!$AC1105))</f>
        <v/>
      </c>
      <c r="D1127" s="3">
        <f>IF('ORDENES'!$A1105="","",IF('ORDENES'!$V1105="","-",'ORDENES'!$V1105))</f>
        <v/>
      </c>
      <c r="E1127" s="3">
        <f>IF('ORDENES'!$A1105="","",IF('ORDENES'!$U1105="","-",'ORDENES'!$U1105))</f>
        <v/>
      </c>
      <c r="F1127" s="3">
        <f>IF('ORDENES'!$A1105="","",IF('ORDENES'!$W1105="","-",'ORDENES'!$W1105))</f>
        <v/>
      </c>
      <c r="G1127" s="3">
        <f>IF('ORDENES'!$A1105="","",IF('ORDENES'!$AB1105="","-",'ORDENES'!$AB1105))</f>
        <v/>
      </c>
      <c r="H1127" s="3">
        <f>IF('ORDENES'!$A1105="","",IF('ORDENES'!$AN1105="","-",'ORDENES'!$AN1105))</f>
        <v/>
      </c>
      <c r="I1127" s="3">
        <f>IF('ORDENES'!$A1105="","",IF('ORDENES'!$D1105="","-",'ORDENES'!$D1105))</f>
        <v/>
      </c>
      <c r="J1127" s="3">
        <f>IF('ORDENES'!$A1105="","",IF('ORDENES'!$E1105="","-",'ORDENES'!$E1105))</f>
        <v/>
      </c>
      <c r="K1127" s="12">
        <f>IF('ORDENES'!$A1105="","",IF('ORDENES'!$M1105="",0,'ORDENES'!$M1105))</f>
        <v/>
      </c>
      <c r="L1127" s="3">
        <f>IF('ORDENES'!$A1105="","",IF('ORDENES'!$N1105="","-",'ORDENES'!$N1105))</f>
        <v/>
      </c>
      <c r="M1127" s="3">
        <f>IF('ORDENES'!$A1105="","",'ORDENES'!$AA1105)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IF('ORDENES'!$A1106="","",IF('ORDENES'!$AC1106="","-",'ORDENES'!$AC1106))</f>
        <v/>
      </c>
      <c r="D1128" s="3">
        <f>IF('ORDENES'!$A1106="","",IF('ORDENES'!$V1106="","-",'ORDENES'!$V1106))</f>
        <v/>
      </c>
      <c r="E1128" s="3">
        <f>IF('ORDENES'!$A1106="","",IF('ORDENES'!$U1106="","-",'ORDENES'!$U1106))</f>
        <v/>
      </c>
      <c r="F1128" s="3">
        <f>IF('ORDENES'!$A1106="","",IF('ORDENES'!$W1106="","-",'ORDENES'!$W1106))</f>
        <v/>
      </c>
      <c r="G1128" s="3">
        <f>IF('ORDENES'!$A1106="","",IF('ORDENES'!$AB1106="","-",'ORDENES'!$AB1106))</f>
        <v/>
      </c>
      <c r="H1128" s="3">
        <f>IF('ORDENES'!$A1106="","",IF('ORDENES'!$AN1106="","-",'ORDENES'!$AN1106))</f>
        <v/>
      </c>
      <c r="I1128" s="3">
        <f>IF('ORDENES'!$A1106="","",IF('ORDENES'!$D1106="","-",'ORDENES'!$D1106))</f>
        <v/>
      </c>
      <c r="J1128" s="3">
        <f>IF('ORDENES'!$A1106="","",IF('ORDENES'!$E1106="","-",'ORDENES'!$E1106))</f>
        <v/>
      </c>
      <c r="K1128" s="12">
        <f>IF('ORDENES'!$A1106="","",IF('ORDENES'!$M1106="",0,'ORDENES'!$M1106))</f>
        <v/>
      </c>
      <c r="L1128" s="3">
        <f>IF('ORDENES'!$A1106="","",IF('ORDENES'!$N1106="","-",'ORDENES'!$N1106))</f>
        <v/>
      </c>
      <c r="M1128" s="3">
        <f>IF('ORDENES'!$A1106="","",'ORDENES'!$AA1106)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IF('ORDENES'!$A1107="","",IF('ORDENES'!$AC1107="","-",'ORDENES'!$AC1107))</f>
        <v/>
      </c>
      <c r="D1129" s="3">
        <f>IF('ORDENES'!$A1107="","",IF('ORDENES'!$V1107="","-",'ORDENES'!$V1107))</f>
        <v/>
      </c>
      <c r="E1129" s="3">
        <f>IF('ORDENES'!$A1107="","",IF('ORDENES'!$U1107="","-",'ORDENES'!$U1107))</f>
        <v/>
      </c>
      <c r="F1129" s="3">
        <f>IF('ORDENES'!$A1107="","",IF('ORDENES'!$W1107="","-",'ORDENES'!$W1107))</f>
        <v/>
      </c>
      <c r="G1129" s="3">
        <f>IF('ORDENES'!$A1107="","",IF('ORDENES'!$AB1107="","-",'ORDENES'!$AB1107))</f>
        <v/>
      </c>
      <c r="H1129" s="3">
        <f>IF('ORDENES'!$A1107="","",IF('ORDENES'!$AN1107="","-",'ORDENES'!$AN1107))</f>
        <v/>
      </c>
      <c r="I1129" s="3">
        <f>IF('ORDENES'!$A1107="","",IF('ORDENES'!$D1107="","-",'ORDENES'!$D1107))</f>
        <v/>
      </c>
      <c r="J1129" s="3">
        <f>IF('ORDENES'!$A1107="","",IF('ORDENES'!$E1107="","-",'ORDENES'!$E1107))</f>
        <v/>
      </c>
      <c r="K1129" s="12">
        <f>IF('ORDENES'!$A1107="","",IF('ORDENES'!$M1107="",0,'ORDENES'!$M1107))</f>
        <v/>
      </c>
      <c r="L1129" s="3">
        <f>IF('ORDENES'!$A1107="","",IF('ORDENES'!$N1107="","-",'ORDENES'!$N1107))</f>
        <v/>
      </c>
      <c r="M1129" s="3">
        <f>IF('ORDENES'!$A1107="","",'ORDENES'!$AA1107)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IF('ORDENES'!$A1108="","",IF('ORDENES'!$AC1108="","-",'ORDENES'!$AC1108))</f>
        <v/>
      </c>
      <c r="D1130" s="3">
        <f>IF('ORDENES'!$A1108="","",IF('ORDENES'!$V1108="","-",'ORDENES'!$V1108))</f>
        <v/>
      </c>
      <c r="E1130" s="3">
        <f>IF('ORDENES'!$A1108="","",IF('ORDENES'!$U1108="","-",'ORDENES'!$U1108))</f>
        <v/>
      </c>
      <c r="F1130" s="3">
        <f>IF('ORDENES'!$A1108="","",IF('ORDENES'!$W1108="","-",'ORDENES'!$W1108))</f>
        <v/>
      </c>
      <c r="G1130" s="3">
        <f>IF('ORDENES'!$A1108="","",IF('ORDENES'!$AB1108="","-",'ORDENES'!$AB1108))</f>
        <v/>
      </c>
      <c r="H1130" s="3">
        <f>IF('ORDENES'!$A1108="","",IF('ORDENES'!$AN1108="","-",'ORDENES'!$AN1108))</f>
        <v/>
      </c>
      <c r="I1130" s="3">
        <f>IF('ORDENES'!$A1108="","",IF('ORDENES'!$D1108="","-",'ORDENES'!$D1108))</f>
        <v/>
      </c>
      <c r="J1130" s="3">
        <f>IF('ORDENES'!$A1108="","",IF('ORDENES'!$E1108="","-",'ORDENES'!$E1108))</f>
        <v/>
      </c>
      <c r="K1130" s="12">
        <f>IF('ORDENES'!$A1108="","",IF('ORDENES'!$M1108="",0,'ORDENES'!$M1108))</f>
        <v/>
      </c>
      <c r="L1130" s="3">
        <f>IF('ORDENES'!$A1108="","",IF('ORDENES'!$N1108="","-",'ORDENES'!$N1108))</f>
        <v/>
      </c>
      <c r="M1130" s="3">
        <f>IF('ORDENES'!$A1108="","",'ORDENES'!$AA1108)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IF('ORDENES'!$A1109="","",IF('ORDENES'!$AC1109="","-",'ORDENES'!$AC1109))</f>
        <v/>
      </c>
      <c r="D1131" s="3">
        <f>IF('ORDENES'!$A1109="","",IF('ORDENES'!$V1109="","-",'ORDENES'!$V1109))</f>
        <v/>
      </c>
      <c r="E1131" s="3">
        <f>IF('ORDENES'!$A1109="","",IF('ORDENES'!$U1109="","-",'ORDENES'!$U1109))</f>
        <v/>
      </c>
      <c r="F1131" s="3">
        <f>IF('ORDENES'!$A1109="","",IF('ORDENES'!$W1109="","-",'ORDENES'!$W1109))</f>
        <v/>
      </c>
      <c r="G1131" s="3">
        <f>IF('ORDENES'!$A1109="","",IF('ORDENES'!$AB1109="","-",'ORDENES'!$AB1109))</f>
        <v/>
      </c>
      <c r="H1131" s="3">
        <f>IF('ORDENES'!$A1109="","",IF('ORDENES'!$AN1109="","-",'ORDENES'!$AN1109))</f>
        <v/>
      </c>
      <c r="I1131" s="3">
        <f>IF('ORDENES'!$A1109="","",IF('ORDENES'!$D1109="","-",'ORDENES'!$D1109))</f>
        <v/>
      </c>
      <c r="J1131" s="3">
        <f>IF('ORDENES'!$A1109="","",IF('ORDENES'!$E1109="","-",'ORDENES'!$E1109))</f>
        <v/>
      </c>
      <c r="K1131" s="12">
        <f>IF('ORDENES'!$A1109="","",IF('ORDENES'!$M1109="",0,'ORDENES'!$M1109))</f>
        <v/>
      </c>
      <c r="L1131" s="3">
        <f>IF('ORDENES'!$A1109="","",IF('ORDENES'!$N1109="","-",'ORDENES'!$N1109))</f>
        <v/>
      </c>
      <c r="M1131" s="3">
        <f>IF('ORDENES'!$A1109="","",'ORDENES'!$AA1109)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IF('ORDENES'!$A1110="","",IF('ORDENES'!$AC1110="","-",'ORDENES'!$AC1110))</f>
        <v/>
      </c>
      <c r="D1132" s="3">
        <f>IF('ORDENES'!$A1110="","",IF('ORDENES'!$V1110="","-",'ORDENES'!$V1110))</f>
        <v/>
      </c>
      <c r="E1132" s="3">
        <f>IF('ORDENES'!$A1110="","",IF('ORDENES'!$U1110="","-",'ORDENES'!$U1110))</f>
        <v/>
      </c>
      <c r="F1132" s="3">
        <f>IF('ORDENES'!$A1110="","",IF('ORDENES'!$W1110="","-",'ORDENES'!$W1110))</f>
        <v/>
      </c>
      <c r="G1132" s="3">
        <f>IF('ORDENES'!$A1110="","",IF('ORDENES'!$AB1110="","-",'ORDENES'!$AB1110))</f>
        <v/>
      </c>
      <c r="H1132" s="3">
        <f>IF('ORDENES'!$A1110="","",IF('ORDENES'!$AN1110="","-",'ORDENES'!$AN1110))</f>
        <v/>
      </c>
      <c r="I1132" s="3">
        <f>IF('ORDENES'!$A1110="","",IF('ORDENES'!$D1110="","-",'ORDENES'!$D1110))</f>
        <v/>
      </c>
      <c r="J1132" s="3">
        <f>IF('ORDENES'!$A1110="","",IF('ORDENES'!$E1110="","-",'ORDENES'!$E1110))</f>
        <v/>
      </c>
      <c r="K1132" s="12">
        <f>IF('ORDENES'!$A1110="","",IF('ORDENES'!$M1110="",0,'ORDENES'!$M1110))</f>
        <v/>
      </c>
      <c r="L1132" s="3">
        <f>IF('ORDENES'!$A1110="","",IF('ORDENES'!$N1110="","-",'ORDENES'!$N1110))</f>
        <v/>
      </c>
      <c r="M1132" s="3">
        <f>IF('ORDENES'!$A1110="","",'ORDENES'!$AA1110)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IF('ORDENES'!$A1111="","",IF('ORDENES'!$AC1111="","-",'ORDENES'!$AC1111))</f>
        <v/>
      </c>
      <c r="D1133" s="3">
        <f>IF('ORDENES'!$A1111="","",IF('ORDENES'!$V1111="","-",'ORDENES'!$V1111))</f>
        <v/>
      </c>
      <c r="E1133" s="3">
        <f>IF('ORDENES'!$A1111="","",IF('ORDENES'!$U1111="","-",'ORDENES'!$U1111))</f>
        <v/>
      </c>
      <c r="F1133" s="3">
        <f>IF('ORDENES'!$A1111="","",IF('ORDENES'!$W1111="","-",'ORDENES'!$W1111))</f>
        <v/>
      </c>
      <c r="G1133" s="3">
        <f>IF('ORDENES'!$A1111="","",IF('ORDENES'!$AB1111="","-",'ORDENES'!$AB1111))</f>
        <v/>
      </c>
      <c r="H1133" s="3">
        <f>IF('ORDENES'!$A1111="","",IF('ORDENES'!$AN1111="","-",'ORDENES'!$AN1111))</f>
        <v/>
      </c>
      <c r="I1133" s="3">
        <f>IF('ORDENES'!$A1111="","",IF('ORDENES'!$D1111="","-",'ORDENES'!$D1111))</f>
        <v/>
      </c>
      <c r="J1133" s="3">
        <f>IF('ORDENES'!$A1111="","",IF('ORDENES'!$E1111="","-",'ORDENES'!$E1111))</f>
        <v/>
      </c>
      <c r="K1133" s="12">
        <f>IF('ORDENES'!$A1111="","",IF('ORDENES'!$M1111="",0,'ORDENES'!$M1111))</f>
        <v/>
      </c>
      <c r="L1133" s="3">
        <f>IF('ORDENES'!$A1111="","",IF('ORDENES'!$N1111="","-",'ORDENES'!$N1111))</f>
        <v/>
      </c>
      <c r="M1133" s="3">
        <f>IF('ORDENES'!$A1111="","",'ORDENES'!$AA1111)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IF('ORDENES'!$A1112="","",IF('ORDENES'!$AC1112="","-",'ORDENES'!$AC1112))</f>
        <v/>
      </c>
      <c r="D1134" s="3">
        <f>IF('ORDENES'!$A1112="","",IF('ORDENES'!$V1112="","-",'ORDENES'!$V1112))</f>
        <v/>
      </c>
      <c r="E1134" s="3">
        <f>IF('ORDENES'!$A1112="","",IF('ORDENES'!$U1112="","-",'ORDENES'!$U1112))</f>
        <v/>
      </c>
      <c r="F1134" s="3">
        <f>IF('ORDENES'!$A1112="","",IF('ORDENES'!$W1112="","-",'ORDENES'!$W1112))</f>
        <v/>
      </c>
      <c r="G1134" s="3">
        <f>IF('ORDENES'!$A1112="","",IF('ORDENES'!$AB1112="","-",'ORDENES'!$AB1112))</f>
        <v/>
      </c>
      <c r="H1134" s="3">
        <f>IF('ORDENES'!$A1112="","",IF('ORDENES'!$AN1112="","-",'ORDENES'!$AN1112))</f>
        <v/>
      </c>
      <c r="I1134" s="3">
        <f>IF('ORDENES'!$A1112="","",IF('ORDENES'!$D1112="","-",'ORDENES'!$D1112))</f>
        <v/>
      </c>
      <c r="J1134" s="3">
        <f>IF('ORDENES'!$A1112="","",IF('ORDENES'!$E1112="","-",'ORDENES'!$E1112))</f>
        <v/>
      </c>
      <c r="K1134" s="12">
        <f>IF('ORDENES'!$A1112="","",IF('ORDENES'!$M1112="",0,'ORDENES'!$M1112))</f>
        <v/>
      </c>
      <c r="L1134" s="3">
        <f>IF('ORDENES'!$A1112="","",IF('ORDENES'!$N1112="","-",'ORDENES'!$N1112))</f>
        <v/>
      </c>
      <c r="M1134" s="3">
        <f>IF('ORDENES'!$A1112="","",'ORDENES'!$AA1112)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IF('ORDENES'!$A1113="","",IF('ORDENES'!$AC1113="","-",'ORDENES'!$AC1113))</f>
        <v/>
      </c>
      <c r="D1135" s="3">
        <f>IF('ORDENES'!$A1113="","",IF('ORDENES'!$V1113="","-",'ORDENES'!$V1113))</f>
        <v/>
      </c>
      <c r="E1135" s="3">
        <f>IF('ORDENES'!$A1113="","",IF('ORDENES'!$U1113="","-",'ORDENES'!$U1113))</f>
        <v/>
      </c>
      <c r="F1135" s="3">
        <f>IF('ORDENES'!$A1113="","",IF('ORDENES'!$W1113="","-",'ORDENES'!$W1113))</f>
        <v/>
      </c>
      <c r="G1135" s="3">
        <f>IF('ORDENES'!$A1113="","",IF('ORDENES'!$AB1113="","-",'ORDENES'!$AB1113))</f>
        <v/>
      </c>
      <c r="H1135" s="3">
        <f>IF('ORDENES'!$A1113="","",IF('ORDENES'!$AN1113="","-",'ORDENES'!$AN1113))</f>
        <v/>
      </c>
      <c r="I1135" s="3">
        <f>IF('ORDENES'!$A1113="","",IF('ORDENES'!$D1113="","-",'ORDENES'!$D1113))</f>
        <v/>
      </c>
      <c r="J1135" s="3">
        <f>IF('ORDENES'!$A1113="","",IF('ORDENES'!$E1113="","-",'ORDENES'!$E1113))</f>
        <v/>
      </c>
      <c r="K1135" s="12">
        <f>IF('ORDENES'!$A1113="","",IF('ORDENES'!$M1113="",0,'ORDENES'!$M1113))</f>
        <v/>
      </c>
      <c r="L1135" s="3">
        <f>IF('ORDENES'!$A1113="","",IF('ORDENES'!$N1113="","-",'ORDENES'!$N1113))</f>
        <v/>
      </c>
      <c r="M1135" s="3">
        <f>IF('ORDENES'!$A1113="","",'ORDENES'!$AA1113)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IF('ORDENES'!$A1114="","",IF('ORDENES'!$AC1114="","-",'ORDENES'!$AC1114))</f>
        <v/>
      </c>
      <c r="D1136" s="3">
        <f>IF('ORDENES'!$A1114="","",IF('ORDENES'!$V1114="","-",'ORDENES'!$V1114))</f>
        <v/>
      </c>
      <c r="E1136" s="3">
        <f>IF('ORDENES'!$A1114="","",IF('ORDENES'!$U1114="","-",'ORDENES'!$U1114))</f>
        <v/>
      </c>
      <c r="F1136" s="3">
        <f>IF('ORDENES'!$A1114="","",IF('ORDENES'!$W1114="","-",'ORDENES'!$W1114))</f>
        <v/>
      </c>
      <c r="G1136" s="3">
        <f>IF('ORDENES'!$A1114="","",IF('ORDENES'!$AB1114="","-",'ORDENES'!$AB1114))</f>
        <v/>
      </c>
      <c r="H1136" s="3">
        <f>IF('ORDENES'!$A1114="","",IF('ORDENES'!$AN1114="","-",'ORDENES'!$AN1114))</f>
        <v/>
      </c>
      <c r="I1136" s="3">
        <f>IF('ORDENES'!$A1114="","",IF('ORDENES'!$D1114="","-",'ORDENES'!$D1114))</f>
        <v/>
      </c>
      <c r="J1136" s="3">
        <f>IF('ORDENES'!$A1114="","",IF('ORDENES'!$E1114="","-",'ORDENES'!$E1114))</f>
        <v/>
      </c>
      <c r="K1136" s="12">
        <f>IF('ORDENES'!$A1114="","",IF('ORDENES'!$M1114="",0,'ORDENES'!$M1114))</f>
        <v/>
      </c>
      <c r="L1136" s="3">
        <f>IF('ORDENES'!$A1114="","",IF('ORDENES'!$N1114="","-",'ORDENES'!$N1114))</f>
        <v/>
      </c>
      <c r="M1136" s="3">
        <f>IF('ORDENES'!$A1114="","",'ORDENES'!$AA1114)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IF('ORDENES'!$A1115="","",IF('ORDENES'!$AC1115="","-",'ORDENES'!$AC1115))</f>
        <v/>
      </c>
      <c r="D1137" s="3">
        <f>IF('ORDENES'!$A1115="","",IF('ORDENES'!$V1115="","-",'ORDENES'!$V1115))</f>
        <v/>
      </c>
      <c r="E1137" s="3">
        <f>IF('ORDENES'!$A1115="","",IF('ORDENES'!$U1115="","-",'ORDENES'!$U1115))</f>
        <v/>
      </c>
      <c r="F1137" s="3">
        <f>IF('ORDENES'!$A1115="","",IF('ORDENES'!$W1115="","-",'ORDENES'!$W1115))</f>
        <v/>
      </c>
      <c r="G1137" s="3">
        <f>IF('ORDENES'!$A1115="","",IF('ORDENES'!$AB1115="","-",'ORDENES'!$AB1115))</f>
        <v/>
      </c>
      <c r="H1137" s="3">
        <f>IF('ORDENES'!$A1115="","",IF('ORDENES'!$AN1115="","-",'ORDENES'!$AN1115))</f>
        <v/>
      </c>
      <c r="I1137" s="3">
        <f>IF('ORDENES'!$A1115="","",IF('ORDENES'!$D1115="","-",'ORDENES'!$D1115))</f>
        <v/>
      </c>
      <c r="J1137" s="3">
        <f>IF('ORDENES'!$A1115="","",IF('ORDENES'!$E1115="","-",'ORDENES'!$E1115))</f>
        <v/>
      </c>
      <c r="K1137" s="12">
        <f>IF('ORDENES'!$A1115="","",IF('ORDENES'!$M1115="",0,'ORDENES'!$M1115))</f>
        <v/>
      </c>
      <c r="L1137" s="3">
        <f>IF('ORDENES'!$A1115="","",IF('ORDENES'!$N1115="","-",'ORDENES'!$N1115))</f>
        <v/>
      </c>
      <c r="M1137" s="3">
        <f>IF('ORDENES'!$A1115="","",'ORDENES'!$AA1115)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IF('ORDENES'!$A1116="","",IF('ORDENES'!$AC1116="","-",'ORDENES'!$AC1116))</f>
        <v/>
      </c>
      <c r="D1138" s="3">
        <f>IF('ORDENES'!$A1116="","",IF('ORDENES'!$V1116="","-",'ORDENES'!$V1116))</f>
        <v/>
      </c>
      <c r="E1138" s="3">
        <f>IF('ORDENES'!$A1116="","",IF('ORDENES'!$U1116="","-",'ORDENES'!$U1116))</f>
        <v/>
      </c>
      <c r="F1138" s="3">
        <f>IF('ORDENES'!$A1116="","",IF('ORDENES'!$W1116="","-",'ORDENES'!$W1116))</f>
        <v/>
      </c>
      <c r="G1138" s="3">
        <f>IF('ORDENES'!$A1116="","",IF('ORDENES'!$AB1116="","-",'ORDENES'!$AB1116))</f>
        <v/>
      </c>
      <c r="H1138" s="3">
        <f>IF('ORDENES'!$A1116="","",IF('ORDENES'!$AN1116="","-",'ORDENES'!$AN1116))</f>
        <v/>
      </c>
      <c r="I1138" s="3">
        <f>IF('ORDENES'!$A1116="","",IF('ORDENES'!$D1116="","-",'ORDENES'!$D1116))</f>
        <v/>
      </c>
      <c r="J1138" s="3">
        <f>IF('ORDENES'!$A1116="","",IF('ORDENES'!$E1116="","-",'ORDENES'!$E1116))</f>
        <v/>
      </c>
      <c r="K1138" s="12">
        <f>IF('ORDENES'!$A1116="","",IF('ORDENES'!$M1116="",0,'ORDENES'!$M1116))</f>
        <v/>
      </c>
      <c r="L1138" s="3">
        <f>IF('ORDENES'!$A1116="","",IF('ORDENES'!$N1116="","-",'ORDENES'!$N1116))</f>
        <v/>
      </c>
      <c r="M1138" s="3">
        <f>IF('ORDENES'!$A1116="","",'ORDENES'!$AA1116)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IF('ORDENES'!$A1117="","",IF('ORDENES'!$AC1117="","-",'ORDENES'!$AC1117))</f>
        <v/>
      </c>
      <c r="D1139" s="3">
        <f>IF('ORDENES'!$A1117="","",IF('ORDENES'!$V1117="","-",'ORDENES'!$V1117))</f>
        <v/>
      </c>
      <c r="E1139" s="3">
        <f>IF('ORDENES'!$A1117="","",IF('ORDENES'!$U1117="","-",'ORDENES'!$U1117))</f>
        <v/>
      </c>
      <c r="F1139" s="3">
        <f>IF('ORDENES'!$A1117="","",IF('ORDENES'!$W1117="","-",'ORDENES'!$W1117))</f>
        <v/>
      </c>
      <c r="G1139" s="3">
        <f>IF('ORDENES'!$A1117="","",IF('ORDENES'!$AB1117="","-",'ORDENES'!$AB1117))</f>
        <v/>
      </c>
      <c r="H1139" s="3">
        <f>IF('ORDENES'!$A1117="","",IF('ORDENES'!$AN1117="","-",'ORDENES'!$AN1117))</f>
        <v/>
      </c>
      <c r="I1139" s="3">
        <f>IF('ORDENES'!$A1117="","",IF('ORDENES'!$D1117="","-",'ORDENES'!$D1117))</f>
        <v/>
      </c>
      <c r="J1139" s="3">
        <f>IF('ORDENES'!$A1117="","",IF('ORDENES'!$E1117="","-",'ORDENES'!$E1117))</f>
        <v/>
      </c>
      <c r="K1139" s="12">
        <f>IF('ORDENES'!$A1117="","",IF('ORDENES'!$M1117="",0,'ORDENES'!$M1117))</f>
        <v/>
      </c>
      <c r="L1139" s="3">
        <f>IF('ORDENES'!$A1117="","",IF('ORDENES'!$N1117="","-",'ORDENES'!$N1117))</f>
        <v/>
      </c>
      <c r="M1139" s="3">
        <f>IF('ORDENES'!$A1117="","",'ORDENES'!$AA1117)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IF('ORDENES'!$A1118="","",IF('ORDENES'!$AC1118="","-",'ORDENES'!$AC1118))</f>
        <v/>
      </c>
      <c r="D1140" s="3">
        <f>IF('ORDENES'!$A1118="","",IF('ORDENES'!$V1118="","-",'ORDENES'!$V1118))</f>
        <v/>
      </c>
      <c r="E1140" s="3">
        <f>IF('ORDENES'!$A1118="","",IF('ORDENES'!$U1118="","-",'ORDENES'!$U1118))</f>
        <v/>
      </c>
      <c r="F1140" s="3">
        <f>IF('ORDENES'!$A1118="","",IF('ORDENES'!$W1118="","-",'ORDENES'!$W1118))</f>
        <v/>
      </c>
      <c r="G1140" s="3">
        <f>IF('ORDENES'!$A1118="","",IF('ORDENES'!$AB1118="","-",'ORDENES'!$AB1118))</f>
        <v/>
      </c>
      <c r="H1140" s="3">
        <f>IF('ORDENES'!$A1118="","",IF('ORDENES'!$AN1118="","-",'ORDENES'!$AN1118))</f>
        <v/>
      </c>
      <c r="I1140" s="3">
        <f>IF('ORDENES'!$A1118="","",IF('ORDENES'!$D1118="","-",'ORDENES'!$D1118))</f>
        <v/>
      </c>
      <c r="J1140" s="3">
        <f>IF('ORDENES'!$A1118="","",IF('ORDENES'!$E1118="","-",'ORDENES'!$E1118))</f>
        <v/>
      </c>
      <c r="K1140" s="12">
        <f>IF('ORDENES'!$A1118="","",IF('ORDENES'!$M1118="",0,'ORDENES'!$M1118))</f>
        <v/>
      </c>
      <c r="L1140" s="3">
        <f>IF('ORDENES'!$A1118="","",IF('ORDENES'!$N1118="","-",'ORDENES'!$N1118))</f>
        <v/>
      </c>
      <c r="M1140" s="3">
        <f>IF('ORDENES'!$A1118="","",'ORDENES'!$AA1118)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IF('ORDENES'!$A1119="","",IF('ORDENES'!$AC1119="","-",'ORDENES'!$AC1119))</f>
        <v/>
      </c>
      <c r="D1141" s="3">
        <f>IF('ORDENES'!$A1119="","",IF('ORDENES'!$V1119="","-",'ORDENES'!$V1119))</f>
        <v/>
      </c>
      <c r="E1141" s="3">
        <f>IF('ORDENES'!$A1119="","",IF('ORDENES'!$U1119="","-",'ORDENES'!$U1119))</f>
        <v/>
      </c>
      <c r="F1141" s="3">
        <f>IF('ORDENES'!$A1119="","",IF('ORDENES'!$W1119="","-",'ORDENES'!$W1119))</f>
        <v/>
      </c>
      <c r="G1141" s="3">
        <f>IF('ORDENES'!$A1119="","",IF('ORDENES'!$AB1119="","-",'ORDENES'!$AB1119))</f>
        <v/>
      </c>
      <c r="H1141" s="3">
        <f>IF('ORDENES'!$A1119="","",IF('ORDENES'!$AN1119="","-",'ORDENES'!$AN1119))</f>
        <v/>
      </c>
      <c r="I1141" s="3">
        <f>IF('ORDENES'!$A1119="","",IF('ORDENES'!$D1119="","-",'ORDENES'!$D1119))</f>
        <v/>
      </c>
      <c r="J1141" s="3">
        <f>IF('ORDENES'!$A1119="","",IF('ORDENES'!$E1119="","-",'ORDENES'!$E1119))</f>
        <v/>
      </c>
      <c r="K1141" s="12">
        <f>IF('ORDENES'!$A1119="","",IF('ORDENES'!$M1119="",0,'ORDENES'!$M1119))</f>
        <v/>
      </c>
      <c r="L1141" s="3">
        <f>IF('ORDENES'!$A1119="","",IF('ORDENES'!$N1119="","-",'ORDENES'!$N1119))</f>
        <v/>
      </c>
      <c r="M1141" s="3">
        <f>IF('ORDENES'!$A1119="","",'ORDENES'!$AA1119)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IF('ORDENES'!$A1120="","",IF('ORDENES'!$AC1120="","-",'ORDENES'!$AC1120))</f>
        <v/>
      </c>
      <c r="D1142" s="3">
        <f>IF('ORDENES'!$A1120="","",IF('ORDENES'!$V1120="","-",'ORDENES'!$V1120))</f>
        <v/>
      </c>
      <c r="E1142" s="3">
        <f>IF('ORDENES'!$A1120="","",IF('ORDENES'!$U1120="","-",'ORDENES'!$U1120))</f>
        <v/>
      </c>
      <c r="F1142" s="3">
        <f>IF('ORDENES'!$A1120="","",IF('ORDENES'!$W1120="","-",'ORDENES'!$W1120))</f>
        <v/>
      </c>
      <c r="G1142" s="3">
        <f>IF('ORDENES'!$A1120="","",IF('ORDENES'!$AB1120="","-",'ORDENES'!$AB1120))</f>
        <v/>
      </c>
      <c r="H1142" s="3">
        <f>IF('ORDENES'!$A1120="","",IF('ORDENES'!$AN1120="","-",'ORDENES'!$AN1120))</f>
        <v/>
      </c>
      <c r="I1142" s="3">
        <f>IF('ORDENES'!$A1120="","",IF('ORDENES'!$D1120="","-",'ORDENES'!$D1120))</f>
        <v/>
      </c>
      <c r="J1142" s="3">
        <f>IF('ORDENES'!$A1120="","",IF('ORDENES'!$E1120="","-",'ORDENES'!$E1120))</f>
        <v/>
      </c>
      <c r="K1142" s="12">
        <f>IF('ORDENES'!$A1120="","",IF('ORDENES'!$M1120="",0,'ORDENES'!$M1120))</f>
        <v/>
      </c>
      <c r="L1142" s="3">
        <f>IF('ORDENES'!$A1120="","",IF('ORDENES'!$N1120="","-",'ORDENES'!$N1120))</f>
        <v/>
      </c>
      <c r="M1142" s="3">
        <f>IF('ORDENES'!$A1120="","",'ORDENES'!$AA1120)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IF('ORDENES'!$A1121="","",IF('ORDENES'!$AC1121="","-",'ORDENES'!$AC1121))</f>
        <v/>
      </c>
      <c r="D1143" s="3">
        <f>IF('ORDENES'!$A1121="","",IF('ORDENES'!$V1121="","-",'ORDENES'!$V1121))</f>
        <v/>
      </c>
      <c r="E1143" s="3">
        <f>IF('ORDENES'!$A1121="","",IF('ORDENES'!$U1121="","-",'ORDENES'!$U1121))</f>
        <v/>
      </c>
      <c r="F1143" s="3">
        <f>IF('ORDENES'!$A1121="","",IF('ORDENES'!$W1121="","-",'ORDENES'!$W1121))</f>
        <v/>
      </c>
      <c r="G1143" s="3">
        <f>IF('ORDENES'!$A1121="","",IF('ORDENES'!$AB1121="","-",'ORDENES'!$AB1121))</f>
        <v/>
      </c>
      <c r="H1143" s="3">
        <f>IF('ORDENES'!$A1121="","",IF('ORDENES'!$AN1121="","-",'ORDENES'!$AN1121))</f>
        <v/>
      </c>
      <c r="I1143" s="3">
        <f>IF('ORDENES'!$A1121="","",IF('ORDENES'!$D1121="","-",'ORDENES'!$D1121))</f>
        <v/>
      </c>
      <c r="J1143" s="3">
        <f>IF('ORDENES'!$A1121="","",IF('ORDENES'!$E1121="","-",'ORDENES'!$E1121))</f>
        <v/>
      </c>
      <c r="K1143" s="12">
        <f>IF('ORDENES'!$A1121="","",IF('ORDENES'!$M1121="",0,'ORDENES'!$M1121))</f>
        <v/>
      </c>
      <c r="L1143" s="3">
        <f>IF('ORDENES'!$A1121="","",IF('ORDENES'!$N1121="","-",'ORDENES'!$N1121))</f>
        <v/>
      </c>
      <c r="M1143" s="3">
        <f>IF('ORDENES'!$A1121="","",'ORDENES'!$AA1121)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IF('ORDENES'!$A1122="","",IF('ORDENES'!$AC1122="","-",'ORDENES'!$AC1122))</f>
        <v/>
      </c>
      <c r="D1144" s="3">
        <f>IF('ORDENES'!$A1122="","",IF('ORDENES'!$V1122="","-",'ORDENES'!$V1122))</f>
        <v/>
      </c>
      <c r="E1144" s="3">
        <f>IF('ORDENES'!$A1122="","",IF('ORDENES'!$U1122="","-",'ORDENES'!$U1122))</f>
        <v/>
      </c>
      <c r="F1144" s="3">
        <f>IF('ORDENES'!$A1122="","",IF('ORDENES'!$W1122="","-",'ORDENES'!$W1122))</f>
        <v/>
      </c>
      <c r="G1144" s="3">
        <f>IF('ORDENES'!$A1122="","",IF('ORDENES'!$AB1122="","-",'ORDENES'!$AB1122))</f>
        <v/>
      </c>
      <c r="H1144" s="3">
        <f>IF('ORDENES'!$A1122="","",IF('ORDENES'!$AN1122="","-",'ORDENES'!$AN1122))</f>
        <v/>
      </c>
      <c r="I1144" s="3">
        <f>IF('ORDENES'!$A1122="","",IF('ORDENES'!$D1122="","-",'ORDENES'!$D1122))</f>
        <v/>
      </c>
      <c r="J1144" s="3">
        <f>IF('ORDENES'!$A1122="","",IF('ORDENES'!$E1122="","-",'ORDENES'!$E1122))</f>
        <v/>
      </c>
      <c r="K1144" s="12">
        <f>IF('ORDENES'!$A1122="","",IF('ORDENES'!$M1122="",0,'ORDENES'!$M1122))</f>
        <v/>
      </c>
      <c r="L1144" s="3">
        <f>IF('ORDENES'!$A1122="","",IF('ORDENES'!$N1122="","-",'ORDENES'!$N1122))</f>
        <v/>
      </c>
      <c r="M1144" s="3">
        <f>IF('ORDENES'!$A1122="","",'ORDENES'!$AA1122)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IF('ORDENES'!$A1123="","",IF('ORDENES'!$AC1123="","-",'ORDENES'!$AC1123))</f>
        <v/>
      </c>
      <c r="D1145" s="3">
        <f>IF('ORDENES'!$A1123="","",IF('ORDENES'!$V1123="","-",'ORDENES'!$V1123))</f>
        <v/>
      </c>
      <c r="E1145" s="3">
        <f>IF('ORDENES'!$A1123="","",IF('ORDENES'!$U1123="","-",'ORDENES'!$U1123))</f>
        <v/>
      </c>
      <c r="F1145" s="3">
        <f>IF('ORDENES'!$A1123="","",IF('ORDENES'!$W1123="","-",'ORDENES'!$W1123))</f>
        <v/>
      </c>
      <c r="G1145" s="3">
        <f>IF('ORDENES'!$A1123="","",IF('ORDENES'!$AB1123="","-",'ORDENES'!$AB1123))</f>
        <v/>
      </c>
      <c r="H1145" s="3">
        <f>IF('ORDENES'!$A1123="","",IF('ORDENES'!$AN1123="","-",'ORDENES'!$AN1123))</f>
        <v/>
      </c>
      <c r="I1145" s="3">
        <f>IF('ORDENES'!$A1123="","",IF('ORDENES'!$D1123="","-",'ORDENES'!$D1123))</f>
        <v/>
      </c>
      <c r="J1145" s="3">
        <f>IF('ORDENES'!$A1123="","",IF('ORDENES'!$E1123="","-",'ORDENES'!$E1123))</f>
        <v/>
      </c>
      <c r="K1145" s="12">
        <f>IF('ORDENES'!$A1123="","",IF('ORDENES'!$M1123="",0,'ORDENES'!$M1123))</f>
        <v/>
      </c>
      <c r="L1145" s="3">
        <f>IF('ORDENES'!$A1123="","",IF('ORDENES'!$N1123="","-",'ORDENES'!$N1123))</f>
        <v/>
      </c>
      <c r="M1145" s="3">
        <f>IF('ORDENES'!$A1123="","",'ORDENES'!$AA1123)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IF('ORDENES'!$A1124="","",IF('ORDENES'!$AC1124="","-",'ORDENES'!$AC1124))</f>
        <v/>
      </c>
      <c r="D1146" s="3">
        <f>IF('ORDENES'!$A1124="","",IF('ORDENES'!$V1124="","-",'ORDENES'!$V1124))</f>
        <v/>
      </c>
      <c r="E1146" s="3">
        <f>IF('ORDENES'!$A1124="","",IF('ORDENES'!$U1124="","-",'ORDENES'!$U1124))</f>
        <v/>
      </c>
      <c r="F1146" s="3">
        <f>IF('ORDENES'!$A1124="","",IF('ORDENES'!$W1124="","-",'ORDENES'!$W1124))</f>
        <v/>
      </c>
      <c r="G1146" s="3">
        <f>IF('ORDENES'!$A1124="","",IF('ORDENES'!$AB1124="","-",'ORDENES'!$AB1124))</f>
        <v/>
      </c>
      <c r="H1146" s="3">
        <f>IF('ORDENES'!$A1124="","",IF('ORDENES'!$AN1124="","-",'ORDENES'!$AN1124))</f>
        <v/>
      </c>
      <c r="I1146" s="3">
        <f>IF('ORDENES'!$A1124="","",IF('ORDENES'!$D1124="","-",'ORDENES'!$D1124))</f>
        <v/>
      </c>
      <c r="J1146" s="3">
        <f>IF('ORDENES'!$A1124="","",IF('ORDENES'!$E1124="","-",'ORDENES'!$E1124))</f>
        <v/>
      </c>
      <c r="K1146" s="12">
        <f>IF('ORDENES'!$A1124="","",IF('ORDENES'!$M1124="",0,'ORDENES'!$M1124))</f>
        <v/>
      </c>
      <c r="L1146" s="3">
        <f>IF('ORDENES'!$A1124="","",IF('ORDENES'!$N1124="","-",'ORDENES'!$N1124))</f>
        <v/>
      </c>
      <c r="M1146" s="3">
        <f>IF('ORDENES'!$A1124="","",'ORDENES'!$AA1124)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IF('ORDENES'!$A1125="","",IF('ORDENES'!$AC1125="","-",'ORDENES'!$AC1125))</f>
        <v/>
      </c>
      <c r="D1147" s="3">
        <f>IF('ORDENES'!$A1125="","",IF('ORDENES'!$V1125="","-",'ORDENES'!$V1125))</f>
        <v/>
      </c>
      <c r="E1147" s="3">
        <f>IF('ORDENES'!$A1125="","",IF('ORDENES'!$U1125="","-",'ORDENES'!$U1125))</f>
        <v/>
      </c>
      <c r="F1147" s="3">
        <f>IF('ORDENES'!$A1125="","",IF('ORDENES'!$W1125="","-",'ORDENES'!$W1125))</f>
        <v/>
      </c>
      <c r="G1147" s="3">
        <f>IF('ORDENES'!$A1125="","",IF('ORDENES'!$AB1125="","-",'ORDENES'!$AB1125))</f>
        <v/>
      </c>
      <c r="H1147" s="3">
        <f>IF('ORDENES'!$A1125="","",IF('ORDENES'!$AN1125="","-",'ORDENES'!$AN1125))</f>
        <v/>
      </c>
      <c r="I1147" s="3">
        <f>IF('ORDENES'!$A1125="","",IF('ORDENES'!$D1125="","-",'ORDENES'!$D1125))</f>
        <v/>
      </c>
      <c r="J1147" s="3">
        <f>IF('ORDENES'!$A1125="","",IF('ORDENES'!$E1125="","-",'ORDENES'!$E1125))</f>
        <v/>
      </c>
      <c r="K1147" s="12">
        <f>IF('ORDENES'!$A1125="","",IF('ORDENES'!$M1125="",0,'ORDENES'!$M1125))</f>
        <v/>
      </c>
      <c r="L1147" s="3">
        <f>IF('ORDENES'!$A1125="","",IF('ORDENES'!$N1125="","-",'ORDENES'!$N1125))</f>
        <v/>
      </c>
      <c r="M1147" s="3">
        <f>IF('ORDENES'!$A1125="","",'ORDENES'!$AA1125)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IF('ORDENES'!$A1126="","",IF('ORDENES'!$AC1126="","-",'ORDENES'!$AC1126))</f>
        <v/>
      </c>
      <c r="D1148" s="3">
        <f>IF('ORDENES'!$A1126="","",IF('ORDENES'!$V1126="","-",'ORDENES'!$V1126))</f>
        <v/>
      </c>
      <c r="E1148" s="3">
        <f>IF('ORDENES'!$A1126="","",IF('ORDENES'!$U1126="","-",'ORDENES'!$U1126))</f>
        <v/>
      </c>
      <c r="F1148" s="3">
        <f>IF('ORDENES'!$A1126="","",IF('ORDENES'!$W1126="","-",'ORDENES'!$W1126))</f>
        <v/>
      </c>
      <c r="G1148" s="3">
        <f>IF('ORDENES'!$A1126="","",IF('ORDENES'!$AB1126="","-",'ORDENES'!$AB1126))</f>
        <v/>
      </c>
      <c r="H1148" s="3">
        <f>IF('ORDENES'!$A1126="","",IF('ORDENES'!$AN1126="","-",'ORDENES'!$AN1126))</f>
        <v/>
      </c>
      <c r="I1148" s="3">
        <f>IF('ORDENES'!$A1126="","",IF('ORDENES'!$D1126="","-",'ORDENES'!$D1126))</f>
        <v/>
      </c>
      <c r="J1148" s="3">
        <f>IF('ORDENES'!$A1126="","",IF('ORDENES'!$E1126="","-",'ORDENES'!$E1126))</f>
        <v/>
      </c>
      <c r="K1148" s="12">
        <f>IF('ORDENES'!$A1126="","",IF('ORDENES'!$M1126="",0,'ORDENES'!$M1126))</f>
        <v/>
      </c>
      <c r="L1148" s="3">
        <f>IF('ORDENES'!$A1126="","",IF('ORDENES'!$N1126="","-",'ORDENES'!$N1126))</f>
        <v/>
      </c>
      <c r="M1148" s="3">
        <f>IF('ORDENES'!$A1126="","",'ORDENES'!$AA1126)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IF('ORDENES'!$A1127="","",IF('ORDENES'!$AC1127="","-",'ORDENES'!$AC1127))</f>
        <v/>
      </c>
      <c r="D1149" s="3">
        <f>IF('ORDENES'!$A1127="","",IF('ORDENES'!$V1127="","-",'ORDENES'!$V1127))</f>
        <v/>
      </c>
      <c r="E1149" s="3">
        <f>IF('ORDENES'!$A1127="","",IF('ORDENES'!$U1127="","-",'ORDENES'!$U1127))</f>
        <v/>
      </c>
      <c r="F1149" s="3">
        <f>IF('ORDENES'!$A1127="","",IF('ORDENES'!$W1127="","-",'ORDENES'!$W1127))</f>
        <v/>
      </c>
      <c r="G1149" s="3">
        <f>IF('ORDENES'!$A1127="","",IF('ORDENES'!$AB1127="","-",'ORDENES'!$AB1127))</f>
        <v/>
      </c>
      <c r="H1149" s="3">
        <f>IF('ORDENES'!$A1127="","",IF('ORDENES'!$AN1127="","-",'ORDENES'!$AN1127))</f>
        <v/>
      </c>
      <c r="I1149" s="3">
        <f>IF('ORDENES'!$A1127="","",IF('ORDENES'!$D1127="","-",'ORDENES'!$D1127))</f>
        <v/>
      </c>
      <c r="J1149" s="3">
        <f>IF('ORDENES'!$A1127="","",IF('ORDENES'!$E1127="","-",'ORDENES'!$E1127))</f>
        <v/>
      </c>
      <c r="K1149" s="12">
        <f>IF('ORDENES'!$A1127="","",IF('ORDENES'!$M1127="",0,'ORDENES'!$M1127))</f>
        <v/>
      </c>
      <c r="L1149" s="3">
        <f>IF('ORDENES'!$A1127="","",IF('ORDENES'!$N1127="","-",'ORDENES'!$N1127))</f>
        <v/>
      </c>
      <c r="M1149" s="3">
        <f>IF('ORDENES'!$A1127="","",'ORDENES'!$AA1127)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IF('ORDENES'!$A1128="","",IF('ORDENES'!$AC1128="","-",'ORDENES'!$AC1128))</f>
        <v/>
      </c>
      <c r="D1150" s="3">
        <f>IF('ORDENES'!$A1128="","",IF('ORDENES'!$V1128="","-",'ORDENES'!$V1128))</f>
        <v/>
      </c>
      <c r="E1150" s="3">
        <f>IF('ORDENES'!$A1128="","",IF('ORDENES'!$U1128="","-",'ORDENES'!$U1128))</f>
        <v/>
      </c>
      <c r="F1150" s="3">
        <f>IF('ORDENES'!$A1128="","",IF('ORDENES'!$W1128="","-",'ORDENES'!$W1128))</f>
        <v/>
      </c>
      <c r="G1150" s="3">
        <f>IF('ORDENES'!$A1128="","",IF('ORDENES'!$AB1128="","-",'ORDENES'!$AB1128))</f>
        <v/>
      </c>
      <c r="H1150" s="3">
        <f>IF('ORDENES'!$A1128="","",IF('ORDENES'!$AN1128="","-",'ORDENES'!$AN1128))</f>
        <v/>
      </c>
      <c r="I1150" s="3">
        <f>IF('ORDENES'!$A1128="","",IF('ORDENES'!$D1128="","-",'ORDENES'!$D1128))</f>
        <v/>
      </c>
      <c r="J1150" s="3">
        <f>IF('ORDENES'!$A1128="","",IF('ORDENES'!$E1128="","-",'ORDENES'!$E1128))</f>
        <v/>
      </c>
      <c r="K1150" s="12">
        <f>IF('ORDENES'!$A1128="","",IF('ORDENES'!$M1128="",0,'ORDENES'!$M1128))</f>
        <v/>
      </c>
      <c r="L1150" s="3">
        <f>IF('ORDENES'!$A1128="","",IF('ORDENES'!$N1128="","-",'ORDENES'!$N1128))</f>
        <v/>
      </c>
      <c r="M1150" s="3">
        <f>IF('ORDENES'!$A1128="","",'ORDENES'!$AA1128)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IF('ORDENES'!$A1129="","",IF('ORDENES'!$AC1129="","-",'ORDENES'!$AC1129))</f>
        <v/>
      </c>
      <c r="D1151" s="3">
        <f>IF('ORDENES'!$A1129="","",IF('ORDENES'!$V1129="","-",'ORDENES'!$V1129))</f>
        <v/>
      </c>
      <c r="E1151" s="3">
        <f>IF('ORDENES'!$A1129="","",IF('ORDENES'!$U1129="","-",'ORDENES'!$U1129))</f>
        <v/>
      </c>
      <c r="F1151" s="3">
        <f>IF('ORDENES'!$A1129="","",IF('ORDENES'!$W1129="","-",'ORDENES'!$W1129))</f>
        <v/>
      </c>
      <c r="G1151" s="3">
        <f>IF('ORDENES'!$A1129="","",IF('ORDENES'!$AB1129="","-",'ORDENES'!$AB1129))</f>
        <v/>
      </c>
      <c r="H1151" s="3">
        <f>IF('ORDENES'!$A1129="","",IF('ORDENES'!$AN1129="","-",'ORDENES'!$AN1129))</f>
        <v/>
      </c>
      <c r="I1151" s="3">
        <f>IF('ORDENES'!$A1129="","",IF('ORDENES'!$D1129="","-",'ORDENES'!$D1129))</f>
        <v/>
      </c>
      <c r="J1151" s="3">
        <f>IF('ORDENES'!$A1129="","",IF('ORDENES'!$E1129="","-",'ORDENES'!$E1129))</f>
        <v/>
      </c>
      <c r="K1151" s="12">
        <f>IF('ORDENES'!$A1129="","",IF('ORDENES'!$M1129="",0,'ORDENES'!$M1129))</f>
        <v/>
      </c>
      <c r="L1151" s="3">
        <f>IF('ORDENES'!$A1129="","",IF('ORDENES'!$N1129="","-",'ORDENES'!$N1129))</f>
        <v/>
      </c>
      <c r="M1151" s="3">
        <f>IF('ORDENES'!$A1129="","",'ORDENES'!$AA1129)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IF('ORDENES'!$A1130="","",IF('ORDENES'!$AC1130="","-",'ORDENES'!$AC1130))</f>
        <v/>
      </c>
      <c r="D1152" s="3">
        <f>IF('ORDENES'!$A1130="","",IF('ORDENES'!$V1130="","-",'ORDENES'!$V1130))</f>
        <v/>
      </c>
      <c r="E1152" s="3">
        <f>IF('ORDENES'!$A1130="","",IF('ORDENES'!$U1130="","-",'ORDENES'!$U1130))</f>
        <v/>
      </c>
      <c r="F1152" s="3">
        <f>IF('ORDENES'!$A1130="","",IF('ORDENES'!$W1130="","-",'ORDENES'!$W1130))</f>
        <v/>
      </c>
      <c r="G1152" s="3">
        <f>IF('ORDENES'!$A1130="","",IF('ORDENES'!$AB1130="","-",'ORDENES'!$AB1130))</f>
        <v/>
      </c>
      <c r="H1152" s="3">
        <f>IF('ORDENES'!$A1130="","",IF('ORDENES'!$AN1130="","-",'ORDENES'!$AN1130))</f>
        <v/>
      </c>
      <c r="I1152" s="3">
        <f>IF('ORDENES'!$A1130="","",IF('ORDENES'!$D1130="","-",'ORDENES'!$D1130))</f>
        <v/>
      </c>
      <c r="J1152" s="3">
        <f>IF('ORDENES'!$A1130="","",IF('ORDENES'!$E1130="","-",'ORDENES'!$E1130))</f>
        <v/>
      </c>
      <c r="K1152" s="12">
        <f>IF('ORDENES'!$A1130="","",IF('ORDENES'!$M1130="",0,'ORDENES'!$M1130))</f>
        <v/>
      </c>
      <c r="L1152" s="3">
        <f>IF('ORDENES'!$A1130="","",IF('ORDENES'!$N1130="","-",'ORDENES'!$N1130))</f>
        <v/>
      </c>
      <c r="M1152" s="3">
        <f>IF('ORDENES'!$A1130="","",'ORDENES'!$AA1130)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IF('ORDENES'!$A1131="","",IF('ORDENES'!$AC1131="","-",'ORDENES'!$AC1131))</f>
        <v/>
      </c>
      <c r="D1153" s="3">
        <f>IF('ORDENES'!$A1131="","",IF('ORDENES'!$V1131="","-",'ORDENES'!$V1131))</f>
        <v/>
      </c>
      <c r="E1153" s="3">
        <f>IF('ORDENES'!$A1131="","",IF('ORDENES'!$U1131="","-",'ORDENES'!$U1131))</f>
        <v/>
      </c>
      <c r="F1153" s="3">
        <f>IF('ORDENES'!$A1131="","",IF('ORDENES'!$W1131="","-",'ORDENES'!$W1131))</f>
        <v/>
      </c>
      <c r="G1153" s="3">
        <f>IF('ORDENES'!$A1131="","",IF('ORDENES'!$AB1131="","-",'ORDENES'!$AB1131))</f>
        <v/>
      </c>
      <c r="H1153" s="3">
        <f>IF('ORDENES'!$A1131="","",IF('ORDENES'!$AN1131="","-",'ORDENES'!$AN1131))</f>
        <v/>
      </c>
      <c r="I1153" s="3">
        <f>IF('ORDENES'!$A1131="","",IF('ORDENES'!$D1131="","-",'ORDENES'!$D1131))</f>
        <v/>
      </c>
      <c r="J1153" s="3">
        <f>IF('ORDENES'!$A1131="","",IF('ORDENES'!$E1131="","-",'ORDENES'!$E1131))</f>
        <v/>
      </c>
      <c r="K1153" s="12">
        <f>IF('ORDENES'!$A1131="","",IF('ORDENES'!$M1131="",0,'ORDENES'!$M1131))</f>
        <v/>
      </c>
      <c r="L1153" s="3">
        <f>IF('ORDENES'!$A1131="","",IF('ORDENES'!$N1131="","-",'ORDENES'!$N1131))</f>
        <v/>
      </c>
      <c r="M1153" s="3">
        <f>IF('ORDENES'!$A1131="","",'ORDENES'!$AA1131)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IF('ORDENES'!$A1132="","",IF('ORDENES'!$AC1132="","-",'ORDENES'!$AC1132))</f>
        <v/>
      </c>
      <c r="D1154" s="3">
        <f>IF('ORDENES'!$A1132="","",IF('ORDENES'!$V1132="","-",'ORDENES'!$V1132))</f>
        <v/>
      </c>
      <c r="E1154" s="3">
        <f>IF('ORDENES'!$A1132="","",IF('ORDENES'!$U1132="","-",'ORDENES'!$U1132))</f>
        <v/>
      </c>
      <c r="F1154" s="3">
        <f>IF('ORDENES'!$A1132="","",IF('ORDENES'!$W1132="","-",'ORDENES'!$W1132))</f>
        <v/>
      </c>
      <c r="G1154" s="3">
        <f>IF('ORDENES'!$A1132="","",IF('ORDENES'!$AB1132="","-",'ORDENES'!$AB1132))</f>
        <v/>
      </c>
      <c r="H1154" s="3">
        <f>IF('ORDENES'!$A1132="","",IF('ORDENES'!$AN1132="","-",'ORDENES'!$AN1132))</f>
        <v/>
      </c>
      <c r="I1154" s="3">
        <f>IF('ORDENES'!$A1132="","",IF('ORDENES'!$D1132="","-",'ORDENES'!$D1132))</f>
        <v/>
      </c>
      <c r="J1154" s="3">
        <f>IF('ORDENES'!$A1132="","",IF('ORDENES'!$E1132="","-",'ORDENES'!$E1132))</f>
        <v/>
      </c>
      <c r="K1154" s="12">
        <f>IF('ORDENES'!$A1132="","",IF('ORDENES'!$M1132="",0,'ORDENES'!$M1132))</f>
        <v/>
      </c>
      <c r="L1154" s="3">
        <f>IF('ORDENES'!$A1132="","",IF('ORDENES'!$N1132="","-",'ORDENES'!$N1132))</f>
        <v/>
      </c>
      <c r="M1154" s="3">
        <f>IF('ORDENES'!$A1132="","",'ORDENES'!$AA1132)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IF('ORDENES'!$A1133="","",IF('ORDENES'!$AC1133="","-",'ORDENES'!$AC1133))</f>
        <v/>
      </c>
      <c r="D1155" s="3">
        <f>IF('ORDENES'!$A1133="","",IF('ORDENES'!$V1133="","-",'ORDENES'!$V1133))</f>
        <v/>
      </c>
      <c r="E1155" s="3">
        <f>IF('ORDENES'!$A1133="","",IF('ORDENES'!$U1133="","-",'ORDENES'!$U1133))</f>
        <v/>
      </c>
      <c r="F1155" s="3">
        <f>IF('ORDENES'!$A1133="","",IF('ORDENES'!$W1133="","-",'ORDENES'!$W1133))</f>
        <v/>
      </c>
      <c r="G1155" s="3">
        <f>IF('ORDENES'!$A1133="","",IF('ORDENES'!$AB1133="","-",'ORDENES'!$AB1133))</f>
        <v/>
      </c>
      <c r="H1155" s="3">
        <f>IF('ORDENES'!$A1133="","",IF('ORDENES'!$AN1133="","-",'ORDENES'!$AN1133))</f>
        <v/>
      </c>
      <c r="I1155" s="3">
        <f>IF('ORDENES'!$A1133="","",IF('ORDENES'!$D1133="","-",'ORDENES'!$D1133))</f>
        <v/>
      </c>
      <c r="J1155" s="3">
        <f>IF('ORDENES'!$A1133="","",IF('ORDENES'!$E1133="","-",'ORDENES'!$E1133))</f>
        <v/>
      </c>
      <c r="K1155" s="12">
        <f>IF('ORDENES'!$A1133="","",IF('ORDENES'!$M1133="",0,'ORDENES'!$M1133))</f>
        <v/>
      </c>
      <c r="L1155" s="3">
        <f>IF('ORDENES'!$A1133="","",IF('ORDENES'!$N1133="","-",'ORDENES'!$N1133))</f>
        <v/>
      </c>
      <c r="M1155" s="3">
        <f>IF('ORDENES'!$A1133="","",'ORDENES'!$AA1133)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IF('ORDENES'!$A1134="","",IF('ORDENES'!$AC1134="","-",'ORDENES'!$AC1134))</f>
        <v/>
      </c>
      <c r="D1156" s="3">
        <f>IF('ORDENES'!$A1134="","",IF('ORDENES'!$V1134="","-",'ORDENES'!$V1134))</f>
        <v/>
      </c>
      <c r="E1156" s="3">
        <f>IF('ORDENES'!$A1134="","",IF('ORDENES'!$U1134="","-",'ORDENES'!$U1134))</f>
        <v/>
      </c>
      <c r="F1156" s="3">
        <f>IF('ORDENES'!$A1134="","",IF('ORDENES'!$W1134="","-",'ORDENES'!$W1134))</f>
        <v/>
      </c>
      <c r="G1156" s="3">
        <f>IF('ORDENES'!$A1134="","",IF('ORDENES'!$AB1134="","-",'ORDENES'!$AB1134))</f>
        <v/>
      </c>
      <c r="H1156" s="3">
        <f>IF('ORDENES'!$A1134="","",IF('ORDENES'!$AN1134="","-",'ORDENES'!$AN1134))</f>
        <v/>
      </c>
      <c r="I1156" s="3">
        <f>IF('ORDENES'!$A1134="","",IF('ORDENES'!$D1134="","-",'ORDENES'!$D1134))</f>
        <v/>
      </c>
      <c r="J1156" s="3">
        <f>IF('ORDENES'!$A1134="","",IF('ORDENES'!$E1134="","-",'ORDENES'!$E1134))</f>
        <v/>
      </c>
      <c r="K1156" s="12">
        <f>IF('ORDENES'!$A1134="","",IF('ORDENES'!$M1134="",0,'ORDENES'!$M1134))</f>
        <v/>
      </c>
      <c r="L1156" s="3">
        <f>IF('ORDENES'!$A1134="","",IF('ORDENES'!$N1134="","-",'ORDENES'!$N1134))</f>
        <v/>
      </c>
      <c r="M1156" s="3">
        <f>IF('ORDENES'!$A1134="","",'ORDENES'!$AA1134)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IF('ORDENES'!$A1135="","",IF('ORDENES'!$AC1135="","-",'ORDENES'!$AC1135))</f>
        <v/>
      </c>
      <c r="D1157" s="3">
        <f>IF('ORDENES'!$A1135="","",IF('ORDENES'!$V1135="","-",'ORDENES'!$V1135))</f>
        <v/>
      </c>
      <c r="E1157" s="3">
        <f>IF('ORDENES'!$A1135="","",IF('ORDENES'!$U1135="","-",'ORDENES'!$U1135))</f>
        <v/>
      </c>
      <c r="F1157" s="3">
        <f>IF('ORDENES'!$A1135="","",IF('ORDENES'!$W1135="","-",'ORDENES'!$W1135))</f>
        <v/>
      </c>
      <c r="G1157" s="3">
        <f>IF('ORDENES'!$A1135="","",IF('ORDENES'!$AB1135="","-",'ORDENES'!$AB1135))</f>
        <v/>
      </c>
      <c r="H1157" s="3">
        <f>IF('ORDENES'!$A1135="","",IF('ORDENES'!$AN1135="","-",'ORDENES'!$AN1135))</f>
        <v/>
      </c>
      <c r="I1157" s="3">
        <f>IF('ORDENES'!$A1135="","",IF('ORDENES'!$D1135="","-",'ORDENES'!$D1135))</f>
        <v/>
      </c>
      <c r="J1157" s="3">
        <f>IF('ORDENES'!$A1135="","",IF('ORDENES'!$E1135="","-",'ORDENES'!$E1135))</f>
        <v/>
      </c>
      <c r="K1157" s="12">
        <f>IF('ORDENES'!$A1135="","",IF('ORDENES'!$M1135="",0,'ORDENES'!$M1135))</f>
        <v/>
      </c>
      <c r="L1157" s="3">
        <f>IF('ORDENES'!$A1135="","",IF('ORDENES'!$N1135="","-",'ORDENES'!$N1135))</f>
        <v/>
      </c>
      <c r="M1157" s="3">
        <f>IF('ORDENES'!$A1135="","",'ORDENES'!$AA1135)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IF('ORDENES'!$A1136="","",IF('ORDENES'!$AC1136="","-",'ORDENES'!$AC1136))</f>
        <v/>
      </c>
      <c r="D1158" s="3">
        <f>IF('ORDENES'!$A1136="","",IF('ORDENES'!$V1136="","-",'ORDENES'!$V1136))</f>
        <v/>
      </c>
      <c r="E1158" s="3">
        <f>IF('ORDENES'!$A1136="","",IF('ORDENES'!$U1136="","-",'ORDENES'!$U1136))</f>
        <v/>
      </c>
      <c r="F1158" s="3">
        <f>IF('ORDENES'!$A1136="","",IF('ORDENES'!$W1136="","-",'ORDENES'!$W1136))</f>
        <v/>
      </c>
      <c r="G1158" s="3">
        <f>IF('ORDENES'!$A1136="","",IF('ORDENES'!$AB1136="","-",'ORDENES'!$AB1136))</f>
        <v/>
      </c>
      <c r="H1158" s="3">
        <f>IF('ORDENES'!$A1136="","",IF('ORDENES'!$AN1136="","-",'ORDENES'!$AN1136))</f>
        <v/>
      </c>
      <c r="I1158" s="3">
        <f>IF('ORDENES'!$A1136="","",IF('ORDENES'!$D1136="","-",'ORDENES'!$D1136))</f>
        <v/>
      </c>
      <c r="J1158" s="3">
        <f>IF('ORDENES'!$A1136="","",IF('ORDENES'!$E1136="","-",'ORDENES'!$E1136))</f>
        <v/>
      </c>
      <c r="K1158" s="12">
        <f>IF('ORDENES'!$A1136="","",IF('ORDENES'!$M1136="",0,'ORDENES'!$M1136))</f>
        <v/>
      </c>
      <c r="L1158" s="3">
        <f>IF('ORDENES'!$A1136="","",IF('ORDENES'!$N1136="","-",'ORDENES'!$N1136))</f>
        <v/>
      </c>
      <c r="M1158" s="3">
        <f>IF('ORDENES'!$A1136="","",'ORDENES'!$AA1136)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IF('ORDENES'!$A1137="","",IF('ORDENES'!$AC1137="","-",'ORDENES'!$AC1137))</f>
        <v/>
      </c>
      <c r="D1159" s="3">
        <f>IF('ORDENES'!$A1137="","",IF('ORDENES'!$V1137="","-",'ORDENES'!$V1137))</f>
        <v/>
      </c>
      <c r="E1159" s="3">
        <f>IF('ORDENES'!$A1137="","",IF('ORDENES'!$U1137="","-",'ORDENES'!$U1137))</f>
        <v/>
      </c>
      <c r="F1159" s="3">
        <f>IF('ORDENES'!$A1137="","",IF('ORDENES'!$W1137="","-",'ORDENES'!$W1137))</f>
        <v/>
      </c>
      <c r="G1159" s="3">
        <f>IF('ORDENES'!$A1137="","",IF('ORDENES'!$AB1137="","-",'ORDENES'!$AB1137))</f>
        <v/>
      </c>
      <c r="H1159" s="3">
        <f>IF('ORDENES'!$A1137="","",IF('ORDENES'!$AN1137="","-",'ORDENES'!$AN1137))</f>
        <v/>
      </c>
      <c r="I1159" s="3">
        <f>IF('ORDENES'!$A1137="","",IF('ORDENES'!$D1137="","-",'ORDENES'!$D1137))</f>
        <v/>
      </c>
      <c r="J1159" s="3">
        <f>IF('ORDENES'!$A1137="","",IF('ORDENES'!$E1137="","-",'ORDENES'!$E1137))</f>
        <v/>
      </c>
      <c r="K1159" s="12">
        <f>IF('ORDENES'!$A1137="","",IF('ORDENES'!$M1137="",0,'ORDENES'!$M1137))</f>
        <v/>
      </c>
      <c r="L1159" s="3">
        <f>IF('ORDENES'!$A1137="","",IF('ORDENES'!$N1137="","-",'ORDENES'!$N1137))</f>
        <v/>
      </c>
      <c r="M1159" s="3">
        <f>IF('ORDENES'!$A1137="","",'ORDENES'!$AA1137)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IF('ORDENES'!$A1138="","",IF('ORDENES'!$AC1138="","-",'ORDENES'!$AC1138))</f>
        <v/>
      </c>
      <c r="D1160" s="3">
        <f>IF('ORDENES'!$A1138="","",IF('ORDENES'!$V1138="","-",'ORDENES'!$V1138))</f>
        <v/>
      </c>
      <c r="E1160" s="3">
        <f>IF('ORDENES'!$A1138="","",IF('ORDENES'!$U1138="","-",'ORDENES'!$U1138))</f>
        <v/>
      </c>
      <c r="F1160" s="3">
        <f>IF('ORDENES'!$A1138="","",IF('ORDENES'!$W1138="","-",'ORDENES'!$W1138))</f>
        <v/>
      </c>
      <c r="G1160" s="3">
        <f>IF('ORDENES'!$A1138="","",IF('ORDENES'!$AB1138="","-",'ORDENES'!$AB1138))</f>
        <v/>
      </c>
      <c r="H1160" s="3">
        <f>IF('ORDENES'!$A1138="","",IF('ORDENES'!$AN1138="","-",'ORDENES'!$AN1138))</f>
        <v/>
      </c>
      <c r="I1160" s="3">
        <f>IF('ORDENES'!$A1138="","",IF('ORDENES'!$D1138="","-",'ORDENES'!$D1138))</f>
        <v/>
      </c>
      <c r="J1160" s="3">
        <f>IF('ORDENES'!$A1138="","",IF('ORDENES'!$E1138="","-",'ORDENES'!$E1138))</f>
        <v/>
      </c>
      <c r="K1160" s="12">
        <f>IF('ORDENES'!$A1138="","",IF('ORDENES'!$M1138="",0,'ORDENES'!$M1138))</f>
        <v/>
      </c>
      <c r="L1160" s="3">
        <f>IF('ORDENES'!$A1138="","",IF('ORDENES'!$N1138="","-",'ORDENES'!$N1138))</f>
        <v/>
      </c>
      <c r="M1160" s="3">
        <f>IF('ORDENES'!$A1138="","",'ORDENES'!$AA1138)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IF('ORDENES'!$A1139="","",IF('ORDENES'!$AC1139="","-",'ORDENES'!$AC1139))</f>
        <v/>
      </c>
      <c r="D1161" s="3">
        <f>IF('ORDENES'!$A1139="","",IF('ORDENES'!$V1139="","-",'ORDENES'!$V1139))</f>
        <v/>
      </c>
      <c r="E1161" s="3">
        <f>IF('ORDENES'!$A1139="","",IF('ORDENES'!$U1139="","-",'ORDENES'!$U1139))</f>
        <v/>
      </c>
      <c r="F1161" s="3">
        <f>IF('ORDENES'!$A1139="","",IF('ORDENES'!$W1139="","-",'ORDENES'!$W1139))</f>
        <v/>
      </c>
      <c r="G1161" s="3">
        <f>IF('ORDENES'!$A1139="","",IF('ORDENES'!$AB1139="","-",'ORDENES'!$AB1139))</f>
        <v/>
      </c>
      <c r="H1161" s="3">
        <f>IF('ORDENES'!$A1139="","",IF('ORDENES'!$AN1139="","-",'ORDENES'!$AN1139))</f>
        <v/>
      </c>
      <c r="I1161" s="3">
        <f>IF('ORDENES'!$A1139="","",IF('ORDENES'!$D1139="","-",'ORDENES'!$D1139))</f>
        <v/>
      </c>
      <c r="J1161" s="3">
        <f>IF('ORDENES'!$A1139="","",IF('ORDENES'!$E1139="","-",'ORDENES'!$E1139))</f>
        <v/>
      </c>
      <c r="K1161" s="12">
        <f>IF('ORDENES'!$A1139="","",IF('ORDENES'!$M1139="",0,'ORDENES'!$M1139))</f>
        <v/>
      </c>
      <c r="L1161" s="3">
        <f>IF('ORDENES'!$A1139="","",IF('ORDENES'!$N1139="","-",'ORDENES'!$N1139))</f>
        <v/>
      </c>
      <c r="M1161" s="3">
        <f>IF('ORDENES'!$A1139="","",'ORDENES'!$AA1139)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IF('ORDENES'!$A1140="","",IF('ORDENES'!$AC1140="","-",'ORDENES'!$AC1140))</f>
        <v/>
      </c>
      <c r="D1162" s="3">
        <f>IF('ORDENES'!$A1140="","",IF('ORDENES'!$V1140="","-",'ORDENES'!$V1140))</f>
        <v/>
      </c>
      <c r="E1162" s="3">
        <f>IF('ORDENES'!$A1140="","",IF('ORDENES'!$U1140="","-",'ORDENES'!$U1140))</f>
        <v/>
      </c>
      <c r="F1162" s="3">
        <f>IF('ORDENES'!$A1140="","",IF('ORDENES'!$W1140="","-",'ORDENES'!$W1140))</f>
        <v/>
      </c>
      <c r="G1162" s="3">
        <f>IF('ORDENES'!$A1140="","",IF('ORDENES'!$AB1140="","-",'ORDENES'!$AB1140))</f>
        <v/>
      </c>
      <c r="H1162" s="3">
        <f>IF('ORDENES'!$A1140="","",IF('ORDENES'!$AN1140="","-",'ORDENES'!$AN1140))</f>
        <v/>
      </c>
      <c r="I1162" s="3">
        <f>IF('ORDENES'!$A1140="","",IF('ORDENES'!$D1140="","-",'ORDENES'!$D1140))</f>
        <v/>
      </c>
      <c r="J1162" s="3">
        <f>IF('ORDENES'!$A1140="","",IF('ORDENES'!$E1140="","-",'ORDENES'!$E1140))</f>
        <v/>
      </c>
      <c r="K1162" s="12">
        <f>IF('ORDENES'!$A1140="","",IF('ORDENES'!$M1140="",0,'ORDENES'!$M1140))</f>
        <v/>
      </c>
      <c r="L1162" s="3">
        <f>IF('ORDENES'!$A1140="","",IF('ORDENES'!$N1140="","-",'ORDENES'!$N1140))</f>
        <v/>
      </c>
      <c r="M1162" s="3">
        <f>IF('ORDENES'!$A1140="","",'ORDENES'!$AA1140)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IF('ORDENES'!$A1141="","",IF('ORDENES'!$AC1141="","-",'ORDENES'!$AC1141))</f>
        <v/>
      </c>
      <c r="D1163" s="3">
        <f>IF('ORDENES'!$A1141="","",IF('ORDENES'!$V1141="","-",'ORDENES'!$V1141))</f>
        <v/>
      </c>
      <c r="E1163" s="3">
        <f>IF('ORDENES'!$A1141="","",IF('ORDENES'!$U1141="","-",'ORDENES'!$U1141))</f>
        <v/>
      </c>
      <c r="F1163" s="3">
        <f>IF('ORDENES'!$A1141="","",IF('ORDENES'!$W1141="","-",'ORDENES'!$W1141))</f>
        <v/>
      </c>
      <c r="G1163" s="3">
        <f>IF('ORDENES'!$A1141="","",IF('ORDENES'!$AB1141="","-",'ORDENES'!$AB1141))</f>
        <v/>
      </c>
      <c r="H1163" s="3">
        <f>IF('ORDENES'!$A1141="","",IF('ORDENES'!$AN1141="","-",'ORDENES'!$AN1141))</f>
        <v/>
      </c>
      <c r="I1163" s="3">
        <f>IF('ORDENES'!$A1141="","",IF('ORDENES'!$D1141="","-",'ORDENES'!$D1141))</f>
        <v/>
      </c>
      <c r="J1163" s="3">
        <f>IF('ORDENES'!$A1141="","",IF('ORDENES'!$E1141="","-",'ORDENES'!$E1141))</f>
        <v/>
      </c>
      <c r="K1163" s="12">
        <f>IF('ORDENES'!$A1141="","",IF('ORDENES'!$M1141="",0,'ORDENES'!$M1141))</f>
        <v/>
      </c>
      <c r="L1163" s="3">
        <f>IF('ORDENES'!$A1141="","",IF('ORDENES'!$N1141="","-",'ORDENES'!$N1141))</f>
        <v/>
      </c>
      <c r="M1163" s="3">
        <f>IF('ORDENES'!$A1141="","",'ORDENES'!$AA1141)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IF('ORDENES'!$A1142="","",IF('ORDENES'!$AC1142="","-",'ORDENES'!$AC1142))</f>
        <v/>
      </c>
      <c r="D1164" s="3">
        <f>IF('ORDENES'!$A1142="","",IF('ORDENES'!$V1142="","-",'ORDENES'!$V1142))</f>
        <v/>
      </c>
      <c r="E1164" s="3">
        <f>IF('ORDENES'!$A1142="","",IF('ORDENES'!$U1142="","-",'ORDENES'!$U1142))</f>
        <v/>
      </c>
      <c r="F1164" s="3">
        <f>IF('ORDENES'!$A1142="","",IF('ORDENES'!$W1142="","-",'ORDENES'!$W1142))</f>
        <v/>
      </c>
      <c r="G1164" s="3">
        <f>IF('ORDENES'!$A1142="","",IF('ORDENES'!$AB1142="","-",'ORDENES'!$AB1142))</f>
        <v/>
      </c>
      <c r="H1164" s="3">
        <f>IF('ORDENES'!$A1142="","",IF('ORDENES'!$AN1142="","-",'ORDENES'!$AN1142))</f>
        <v/>
      </c>
      <c r="I1164" s="3">
        <f>IF('ORDENES'!$A1142="","",IF('ORDENES'!$D1142="","-",'ORDENES'!$D1142))</f>
        <v/>
      </c>
      <c r="J1164" s="3">
        <f>IF('ORDENES'!$A1142="","",IF('ORDENES'!$E1142="","-",'ORDENES'!$E1142))</f>
        <v/>
      </c>
      <c r="K1164" s="12">
        <f>IF('ORDENES'!$A1142="","",IF('ORDENES'!$M1142="",0,'ORDENES'!$M1142))</f>
        <v/>
      </c>
      <c r="L1164" s="3">
        <f>IF('ORDENES'!$A1142="","",IF('ORDENES'!$N1142="","-",'ORDENES'!$N1142))</f>
        <v/>
      </c>
      <c r="M1164" s="3">
        <f>IF('ORDENES'!$A1142="","",'ORDENES'!$AA1142)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IF('ORDENES'!$A1143="","",IF('ORDENES'!$AC1143="","-",'ORDENES'!$AC1143))</f>
        <v/>
      </c>
      <c r="D1165" s="3">
        <f>IF('ORDENES'!$A1143="","",IF('ORDENES'!$V1143="","-",'ORDENES'!$V1143))</f>
        <v/>
      </c>
      <c r="E1165" s="3">
        <f>IF('ORDENES'!$A1143="","",IF('ORDENES'!$U1143="","-",'ORDENES'!$U1143))</f>
        <v/>
      </c>
      <c r="F1165" s="3">
        <f>IF('ORDENES'!$A1143="","",IF('ORDENES'!$W1143="","-",'ORDENES'!$W1143))</f>
        <v/>
      </c>
      <c r="G1165" s="3">
        <f>IF('ORDENES'!$A1143="","",IF('ORDENES'!$AB1143="","-",'ORDENES'!$AB1143))</f>
        <v/>
      </c>
      <c r="H1165" s="3">
        <f>IF('ORDENES'!$A1143="","",IF('ORDENES'!$AN1143="","-",'ORDENES'!$AN1143))</f>
        <v/>
      </c>
      <c r="I1165" s="3">
        <f>IF('ORDENES'!$A1143="","",IF('ORDENES'!$D1143="","-",'ORDENES'!$D1143))</f>
        <v/>
      </c>
      <c r="J1165" s="3">
        <f>IF('ORDENES'!$A1143="","",IF('ORDENES'!$E1143="","-",'ORDENES'!$E1143))</f>
        <v/>
      </c>
      <c r="K1165" s="12">
        <f>IF('ORDENES'!$A1143="","",IF('ORDENES'!$M1143="",0,'ORDENES'!$M1143))</f>
        <v/>
      </c>
      <c r="L1165" s="3">
        <f>IF('ORDENES'!$A1143="","",IF('ORDENES'!$N1143="","-",'ORDENES'!$N1143))</f>
        <v/>
      </c>
      <c r="M1165" s="3">
        <f>IF('ORDENES'!$A1143="","",'ORDENES'!$AA1143)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IF('ORDENES'!$A1144="","",IF('ORDENES'!$AC1144="","-",'ORDENES'!$AC1144))</f>
        <v/>
      </c>
      <c r="D1166" s="3">
        <f>IF('ORDENES'!$A1144="","",IF('ORDENES'!$V1144="","-",'ORDENES'!$V1144))</f>
        <v/>
      </c>
      <c r="E1166" s="3">
        <f>IF('ORDENES'!$A1144="","",IF('ORDENES'!$U1144="","-",'ORDENES'!$U1144))</f>
        <v/>
      </c>
      <c r="F1166" s="3">
        <f>IF('ORDENES'!$A1144="","",IF('ORDENES'!$W1144="","-",'ORDENES'!$W1144))</f>
        <v/>
      </c>
      <c r="G1166" s="3">
        <f>IF('ORDENES'!$A1144="","",IF('ORDENES'!$AB1144="","-",'ORDENES'!$AB1144))</f>
        <v/>
      </c>
      <c r="H1166" s="3">
        <f>IF('ORDENES'!$A1144="","",IF('ORDENES'!$AN1144="","-",'ORDENES'!$AN1144))</f>
        <v/>
      </c>
      <c r="I1166" s="3">
        <f>IF('ORDENES'!$A1144="","",IF('ORDENES'!$D1144="","-",'ORDENES'!$D1144))</f>
        <v/>
      </c>
      <c r="J1166" s="3">
        <f>IF('ORDENES'!$A1144="","",IF('ORDENES'!$E1144="","-",'ORDENES'!$E1144))</f>
        <v/>
      </c>
      <c r="K1166" s="12">
        <f>IF('ORDENES'!$A1144="","",IF('ORDENES'!$M1144="",0,'ORDENES'!$M1144))</f>
        <v/>
      </c>
      <c r="L1166" s="3">
        <f>IF('ORDENES'!$A1144="","",IF('ORDENES'!$N1144="","-",'ORDENES'!$N1144))</f>
        <v/>
      </c>
      <c r="M1166" s="3">
        <f>IF('ORDENES'!$A1144="","",'ORDENES'!$AA1144)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IF('ORDENES'!$A1145="","",IF('ORDENES'!$AC1145="","-",'ORDENES'!$AC1145))</f>
        <v/>
      </c>
      <c r="D1167" s="3">
        <f>IF('ORDENES'!$A1145="","",IF('ORDENES'!$V1145="","-",'ORDENES'!$V1145))</f>
        <v/>
      </c>
      <c r="E1167" s="3">
        <f>IF('ORDENES'!$A1145="","",IF('ORDENES'!$U1145="","-",'ORDENES'!$U1145))</f>
        <v/>
      </c>
      <c r="F1167" s="3">
        <f>IF('ORDENES'!$A1145="","",IF('ORDENES'!$W1145="","-",'ORDENES'!$W1145))</f>
        <v/>
      </c>
      <c r="G1167" s="3">
        <f>IF('ORDENES'!$A1145="","",IF('ORDENES'!$AB1145="","-",'ORDENES'!$AB1145))</f>
        <v/>
      </c>
      <c r="H1167" s="3">
        <f>IF('ORDENES'!$A1145="","",IF('ORDENES'!$AN1145="","-",'ORDENES'!$AN1145))</f>
        <v/>
      </c>
      <c r="I1167" s="3">
        <f>IF('ORDENES'!$A1145="","",IF('ORDENES'!$D1145="","-",'ORDENES'!$D1145))</f>
        <v/>
      </c>
      <c r="J1167" s="3">
        <f>IF('ORDENES'!$A1145="","",IF('ORDENES'!$E1145="","-",'ORDENES'!$E1145))</f>
        <v/>
      </c>
      <c r="K1167" s="12">
        <f>IF('ORDENES'!$A1145="","",IF('ORDENES'!$M1145="",0,'ORDENES'!$M1145))</f>
        <v/>
      </c>
      <c r="L1167" s="3">
        <f>IF('ORDENES'!$A1145="","",IF('ORDENES'!$N1145="","-",'ORDENES'!$N1145))</f>
        <v/>
      </c>
      <c r="M1167" s="3">
        <f>IF('ORDENES'!$A1145="","",'ORDENES'!$AA1145)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IF('ORDENES'!$A1146="","",IF('ORDENES'!$AC1146="","-",'ORDENES'!$AC1146))</f>
        <v/>
      </c>
      <c r="D1168" s="3">
        <f>IF('ORDENES'!$A1146="","",IF('ORDENES'!$V1146="","-",'ORDENES'!$V1146))</f>
        <v/>
      </c>
      <c r="E1168" s="3">
        <f>IF('ORDENES'!$A1146="","",IF('ORDENES'!$U1146="","-",'ORDENES'!$U1146))</f>
        <v/>
      </c>
      <c r="F1168" s="3">
        <f>IF('ORDENES'!$A1146="","",IF('ORDENES'!$W1146="","-",'ORDENES'!$W1146))</f>
        <v/>
      </c>
      <c r="G1168" s="3">
        <f>IF('ORDENES'!$A1146="","",IF('ORDENES'!$AB1146="","-",'ORDENES'!$AB1146))</f>
        <v/>
      </c>
      <c r="H1168" s="3">
        <f>IF('ORDENES'!$A1146="","",IF('ORDENES'!$AN1146="","-",'ORDENES'!$AN1146))</f>
        <v/>
      </c>
      <c r="I1168" s="3">
        <f>IF('ORDENES'!$A1146="","",IF('ORDENES'!$D1146="","-",'ORDENES'!$D1146))</f>
        <v/>
      </c>
      <c r="J1168" s="3">
        <f>IF('ORDENES'!$A1146="","",IF('ORDENES'!$E1146="","-",'ORDENES'!$E1146))</f>
        <v/>
      </c>
      <c r="K1168" s="12">
        <f>IF('ORDENES'!$A1146="","",IF('ORDENES'!$M1146="",0,'ORDENES'!$M1146))</f>
        <v/>
      </c>
      <c r="L1168" s="3">
        <f>IF('ORDENES'!$A1146="","",IF('ORDENES'!$N1146="","-",'ORDENES'!$N1146))</f>
        <v/>
      </c>
      <c r="M1168" s="3">
        <f>IF('ORDENES'!$A1146="","",'ORDENES'!$AA1146)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IF('ORDENES'!$A1147="","",IF('ORDENES'!$AC1147="","-",'ORDENES'!$AC1147))</f>
        <v/>
      </c>
      <c r="D1169" s="3">
        <f>IF('ORDENES'!$A1147="","",IF('ORDENES'!$V1147="","-",'ORDENES'!$V1147))</f>
        <v/>
      </c>
      <c r="E1169" s="3">
        <f>IF('ORDENES'!$A1147="","",IF('ORDENES'!$U1147="","-",'ORDENES'!$U1147))</f>
        <v/>
      </c>
      <c r="F1169" s="3">
        <f>IF('ORDENES'!$A1147="","",IF('ORDENES'!$W1147="","-",'ORDENES'!$W1147))</f>
        <v/>
      </c>
      <c r="G1169" s="3">
        <f>IF('ORDENES'!$A1147="","",IF('ORDENES'!$AB1147="","-",'ORDENES'!$AB1147))</f>
        <v/>
      </c>
      <c r="H1169" s="3">
        <f>IF('ORDENES'!$A1147="","",IF('ORDENES'!$AN1147="","-",'ORDENES'!$AN1147))</f>
        <v/>
      </c>
      <c r="I1169" s="3">
        <f>IF('ORDENES'!$A1147="","",IF('ORDENES'!$D1147="","-",'ORDENES'!$D1147))</f>
        <v/>
      </c>
      <c r="J1169" s="3">
        <f>IF('ORDENES'!$A1147="","",IF('ORDENES'!$E1147="","-",'ORDENES'!$E1147))</f>
        <v/>
      </c>
      <c r="K1169" s="12">
        <f>IF('ORDENES'!$A1147="","",IF('ORDENES'!$M1147="",0,'ORDENES'!$M1147))</f>
        <v/>
      </c>
      <c r="L1169" s="3">
        <f>IF('ORDENES'!$A1147="","",IF('ORDENES'!$N1147="","-",'ORDENES'!$N1147))</f>
        <v/>
      </c>
      <c r="M1169" s="3">
        <f>IF('ORDENES'!$A1147="","",'ORDENES'!$AA1147)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IF('ORDENES'!$A1148="","",IF('ORDENES'!$AC1148="","-",'ORDENES'!$AC1148))</f>
        <v/>
      </c>
      <c r="D1170" s="3">
        <f>IF('ORDENES'!$A1148="","",IF('ORDENES'!$V1148="","-",'ORDENES'!$V1148))</f>
        <v/>
      </c>
      <c r="E1170" s="3">
        <f>IF('ORDENES'!$A1148="","",IF('ORDENES'!$U1148="","-",'ORDENES'!$U1148))</f>
        <v/>
      </c>
      <c r="F1170" s="3">
        <f>IF('ORDENES'!$A1148="","",IF('ORDENES'!$W1148="","-",'ORDENES'!$W1148))</f>
        <v/>
      </c>
      <c r="G1170" s="3">
        <f>IF('ORDENES'!$A1148="","",IF('ORDENES'!$AB1148="","-",'ORDENES'!$AB1148))</f>
        <v/>
      </c>
      <c r="H1170" s="3">
        <f>IF('ORDENES'!$A1148="","",IF('ORDENES'!$AN1148="","-",'ORDENES'!$AN1148))</f>
        <v/>
      </c>
      <c r="I1170" s="3">
        <f>IF('ORDENES'!$A1148="","",IF('ORDENES'!$D1148="","-",'ORDENES'!$D1148))</f>
        <v/>
      </c>
      <c r="J1170" s="3">
        <f>IF('ORDENES'!$A1148="","",IF('ORDENES'!$E1148="","-",'ORDENES'!$E1148))</f>
        <v/>
      </c>
      <c r="K1170" s="12">
        <f>IF('ORDENES'!$A1148="","",IF('ORDENES'!$M1148="",0,'ORDENES'!$M1148))</f>
        <v/>
      </c>
      <c r="L1170" s="3">
        <f>IF('ORDENES'!$A1148="","",IF('ORDENES'!$N1148="","-",'ORDENES'!$N1148))</f>
        <v/>
      </c>
      <c r="M1170" s="3">
        <f>IF('ORDENES'!$A1148="","",'ORDENES'!$AA1148)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IF('ORDENES'!$A1149="","",IF('ORDENES'!$AC1149="","-",'ORDENES'!$AC1149))</f>
        <v/>
      </c>
      <c r="D1171" s="3">
        <f>IF('ORDENES'!$A1149="","",IF('ORDENES'!$V1149="","-",'ORDENES'!$V1149))</f>
        <v/>
      </c>
      <c r="E1171" s="3">
        <f>IF('ORDENES'!$A1149="","",IF('ORDENES'!$U1149="","-",'ORDENES'!$U1149))</f>
        <v/>
      </c>
      <c r="F1171" s="3">
        <f>IF('ORDENES'!$A1149="","",IF('ORDENES'!$W1149="","-",'ORDENES'!$W1149))</f>
        <v/>
      </c>
      <c r="G1171" s="3">
        <f>IF('ORDENES'!$A1149="","",IF('ORDENES'!$AB1149="","-",'ORDENES'!$AB1149))</f>
        <v/>
      </c>
      <c r="H1171" s="3">
        <f>IF('ORDENES'!$A1149="","",IF('ORDENES'!$AN1149="","-",'ORDENES'!$AN1149))</f>
        <v/>
      </c>
      <c r="I1171" s="3">
        <f>IF('ORDENES'!$A1149="","",IF('ORDENES'!$D1149="","-",'ORDENES'!$D1149))</f>
        <v/>
      </c>
      <c r="J1171" s="3">
        <f>IF('ORDENES'!$A1149="","",IF('ORDENES'!$E1149="","-",'ORDENES'!$E1149))</f>
        <v/>
      </c>
      <c r="K1171" s="12">
        <f>IF('ORDENES'!$A1149="","",IF('ORDENES'!$M1149="",0,'ORDENES'!$M1149))</f>
        <v/>
      </c>
      <c r="L1171" s="3">
        <f>IF('ORDENES'!$A1149="","",IF('ORDENES'!$N1149="","-",'ORDENES'!$N1149))</f>
        <v/>
      </c>
      <c r="M1171" s="3">
        <f>IF('ORDENES'!$A1149="","",'ORDENES'!$AA1149)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IF('ORDENES'!$A1150="","",IF('ORDENES'!$AC1150="","-",'ORDENES'!$AC1150))</f>
        <v/>
      </c>
      <c r="D1172" s="3">
        <f>IF('ORDENES'!$A1150="","",IF('ORDENES'!$V1150="","-",'ORDENES'!$V1150))</f>
        <v/>
      </c>
      <c r="E1172" s="3">
        <f>IF('ORDENES'!$A1150="","",IF('ORDENES'!$U1150="","-",'ORDENES'!$U1150))</f>
        <v/>
      </c>
      <c r="F1172" s="3">
        <f>IF('ORDENES'!$A1150="","",IF('ORDENES'!$W1150="","-",'ORDENES'!$W1150))</f>
        <v/>
      </c>
      <c r="G1172" s="3">
        <f>IF('ORDENES'!$A1150="","",IF('ORDENES'!$AB1150="","-",'ORDENES'!$AB1150))</f>
        <v/>
      </c>
      <c r="H1172" s="3">
        <f>IF('ORDENES'!$A1150="","",IF('ORDENES'!$AN1150="","-",'ORDENES'!$AN1150))</f>
        <v/>
      </c>
      <c r="I1172" s="3">
        <f>IF('ORDENES'!$A1150="","",IF('ORDENES'!$D1150="","-",'ORDENES'!$D1150))</f>
        <v/>
      </c>
      <c r="J1172" s="3">
        <f>IF('ORDENES'!$A1150="","",IF('ORDENES'!$E1150="","-",'ORDENES'!$E1150))</f>
        <v/>
      </c>
      <c r="K1172" s="12">
        <f>IF('ORDENES'!$A1150="","",IF('ORDENES'!$M1150="",0,'ORDENES'!$M1150))</f>
        <v/>
      </c>
      <c r="L1172" s="3">
        <f>IF('ORDENES'!$A1150="","",IF('ORDENES'!$N1150="","-",'ORDENES'!$N1150))</f>
        <v/>
      </c>
      <c r="M1172" s="3">
        <f>IF('ORDENES'!$A1150="","",'ORDENES'!$AA1150)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IF('ORDENES'!$A1151="","",IF('ORDENES'!$AC1151="","-",'ORDENES'!$AC1151))</f>
        <v/>
      </c>
      <c r="D1173" s="3">
        <f>IF('ORDENES'!$A1151="","",IF('ORDENES'!$V1151="","-",'ORDENES'!$V1151))</f>
        <v/>
      </c>
      <c r="E1173" s="3">
        <f>IF('ORDENES'!$A1151="","",IF('ORDENES'!$U1151="","-",'ORDENES'!$U1151))</f>
        <v/>
      </c>
      <c r="F1173" s="3">
        <f>IF('ORDENES'!$A1151="","",IF('ORDENES'!$W1151="","-",'ORDENES'!$W1151))</f>
        <v/>
      </c>
      <c r="G1173" s="3">
        <f>IF('ORDENES'!$A1151="","",IF('ORDENES'!$AB1151="","-",'ORDENES'!$AB1151))</f>
        <v/>
      </c>
      <c r="H1173" s="3">
        <f>IF('ORDENES'!$A1151="","",IF('ORDENES'!$AN1151="","-",'ORDENES'!$AN1151))</f>
        <v/>
      </c>
      <c r="I1173" s="3">
        <f>IF('ORDENES'!$A1151="","",IF('ORDENES'!$D1151="","-",'ORDENES'!$D1151))</f>
        <v/>
      </c>
      <c r="J1173" s="3">
        <f>IF('ORDENES'!$A1151="","",IF('ORDENES'!$E1151="","-",'ORDENES'!$E1151))</f>
        <v/>
      </c>
      <c r="K1173" s="12">
        <f>IF('ORDENES'!$A1151="","",IF('ORDENES'!$M1151="",0,'ORDENES'!$M1151))</f>
        <v/>
      </c>
      <c r="L1173" s="3">
        <f>IF('ORDENES'!$A1151="","",IF('ORDENES'!$N1151="","-",'ORDENES'!$N1151))</f>
        <v/>
      </c>
      <c r="M1173" s="3">
        <f>IF('ORDENES'!$A1151="","",'ORDENES'!$AA1151)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IF('ORDENES'!$A1152="","",IF('ORDENES'!$AC1152="","-",'ORDENES'!$AC1152))</f>
        <v/>
      </c>
      <c r="D1174" s="3">
        <f>IF('ORDENES'!$A1152="","",IF('ORDENES'!$V1152="","-",'ORDENES'!$V1152))</f>
        <v/>
      </c>
      <c r="E1174" s="3">
        <f>IF('ORDENES'!$A1152="","",IF('ORDENES'!$U1152="","-",'ORDENES'!$U1152))</f>
        <v/>
      </c>
      <c r="F1174" s="3">
        <f>IF('ORDENES'!$A1152="","",IF('ORDENES'!$W1152="","-",'ORDENES'!$W1152))</f>
        <v/>
      </c>
      <c r="G1174" s="3">
        <f>IF('ORDENES'!$A1152="","",IF('ORDENES'!$AB1152="","-",'ORDENES'!$AB1152))</f>
        <v/>
      </c>
      <c r="H1174" s="3">
        <f>IF('ORDENES'!$A1152="","",IF('ORDENES'!$AN1152="","-",'ORDENES'!$AN1152))</f>
        <v/>
      </c>
      <c r="I1174" s="3">
        <f>IF('ORDENES'!$A1152="","",IF('ORDENES'!$D1152="","-",'ORDENES'!$D1152))</f>
        <v/>
      </c>
      <c r="J1174" s="3">
        <f>IF('ORDENES'!$A1152="","",IF('ORDENES'!$E1152="","-",'ORDENES'!$E1152))</f>
        <v/>
      </c>
      <c r="K1174" s="12">
        <f>IF('ORDENES'!$A1152="","",IF('ORDENES'!$M1152="",0,'ORDENES'!$M1152))</f>
        <v/>
      </c>
      <c r="L1174" s="3">
        <f>IF('ORDENES'!$A1152="","",IF('ORDENES'!$N1152="","-",'ORDENES'!$N1152))</f>
        <v/>
      </c>
      <c r="M1174" s="3">
        <f>IF('ORDENES'!$A1152="","",'ORDENES'!$AA1152)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IF('ORDENES'!$A1153="","",IF('ORDENES'!$AC1153="","-",'ORDENES'!$AC1153))</f>
        <v/>
      </c>
      <c r="D1175" s="3">
        <f>IF('ORDENES'!$A1153="","",IF('ORDENES'!$V1153="","-",'ORDENES'!$V1153))</f>
        <v/>
      </c>
      <c r="E1175" s="3">
        <f>IF('ORDENES'!$A1153="","",IF('ORDENES'!$U1153="","-",'ORDENES'!$U1153))</f>
        <v/>
      </c>
      <c r="F1175" s="3">
        <f>IF('ORDENES'!$A1153="","",IF('ORDENES'!$W1153="","-",'ORDENES'!$W1153))</f>
        <v/>
      </c>
      <c r="G1175" s="3">
        <f>IF('ORDENES'!$A1153="","",IF('ORDENES'!$AB1153="","-",'ORDENES'!$AB1153))</f>
        <v/>
      </c>
      <c r="H1175" s="3">
        <f>IF('ORDENES'!$A1153="","",IF('ORDENES'!$AN1153="","-",'ORDENES'!$AN1153))</f>
        <v/>
      </c>
      <c r="I1175" s="3">
        <f>IF('ORDENES'!$A1153="","",IF('ORDENES'!$D1153="","-",'ORDENES'!$D1153))</f>
        <v/>
      </c>
      <c r="J1175" s="3">
        <f>IF('ORDENES'!$A1153="","",IF('ORDENES'!$E1153="","-",'ORDENES'!$E1153))</f>
        <v/>
      </c>
      <c r="K1175" s="12">
        <f>IF('ORDENES'!$A1153="","",IF('ORDENES'!$M1153="",0,'ORDENES'!$M1153))</f>
        <v/>
      </c>
      <c r="L1175" s="3">
        <f>IF('ORDENES'!$A1153="","",IF('ORDENES'!$N1153="","-",'ORDENES'!$N1153))</f>
        <v/>
      </c>
      <c r="M1175" s="3">
        <f>IF('ORDENES'!$A1153="","",'ORDENES'!$AA1153)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IF('ORDENES'!$A1154="","",IF('ORDENES'!$AC1154="","-",'ORDENES'!$AC1154))</f>
        <v/>
      </c>
      <c r="D1176" s="3">
        <f>IF('ORDENES'!$A1154="","",IF('ORDENES'!$V1154="","-",'ORDENES'!$V1154))</f>
        <v/>
      </c>
      <c r="E1176" s="3">
        <f>IF('ORDENES'!$A1154="","",IF('ORDENES'!$U1154="","-",'ORDENES'!$U1154))</f>
        <v/>
      </c>
      <c r="F1176" s="3">
        <f>IF('ORDENES'!$A1154="","",IF('ORDENES'!$W1154="","-",'ORDENES'!$W1154))</f>
        <v/>
      </c>
      <c r="G1176" s="3">
        <f>IF('ORDENES'!$A1154="","",IF('ORDENES'!$AB1154="","-",'ORDENES'!$AB1154))</f>
        <v/>
      </c>
      <c r="H1176" s="3">
        <f>IF('ORDENES'!$A1154="","",IF('ORDENES'!$AN1154="","-",'ORDENES'!$AN1154))</f>
        <v/>
      </c>
      <c r="I1176" s="3">
        <f>IF('ORDENES'!$A1154="","",IF('ORDENES'!$D1154="","-",'ORDENES'!$D1154))</f>
        <v/>
      </c>
      <c r="J1176" s="3">
        <f>IF('ORDENES'!$A1154="","",IF('ORDENES'!$E1154="","-",'ORDENES'!$E1154))</f>
        <v/>
      </c>
      <c r="K1176" s="12">
        <f>IF('ORDENES'!$A1154="","",IF('ORDENES'!$M1154="",0,'ORDENES'!$M1154))</f>
        <v/>
      </c>
      <c r="L1176" s="3">
        <f>IF('ORDENES'!$A1154="","",IF('ORDENES'!$N1154="","-",'ORDENES'!$N1154))</f>
        <v/>
      </c>
      <c r="M1176" s="3">
        <f>IF('ORDENES'!$A1154="","",'ORDENES'!$AA1154)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IF('ORDENES'!$A1155="","",IF('ORDENES'!$AC1155="","-",'ORDENES'!$AC1155))</f>
        <v/>
      </c>
      <c r="D1177" s="3">
        <f>IF('ORDENES'!$A1155="","",IF('ORDENES'!$V1155="","-",'ORDENES'!$V1155))</f>
        <v/>
      </c>
      <c r="E1177" s="3">
        <f>IF('ORDENES'!$A1155="","",IF('ORDENES'!$U1155="","-",'ORDENES'!$U1155))</f>
        <v/>
      </c>
      <c r="F1177" s="3">
        <f>IF('ORDENES'!$A1155="","",IF('ORDENES'!$W1155="","-",'ORDENES'!$W1155))</f>
        <v/>
      </c>
      <c r="G1177" s="3">
        <f>IF('ORDENES'!$A1155="","",IF('ORDENES'!$AB1155="","-",'ORDENES'!$AB1155))</f>
        <v/>
      </c>
      <c r="H1177" s="3">
        <f>IF('ORDENES'!$A1155="","",IF('ORDENES'!$AN1155="","-",'ORDENES'!$AN1155))</f>
        <v/>
      </c>
      <c r="I1177" s="3">
        <f>IF('ORDENES'!$A1155="","",IF('ORDENES'!$D1155="","-",'ORDENES'!$D1155))</f>
        <v/>
      </c>
      <c r="J1177" s="3">
        <f>IF('ORDENES'!$A1155="","",IF('ORDENES'!$E1155="","-",'ORDENES'!$E1155))</f>
        <v/>
      </c>
      <c r="K1177" s="12">
        <f>IF('ORDENES'!$A1155="","",IF('ORDENES'!$M1155="",0,'ORDENES'!$M1155))</f>
        <v/>
      </c>
      <c r="L1177" s="3">
        <f>IF('ORDENES'!$A1155="","",IF('ORDENES'!$N1155="","-",'ORDENES'!$N1155))</f>
        <v/>
      </c>
      <c r="M1177" s="3">
        <f>IF('ORDENES'!$A1155="","",'ORDENES'!$AA1155)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IF('ORDENES'!$A1156="","",IF('ORDENES'!$AC1156="","-",'ORDENES'!$AC1156))</f>
        <v/>
      </c>
      <c r="D1178" s="3">
        <f>IF('ORDENES'!$A1156="","",IF('ORDENES'!$V1156="","-",'ORDENES'!$V1156))</f>
        <v/>
      </c>
      <c r="E1178" s="3">
        <f>IF('ORDENES'!$A1156="","",IF('ORDENES'!$U1156="","-",'ORDENES'!$U1156))</f>
        <v/>
      </c>
      <c r="F1178" s="3">
        <f>IF('ORDENES'!$A1156="","",IF('ORDENES'!$W1156="","-",'ORDENES'!$W1156))</f>
        <v/>
      </c>
      <c r="G1178" s="3">
        <f>IF('ORDENES'!$A1156="","",IF('ORDENES'!$AB1156="","-",'ORDENES'!$AB1156))</f>
        <v/>
      </c>
      <c r="H1178" s="3">
        <f>IF('ORDENES'!$A1156="","",IF('ORDENES'!$AN1156="","-",'ORDENES'!$AN1156))</f>
        <v/>
      </c>
      <c r="I1178" s="3">
        <f>IF('ORDENES'!$A1156="","",IF('ORDENES'!$D1156="","-",'ORDENES'!$D1156))</f>
        <v/>
      </c>
      <c r="J1178" s="3">
        <f>IF('ORDENES'!$A1156="","",IF('ORDENES'!$E1156="","-",'ORDENES'!$E1156))</f>
        <v/>
      </c>
      <c r="K1178" s="12">
        <f>IF('ORDENES'!$A1156="","",IF('ORDENES'!$M1156="",0,'ORDENES'!$M1156))</f>
        <v/>
      </c>
      <c r="L1178" s="3">
        <f>IF('ORDENES'!$A1156="","",IF('ORDENES'!$N1156="","-",'ORDENES'!$N1156))</f>
        <v/>
      </c>
      <c r="M1178" s="3">
        <f>IF('ORDENES'!$A1156="","",'ORDENES'!$AA1156)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IF('ORDENES'!$A1157="","",IF('ORDENES'!$AC1157="","-",'ORDENES'!$AC1157))</f>
        <v/>
      </c>
      <c r="D1179" s="3">
        <f>IF('ORDENES'!$A1157="","",IF('ORDENES'!$V1157="","-",'ORDENES'!$V1157))</f>
        <v/>
      </c>
      <c r="E1179" s="3">
        <f>IF('ORDENES'!$A1157="","",IF('ORDENES'!$U1157="","-",'ORDENES'!$U1157))</f>
        <v/>
      </c>
      <c r="F1179" s="3">
        <f>IF('ORDENES'!$A1157="","",IF('ORDENES'!$W1157="","-",'ORDENES'!$W1157))</f>
        <v/>
      </c>
      <c r="G1179" s="3">
        <f>IF('ORDENES'!$A1157="","",IF('ORDENES'!$AB1157="","-",'ORDENES'!$AB1157))</f>
        <v/>
      </c>
      <c r="H1179" s="3">
        <f>IF('ORDENES'!$A1157="","",IF('ORDENES'!$AN1157="","-",'ORDENES'!$AN1157))</f>
        <v/>
      </c>
      <c r="I1179" s="3">
        <f>IF('ORDENES'!$A1157="","",IF('ORDENES'!$D1157="","-",'ORDENES'!$D1157))</f>
        <v/>
      </c>
      <c r="J1179" s="3">
        <f>IF('ORDENES'!$A1157="","",IF('ORDENES'!$E1157="","-",'ORDENES'!$E1157))</f>
        <v/>
      </c>
      <c r="K1179" s="12">
        <f>IF('ORDENES'!$A1157="","",IF('ORDENES'!$M1157="",0,'ORDENES'!$M1157))</f>
        <v/>
      </c>
      <c r="L1179" s="3">
        <f>IF('ORDENES'!$A1157="","",IF('ORDENES'!$N1157="","-",'ORDENES'!$N1157))</f>
        <v/>
      </c>
      <c r="M1179" s="3">
        <f>IF('ORDENES'!$A1157="","",'ORDENES'!$AA1157)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IF('ORDENES'!$A1158="","",IF('ORDENES'!$AC1158="","-",'ORDENES'!$AC1158))</f>
        <v/>
      </c>
      <c r="D1180" s="3">
        <f>IF('ORDENES'!$A1158="","",IF('ORDENES'!$V1158="","-",'ORDENES'!$V1158))</f>
        <v/>
      </c>
      <c r="E1180" s="3">
        <f>IF('ORDENES'!$A1158="","",IF('ORDENES'!$U1158="","-",'ORDENES'!$U1158))</f>
        <v/>
      </c>
      <c r="F1180" s="3">
        <f>IF('ORDENES'!$A1158="","",IF('ORDENES'!$W1158="","-",'ORDENES'!$W1158))</f>
        <v/>
      </c>
      <c r="G1180" s="3">
        <f>IF('ORDENES'!$A1158="","",IF('ORDENES'!$AB1158="","-",'ORDENES'!$AB1158))</f>
        <v/>
      </c>
      <c r="H1180" s="3">
        <f>IF('ORDENES'!$A1158="","",IF('ORDENES'!$AN1158="","-",'ORDENES'!$AN1158))</f>
        <v/>
      </c>
      <c r="I1180" s="3">
        <f>IF('ORDENES'!$A1158="","",IF('ORDENES'!$D1158="","-",'ORDENES'!$D1158))</f>
        <v/>
      </c>
      <c r="J1180" s="3">
        <f>IF('ORDENES'!$A1158="","",IF('ORDENES'!$E1158="","-",'ORDENES'!$E1158))</f>
        <v/>
      </c>
      <c r="K1180" s="12">
        <f>IF('ORDENES'!$A1158="","",IF('ORDENES'!$M1158="",0,'ORDENES'!$M1158))</f>
        <v/>
      </c>
      <c r="L1180" s="3">
        <f>IF('ORDENES'!$A1158="","",IF('ORDENES'!$N1158="","-",'ORDENES'!$N1158))</f>
        <v/>
      </c>
      <c r="M1180" s="3">
        <f>IF('ORDENES'!$A1158="","",'ORDENES'!$AA1158)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IF('ORDENES'!$A1159="","",IF('ORDENES'!$AC1159="","-",'ORDENES'!$AC1159))</f>
        <v/>
      </c>
      <c r="D1181" s="3">
        <f>IF('ORDENES'!$A1159="","",IF('ORDENES'!$V1159="","-",'ORDENES'!$V1159))</f>
        <v/>
      </c>
      <c r="E1181" s="3">
        <f>IF('ORDENES'!$A1159="","",IF('ORDENES'!$U1159="","-",'ORDENES'!$U1159))</f>
        <v/>
      </c>
      <c r="F1181" s="3">
        <f>IF('ORDENES'!$A1159="","",IF('ORDENES'!$W1159="","-",'ORDENES'!$W1159))</f>
        <v/>
      </c>
      <c r="G1181" s="3">
        <f>IF('ORDENES'!$A1159="","",IF('ORDENES'!$AB1159="","-",'ORDENES'!$AB1159))</f>
        <v/>
      </c>
      <c r="H1181" s="3">
        <f>IF('ORDENES'!$A1159="","",IF('ORDENES'!$AN1159="","-",'ORDENES'!$AN1159))</f>
        <v/>
      </c>
      <c r="I1181" s="3">
        <f>IF('ORDENES'!$A1159="","",IF('ORDENES'!$D1159="","-",'ORDENES'!$D1159))</f>
        <v/>
      </c>
      <c r="J1181" s="3">
        <f>IF('ORDENES'!$A1159="","",IF('ORDENES'!$E1159="","-",'ORDENES'!$E1159))</f>
        <v/>
      </c>
      <c r="K1181" s="12">
        <f>IF('ORDENES'!$A1159="","",IF('ORDENES'!$M1159="",0,'ORDENES'!$M1159))</f>
        <v/>
      </c>
      <c r="L1181" s="3">
        <f>IF('ORDENES'!$A1159="","",IF('ORDENES'!$N1159="","-",'ORDENES'!$N1159))</f>
        <v/>
      </c>
      <c r="M1181" s="3">
        <f>IF('ORDENES'!$A1159="","",'ORDENES'!$AA1159)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IF('ORDENES'!$A1160="","",IF('ORDENES'!$AC1160="","-",'ORDENES'!$AC1160))</f>
        <v/>
      </c>
      <c r="D1182" s="3">
        <f>IF('ORDENES'!$A1160="","",IF('ORDENES'!$V1160="","-",'ORDENES'!$V1160))</f>
        <v/>
      </c>
      <c r="E1182" s="3">
        <f>IF('ORDENES'!$A1160="","",IF('ORDENES'!$U1160="","-",'ORDENES'!$U1160))</f>
        <v/>
      </c>
      <c r="F1182" s="3">
        <f>IF('ORDENES'!$A1160="","",IF('ORDENES'!$W1160="","-",'ORDENES'!$W1160))</f>
        <v/>
      </c>
      <c r="G1182" s="3">
        <f>IF('ORDENES'!$A1160="","",IF('ORDENES'!$AB1160="","-",'ORDENES'!$AB1160))</f>
        <v/>
      </c>
      <c r="H1182" s="3">
        <f>IF('ORDENES'!$A1160="","",IF('ORDENES'!$AN1160="","-",'ORDENES'!$AN1160))</f>
        <v/>
      </c>
      <c r="I1182" s="3">
        <f>IF('ORDENES'!$A1160="","",IF('ORDENES'!$D1160="","-",'ORDENES'!$D1160))</f>
        <v/>
      </c>
      <c r="J1182" s="3">
        <f>IF('ORDENES'!$A1160="","",IF('ORDENES'!$E1160="","-",'ORDENES'!$E1160))</f>
        <v/>
      </c>
      <c r="K1182" s="12">
        <f>IF('ORDENES'!$A1160="","",IF('ORDENES'!$M1160="",0,'ORDENES'!$M1160))</f>
        <v/>
      </c>
      <c r="L1182" s="3">
        <f>IF('ORDENES'!$A1160="","",IF('ORDENES'!$N1160="","-",'ORDENES'!$N1160))</f>
        <v/>
      </c>
      <c r="M1182" s="3">
        <f>IF('ORDENES'!$A1160="","",'ORDENES'!$AA1160)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IF('ORDENES'!$A1161="","",IF('ORDENES'!$AC1161="","-",'ORDENES'!$AC1161))</f>
        <v/>
      </c>
      <c r="D1183" s="3">
        <f>IF('ORDENES'!$A1161="","",IF('ORDENES'!$V1161="","-",'ORDENES'!$V1161))</f>
        <v/>
      </c>
      <c r="E1183" s="3">
        <f>IF('ORDENES'!$A1161="","",IF('ORDENES'!$U1161="","-",'ORDENES'!$U1161))</f>
        <v/>
      </c>
      <c r="F1183" s="3">
        <f>IF('ORDENES'!$A1161="","",IF('ORDENES'!$W1161="","-",'ORDENES'!$W1161))</f>
        <v/>
      </c>
      <c r="G1183" s="3">
        <f>IF('ORDENES'!$A1161="","",IF('ORDENES'!$AB1161="","-",'ORDENES'!$AB1161))</f>
        <v/>
      </c>
      <c r="H1183" s="3">
        <f>IF('ORDENES'!$A1161="","",IF('ORDENES'!$AN1161="","-",'ORDENES'!$AN1161))</f>
        <v/>
      </c>
      <c r="I1183" s="3">
        <f>IF('ORDENES'!$A1161="","",IF('ORDENES'!$D1161="","-",'ORDENES'!$D1161))</f>
        <v/>
      </c>
      <c r="J1183" s="3">
        <f>IF('ORDENES'!$A1161="","",IF('ORDENES'!$E1161="","-",'ORDENES'!$E1161))</f>
        <v/>
      </c>
      <c r="K1183" s="12">
        <f>IF('ORDENES'!$A1161="","",IF('ORDENES'!$M1161="",0,'ORDENES'!$M1161))</f>
        <v/>
      </c>
      <c r="L1183" s="3">
        <f>IF('ORDENES'!$A1161="","",IF('ORDENES'!$N1161="","-",'ORDENES'!$N1161))</f>
        <v/>
      </c>
      <c r="M1183" s="3">
        <f>IF('ORDENES'!$A1161="","",'ORDENES'!$AA1161)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IF('ORDENES'!$A1162="","",IF('ORDENES'!$AC1162="","-",'ORDENES'!$AC1162))</f>
        <v/>
      </c>
      <c r="D1184" s="3">
        <f>IF('ORDENES'!$A1162="","",IF('ORDENES'!$V1162="","-",'ORDENES'!$V1162))</f>
        <v/>
      </c>
      <c r="E1184" s="3">
        <f>IF('ORDENES'!$A1162="","",IF('ORDENES'!$U1162="","-",'ORDENES'!$U1162))</f>
        <v/>
      </c>
      <c r="F1184" s="3">
        <f>IF('ORDENES'!$A1162="","",IF('ORDENES'!$W1162="","-",'ORDENES'!$W1162))</f>
        <v/>
      </c>
      <c r="G1184" s="3">
        <f>IF('ORDENES'!$A1162="","",IF('ORDENES'!$AB1162="","-",'ORDENES'!$AB1162))</f>
        <v/>
      </c>
      <c r="H1184" s="3">
        <f>IF('ORDENES'!$A1162="","",IF('ORDENES'!$AN1162="","-",'ORDENES'!$AN1162))</f>
        <v/>
      </c>
      <c r="I1184" s="3">
        <f>IF('ORDENES'!$A1162="","",IF('ORDENES'!$D1162="","-",'ORDENES'!$D1162))</f>
        <v/>
      </c>
      <c r="J1184" s="3">
        <f>IF('ORDENES'!$A1162="","",IF('ORDENES'!$E1162="","-",'ORDENES'!$E1162))</f>
        <v/>
      </c>
      <c r="K1184" s="12">
        <f>IF('ORDENES'!$A1162="","",IF('ORDENES'!$M1162="",0,'ORDENES'!$M1162))</f>
        <v/>
      </c>
      <c r="L1184" s="3">
        <f>IF('ORDENES'!$A1162="","",IF('ORDENES'!$N1162="","-",'ORDENES'!$N1162))</f>
        <v/>
      </c>
      <c r="M1184" s="3">
        <f>IF('ORDENES'!$A1162="","",'ORDENES'!$AA1162)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IF('ORDENES'!$A1163="","",IF('ORDENES'!$AC1163="","-",'ORDENES'!$AC1163))</f>
        <v/>
      </c>
      <c r="D1185" s="3">
        <f>IF('ORDENES'!$A1163="","",IF('ORDENES'!$V1163="","-",'ORDENES'!$V1163))</f>
        <v/>
      </c>
      <c r="E1185" s="3">
        <f>IF('ORDENES'!$A1163="","",IF('ORDENES'!$U1163="","-",'ORDENES'!$U1163))</f>
        <v/>
      </c>
      <c r="F1185" s="3">
        <f>IF('ORDENES'!$A1163="","",IF('ORDENES'!$W1163="","-",'ORDENES'!$W1163))</f>
        <v/>
      </c>
      <c r="G1185" s="3">
        <f>IF('ORDENES'!$A1163="","",IF('ORDENES'!$AB1163="","-",'ORDENES'!$AB1163))</f>
        <v/>
      </c>
      <c r="H1185" s="3">
        <f>IF('ORDENES'!$A1163="","",IF('ORDENES'!$AN1163="","-",'ORDENES'!$AN1163))</f>
        <v/>
      </c>
      <c r="I1185" s="3">
        <f>IF('ORDENES'!$A1163="","",IF('ORDENES'!$D1163="","-",'ORDENES'!$D1163))</f>
        <v/>
      </c>
      <c r="J1185" s="3">
        <f>IF('ORDENES'!$A1163="","",IF('ORDENES'!$E1163="","-",'ORDENES'!$E1163))</f>
        <v/>
      </c>
      <c r="K1185" s="12">
        <f>IF('ORDENES'!$A1163="","",IF('ORDENES'!$M1163="",0,'ORDENES'!$M1163))</f>
        <v/>
      </c>
      <c r="L1185" s="3">
        <f>IF('ORDENES'!$A1163="","",IF('ORDENES'!$N1163="","-",'ORDENES'!$N1163))</f>
        <v/>
      </c>
      <c r="M1185" s="3">
        <f>IF('ORDENES'!$A1163="","",'ORDENES'!$AA1163)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IF('ORDENES'!$A1164="","",IF('ORDENES'!$AC1164="","-",'ORDENES'!$AC1164))</f>
        <v/>
      </c>
      <c r="D1186" s="3">
        <f>IF('ORDENES'!$A1164="","",IF('ORDENES'!$V1164="","-",'ORDENES'!$V1164))</f>
        <v/>
      </c>
      <c r="E1186" s="3">
        <f>IF('ORDENES'!$A1164="","",IF('ORDENES'!$U1164="","-",'ORDENES'!$U1164))</f>
        <v/>
      </c>
      <c r="F1186" s="3">
        <f>IF('ORDENES'!$A1164="","",IF('ORDENES'!$W1164="","-",'ORDENES'!$W1164))</f>
        <v/>
      </c>
      <c r="G1186" s="3">
        <f>IF('ORDENES'!$A1164="","",IF('ORDENES'!$AB1164="","-",'ORDENES'!$AB1164))</f>
        <v/>
      </c>
      <c r="H1186" s="3">
        <f>IF('ORDENES'!$A1164="","",IF('ORDENES'!$AN1164="","-",'ORDENES'!$AN1164))</f>
        <v/>
      </c>
      <c r="I1186" s="3">
        <f>IF('ORDENES'!$A1164="","",IF('ORDENES'!$D1164="","-",'ORDENES'!$D1164))</f>
        <v/>
      </c>
      <c r="J1186" s="3">
        <f>IF('ORDENES'!$A1164="","",IF('ORDENES'!$E1164="","-",'ORDENES'!$E1164))</f>
        <v/>
      </c>
      <c r="K1186" s="12">
        <f>IF('ORDENES'!$A1164="","",IF('ORDENES'!$M1164="",0,'ORDENES'!$M1164))</f>
        <v/>
      </c>
      <c r="L1186" s="3">
        <f>IF('ORDENES'!$A1164="","",IF('ORDENES'!$N1164="","-",'ORDENES'!$N1164))</f>
        <v/>
      </c>
      <c r="M1186" s="3">
        <f>IF('ORDENES'!$A1164="","",'ORDENES'!$AA1164)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IF('ORDENES'!$A1165="","",IF('ORDENES'!$AC1165="","-",'ORDENES'!$AC1165))</f>
        <v/>
      </c>
      <c r="D1187" s="3">
        <f>IF('ORDENES'!$A1165="","",IF('ORDENES'!$V1165="","-",'ORDENES'!$V1165))</f>
        <v/>
      </c>
      <c r="E1187" s="3">
        <f>IF('ORDENES'!$A1165="","",IF('ORDENES'!$U1165="","-",'ORDENES'!$U1165))</f>
        <v/>
      </c>
      <c r="F1187" s="3">
        <f>IF('ORDENES'!$A1165="","",IF('ORDENES'!$W1165="","-",'ORDENES'!$W1165))</f>
        <v/>
      </c>
      <c r="G1187" s="3">
        <f>IF('ORDENES'!$A1165="","",IF('ORDENES'!$AB1165="","-",'ORDENES'!$AB1165))</f>
        <v/>
      </c>
      <c r="H1187" s="3">
        <f>IF('ORDENES'!$A1165="","",IF('ORDENES'!$AN1165="","-",'ORDENES'!$AN1165))</f>
        <v/>
      </c>
      <c r="I1187" s="3">
        <f>IF('ORDENES'!$A1165="","",IF('ORDENES'!$D1165="","-",'ORDENES'!$D1165))</f>
        <v/>
      </c>
      <c r="J1187" s="3">
        <f>IF('ORDENES'!$A1165="","",IF('ORDENES'!$E1165="","-",'ORDENES'!$E1165))</f>
        <v/>
      </c>
      <c r="K1187" s="12">
        <f>IF('ORDENES'!$A1165="","",IF('ORDENES'!$M1165="",0,'ORDENES'!$M1165))</f>
        <v/>
      </c>
      <c r="L1187" s="3">
        <f>IF('ORDENES'!$A1165="","",IF('ORDENES'!$N1165="","-",'ORDENES'!$N1165))</f>
        <v/>
      </c>
      <c r="M1187" s="3">
        <f>IF('ORDENES'!$A1165="","",'ORDENES'!$AA1165)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IF('ORDENES'!$A1166="","",IF('ORDENES'!$AC1166="","-",'ORDENES'!$AC1166))</f>
        <v/>
      </c>
      <c r="D1188" s="3">
        <f>IF('ORDENES'!$A1166="","",IF('ORDENES'!$V1166="","-",'ORDENES'!$V1166))</f>
        <v/>
      </c>
      <c r="E1188" s="3">
        <f>IF('ORDENES'!$A1166="","",IF('ORDENES'!$U1166="","-",'ORDENES'!$U1166))</f>
        <v/>
      </c>
      <c r="F1188" s="3">
        <f>IF('ORDENES'!$A1166="","",IF('ORDENES'!$W1166="","-",'ORDENES'!$W1166))</f>
        <v/>
      </c>
      <c r="G1188" s="3">
        <f>IF('ORDENES'!$A1166="","",IF('ORDENES'!$AB1166="","-",'ORDENES'!$AB1166))</f>
        <v/>
      </c>
      <c r="H1188" s="3">
        <f>IF('ORDENES'!$A1166="","",IF('ORDENES'!$AN1166="","-",'ORDENES'!$AN1166))</f>
        <v/>
      </c>
      <c r="I1188" s="3">
        <f>IF('ORDENES'!$A1166="","",IF('ORDENES'!$D1166="","-",'ORDENES'!$D1166))</f>
        <v/>
      </c>
      <c r="J1188" s="3">
        <f>IF('ORDENES'!$A1166="","",IF('ORDENES'!$E1166="","-",'ORDENES'!$E1166))</f>
        <v/>
      </c>
      <c r="K1188" s="12">
        <f>IF('ORDENES'!$A1166="","",IF('ORDENES'!$M1166="",0,'ORDENES'!$M1166))</f>
        <v/>
      </c>
      <c r="L1188" s="3">
        <f>IF('ORDENES'!$A1166="","",IF('ORDENES'!$N1166="","-",'ORDENES'!$N1166))</f>
        <v/>
      </c>
      <c r="M1188" s="3">
        <f>IF('ORDENES'!$A1166="","",'ORDENES'!$AA1166)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IF('ORDENES'!$A1167="","",IF('ORDENES'!$AC1167="","-",'ORDENES'!$AC1167))</f>
        <v/>
      </c>
      <c r="D1189" s="3">
        <f>IF('ORDENES'!$A1167="","",IF('ORDENES'!$V1167="","-",'ORDENES'!$V1167))</f>
        <v/>
      </c>
      <c r="E1189" s="3">
        <f>IF('ORDENES'!$A1167="","",IF('ORDENES'!$U1167="","-",'ORDENES'!$U1167))</f>
        <v/>
      </c>
      <c r="F1189" s="3">
        <f>IF('ORDENES'!$A1167="","",IF('ORDENES'!$W1167="","-",'ORDENES'!$W1167))</f>
        <v/>
      </c>
      <c r="G1189" s="3">
        <f>IF('ORDENES'!$A1167="","",IF('ORDENES'!$AB1167="","-",'ORDENES'!$AB1167))</f>
        <v/>
      </c>
      <c r="H1189" s="3">
        <f>IF('ORDENES'!$A1167="","",IF('ORDENES'!$AN1167="","-",'ORDENES'!$AN1167))</f>
        <v/>
      </c>
      <c r="I1189" s="3">
        <f>IF('ORDENES'!$A1167="","",IF('ORDENES'!$D1167="","-",'ORDENES'!$D1167))</f>
        <v/>
      </c>
      <c r="J1189" s="3">
        <f>IF('ORDENES'!$A1167="","",IF('ORDENES'!$E1167="","-",'ORDENES'!$E1167))</f>
        <v/>
      </c>
      <c r="K1189" s="12">
        <f>IF('ORDENES'!$A1167="","",IF('ORDENES'!$M1167="",0,'ORDENES'!$M1167))</f>
        <v/>
      </c>
      <c r="L1189" s="3">
        <f>IF('ORDENES'!$A1167="","",IF('ORDENES'!$N1167="","-",'ORDENES'!$N1167))</f>
        <v/>
      </c>
      <c r="M1189" s="3">
        <f>IF('ORDENES'!$A1167="","",'ORDENES'!$AA1167)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IF('ORDENES'!$A1168="","",IF('ORDENES'!$AC1168="","-",'ORDENES'!$AC1168))</f>
        <v/>
      </c>
      <c r="D1190" s="3">
        <f>IF('ORDENES'!$A1168="","",IF('ORDENES'!$V1168="","-",'ORDENES'!$V1168))</f>
        <v/>
      </c>
      <c r="E1190" s="3">
        <f>IF('ORDENES'!$A1168="","",IF('ORDENES'!$U1168="","-",'ORDENES'!$U1168))</f>
        <v/>
      </c>
      <c r="F1190" s="3">
        <f>IF('ORDENES'!$A1168="","",IF('ORDENES'!$W1168="","-",'ORDENES'!$W1168))</f>
        <v/>
      </c>
      <c r="G1190" s="3">
        <f>IF('ORDENES'!$A1168="","",IF('ORDENES'!$AB1168="","-",'ORDENES'!$AB1168))</f>
        <v/>
      </c>
      <c r="H1190" s="3">
        <f>IF('ORDENES'!$A1168="","",IF('ORDENES'!$AN1168="","-",'ORDENES'!$AN1168))</f>
        <v/>
      </c>
      <c r="I1190" s="3">
        <f>IF('ORDENES'!$A1168="","",IF('ORDENES'!$D1168="","-",'ORDENES'!$D1168))</f>
        <v/>
      </c>
      <c r="J1190" s="3">
        <f>IF('ORDENES'!$A1168="","",IF('ORDENES'!$E1168="","-",'ORDENES'!$E1168))</f>
        <v/>
      </c>
      <c r="K1190" s="12">
        <f>IF('ORDENES'!$A1168="","",IF('ORDENES'!$M1168="",0,'ORDENES'!$M1168))</f>
        <v/>
      </c>
      <c r="L1190" s="3">
        <f>IF('ORDENES'!$A1168="","",IF('ORDENES'!$N1168="","-",'ORDENES'!$N1168))</f>
        <v/>
      </c>
      <c r="M1190" s="3">
        <f>IF('ORDENES'!$A1168="","",'ORDENES'!$AA1168)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IF('ORDENES'!$A1169="","",IF('ORDENES'!$AC1169="","-",'ORDENES'!$AC1169))</f>
        <v/>
      </c>
      <c r="D1191" s="3">
        <f>IF('ORDENES'!$A1169="","",IF('ORDENES'!$V1169="","-",'ORDENES'!$V1169))</f>
        <v/>
      </c>
      <c r="E1191" s="3">
        <f>IF('ORDENES'!$A1169="","",IF('ORDENES'!$U1169="","-",'ORDENES'!$U1169))</f>
        <v/>
      </c>
      <c r="F1191" s="3">
        <f>IF('ORDENES'!$A1169="","",IF('ORDENES'!$W1169="","-",'ORDENES'!$W1169))</f>
        <v/>
      </c>
      <c r="G1191" s="3">
        <f>IF('ORDENES'!$A1169="","",IF('ORDENES'!$AB1169="","-",'ORDENES'!$AB1169))</f>
        <v/>
      </c>
      <c r="H1191" s="3">
        <f>IF('ORDENES'!$A1169="","",IF('ORDENES'!$AN1169="","-",'ORDENES'!$AN1169))</f>
        <v/>
      </c>
      <c r="I1191" s="3">
        <f>IF('ORDENES'!$A1169="","",IF('ORDENES'!$D1169="","-",'ORDENES'!$D1169))</f>
        <v/>
      </c>
      <c r="J1191" s="3">
        <f>IF('ORDENES'!$A1169="","",IF('ORDENES'!$E1169="","-",'ORDENES'!$E1169))</f>
        <v/>
      </c>
      <c r="K1191" s="12">
        <f>IF('ORDENES'!$A1169="","",IF('ORDENES'!$M1169="",0,'ORDENES'!$M1169))</f>
        <v/>
      </c>
      <c r="L1191" s="3">
        <f>IF('ORDENES'!$A1169="","",IF('ORDENES'!$N1169="","-",'ORDENES'!$N1169))</f>
        <v/>
      </c>
      <c r="M1191" s="3">
        <f>IF('ORDENES'!$A1169="","",'ORDENES'!$AA1169)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IF('ORDENES'!$A1170="","",IF('ORDENES'!$AC1170="","-",'ORDENES'!$AC1170))</f>
        <v/>
      </c>
      <c r="D1192" s="3">
        <f>IF('ORDENES'!$A1170="","",IF('ORDENES'!$V1170="","-",'ORDENES'!$V1170))</f>
        <v/>
      </c>
      <c r="E1192" s="3">
        <f>IF('ORDENES'!$A1170="","",IF('ORDENES'!$U1170="","-",'ORDENES'!$U1170))</f>
        <v/>
      </c>
      <c r="F1192" s="3">
        <f>IF('ORDENES'!$A1170="","",IF('ORDENES'!$W1170="","-",'ORDENES'!$W1170))</f>
        <v/>
      </c>
      <c r="G1192" s="3">
        <f>IF('ORDENES'!$A1170="","",IF('ORDENES'!$AB1170="","-",'ORDENES'!$AB1170))</f>
        <v/>
      </c>
      <c r="H1192" s="3">
        <f>IF('ORDENES'!$A1170="","",IF('ORDENES'!$AN1170="","-",'ORDENES'!$AN1170))</f>
        <v/>
      </c>
      <c r="I1192" s="3">
        <f>IF('ORDENES'!$A1170="","",IF('ORDENES'!$D1170="","-",'ORDENES'!$D1170))</f>
        <v/>
      </c>
      <c r="J1192" s="3">
        <f>IF('ORDENES'!$A1170="","",IF('ORDENES'!$E1170="","-",'ORDENES'!$E1170))</f>
        <v/>
      </c>
      <c r="K1192" s="12">
        <f>IF('ORDENES'!$A1170="","",IF('ORDENES'!$M1170="",0,'ORDENES'!$M1170))</f>
        <v/>
      </c>
      <c r="L1192" s="3">
        <f>IF('ORDENES'!$A1170="","",IF('ORDENES'!$N1170="","-",'ORDENES'!$N1170))</f>
        <v/>
      </c>
      <c r="M1192" s="3">
        <f>IF('ORDENES'!$A1170="","",'ORDENES'!$AA1170)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IF('ORDENES'!$A1171="","",IF('ORDENES'!$AC1171="","-",'ORDENES'!$AC1171))</f>
        <v/>
      </c>
      <c r="D1193" s="3">
        <f>IF('ORDENES'!$A1171="","",IF('ORDENES'!$V1171="","-",'ORDENES'!$V1171))</f>
        <v/>
      </c>
      <c r="E1193" s="3">
        <f>IF('ORDENES'!$A1171="","",IF('ORDENES'!$U1171="","-",'ORDENES'!$U1171))</f>
        <v/>
      </c>
      <c r="F1193" s="3">
        <f>IF('ORDENES'!$A1171="","",IF('ORDENES'!$W1171="","-",'ORDENES'!$W1171))</f>
        <v/>
      </c>
      <c r="G1193" s="3">
        <f>IF('ORDENES'!$A1171="","",IF('ORDENES'!$AB1171="","-",'ORDENES'!$AB1171))</f>
        <v/>
      </c>
      <c r="H1193" s="3">
        <f>IF('ORDENES'!$A1171="","",IF('ORDENES'!$AN1171="","-",'ORDENES'!$AN1171))</f>
        <v/>
      </c>
      <c r="I1193" s="3">
        <f>IF('ORDENES'!$A1171="","",IF('ORDENES'!$D1171="","-",'ORDENES'!$D1171))</f>
        <v/>
      </c>
      <c r="J1193" s="3">
        <f>IF('ORDENES'!$A1171="","",IF('ORDENES'!$E1171="","-",'ORDENES'!$E1171))</f>
        <v/>
      </c>
      <c r="K1193" s="12">
        <f>IF('ORDENES'!$A1171="","",IF('ORDENES'!$M1171="",0,'ORDENES'!$M1171))</f>
        <v/>
      </c>
      <c r="L1193" s="3">
        <f>IF('ORDENES'!$A1171="","",IF('ORDENES'!$N1171="","-",'ORDENES'!$N1171))</f>
        <v/>
      </c>
      <c r="M1193" s="3">
        <f>IF('ORDENES'!$A1171="","",'ORDENES'!$AA1171)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IF('ORDENES'!$A1172="","",IF('ORDENES'!$AC1172="","-",'ORDENES'!$AC1172))</f>
        <v/>
      </c>
      <c r="D1194" s="3">
        <f>IF('ORDENES'!$A1172="","",IF('ORDENES'!$V1172="","-",'ORDENES'!$V1172))</f>
        <v/>
      </c>
      <c r="E1194" s="3">
        <f>IF('ORDENES'!$A1172="","",IF('ORDENES'!$U1172="","-",'ORDENES'!$U1172))</f>
        <v/>
      </c>
      <c r="F1194" s="3">
        <f>IF('ORDENES'!$A1172="","",IF('ORDENES'!$W1172="","-",'ORDENES'!$W1172))</f>
        <v/>
      </c>
      <c r="G1194" s="3">
        <f>IF('ORDENES'!$A1172="","",IF('ORDENES'!$AB1172="","-",'ORDENES'!$AB1172))</f>
        <v/>
      </c>
      <c r="H1194" s="3">
        <f>IF('ORDENES'!$A1172="","",IF('ORDENES'!$AN1172="","-",'ORDENES'!$AN1172))</f>
        <v/>
      </c>
      <c r="I1194" s="3">
        <f>IF('ORDENES'!$A1172="","",IF('ORDENES'!$D1172="","-",'ORDENES'!$D1172))</f>
        <v/>
      </c>
      <c r="J1194" s="3">
        <f>IF('ORDENES'!$A1172="","",IF('ORDENES'!$E1172="","-",'ORDENES'!$E1172))</f>
        <v/>
      </c>
      <c r="K1194" s="12">
        <f>IF('ORDENES'!$A1172="","",IF('ORDENES'!$M1172="",0,'ORDENES'!$M1172))</f>
        <v/>
      </c>
      <c r="L1194" s="3">
        <f>IF('ORDENES'!$A1172="","",IF('ORDENES'!$N1172="","-",'ORDENES'!$N1172))</f>
        <v/>
      </c>
      <c r="M1194" s="3">
        <f>IF('ORDENES'!$A1172="","",'ORDENES'!$AA1172)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IF('ORDENES'!$A1173="","",IF('ORDENES'!$AC1173="","-",'ORDENES'!$AC1173))</f>
        <v/>
      </c>
      <c r="D1195" s="3">
        <f>IF('ORDENES'!$A1173="","",IF('ORDENES'!$V1173="","-",'ORDENES'!$V1173))</f>
        <v/>
      </c>
      <c r="E1195" s="3">
        <f>IF('ORDENES'!$A1173="","",IF('ORDENES'!$U1173="","-",'ORDENES'!$U1173))</f>
        <v/>
      </c>
      <c r="F1195" s="3">
        <f>IF('ORDENES'!$A1173="","",IF('ORDENES'!$W1173="","-",'ORDENES'!$W1173))</f>
        <v/>
      </c>
      <c r="G1195" s="3">
        <f>IF('ORDENES'!$A1173="","",IF('ORDENES'!$AB1173="","-",'ORDENES'!$AB1173))</f>
        <v/>
      </c>
      <c r="H1195" s="3">
        <f>IF('ORDENES'!$A1173="","",IF('ORDENES'!$AN1173="","-",'ORDENES'!$AN1173))</f>
        <v/>
      </c>
      <c r="I1195" s="3">
        <f>IF('ORDENES'!$A1173="","",IF('ORDENES'!$D1173="","-",'ORDENES'!$D1173))</f>
        <v/>
      </c>
      <c r="J1195" s="3">
        <f>IF('ORDENES'!$A1173="","",IF('ORDENES'!$E1173="","-",'ORDENES'!$E1173))</f>
        <v/>
      </c>
      <c r="K1195" s="12">
        <f>IF('ORDENES'!$A1173="","",IF('ORDENES'!$M1173="",0,'ORDENES'!$M1173))</f>
        <v/>
      </c>
      <c r="L1195" s="3">
        <f>IF('ORDENES'!$A1173="","",IF('ORDENES'!$N1173="","-",'ORDENES'!$N1173))</f>
        <v/>
      </c>
      <c r="M1195" s="3">
        <f>IF('ORDENES'!$A1173="","",'ORDENES'!$AA1173)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IF('ORDENES'!$A1174="","",IF('ORDENES'!$AC1174="","-",'ORDENES'!$AC1174))</f>
        <v/>
      </c>
      <c r="D1196" s="3">
        <f>IF('ORDENES'!$A1174="","",IF('ORDENES'!$V1174="","-",'ORDENES'!$V1174))</f>
        <v/>
      </c>
      <c r="E1196" s="3">
        <f>IF('ORDENES'!$A1174="","",IF('ORDENES'!$U1174="","-",'ORDENES'!$U1174))</f>
        <v/>
      </c>
      <c r="F1196" s="3">
        <f>IF('ORDENES'!$A1174="","",IF('ORDENES'!$W1174="","-",'ORDENES'!$W1174))</f>
        <v/>
      </c>
      <c r="G1196" s="3">
        <f>IF('ORDENES'!$A1174="","",IF('ORDENES'!$AB1174="","-",'ORDENES'!$AB1174))</f>
        <v/>
      </c>
      <c r="H1196" s="3">
        <f>IF('ORDENES'!$A1174="","",IF('ORDENES'!$AN1174="","-",'ORDENES'!$AN1174))</f>
        <v/>
      </c>
      <c r="I1196" s="3">
        <f>IF('ORDENES'!$A1174="","",IF('ORDENES'!$D1174="","-",'ORDENES'!$D1174))</f>
        <v/>
      </c>
      <c r="J1196" s="3">
        <f>IF('ORDENES'!$A1174="","",IF('ORDENES'!$E1174="","-",'ORDENES'!$E1174))</f>
        <v/>
      </c>
      <c r="K1196" s="12">
        <f>IF('ORDENES'!$A1174="","",IF('ORDENES'!$M1174="",0,'ORDENES'!$M1174))</f>
        <v/>
      </c>
      <c r="L1196" s="3">
        <f>IF('ORDENES'!$A1174="","",IF('ORDENES'!$N1174="","-",'ORDENES'!$N1174))</f>
        <v/>
      </c>
      <c r="M1196" s="3">
        <f>IF('ORDENES'!$A1174="","",'ORDENES'!$AA1174)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IF('ORDENES'!$A1175="","",IF('ORDENES'!$AC1175="","-",'ORDENES'!$AC1175))</f>
        <v/>
      </c>
      <c r="D1197" s="3">
        <f>IF('ORDENES'!$A1175="","",IF('ORDENES'!$V1175="","-",'ORDENES'!$V1175))</f>
        <v/>
      </c>
      <c r="E1197" s="3">
        <f>IF('ORDENES'!$A1175="","",IF('ORDENES'!$U1175="","-",'ORDENES'!$U1175))</f>
        <v/>
      </c>
      <c r="F1197" s="3">
        <f>IF('ORDENES'!$A1175="","",IF('ORDENES'!$W1175="","-",'ORDENES'!$W1175))</f>
        <v/>
      </c>
      <c r="G1197" s="3">
        <f>IF('ORDENES'!$A1175="","",IF('ORDENES'!$AB1175="","-",'ORDENES'!$AB1175))</f>
        <v/>
      </c>
      <c r="H1197" s="3">
        <f>IF('ORDENES'!$A1175="","",IF('ORDENES'!$AN1175="","-",'ORDENES'!$AN1175))</f>
        <v/>
      </c>
      <c r="I1197" s="3">
        <f>IF('ORDENES'!$A1175="","",IF('ORDENES'!$D1175="","-",'ORDENES'!$D1175))</f>
        <v/>
      </c>
      <c r="J1197" s="3">
        <f>IF('ORDENES'!$A1175="","",IF('ORDENES'!$E1175="","-",'ORDENES'!$E1175))</f>
        <v/>
      </c>
      <c r="K1197" s="12">
        <f>IF('ORDENES'!$A1175="","",IF('ORDENES'!$M1175="",0,'ORDENES'!$M1175))</f>
        <v/>
      </c>
      <c r="L1197" s="3">
        <f>IF('ORDENES'!$A1175="","",IF('ORDENES'!$N1175="","-",'ORDENES'!$N1175))</f>
        <v/>
      </c>
      <c r="M1197" s="3">
        <f>IF('ORDENES'!$A1175="","",'ORDENES'!$AA1175)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IF('ORDENES'!$A1176="","",IF('ORDENES'!$AC1176="","-",'ORDENES'!$AC1176))</f>
        <v/>
      </c>
      <c r="D1198" s="3">
        <f>IF('ORDENES'!$A1176="","",IF('ORDENES'!$V1176="","-",'ORDENES'!$V1176))</f>
        <v/>
      </c>
      <c r="E1198" s="3">
        <f>IF('ORDENES'!$A1176="","",IF('ORDENES'!$U1176="","-",'ORDENES'!$U1176))</f>
        <v/>
      </c>
      <c r="F1198" s="3">
        <f>IF('ORDENES'!$A1176="","",IF('ORDENES'!$W1176="","-",'ORDENES'!$W1176))</f>
        <v/>
      </c>
      <c r="G1198" s="3">
        <f>IF('ORDENES'!$A1176="","",IF('ORDENES'!$AB1176="","-",'ORDENES'!$AB1176))</f>
        <v/>
      </c>
      <c r="H1198" s="3">
        <f>IF('ORDENES'!$A1176="","",IF('ORDENES'!$AN1176="","-",'ORDENES'!$AN1176))</f>
        <v/>
      </c>
      <c r="I1198" s="3">
        <f>IF('ORDENES'!$A1176="","",IF('ORDENES'!$D1176="","-",'ORDENES'!$D1176))</f>
        <v/>
      </c>
      <c r="J1198" s="3">
        <f>IF('ORDENES'!$A1176="","",IF('ORDENES'!$E1176="","-",'ORDENES'!$E1176))</f>
        <v/>
      </c>
      <c r="K1198" s="12">
        <f>IF('ORDENES'!$A1176="","",IF('ORDENES'!$M1176="",0,'ORDENES'!$M1176))</f>
        <v/>
      </c>
      <c r="L1198" s="3">
        <f>IF('ORDENES'!$A1176="","",IF('ORDENES'!$N1176="","-",'ORDENES'!$N1176))</f>
        <v/>
      </c>
      <c r="M1198" s="3">
        <f>IF('ORDENES'!$A1176="","",'ORDENES'!$AA1176)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IF('ORDENES'!$A1177="","",IF('ORDENES'!$AC1177="","-",'ORDENES'!$AC1177))</f>
        <v/>
      </c>
      <c r="D1199" s="3">
        <f>IF('ORDENES'!$A1177="","",IF('ORDENES'!$V1177="","-",'ORDENES'!$V1177))</f>
        <v/>
      </c>
      <c r="E1199" s="3">
        <f>IF('ORDENES'!$A1177="","",IF('ORDENES'!$U1177="","-",'ORDENES'!$U1177))</f>
        <v/>
      </c>
      <c r="F1199" s="3">
        <f>IF('ORDENES'!$A1177="","",IF('ORDENES'!$W1177="","-",'ORDENES'!$W1177))</f>
        <v/>
      </c>
      <c r="G1199" s="3">
        <f>IF('ORDENES'!$A1177="","",IF('ORDENES'!$AB1177="","-",'ORDENES'!$AB1177))</f>
        <v/>
      </c>
      <c r="H1199" s="3">
        <f>IF('ORDENES'!$A1177="","",IF('ORDENES'!$AN1177="","-",'ORDENES'!$AN1177))</f>
        <v/>
      </c>
      <c r="I1199" s="3">
        <f>IF('ORDENES'!$A1177="","",IF('ORDENES'!$D1177="","-",'ORDENES'!$D1177))</f>
        <v/>
      </c>
      <c r="J1199" s="3">
        <f>IF('ORDENES'!$A1177="","",IF('ORDENES'!$E1177="","-",'ORDENES'!$E1177))</f>
        <v/>
      </c>
      <c r="K1199" s="12">
        <f>IF('ORDENES'!$A1177="","",IF('ORDENES'!$M1177="",0,'ORDENES'!$M1177))</f>
        <v/>
      </c>
      <c r="L1199" s="3">
        <f>IF('ORDENES'!$A1177="","",IF('ORDENES'!$N1177="","-",'ORDENES'!$N1177))</f>
        <v/>
      </c>
      <c r="M1199" s="3">
        <f>IF('ORDENES'!$A1177="","",'ORDENES'!$AA1177)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IF('ORDENES'!$A1178="","",IF('ORDENES'!$AC1178="","-",'ORDENES'!$AC1178))</f>
        <v/>
      </c>
      <c r="D1200" s="3">
        <f>IF('ORDENES'!$A1178="","",IF('ORDENES'!$V1178="","-",'ORDENES'!$V1178))</f>
        <v/>
      </c>
      <c r="E1200" s="3">
        <f>IF('ORDENES'!$A1178="","",IF('ORDENES'!$U1178="","-",'ORDENES'!$U1178))</f>
        <v/>
      </c>
      <c r="F1200" s="3">
        <f>IF('ORDENES'!$A1178="","",IF('ORDENES'!$W1178="","-",'ORDENES'!$W1178))</f>
        <v/>
      </c>
      <c r="G1200" s="3">
        <f>IF('ORDENES'!$A1178="","",IF('ORDENES'!$AB1178="","-",'ORDENES'!$AB1178))</f>
        <v/>
      </c>
      <c r="H1200" s="3">
        <f>IF('ORDENES'!$A1178="","",IF('ORDENES'!$AN1178="","-",'ORDENES'!$AN1178))</f>
        <v/>
      </c>
      <c r="I1200" s="3">
        <f>IF('ORDENES'!$A1178="","",IF('ORDENES'!$D1178="","-",'ORDENES'!$D1178))</f>
        <v/>
      </c>
      <c r="J1200" s="3">
        <f>IF('ORDENES'!$A1178="","",IF('ORDENES'!$E1178="","-",'ORDENES'!$E1178))</f>
        <v/>
      </c>
      <c r="K1200" s="12">
        <f>IF('ORDENES'!$A1178="","",IF('ORDENES'!$M1178="",0,'ORDENES'!$M1178))</f>
        <v/>
      </c>
      <c r="L1200" s="3">
        <f>IF('ORDENES'!$A1178="","",IF('ORDENES'!$N1178="","-",'ORDENES'!$N1178))</f>
        <v/>
      </c>
      <c r="M1200" s="3">
        <f>IF('ORDENES'!$A1178="","",'ORDENES'!$AA1178)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IF('ORDENES'!$A1179="","",IF('ORDENES'!$AC1179="","-",'ORDENES'!$AC1179))</f>
        <v/>
      </c>
      <c r="D1201" s="3">
        <f>IF('ORDENES'!$A1179="","",IF('ORDENES'!$V1179="","-",'ORDENES'!$V1179))</f>
        <v/>
      </c>
      <c r="E1201" s="3">
        <f>IF('ORDENES'!$A1179="","",IF('ORDENES'!$U1179="","-",'ORDENES'!$U1179))</f>
        <v/>
      </c>
      <c r="F1201" s="3">
        <f>IF('ORDENES'!$A1179="","",IF('ORDENES'!$W1179="","-",'ORDENES'!$W1179))</f>
        <v/>
      </c>
      <c r="G1201" s="3">
        <f>IF('ORDENES'!$A1179="","",IF('ORDENES'!$AB1179="","-",'ORDENES'!$AB1179))</f>
        <v/>
      </c>
      <c r="H1201" s="3">
        <f>IF('ORDENES'!$A1179="","",IF('ORDENES'!$AN1179="","-",'ORDENES'!$AN1179))</f>
        <v/>
      </c>
      <c r="I1201" s="3">
        <f>IF('ORDENES'!$A1179="","",IF('ORDENES'!$D1179="","-",'ORDENES'!$D1179))</f>
        <v/>
      </c>
      <c r="J1201" s="3">
        <f>IF('ORDENES'!$A1179="","",IF('ORDENES'!$E1179="","-",'ORDENES'!$E1179))</f>
        <v/>
      </c>
      <c r="K1201" s="12">
        <f>IF('ORDENES'!$A1179="","",IF('ORDENES'!$M1179="",0,'ORDENES'!$M1179))</f>
        <v/>
      </c>
      <c r="L1201" s="3">
        <f>IF('ORDENES'!$A1179="","",IF('ORDENES'!$N1179="","-",'ORDENES'!$N1179))</f>
        <v/>
      </c>
      <c r="M1201" s="3">
        <f>IF('ORDENES'!$A1179="","",'ORDENES'!$AA1179)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IF('ORDENES'!$A1180="","",IF('ORDENES'!$AC1180="","-",'ORDENES'!$AC1180))</f>
        <v/>
      </c>
      <c r="D1202" s="3">
        <f>IF('ORDENES'!$A1180="","",IF('ORDENES'!$V1180="","-",'ORDENES'!$V1180))</f>
        <v/>
      </c>
      <c r="E1202" s="3">
        <f>IF('ORDENES'!$A1180="","",IF('ORDENES'!$U1180="","-",'ORDENES'!$U1180))</f>
        <v/>
      </c>
      <c r="F1202" s="3">
        <f>IF('ORDENES'!$A1180="","",IF('ORDENES'!$W1180="","-",'ORDENES'!$W1180))</f>
        <v/>
      </c>
      <c r="G1202" s="3">
        <f>IF('ORDENES'!$A1180="","",IF('ORDENES'!$AB1180="","-",'ORDENES'!$AB1180))</f>
        <v/>
      </c>
      <c r="H1202" s="3">
        <f>IF('ORDENES'!$A1180="","",IF('ORDENES'!$AN1180="","-",'ORDENES'!$AN1180))</f>
        <v/>
      </c>
      <c r="I1202" s="3">
        <f>IF('ORDENES'!$A1180="","",IF('ORDENES'!$D1180="","-",'ORDENES'!$D1180))</f>
        <v/>
      </c>
      <c r="J1202" s="3">
        <f>IF('ORDENES'!$A1180="","",IF('ORDENES'!$E1180="","-",'ORDENES'!$E1180))</f>
        <v/>
      </c>
      <c r="K1202" s="12">
        <f>IF('ORDENES'!$A1180="","",IF('ORDENES'!$M1180="",0,'ORDENES'!$M1180))</f>
        <v/>
      </c>
      <c r="L1202" s="3">
        <f>IF('ORDENES'!$A1180="","",IF('ORDENES'!$N1180="","-",'ORDENES'!$N1180))</f>
        <v/>
      </c>
      <c r="M1202" s="3">
        <f>IF('ORDENES'!$A1180="","",'ORDENES'!$AA1180)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IF('ORDENES'!$A1181="","",IF('ORDENES'!$AC1181="","-",'ORDENES'!$AC1181))</f>
        <v/>
      </c>
      <c r="D1203" s="3">
        <f>IF('ORDENES'!$A1181="","",IF('ORDENES'!$V1181="","-",'ORDENES'!$V1181))</f>
        <v/>
      </c>
      <c r="E1203" s="3">
        <f>IF('ORDENES'!$A1181="","",IF('ORDENES'!$U1181="","-",'ORDENES'!$U1181))</f>
        <v/>
      </c>
      <c r="F1203" s="3">
        <f>IF('ORDENES'!$A1181="","",IF('ORDENES'!$W1181="","-",'ORDENES'!$W1181))</f>
        <v/>
      </c>
      <c r="G1203" s="3">
        <f>IF('ORDENES'!$A1181="","",IF('ORDENES'!$AB1181="","-",'ORDENES'!$AB1181))</f>
        <v/>
      </c>
      <c r="H1203" s="3">
        <f>IF('ORDENES'!$A1181="","",IF('ORDENES'!$AN1181="","-",'ORDENES'!$AN1181))</f>
        <v/>
      </c>
      <c r="I1203" s="3">
        <f>IF('ORDENES'!$A1181="","",IF('ORDENES'!$D1181="","-",'ORDENES'!$D1181))</f>
        <v/>
      </c>
      <c r="J1203" s="3">
        <f>IF('ORDENES'!$A1181="","",IF('ORDENES'!$E1181="","-",'ORDENES'!$E1181))</f>
        <v/>
      </c>
      <c r="K1203" s="12">
        <f>IF('ORDENES'!$A1181="","",IF('ORDENES'!$M1181="",0,'ORDENES'!$M1181))</f>
        <v/>
      </c>
      <c r="L1203" s="3">
        <f>IF('ORDENES'!$A1181="","",IF('ORDENES'!$N1181="","-",'ORDENES'!$N1181))</f>
        <v/>
      </c>
      <c r="M1203" s="3">
        <f>IF('ORDENES'!$A1181="","",'ORDENES'!$AA1181)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IF('ORDENES'!$A1182="","",IF('ORDENES'!$AC1182="","-",'ORDENES'!$AC1182))</f>
        <v/>
      </c>
      <c r="D1204" s="3">
        <f>IF('ORDENES'!$A1182="","",IF('ORDENES'!$V1182="","-",'ORDENES'!$V1182))</f>
        <v/>
      </c>
      <c r="E1204" s="3">
        <f>IF('ORDENES'!$A1182="","",IF('ORDENES'!$U1182="","-",'ORDENES'!$U1182))</f>
        <v/>
      </c>
      <c r="F1204" s="3">
        <f>IF('ORDENES'!$A1182="","",IF('ORDENES'!$W1182="","-",'ORDENES'!$W1182))</f>
        <v/>
      </c>
      <c r="G1204" s="3">
        <f>IF('ORDENES'!$A1182="","",IF('ORDENES'!$AB1182="","-",'ORDENES'!$AB1182))</f>
        <v/>
      </c>
      <c r="H1204" s="3">
        <f>IF('ORDENES'!$A1182="","",IF('ORDENES'!$AN1182="","-",'ORDENES'!$AN1182))</f>
        <v/>
      </c>
      <c r="I1204" s="3">
        <f>IF('ORDENES'!$A1182="","",IF('ORDENES'!$D1182="","-",'ORDENES'!$D1182))</f>
        <v/>
      </c>
      <c r="J1204" s="3">
        <f>IF('ORDENES'!$A1182="","",IF('ORDENES'!$E1182="","-",'ORDENES'!$E1182))</f>
        <v/>
      </c>
      <c r="K1204" s="12">
        <f>IF('ORDENES'!$A1182="","",IF('ORDENES'!$M1182="",0,'ORDENES'!$M1182))</f>
        <v/>
      </c>
      <c r="L1204" s="3">
        <f>IF('ORDENES'!$A1182="","",IF('ORDENES'!$N1182="","-",'ORDENES'!$N1182))</f>
        <v/>
      </c>
      <c r="M1204" s="3">
        <f>IF('ORDENES'!$A1182="","",'ORDENES'!$AA1182)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IF('ORDENES'!$A1183="","",IF('ORDENES'!$AC1183="","-",'ORDENES'!$AC1183))</f>
        <v/>
      </c>
      <c r="D1205" s="3">
        <f>IF('ORDENES'!$A1183="","",IF('ORDENES'!$V1183="","-",'ORDENES'!$V1183))</f>
        <v/>
      </c>
      <c r="E1205" s="3">
        <f>IF('ORDENES'!$A1183="","",IF('ORDENES'!$U1183="","-",'ORDENES'!$U1183))</f>
        <v/>
      </c>
      <c r="F1205" s="3">
        <f>IF('ORDENES'!$A1183="","",IF('ORDENES'!$W1183="","-",'ORDENES'!$W1183))</f>
        <v/>
      </c>
      <c r="G1205" s="3">
        <f>IF('ORDENES'!$A1183="","",IF('ORDENES'!$AB1183="","-",'ORDENES'!$AB1183))</f>
        <v/>
      </c>
      <c r="H1205" s="3">
        <f>IF('ORDENES'!$A1183="","",IF('ORDENES'!$AN1183="","-",'ORDENES'!$AN1183))</f>
        <v/>
      </c>
      <c r="I1205" s="3">
        <f>IF('ORDENES'!$A1183="","",IF('ORDENES'!$D1183="","-",'ORDENES'!$D1183))</f>
        <v/>
      </c>
      <c r="J1205" s="3">
        <f>IF('ORDENES'!$A1183="","",IF('ORDENES'!$E1183="","-",'ORDENES'!$E1183))</f>
        <v/>
      </c>
      <c r="K1205" s="12">
        <f>IF('ORDENES'!$A1183="","",IF('ORDENES'!$M1183="",0,'ORDENES'!$M1183))</f>
        <v/>
      </c>
      <c r="L1205" s="3">
        <f>IF('ORDENES'!$A1183="","",IF('ORDENES'!$N1183="","-",'ORDENES'!$N1183))</f>
        <v/>
      </c>
      <c r="M1205" s="3">
        <f>IF('ORDENES'!$A1183="","",'ORDENES'!$AA1183)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IF('ORDENES'!$A1184="","",IF('ORDENES'!$AC1184="","-",'ORDENES'!$AC1184))</f>
        <v/>
      </c>
      <c r="D1206" s="3">
        <f>IF('ORDENES'!$A1184="","",IF('ORDENES'!$V1184="","-",'ORDENES'!$V1184))</f>
        <v/>
      </c>
      <c r="E1206" s="3">
        <f>IF('ORDENES'!$A1184="","",IF('ORDENES'!$U1184="","-",'ORDENES'!$U1184))</f>
        <v/>
      </c>
      <c r="F1206" s="3">
        <f>IF('ORDENES'!$A1184="","",IF('ORDENES'!$W1184="","-",'ORDENES'!$W1184))</f>
        <v/>
      </c>
      <c r="G1206" s="3">
        <f>IF('ORDENES'!$A1184="","",IF('ORDENES'!$AB1184="","-",'ORDENES'!$AB1184))</f>
        <v/>
      </c>
      <c r="H1206" s="3">
        <f>IF('ORDENES'!$A1184="","",IF('ORDENES'!$AN1184="","-",'ORDENES'!$AN1184))</f>
        <v/>
      </c>
      <c r="I1206" s="3">
        <f>IF('ORDENES'!$A1184="","",IF('ORDENES'!$D1184="","-",'ORDENES'!$D1184))</f>
        <v/>
      </c>
      <c r="J1206" s="3">
        <f>IF('ORDENES'!$A1184="","",IF('ORDENES'!$E1184="","-",'ORDENES'!$E1184))</f>
        <v/>
      </c>
      <c r="K1206" s="12">
        <f>IF('ORDENES'!$A1184="","",IF('ORDENES'!$M1184="",0,'ORDENES'!$M1184))</f>
        <v/>
      </c>
      <c r="L1206" s="3">
        <f>IF('ORDENES'!$A1184="","",IF('ORDENES'!$N1184="","-",'ORDENES'!$N1184))</f>
        <v/>
      </c>
      <c r="M1206" s="3">
        <f>IF('ORDENES'!$A1184="","",'ORDENES'!$AA1184)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IF('ORDENES'!$A1185="","",IF('ORDENES'!$AC1185="","-",'ORDENES'!$AC1185))</f>
        <v/>
      </c>
      <c r="D1207" s="3">
        <f>IF('ORDENES'!$A1185="","",IF('ORDENES'!$V1185="","-",'ORDENES'!$V1185))</f>
        <v/>
      </c>
      <c r="E1207" s="3">
        <f>IF('ORDENES'!$A1185="","",IF('ORDENES'!$U1185="","-",'ORDENES'!$U1185))</f>
        <v/>
      </c>
      <c r="F1207" s="3">
        <f>IF('ORDENES'!$A1185="","",IF('ORDENES'!$W1185="","-",'ORDENES'!$W1185))</f>
        <v/>
      </c>
      <c r="G1207" s="3">
        <f>IF('ORDENES'!$A1185="","",IF('ORDENES'!$AB1185="","-",'ORDENES'!$AB1185))</f>
        <v/>
      </c>
      <c r="H1207" s="3">
        <f>IF('ORDENES'!$A1185="","",IF('ORDENES'!$AN1185="","-",'ORDENES'!$AN1185))</f>
        <v/>
      </c>
      <c r="I1207" s="3">
        <f>IF('ORDENES'!$A1185="","",IF('ORDENES'!$D1185="","-",'ORDENES'!$D1185))</f>
        <v/>
      </c>
      <c r="J1207" s="3">
        <f>IF('ORDENES'!$A1185="","",IF('ORDENES'!$E1185="","-",'ORDENES'!$E1185))</f>
        <v/>
      </c>
      <c r="K1207" s="12">
        <f>IF('ORDENES'!$A1185="","",IF('ORDENES'!$M1185="",0,'ORDENES'!$M1185))</f>
        <v/>
      </c>
      <c r="L1207" s="3">
        <f>IF('ORDENES'!$A1185="","",IF('ORDENES'!$N1185="","-",'ORDENES'!$N1185))</f>
        <v/>
      </c>
      <c r="M1207" s="3">
        <f>IF('ORDENES'!$A1185="","",'ORDENES'!$AA1185)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IF('ORDENES'!$A1186="","",IF('ORDENES'!$AC1186="","-",'ORDENES'!$AC1186))</f>
        <v/>
      </c>
      <c r="D1208" s="3">
        <f>IF('ORDENES'!$A1186="","",IF('ORDENES'!$V1186="","-",'ORDENES'!$V1186))</f>
        <v/>
      </c>
      <c r="E1208" s="3">
        <f>IF('ORDENES'!$A1186="","",IF('ORDENES'!$U1186="","-",'ORDENES'!$U1186))</f>
        <v/>
      </c>
      <c r="F1208" s="3">
        <f>IF('ORDENES'!$A1186="","",IF('ORDENES'!$W1186="","-",'ORDENES'!$W1186))</f>
        <v/>
      </c>
      <c r="G1208" s="3">
        <f>IF('ORDENES'!$A1186="","",IF('ORDENES'!$AB1186="","-",'ORDENES'!$AB1186))</f>
        <v/>
      </c>
      <c r="H1208" s="3">
        <f>IF('ORDENES'!$A1186="","",IF('ORDENES'!$AN1186="","-",'ORDENES'!$AN1186))</f>
        <v/>
      </c>
      <c r="I1208" s="3">
        <f>IF('ORDENES'!$A1186="","",IF('ORDENES'!$D1186="","-",'ORDENES'!$D1186))</f>
        <v/>
      </c>
      <c r="J1208" s="3">
        <f>IF('ORDENES'!$A1186="","",IF('ORDENES'!$E1186="","-",'ORDENES'!$E1186))</f>
        <v/>
      </c>
      <c r="K1208" s="12">
        <f>IF('ORDENES'!$A1186="","",IF('ORDENES'!$M1186="",0,'ORDENES'!$M1186))</f>
        <v/>
      </c>
      <c r="L1208" s="3">
        <f>IF('ORDENES'!$A1186="","",IF('ORDENES'!$N1186="","-",'ORDENES'!$N1186))</f>
        <v/>
      </c>
      <c r="M1208" s="3">
        <f>IF('ORDENES'!$A1186="","",'ORDENES'!$AA1186)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IF('ORDENES'!$A1187="","",IF('ORDENES'!$AC1187="","-",'ORDENES'!$AC1187))</f>
        <v/>
      </c>
      <c r="D1209" s="3">
        <f>IF('ORDENES'!$A1187="","",IF('ORDENES'!$V1187="","-",'ORDENES'!$V1187))</f>
        <v/>
      </c>
      <c r="E1209" s="3">
        <f>IF('ORDENES'!$A1187="","",IF('ORDENES'!$U1187="","-",'ORDENES'!$U1187))</f>
        <v/>
      </c>
      <c r="F1209" s="3">
        <f>IF('ORDENES'!$A1187="","",IF('ORDENES'!$W1187="","-",'ORDENES'!$W1187))</f>
        <v/>
      </c>
      <c r="G1209" s="3">
        <f>IF('ORDENES'!$A1187="","",IF('ORDENES'!$AB1187="","-",'ORDENES'!$AB1187))</f>
        <v/>
      </c>
      <c r="H1209" s="3">
        <f>IF('ORDENES'!$A1187="","",IF('ORDENES'!$AN1187="","-",'ORDENES'!$AN1187))</f>
        <v/>
      </c>
      <c r="I1209" s="3">
        <f>IF('ORDENES'!$A1187="","",IF('ORDENES'!$D1187="","-",'ORDENES'!$D1187))</f>
        <v/>
      </c>
      <c r="J1209" s="3">
        <f>IF('ORDENES'!$A1187="","",IF('ORDENES'!$E1187="","-",'ORDENES'!$E1187))</f>
        <v/>
      </c>
      <c r="K1209" s="12">
        <f>IF('ORDENES'!$A1187="","",IF('ORDENES'!$M1187="",0,'ORDENES'!$M1187))</f>
        <v/>
      </c>
      <c r="L1209" s="3">
        <f>IF('ORDENES'!$A1187="","",IF('ORDENES'!$N1187="","-",'ORDENES'!$N1187))</f>
        <v/>
      </c>
      <c r="M1209" s="3">
        <f>IF('ORDENES'!$A1187="","",'ORDENES'!$AA1187)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IF('ORDENES'!$A1188="","",IF('ORDENES'!$AC1188="","-",'ORDENES'!$AC1188))</f>
        <v/>
      </c>
      <c r="D1210" s="3">
        <f>IF('ORDENES'!$A1188="","",IF('ORDENES'!$V1188="","-",'ORDENES'!$V1188))</f>
        <v/>
      </c>
      <c r="E1210" s="3">
        <f>IF('ORDENES'!$A1188="","",IF('ORDENES'!$U1188="","-",'ORDENES'!$U1188))</f>
        <v/>
      </c>
      <c r="F1210" s="3">
        <f>IF('ORDENES'!$A1188="","",IF('ORDENES'!$W1188="","-",'ORDENES'!$W1188))</f>
        <v/>
      </c>
      <c r="G1210" s="3">
        <f>IF('ORDENES'!$A1188="","",IF('ORDENES'!$AB1188="","-",'ORDENES'!$AB1188))</f>
        <v/>
      </c>
      <c r="H1210" s="3">
        <f>IF('ORDENES'!$A1188="","",IF('ORDENES'!$AN1188="","-",'ORDENES'!$AN1188))</f>
        <v/>
      </c>
      <c r="I1210" s="3">
        <f>IF('ORDENES'!$A1188="","",IF('ORDENES'!$D1188="","-",'ORDENES'!$D1188))</f>
        <v/>
      </c>
      <c r="J1210" s="3">
        <f>IF('ORDENES'!$A1188="","",IF('ORDENES'!$E1188="","-",'ORDENES'!$E1188))</f>
        <v/>
      </c>
      <c r="K1210" s="12">
        <f>IF('ORDENES'!$A1188="","",IF('ORDENES'!$M1188="",0,'ORDENES'!$M1188))</f>
        <v/>
      </c>
      <c r="L1210" s="3">
        <f>IF('ORDENES'!$A1188="","",IF('ORDENES'!$N1188="","-",'ORDENES'!$N1188))</f>
        <v/>
      </c>
      <c r="M1210" s="3">
        <f>IF('ORDENES'!$A1188="","",'ORDENES'!$AA1188)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IF('ORDENES'!$A1189="","",IF('ORDENES'!$AC1189="","-",'ORDENES'!$AC1189))</f>
        <v/>
      </c>
      <c r="D1211" s="3">
        <f>IF('ORDENES'!$A1189="","",IF('ORDENES'!$V1189="","-",'ORDENES'!$V1189))</f>
        <v/>
      </c>
      <c r="E1211" s="3">
        <f>IF('ORDENES'!$A1189="","",IF('ORDENES'!$U1189="","-",'ORDENES'!$U1189))</f>
        <v/>
      </c>
      <c r="F1211" s="3">
        <f>IF('ORDENES'!$A1189="","",IF('ORDENES'!$W1189="","-",'ORDENES'!$W1189))</f>
        <v/>
      </c>
      <c r="G1211" s="3">
        <f>IF('ORDENES'!$A1189="","",IF('ORDENES'!$AB1189="","-",'ORDENES'!$AB1189))</f>
        <v/>
      </c>
      <c r="H1211" s="3">
        <f>IF('ORDENES'!$A1189="","",IF('ORDENES'!$AN1189="","-",'ORDENES'!$AN1189))</f>
        <v/>
      </c>
      <c r="I1211" s="3">
        <f>IF('ORDENES'!$A1189="","",IF('ORDENES'!$D1189="","-",'ORDENES'!$D1189))</f>
        <v/>
      </c>
      <c r="J1211" s="3">
        <f>IF('ORDENES'!$A1189="","",IF('ORDENES'!$E1189="","-",'ORDENES'!$E1189))</f>
        <v/>
      </c>
      <c r="K1211" s="12">
        <f>IF('ORDENES'!$A1189="","",IF('ORDENES'!$M1189="",0,'ORDENES'!$M1189))</f>
        <v/>
      </c>
      <c r="L1211" s="3">
        <f>IF('ORDENES'!$A1189="","",IF('ORDENES'!$N1189="","-",'ORDENES'!$N1189))</f>
        <v/>
      </c>
      <c r="M1211" s="3">
        <f>IF('ORDENES'!$A1189="","",'ORDENES'!$AA1189)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IF('ORDENES'!$A1190="","",IF('ORDENES'!$AC1190="","-",'ORDENES'!$AC1190))</f>
        <v/>
      </c>
      <c r="D1212" s="3">
        <f>IF('ORDENES'!$A1190="","",IF('ORDENES'!$V1190="","-",'ORDENES'!$V1190))</f>
        <v/>
      </c>
      <c r="E1212" s="3">
        <f>IF('ORDENES'!$A1190="","",IF('ORDENES'!$U1190="","-",'ORDENES'!$U1190))</f>
        <v/>
      </c>
      <c r="F1212" s="3">
        <f>IF('ORDENES'!$A1190="","",IF('ORDENES'!$W1190="","-",'ORDENES'!$W1190))</f>
        <v/>
      </c>
      <c r="G1212" s="3">
        <f>IF('ORDENES'!$A1190="","",IF('ORDENES'!$AB1190="","-",'ORDENES'!$AB1190))</f>
        <v/>
      </c>
      <c r="H1212" s="3">
        <f>IF('ORDENES'!$A1190="","",IF('ORDENES'!$AN1190="","-",'ORDENES'!$AN1190))</f>
        <v/>
      </c>
      <c r="I1212" s="3">
        <f>IF('ORDENES'!$A1190="","",IF('ORDENES'!$D1190="","-",'ORDENES'!$D1190))</f>
        <v/>
      </c>
      <c r="J1212" s="3">
        <f>IF('ORDENES'!$A1190="","",IF('ORDENES'!$E1190="","-",'ORDENES'!$E1190))</f>
        <v/>
      </c>
      <c r="K1212" s="12">
        <f>IF('ORDENES'!$A1190="","",IF('ORDENES'!$M1190="",0,'ORDENES'!$M1190))</f>
        <v/>
      </c>
      <c r="L1212" s="3">
        <f>IF('ORDENES'!$A1190="","",IF('ORDENES'!$N1190="","-",'ORDENES'!$N1190))</f>
        <v/>
      </c>
      <c r="M1212" s="3">
        <f>IF('ORDENES'!$A1190="","",'ORDENES'!$AA1190)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IF('ORDENES'!$A1191="","",IF('ORDENES'!$AC1191="","-",'ORDENES'!$AC1191))</f>
        <v/>
      </c>
      <c r="D1213" s="3">
        <f>IF('ORDENES'!$A1191="","",IF('ORDENES'!$V1191="","-",'ORDENES'!$V1191))</f>
        <v/>
      </c>
      <c r="E1213" s="3">
        <f>IF('ORDENES'!$A1191="","",IF('ORDENES'!$U1191="","-",'ORDENES'!$U1191))</f>
        <v/>
      </c>
      <c r="F1213" s="3">
        <f>IF('ORDENES'!$A1191="","",IF('ORDENES'!$W1191="","-",'ORDENES'!$W1191))</f>
        <v/>
      </c>
      <c r="G1213" s="3">
        <f>IF('ORDENES'!$A1191="","",IF('ORDENES'!$AB1191="","-",'ORDENES'!$AB1191))</f>
        <v/>
      </c>
      <c r="H1213" s="3">
        <f>IF('ORDENES'!$A1191="","",IF('ORDENES'!$AN1191="","-",'ORDENES'!$AN1191))</f>
        <v/>
      </c>
      <c r="I1213" s="3">
        <f>IF('ORDENES'!$A1191="","",IF('ORDENES'!$D1191="","-",'ORDENES'!$D1191))</f>
        <v/>
      </c>
      <c r="J1213" s="3">
        <f>IF('ORDENES'!$A1191="","",IF('ORDENES'!$E1191="","-",'ORDENES'!$E1191))</f>
        <v/>
      </c>
      <c r="K1213" s="12">
        <f>IF('ORDENES'!$A1191="","",IF('ORDENES'!$M1191="",0,'ORDENES'!$M1191))</f>
        <v/>
      </c>
      <c r="L1213" s="3">
        <f>IF('ORDENES'!$A1191="","",IF('ORDENES'!$N1191="","-",'ORDENES'!$N1191))</f>
        <v/>
      </c>
      <c r="M1213" s="3">
        <f>IF('ORDENES'!$A1191="","",'ORDENES'!$AA1191)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IF('ORDENES'!$A1192="","",IF('ORDENES'!$AC1192="","-",'ORDENES'!$AC1192))</f>
        <v/>
      </c>
      <c r="D1214" s="3">
        <f>IF('ORDENES'!$A1192="","",IF('ORDENES'!$V1192="","-",'ORDENES'!$V1192))</f>
        <v/>
      </c>
      <c r="E1214" s="3">
        <f>IF('ORDENES'!$A1192="","",IF('ORDENES'!$U1192="","-",'ORDENES'!$U1192))</f>
        <v/>
      </c>
      <c r="F1214" s="3">
        <f>IF('ORDENES'!$A1192="","",IF('ORDENES'!$W1192="","-",'ORDENES'!$W1192))</f>
        <v/>
      </c>
      <c r="G1214" s="3">
        <f>IF('ORDENES'!$A1192="","",IF('ORDENES'!$AB1192="","-",'ORDENES'!$AB1192))</f>
        <v/>
      </c>
      <c r="H1214" s="3">
        <f>IF('ORDENES'!$A1192="","",IF('ORDENES'!$AN1192="","-",'ORDENES'!$AN1192))</f>
        <v/>
      </c>
      <c r="I1214" s="3">
        <f>IF('ORDENES'!$A1192="","",IF('ORDENES'!$D1192="","-",'ORDENES'!$D1192))</f>
        <v/>
      </c>
      <c r="J1214" s="3">
        <f>IF('ORDENES'!$A1192="","",IF('ORDENES'!$E1192="","-",'ORDENES'!$E1192))</f>
        <v/>
      </c>
      <c r="K1214" s="12">
        <f>IF('ORDENES'!$A1192="","",IF('ORDENES'!$M1192="",0,'ORDENES'!$M1192))</f>
        <v/>
      </c>
      <c r="L1214" s="3">
        <f>IF('ORDENES'!$A1192="","",IF('ORDENES'!$N1192="","-",'ORDENES'!$N1192))</f>
        <v/>
      </c>
      <c r="M1214" s="3">
        <f>IF('ORDENES'!$A1192="","",'ORDENES'!$AA1192)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IF('ORDENES'!$A1193="","",IF('ORDENES'!$AC1193="","-",'ORDENES'!$AC1193))</f>
        <v/>
      </c>
      <c r="D1215" s="3">
        <f>IF('ORDENES'!$A1193="","",IF('ORDENES'!$V1193="","-",'ORDENES'!$V1193))</f>
        <v/>
      </c>
      <c r="E1215" s="3">
        <f>IF('ORDENES'!$A1193="","",IF('ORDENES'!$U1193="","-",'ORDENES'!$U1193))</f>
        <v/>
      </c>
      <c r="F1215" s="3">
        <f>IF('ORDENES'!$A1193="","",IF('ORDENES'!$W1193="","-",'ORDENES'!$W1193))</f>
        <v/>
      </c>
      <c r="G1215" s="3">
        <f>IF('ORDENES'!$A1193="","",IF('ORDENES'!$AB1193="","-",'ORDENES'!$AB1193))</f>
        <v/>
      </c>
      <c r="H1215" s="3">
        <f>IF('ORDENES'!$A1193="","",IF('ORDENES'!$AN1193="","-",'ORDENES'!$AN1193))</f>
        <v/>
      </c>
      <c r="I1215" s="3">
        <f>IF('ORDENES'!$A1193="","",IF('ORDENES'!$D1193="","-",'ORDENES'!$D1193))</f>
        <v/>
      </c>
      <c r="J1215" s="3">
        <f>IF('ORDENES'!$A1193="","",IF('ORDENES'!$E1193="","-",'ORDENES'!$E1193))</f>
        <v/>
      </c>
      <c r="K1215" s="12">
        <f>IF('ORDENES'!$A1193="","",IF('ORDENES'!$M1193="",0,'ORDENES'!$M1193))</f>
        <v/>
      </c>
      <c r="L1215" s="3">
        <f>IF('ORDENES'!$A1193="","",IF('ORDENES'!$N1193="","-",'ORDENES'!$N1193))</f>
        <v/>
      </c>
      <c r="M1215" s="3">
        <f>IF('ORDENES'!$A1193="","",'ORDENES'!$AA1193)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IF('ORDENES'!$A1194="","",IF('ORDENES'!$AC1194="","-",'ORDENES'!$AC1194))</f>
        <v/>
      </c>
      <c r="D1216" s="3">
        <f>IF('ORDENES'!$A1194="","",IF('ORDENES'!$V1194="","-",'ORDENES'!$V1194))</f>
        <v/>
      </c>
      <c r="E1216" s="3">
        <f>IF('ORDENES'!$A1194="","",IF('ORDENES'!$U1194="","-",'ORDENES'!$U1194))</f>
        <v/>
      </c>
      <c r="F1216" s="3">
        <f>IF('ORDENES'!$A1194="","",IF('ORDENES'!$W1194="","-",'ORDENES'!$W1194))</f>
        <v/>
      </c>
      <c r="G1216" s="3">
        <f>IF('ORDENES'!$A1194="","",IF('ORDENES'!$AB1194="","-",'ORDENES'!$AB1194))</f>
        <v/>
      </c>
      <c r="H1216" s="3">
        <f>IF('ORDENES'!$A1194="","",IF('ORDENES'!$AN1194="","-",'ORDENES'!$AN1194))</f>
        <v/>
      </c>
      <c r="I1216" s="3">
        <f>IF('ORDENES'!$A1194="","",IF('ORDENES'!$D1194="","-",'ORDENES'!$D1194))</f>
        <v/>
      </c>
      <c r="J1216" s="3">
        <f>IF('ORDENES'!$A1194="","",IF('ORDENES'!$E1194="","-",'ORDENES'!$E1194))</f>
        <v/>
      </c>
      <c r="K1216" s="12">
        <f>IF('ORDENES'!$A1194="","",IF('ORDENES'!$M1194="",0,'ORDENES'!$M1194))</f>
        <v/>
      </c>
      <c r="L1216" s="3">
        <f>IF('ORDENES'!$A1194="","",IF('ORDENES'!$N1194="","-",'ORDENES'!$N1194))</f>
        <v/>
      </c>
      <c r="M1216" s="3">
        <f>IF('ORDENES'!$A1194="","",'ORDENES'!$AA1194)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IF('ORDENES'!$A1195="","",IF('ORDENES'!$AC1195="","-",'ORDENES'!$AC1195))</f>
        <v/>
      </c>
      <c r="D1217" s="3">
        <f>IF('ORDENES'!$A1195="","",IF('ORDENES'!$V1195="","-",'ORDENES'!$V1195))</f>
        <v/>
      </c>
      <c r="E1217" s="3">
        <f>IF('ORDENES'!$A1195="","",IF('ORDENES'!$U1195="","-",'ORDENES'!$U1195))</f>
        <v/>
      </c>
      <c r="F1217" s="3">
        <f>IF('ORDENES'!$A1195="","",IF('ORDENES'!$W1195="","-",'ORDENES'!$W1195))</f>
        <v/>
      </c>
      <c r="G1217" s="3">
        <f>IF('ORDENES'!$A1195="","",IF('ORDENES'!$AB1195="","-",'ORDENES'!$AB1195))</f>
        <v/>
      </c>
      <c r="H1217" s="3">
        <f>IF('ORDENES'!$A1195="","",IF('ORDENES'!$AN1195="","-",'ORDENES'!$AN1195))</f>
        <v/>
      </c>
      <c r="I1217" s="3">
        <f>IF('ORDENES'!$A1195="","",IF('ORDENES'!$D1195="","-",'ORDENES'!$D1195))</f>
        <v/>
      </c>
      <c r="J1217" s="3">
        <f>IF('ORDENES'!$A1195="","",IF('ORDENES'!$E1195="","-",'ORDENES'!$E1195))</f>
        <v/>
      </c>
      <c r="K1217" s="12">
        <f>IF('ORDENES'!$A1195="","",IF('ORDENES'!$M1195="",0,'ORDENES'!$M1195))</f>
        <v/>
      </c>
      <c r="L1217" s="3">
        <f>IF('ORDENES'!$A1195="","",IF('ORDENES'!$N1195="","-",'ORDENES'!$N1195))</f>
        <v/>
      </c>
      <c r="M1217" s="3">
        <f>IF('ORDENES'!$A1195="","",'ORDENES'!$AA1195)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IF('ORDENES'!$A1196="","",IF('ORDENES'!$AC1196="","-",'ORDENES'!$AC1196))</f>
        <v/>
      </c>
      <c r="D1218" s="3">
        <f>IF('ORDENES'!$A1196="","",IF('ORDENES'!$V1196="","-",'ORDENES'!$V1196))</f>
        <v/>
      </c>
      <c r="E1218" s="3">
        <f>IF('ORDENES'!$A1196="","",IF('ORDENES'!$U1196="","-",'ORDENES'!$U1196))</f>
        <v/>
      </c>
      <c r="F1218" s="3">
        <f>IF('ORDENES'!$A1196="","",IF('ORDENES'!$W1196="","-",'ORDENES'!$W1196))</f>
        <v/>
      </c>
      <c r="G1218" s="3">
        <f>IF('ORDENES'!$A1196="","",IF('ORDENES'!$AB1196="","-",'ORDENES'!$AB1196))</f>
        <v/>
      </c>
      <c r="H1218" s="3">
        <f>IF('ORDENES'!$A1196="","",IF('ORDENES'!$AN1196="","-",'ORDENES'!$AN1196))</f>
        <v/>
      </c>
      <c r="I1218" s="3">
        <f>IF('ORDENES'!$A1196="","",IF('ORDENES'!$D1196="","-",'ORDENES'!$D1196))</f>
        <v/>
      </c>
      <c r="J1218" s="3">
        <f>IF('ORDENES'!$A1196="","",IF('ORDENES'!$E1196="","-",'ORDENES'!$E1196))</f>
        <v/>
      </c>
      <c r="K1218" s="12">
        <f>IF('ORDENES'!$A1196="","",IF('ORDENES'!$M1196="",0,'ORDENES'!$M1196))</f>
        <v/>
      </c>
      <c r="L1218" s="3">
        <f>IF('ORDENES'!$A1196="","",IF('ORDENES'!$N1196="","-",'ORDENES'!$N1196))</f>
        <v/>
      </c>
      <c r="M1218" s="3">
        <f>IF('ORDENES'!$A1196="","",'ORDENES'!$AA1196)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IF('ORDENES'!$A1197="","",IF('ORDENES'!$AC1197="","-",'ORDENES'!$AC1197))</f>
        <v/>
      </c>
      <c r="D1219" s="3">
        <f>IF('ORDENES'!$A1197="","",IF('ORDENES'!$V1197="","-",'ORDENES'!$V1197))</f>
        <v/>
      </c>
      <c r="E1219" s="3">
        <f>IF('ORDENES'!$A1197="","",IF('ORDENES'!$U1197="","-",'ORDENES'!$U1197))</f>
        <v/>
      </c>
      <c r="F1219" s="3">
        <f>IF('ORDENES'!$A1197="","",IF('ORDENES'!$W1197="","-",'ORDENES'!$W1197))</f>
        <v/>
      </c>
      <c r="G1219" s="3">
        <f>IF('ORDENES'!$A1197="","",IF('ORDENES'!$AB1197="","-",'ORDENES'!$AB1197))</f>
        <v/>
      </c>
      <c r="H1219" s="3">
        <f>IF('ORDENES'!$A1197="","",IF('ORDENES'!$AN1197="","-",'ORDENES'!$AN1197))</f>
        <v/>
      </c>
      <c r="I1219" s="3">
        <f>IF('ORDENES'!$A1197="","",IF('ORDENES'!$D1197="","-",'ORDENES'!$D1197))</f>
        <v/>
      </c>
      <c r="J1219" s="3">
        <f>IF('ORDENES'!$A1197="","",IF('ORDENES'!$E1197="","-",'ORDENES'!$E1197))</f>
        <v/>
      </c>
      <c r="K1219" s="12">
        <f>IF('ORDENES'!$A1197="","",IF('ORDENES'!$M1197="",0,'ORDENES'!$M1197))</f>
        <v/>
      </c>
      <c r="L1219" s="3">
        <f>IF('ORDENES'!$A1197="","",IF('ORDENES'!$N1197="","-",'ORDENES'!$N1197))</f>
        <v/>
      </c>
      <c r="M1219" s="3">
        <f>IF('ORDENES'!$A1197="","",'ORDENES'!$AA1197)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IF('ORDENES'!$A1198="","",IF('ORDENES'!$AC1198="","-",'ORDENES'!$AC1198))</f>
        <v/>
      </c>
      <c r="D1220" s="3">
        <f>IF('ORDENES'!$A1198="","",IF('ORDENES'!$V1198="","-",'ORDENES'!$V1198))</f>
        <v/>
      </c>
      <c r="E1220" s="3">
        <f>IF('ORDENES'!$A1198="","",IF('ORDENES'!$U1198="","-",'ORDENES'!$U1198))</f>
        <v/>
      </c>
      <c r="F1220" s="3">
        <f>IF('ORDENES'!$A1198="","",IF('ORDENES'!$W1198="","-",'ORDENES'!$W1198))</f>
        <v/>
      </c>
      <c r="G1220" s="3">
        <f>IF('ORDENES'!$A1198="","",IF('ORDENES'!$AB1198="","-",'ORDENES'!$AB1198))</f>
        <v/>
      </c>
      <c r="H1220" s="3">
        <f>IF('ORDENES'!$A1198="","",IF('ORDENES'!$AN1198="","-",'ORDENES'!$AN1198))</f>
        <v/>
      </c>
      <c r="I1220" s="3">
        <f>IF('ORDENES'!$A1198="","",IF('ORDENES'!$D1198="","-",'ORDENES'!$D1198))</f>
        <v/>
      </c>
      <c r="J1220" s="3">
        <f>IF('ORDENES'!$A1198="","",IF('ORDENES'!$E1198="","-",'ORDENES'!$E1198))</f>
        <v/>
      </c>
      <c r="K1220" s="12">
        <f>IF('ORDENES'!$A1198="","",IF('ORDENES'!$M1198="",0,'ORDENES'!$M1198))</f>
        <v/>
      </c>
      <c r="L1220" s="3">
        <f>IF('ORDENES'!$A1198="","",IF('ORDENES'!$N1198="","-",'ORDENES'!$N1198))</f>
        <v/>
      </c>
      <c r="M1220" s="3">
        <f>IF('ORDENES'!$A1198="","",'ORDENES'!$AA1198)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IF('ORDENES'!$A1199="","",IF('ORDENES'!$AC1199="","-",'ORDENES'!$AC1199))</f>
        <v/>
      </c>
      <c r="D1221" s="3">
        <f>IF('ORDENES'!$A1199="","",IF('ORDENES'!$V1199="","-",'ORDENES'!$V1199))</f>
        <v/>
      </c>
      <c r="E1221" s="3">
        <f>IF('ORDENES'!$A1199="","",IF('ORDENES'!$U1199="","-",'ORDENES'!$U1199))</f>
        <v/>
      </c>
      <c r="F1221" s="3">
        <f>IF('ORDENES'!$A1199="","",IF('ORDENES'!$W1199="","-",'ORDENES'!$W1199))</f>
        <v/>
      </c>
      <c r="G1221" s="3">
        <f>IF('ORDENES'!$A1199="","",IF('ORDENES'!$AB1199="","-",'ORDENES'!$AB1199))</f>
        <v/>
      </c>
      <c r="H1221" s="3">
        <f>IF('ORDENES'!$A1199="","",IF('ORDENES'!$AN1199="","-",'ORDENES'!$AN1199))</f>
        <v/>
      </c>
      <c r="I1221" s="3">
        <f>IF('ORDENES'!$A1199="","",IF('ORDENES'!$D1199="","-",'ORDENES'!$D1199))</f>
        <v/>
      </c>
      <c r="J1221" s="3">
        <f>IF('ORDENES'!$A1199="","",IF('ORDENES'!$E1199="","-",'ORDENES'!$E1199))</f>
        <v/>
      </c>
      <c r="K1221" s="12">
        <f>IF('ORDENES'!$A1199="","",IF('ORDENES'!$M1199="",0,'ORDENES'!$M1199))</f>
        <v/>
      </c>
      <c r="L1221" s="3">
        <f>IF('ORDENES'!$A1199="","",IF('ORDENES'!$N1199="","-",'ORDENES'!$N1199))</f>
        <v/>
      </c>
      <c r="M1221" s="3">
        <f>IF('ORDENES'!$A1199="","",'ORDENES'!$AA1199)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IF('ORDENES'!$A1200="","",IF('ORDENES'!$AC1200="","-",'ORDENES'!$AC1200))</f>
        <v/>
      </c>
      <c r="D1222" s="3">
        <f>IF('ORDENES'!$A1200="","",IF('ORDENES'!$V1200="","-",'ORDENES'!$V1200))</f>
        <v/>
      </c>
      <c r="E1222" s="3">
        <f>IF('ORDENES'!$A1200="","",IF('ORDENES'!$U1200="","-",'ORDENES'!$U1200))</f>
        <v/>
      </c>
      <c r="F1222" s="3">
        <f>IF('ORDENES'!$A1200="","",IF('ORDENES'!$W1200="","-",'ORDENES'!$W1200))</f>
        <v/>
      </c>
      <c r="G1222" s="3">
        <f>IF('ORDENES'!$A1200="","",IF('ORDENES'!$AB1200="","-",'ORDENES'!$AB1200))</f>
        <v/>
      </c>
      <c r="H1222" s="3">
        <f>IF('ORDENES'!$A1200="","",IF('ORDENES'!$AN1200="","-",'ORDENES'!$AN1200))</f>
        <v/>
      </c>
      <c r="I1222" s="3">
        <f>IF('ORDENES'!$A1200="","",IF('ORDENES'!$D1200="","-",'ORDENES'!$D1200))</f>
        <v/>
      </c>
      <c r="J1222" s="3">
        <f>IF('ORDENES'!$A1200="","",IF('ORDENES'!$E1200="","-",'ORDENES'!$E1200))</f>
        <v/>
      </c>
      <c r="K1222" s="12">
        <f>IF('ORDENES'!$A1200="","",IF('ORDENES'!$M1200="",0,'ORDENES'!$M1200))</f>
        <v/>
      </c>
      <c r="L1222" s="3">
        <f>IF('ORDENES'!$A1200="","",IF('ORDENES'!$N1200="","-",'ORDENES'!$N1200))</f>
        <v/>
      </c>
      <c r="M1222" s="3">
        <f>IF('ORDENES'!$A1200="","",'ORDENES'!$AA1200)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IF('ORDENES'!$A1201="","",IF('ORDENES'!$AC1201="","-",'ORDENES'!$AC1201))</f>
        <v/>
      </c>
      <c r="D1223" s="3">
        <f>IF('ORDENES'!$A1201="","",IF('ORDENES'!$V1201="","-",'ORDENES'!$V1201))</f>
        <v/>
      </c>
      <c r="E1223" s="3">
        <f>IF('ORDENES'!$A1201="","",IF('ORDENES'!$U1201="","-",'ORDENES'!$U1201))</f>
        <v/>
      </c>
      <c r="F1223" s="3">
        <f>IF('ORDENES'!$A1201="","",IF('ORDENES'!$W1201="","-",'ORDENES'!$W1201))</f>
        <v/>
      </c>
      <c r="G1223" s="3">
        <f>IF('ORDENES'!$A1201="","",IF('ORDENES'!$AB1201="","-",'ORDENES'!$AB1201))</f>
        <v/>
      </c>
      <c r="H1223" s="3">
        <f>IF('ORDENES'!$A1201="","",IF('ORDENES'!$AN1201="","-",'ORDENES'!$AN1201))</f>
        <v/>
      </c>
      <c r="I1223" s="3">
        <f>IF('ORDENES'!$A1201="","",IF('ORDENES'!$D1201="","-",'ORDENES'!$D1201))</f>
        <v/>
      </c>
      <c r="J1223" s="3">
        <f>IF('ORDENES'!$A1201="","",IF('ORDENES'!$E1201="","-",'ORDENES'!$E1201))</f>
        <v/>
      </c>
      <c r="K1223" s="12">
        <f>IF('ORDENES'!$A1201="","",IF('ORDENES'!$M1201="",0,'ORDENES'!$M1201))</f>
        <v/>
      </c>
      <c r="L1223" s="3">
        <f>IF('ORDENES'!$A1201="","",IF('ORDENES'!$N1201="","-",'ORDENES'!$N1201))</f>
        <v/>
      </c>
      <c r="M1223" s="3">
        <f>IF('ORDENES'!$A1201="","",'ORDENES'!$AA1201)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IF('ORDENES'!$A1202="","",IF('ORDENES'!$AC1202="","-",'ORDENES'!$AC1202))</f>
        <v/>
      </c>
      <c r="D1224" s="3">
        <f>IF('ORDENES'!$A1202="","",IF('ORDENES'!$V1202="","-",'ORDENES'!$V1202))</f>
        <v/>
      </c>
      <c r="E1224" s="3">
        <f>IF('ORDENES'!$A1202="","",IF('ORDENES'!$U1202="","-",'ORDENES'!$U1202))</f>
        <v/>
      </c>
      <c r="F1224" s="3">
        <f>IF('ORDENES'!$A1202="","",IF('ORDENES'!$W1202="","-",'ORDENES'!$W1202))</f>
        <v/>
      </c>
      <c r="G1224" s="3">
        <f>IF('ORDENES'!$A1202="","",IF('ORDENES'!$AB1202="","-",'ORDENES'!$AB1202))</f>
        <v/>
      </c>
      <c r="H1224" s="3">
        <f>IF('ORDENES'!$A1202="","",IF('ORDENES'!$AN1202="","-",'ORDENES'!$AN1202))</f>
        <v/>
      </c>
      <c r="I1224" s="3">
        <f>IF('ORDENES'!$A1202="","",IF('ORDENES'!$D1202="","-",'ORDENES'!$D1202))</f>
        <v/>
      </c>
      <c r="J1224" s="3">
        <f>IF('ORDENES'!$A1202="","",IF('ORDENES'!$E1202="","-",'ORDENES'!$E1202))</f>
        <v/>
      </c>
      <c r="K1224" s="12">
        <f>IF('ORDENES'!$A1202="","",IF('ORDENES'!$M1202="",0,'ORDENES'!$M1202))</f>
        <v/>
      </c>
      <c r="L1224" s="3">
        <f>IF('ORDENES'!$A1202="","",IF('ORDENES'!$N1202="","-",'ORDENES'!$N1202))</f>
        <v/>
      </c>
      <c r="M1224" s="3">
        <f>IF('ORDENES'!$A1202="","",'ORDENES'!$AA1202)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IF('ORDENES'!$A1203="","",IF('ORDENES'!$AC1203="","-",'ORDENES'!$AC1203))</f>
        <v/>
      </c>
      <c r="D1225" s="3">
        <f>IF('ORDENES'!$A1203="","",IF('ORDENES'!$V1203="","-",'ORDENES'!$V1203))</f>
        <v/>
      </c>
      <c r="E1225" s="3">
        <f>IF('ORDENES'!$A1203="","",IF('ORDENES'!$U1203="","-",'ORDENES'!$U1203))</f>
        <v/>
      </c>
      <c r="F1225" s="3">
        <f>IF('ORDENES'!$A1203="","",IF('ORDENES'!$W1203="","-",'ORDENES'!$W1203))</f>
        <v/>
      </c>
      <c r="G1225" s="3">
        <f>IF('ORDENES'!$A1203="","",IF('ORDENES'!$AB1203="","-",'ORDENES'!$AB1203))</f>
        <v/>
      </c>
      <c r="H1225" s="3">
        <f>IF('ORDENES'!$A1203="","",IF('ORDENES'!$AN1203="","-",'ORDENES'!$AN1203))</f>
        <v/>
      </c>
      <c r="I1225" s="3">
        <f>IF('ORDENES'!$A1203="","",IF('ORDENES'!$D1203="","-",'ORDENES'!$D1203))</f>
        <v/>
      </c>
      <c r="J1225" s="3">
        <f>IF('ORDENES'!$A1203="","",IF('ORDENES'!$E1203="","-",'ORDENES'!$E1203))</f>
        <v/>
      </c>
      <c r="K1225" s="12">
        <f>IF('ORDENES'!$A1203="","",IF('ORDENES'!$M1203="",0,'ORDENES'!$M1203))</f>
        <v/>
      </c>
      <c r="L1225" s="3">
        <f>IF('ORDENES'!$A1203="","",IF('ORDENES'!$N1203="","-",'ORDENES'!$N1203))</f>
        <v/>
      </c>
      <c r="M1225" s="3">
        <f>IF('ORDENES'!$A1203="","",'ORDENES'!$AA1203)</f>
        <v/>
      </c>
    </row>
  </sheetData>
  <autoFilter ref="A25:M1225"/>
  <dataValidations count="6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COUNTIFS(tblOrdenes[semana],$A5)</f>
        <v/>
      </c>
      <c r="C5" s="3">
        <f>COUNTIFS(tblOrdenes[semana],$A5,tblOrdenes[estado],"Cerrada")</f>
        <v/>
      </c>
      <c r="D5" s="18">
        <f>IF(B5=0,"",C5/B5)</f>
        <v/>
      </c>
      <c r="E5" s="17">
        <f>SUMIFS(tblOrdenes[horas_efectivas],tblOrdenes[semana],$A5)</f>
        <v/>
      </c>
      <c r="F5" s="17">
        <f>SUMIFS(tblOrdenes[horas_efectivas],tblOrdenes[semana],$A5,tblOrdenes[estado],"Cerrada")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COUNTIFS(tblOrdenes[semana],$A6)</f>
        <v/>
      </c>
      <c r="C6" s="3">
        <f>COUNTIFS(tblOrdenes[semana],$A6,tblOrdenes[estado],"Cerrada")</f>
        <v/>
      </c>
      <c r="D6" s="18">
        <f>IF(B6=0,"",C6/B6)</f>
        <v/>
      </c>
      <c r="E6" s="17">
        <f>SUMIFS(tblOrdenes[horas_efectivas],tblOrdenes[semana],$A6)</f>
        <v/>
      </c>
      <c r="F6" s="17">
        <f>SUMIFS(tblOrdenes[horas_efectivas],tblOrdenes[semana],$A6,tblOrdenes[estado],"Cerrada")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COUNTIFS(tblOrdenes[semana],$A7)</f>
        <v/>
      </c>
      <c r="C7" s="3">
        <f>COUNTIFS(tblOrdenes[semana],$A7,tblOrdenes[estado],"Cerrada")</f>
        <v/>
      </c>
      <c r="D7" s="18">
        <f>IF(B7=0,"",C7/B7)</f>
        <v/>
      </c>
      <c r="E7" s="17">
        <f>SUMIFS(tblOrdenes[horas_efectivas],tblOrdenes[semana],$A7)</f>
        <v/>
      </c>
      <c r="F7" s="17">
        <f>SUMIFS(tblOrdenes[horas_efectivas],tblOrdenes[semana],$A7,tblOrdenes[estado],"Cerrada")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COUNTIFS(tblOrdenes[semana],$A8)</f>
        <v/>
      </c>
      <c r="C8" s="3">
        <f>COUNTIFS(tblOrdenes[semana],$A8,tblOrdenes[estado],"Cerrada")</f>
        <v/>
      </c>
      <c r="D8" s="18">
        <f>IF(B8=0,"",C8/B8)</f>
        <v/>
      </c>
      <c r="E8" s="17">
        <f>SUMIFS(tblOrdenes[horas_efectivas],tblOrdenes[semana],$A8)</f>
        <v/>
      </c>
      <c r="F8" s="17">
        <f>SUMIFS(tblOrdenes[horas_efectivas],tblOrdenes[semana],$A8,tblOrdenes[estado],"Cerrada")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COUNTIFS(tblOrdenes[semana],$A9)</f>
        <v/>
      </c>
      <c r="C9" s="3">
        <f>COUNTIFS(tblOrdenes[semana],$A9,tblOrdenes[estado],"Cerrada")</f>
        <v/>
      </c>
      <c r="D9" s="18">
        <f>IF(B9=0,"",C9/B9)</f>
        <v/>
      </c>
      <c r="E9" s="17">
        <f>SUMIFS(tblOrdenes[horas_efectivas],tblOrdenes[semana],$A9)</f>
        <v/>
      </c>
      <c r="F9" s="17">
        <f>SUMIFS(tblOrdenes[horas_efectivas],tblOrdenes[semana],$A9,tblOrdenes[estado],"Cerrada")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COUNTIFS(tblOrdenes[semana],$A10)</f>
        <v/>
      </c>
      <c r="C10" s="3">
        <f>COUNTIFS(tblOrdenes[semana],$A10,tblOrdenes[estado],"Cerrada")</f>
        <v/>
      </c>
      <c r="D10" s="18">
        <f>IF(B10=0,"",C10/B10)</f>
        <v/>
      </c>
      <c r="E10" s="17">
        <f>SUMIFS(tblOrdenes[horas_efectivas],tblOrdenes[semana],$A10)</f>
        <v/>
      </c>
      <c r="F10" s="17">
        <f>SUMIFS(tblOrdenes[horas_efectivas],tblOrdenes[semana],$A10,tblOrdenes[estado],"Cerrada")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COUNTIFS(tblOrdenes[semana],$A11)</f>
        <v/>
      </c>
      <c r="C11" s="3">
        <f>COUNTIFS(tblOrdenes[semana],$A11,tblOrdenes[estado],"Cerrada")</f>
        <v/>
      </c>
      <c r="D11" s="18">
        <f>IF(B11=0,"",C11/B11)</f>
        <v/>
      </c>
      <c r="E11" s="17">
        <f>SUMIFS(tblOrdenes[horas_efectivas],tblOrdenes[semana],$A11)</f>
        <v/>
      </c>
      <c r="F11" s="17">
        <f>SUMIFS(tblOrdenes[horas_efectivas],tblOrdenes[semana],$A11,tblOrdenes[estado],"Cerrada")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COUNTIFS(tblOrdenes[semana],$A12)</f>
        <v/>
      </c>
      <c r="C12" s="3">
        <f>COUNTIFS(tblOrdenes[semana],$A12,tblOrdenes[estado],"Cerrada")</f>
        <v/>
      </c>
      <c r="D12" s="18">
        <f>IF(B12=0,"",C12/B12)</f>
        <v/>
      </c>
      <c r="E12" s="17">
        <f>SUMIFS(tblOrdenes[horas_efectivas],tblOrdenes[semana],$A12)</f>
        <v/>
      </c>
      <c r="F12" s="17">
        <f>SUMIFS(tblOrdenes[horas_efectivas],tblOrdenes[semana],$A12,tblOrdenes[estado],"Cerrada")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COUNTIFS(tblOrdenes[semana],$A13)</f>
        <v/>
      </c>
      <c r="C13" s="3">
        <f>COUNTIFS(tblOrdenes[semana],$A13,tblOrdenes[estado],"Cerrada")</f>
        <v/>
      </c>
      <c r="D13" s="18">
        <f>IF(B13=0,"",C13/B13)</f>
        <v/>
      </c>
      <c r="E13" s="17">
        <f>SUMIFS(tblOrdenes[horas_efectivas],tblOrdenes[semana],$A13)</f>
        <v/>
      </c>
      <c r="F13" s="17">
        <f>SUMIFS(tblOrdenes[horas_efectivas],tblOrdenes[semana],$A13,tblOrdenes[estado],"Cerrada")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COUNTIFS(tblOrdenes[semana],$A14)</f>
        <v/>
      </c>
      <c r="C14" s="3">
        <f>COUNTIFS(tblOrdenes[semana],$A14,tblOrdenes[estado],"Cerrada")</f>
        <v/>
      </c>
      <c r="D14" s="18">
        <f>IF(B14=0,"",C14/B14)</f>
        <v/>
      </c>
      <c r="E14" s="17">
        <f>SUMIFS(tblOrdenes[horas_efectivas],tblOrdenes[semana],$A14)</f>
        <v/>
      </c>
      <c r="F14" s="17">
        <f>SUMIFS(tblOrdenes[horas_efectivas],tblOrdenes[semana],$A14,tblOrdenes[estado],"Cerrada")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COUNTIFS(tblOrdenes[semana],$A15)</f>
        <v/>
      </c>
      <c r="C15" s="3">
        <f>COUNTIFS(tblOrdenes[semana],$A15,tblOrdenes[estado],"Cerrada")</f>
        <v/>
      </c>
      <c r="D15" s="18">
        <f>IF(B15=0,"",C15/B15)</f>
        <v/>
      </c>
      <c r="E15" s="17">
        <f>SUMIFS(tblOrdenes[horas_efectivas],tblOrdenes[semana],$A15)</f>
        <v/>
      </c>
      <c r="F15" s="17">
        <f>SUMIFS(tblOrdenes[horas_efectivas],tblOrdenes[semana],$A15,tblOrdenes[estado],"Cerrada")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COUNTIFS(tblOrdenes[semana],$A16)</f>
        <v/>
      </c>
      <c r="C16" s="3">
        <f>COUNTIFS(tblOrdenes[semana],$A16,tblOrdenes[estado],"Cerrada")</f>
        <v/>
      </c>
      <c r="D16" s="18">
        <f>IF(B16=0,"",C16/B16)</f>
        <v/>
      </c>
      <c r="E16" s="17">
        <f>SUMIFS(tblOrdenes[horas_efectivas],tblOrdenes[semana],$A16)</f>
        <v/>
      </c>
      <c r="F16" s="17">
        <f>SUMIFS(tblOrdenes[horas_efectivas],tblOrdenes[semana],$A16,tblOrdenes[estado],"Cerrada")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COUNTIFS(tblOrdenes[semana],$A17)</f>
        <v/>
      </c>
      <c r="C17" s="3">
        <f>COUNTIFS(tblOrdenes[semana],$A17,tblOrdenes[estado],"Cerrada")</f>
        <v/>
      </c>
      <c r="D17" s="18">
        <f>IF(B17=0,"",C17/B17)</f>
        <v/>
      </c>
      <c r="E17" s="17">
        <f>SUMIFS(tblOrdenes[horas_efectivas],tblOrdenes[semana],$A17)</f>
        <v/>
      </c>
      <c r="F17" s="17">
        <f>SUMIFS(tblOrdenes[horas_efectivas],tblOrdenes[semana],$A17,tblOrdenes[estado],"Cerrada")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COUNTIFS(tblOrdenes[semana],$A18)</f>
        <v/>
      </c>
      <c r="C18" s="3">
        <f>COUNTIFS(tblOrdenes[semana],$A18,tblOrdenes[estado],"Cerrada")</f>
        <v/>
      </c>
      <c r="D18" s="18">
        <f>IF(B18=0,"",C18/B18)</f>
        <v/>
      </c>
      <c r="E18" s="17">
        <f>SUMIFS(tblOrdenes[horas_efectivas],tblOrdenes[semana],$A18)</f>
        <v/>
      </c>
      <c r="F18" s="17">
        <f>SUMIFS(tblOrdenes[horas_efectivas],tblOrdenes[semana],$A18,tblOrdenes[estado],"Cerrada")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COUNTIFS(tblOrdenes[semana],$A19)</f>
        <v/>
      </c>
      <c r="C19" s="3">
        <f>COUNTIFS(tblOrdenes[semana],$A19,tblOrdenes[estado],"Cerrada")</f>
        <v/>
      </c>
      <c r="D19" s="18">
        <f>IF(B19=0,"",C19/B19)</f>
        <v/>
      </c>
      <c r="E19" s="17">
        <f>SUMIFS(tblOrdenes[horas_efectivas],tblOrdenes[semana],$A19)</f>
        <v/>
      </c>
      <c r="F19" s="17">
        <f>SUMIFS(tblOrdenes[horas_efectivas],tblOrdenes[semana],$A19,tblOrdenes[estado],"Cerrada")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COUNTIFS(tblOrdenes[semana],$A20)</f>
        <v/>
      </c>
      <c r="C20" s="3">
        <f>COUNTIFS(tblOrdenes[semana],$A20,tblOrdenes[estado],"Cerrada")</f>
        <v/>
      </c>
      <c r="D20" s="18">
        <f>IF(B20=0,"",C20/B20)</f>
        <v/>
      </c>
      <c r="E20" s="17">
        <f>SUMIFS(tblOrdenes[horas_efectivas],tblOrdenes[semana],$A20)</f>
        <v/>
      </c>
      <c r="F20" s="17">
        <f>SUMIFS(tblOrdenes[horas_efectivas],tblOrdenes[semana],$A20,tblOrdenes[estado],"Cerrada")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COUNTIFS(tblOrdenes[semana],$A21)</f>
        <v/>
      </c>
      <c r="C21" s="3">
        <f>COUNTIFS(tblOrdenes[semana],$A21,tblOrdenes[estado],"Cerrada")</f>
        <v/>
      </c>
      <c r="D21" s="18">
        <f>IF(B21=0,"",C21/B21)</f>
        <v/>
      </c>
      <c r="E21" s="17">
        <f>SUMIFS(tblOrdenes[horas_efectivas],tblOrdenes[semana],$A21)</f>
        <v/>
      </c>
      <c r="F21" s="17">
        <f>SUMIFS(tblOrdenes[horas_efectivas],tblOrdenes[semana],$A21,tblOrdenes[estado],"Cerrada")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COUNTIFS(tblOrdenes[semana],$A22)</f>
        <v/>
      </c>
      <c r="C22" s="3">
        <f>COUNTIFS(tblOrdenes[semana],$A22,tblOrdenes[estado],"Cerrada")</f>
        <v/>
      </c>
      <c r="D22" s="18">
        <f>IF(B22=0,"",C22/B22)</f>
        <v/>
      </c>
      <c r="E22" s="17">
        <f>SUMIFS(tblOrdenes[horas_efectivas],tblOrdenes[semana],$A22)</f>
        <v/>
      </c>
      <c r="F22" s="17">
        <f>SUMIFS(tblOrdenes[horas_efectivas],tblOrdenes[semana],$A22,tblOrdenes[estado],"Cerrada")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COUNTIFS(tblOrdenes[semana],$A23)</f>
        <v/>
      </c>
      <c r="C23" s="3">
        <f>COUNTIFS(tblOrdenes[semana],$A23,tblOrdenes[estado],"Cerrada")</f>
        <v/>
      </c>
      <c r="D23" s="18">
        <f>IF(B23=0,"",C23/B23)</f>
        <v/>
      </c>
      <c r="E23" s="17">
        <f>SUMIFS(tblOrdenes[horas_efectivas],tblOrdenes[semana],$A23)</f>
        <v/>
      </c>
      <c r="F23" s="17">
        <f>SUMIFS(tblOrdenes[horas_efectivas],tblOrdenes[semana],$A23,tblOrdenes[estado],"Cerrada")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COUNTIFS(tblOrdenes[semana],$A24)</f>
        <v/>
      </c>
      <c r="C24" s="3">
        <f>COUNTIFS(tblOrdenes[semana],$A24,tblOrdenes[estado],"Cerrada")</f>
        <v/>
      </c>
      <c r="D24" s="18">
        <f>IF(B24=0,"",C24/B24)</f>
        <v/>
      </c>
      <c r="E24" s="17">
        <f>SUMIFS(tblOrdenes[horas_efectivas],tblOrdenes[semana],$A24)</f>
        <v/>
      </c>
      <c r="F24" s="17">
        <f>SUMIFS(tblOrdenes[horas_efectivas],tblOrdenes[semana],$A24,tblOrdenes[estado],"Cerrada")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COUNTIFS(tblOrdenes[semana],$A25)</f>
        <v/>
      </c>
      <c r="C25" s="3">
        <f>COUNTIFS(tblOrdenes[semana],$A25,tblOrdenes[estado],"Cerrada")</f>
        <v/>
      </c>
      <c r="D25" s="18">
        <f>IF(B25=0,"",C25/B25)</f>
        <v/>
      </c>
      <c r="E25" s="17">
        <f>SUMIFS(tblOrdenes[horas_efectivas],tblOrdenes[semana],$A25)</f>
        <v/>
      </c>
      <c r="F25" s="17">
        <f>SUMIFS(tblOrdenes[horas_efectivas],tblOrdenes[semana],$A25,tblOrdenes[estado],"Cerrada")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COUNTIFS(tblOrdenes[semana],$A26)</f>
        <v/>
      </c>
      <c r="C26" s="3">
        <f>COUNTIFS(tblOrdenes[semana],$A26,tblOrdenes[estado],"Cerrada")</f>
        <v/>
      </c>
      <c r="D26" s="18">
        <f>IF(B26=0,"",C26/B26)</f>
        <v/>
      </c>
      <c r="E26" s="17">
        <f>SUMIFS(tblOrdenes[horas_efectivas],tblOrdenes[semana],$A26)</f>
        <v/>
      </c>
      <c r="F26" s="17">
        <f>SUMIFS(tblOrdenes[horas_efectivas],tblOrdenes[semana],$A26,tblOrdenes[estado],"Cerrada")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COUNTIFS(tblOrdenes[semana],$A27)</f>
        <v/>
      </c>
      <c r="C27" s="3">
        <f>COUNTIFS(tblOrdenes[semana],$A27,tblOrdenes[estado],"Cerrada")</f>
        <v/>
      </c>
      <c r="D27" s="18">
        <f>IF(B27=0,"",C27/B27)</f>
        <v/>
      </c>
      <c r="E27" s="17">
        <f>SUMIFS(tblOrdenes[horas_efectivas],tblOrdenes[semana],$A27)</f>
        <v/>
      </c>
      <c r="F27" s="17">
        <f>SUMIFS(tblOrdenes[horas_efectivas],tblOrdenes[semana],$A27,tblOrdenes[estado],"Cerrada")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COUNTIFS(tblOrdenes[semana],$A28)</f>
        <v/>
      </c>
      <c r="C28" s="3">
        <f>COUNTIFS(tblOrdenes[semana],$A28,tblOrdenes[estado],"Cerrada")</f>
        <v/>
      </c>
      <c r="D28" s="18">
        <f>IF(B28=0,"",C28/B28)</f>
        <v/>
      </c>
      <c r="E28" s="17">
        <f>SUMIFS(tblOrdenes[horas_efectivas],tblOrdenes[semana],$A28)</f>
        <v/>
      </c>
      <c r="F28" s="17">
        <f>SUMIFS(tblOrdenes[horas_efectivas],tblOrdenes[semana],$A28,tblOrdenes[estado],"Cerrada")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COUNTIFS(tblOrdenes[semana],$A29)</f>
        <v/>
      </c>
      <c r="C29" s="3">
        <f>COUNTIFS(tblOrdenes[semana],$A29,tblOrdenes[estado],"Cerrada")</f>
        <v/>
      </c>
      <c r="D29" s="18">
        <f>IF(B29=0,"",C29/B29)</f>
        <v/>
      </c>
      <c r="E29" s="17">
        <f>SUMIFS(tblOrdenes[horas_efectivas],tblOrdenes[semana],$A29)</f>
        <v/>
      </c>
      <c r="F29" s="17">
        <f>SUMIFS(tblOrdenes[horas_efectivas],tblOrdenes[semana],$A29,tblOrdenes[estado],"Cerrada")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COUNTIFS(tblOrdenes[semana],$A30)</f>
        <v/>
      </c>
      <c r="C30" s="3">
        <f>COUNTIFS(tblOrdenes[semana],$A30,tblOrdenes[estado],"Cerrada")</f>
        <v/>
      </c>
      <c r="D30" s="18">
        <f>IF(B30=0,"",C30/B30)</f>
        <v/>
      </c>
      <c r="E30" s="17">
        <f>SUMIFS(tblOrdenes[horas_efectivas],tblOrdenes[semana],$A30)</f>
        <v/>
      </c>
      <c r="F30" s="17">
        <f>SUMIFS(tblOrdenes[horas_efectivas],tblOrdenes[semana],$A30,tblOrdenes[estado],"Cerrada")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COUNTIFS(tblOrdenes[semana],$A31)</f>
        <v/>
      </c>
      <c r="C31" s="3">
        <f>COUNTIFS(tblOrdenes[semana],$A31,tblOrdenes[estado],"Cerrada")</f>
        <v/>
      </c>
      <c r="D31" s="18">
        <f>IF(B31=0,"",C31/B31)</f>
        <v/>
      </c>
      <c r="E31" s="17">
        <f>SUMIFS(tblOrdenes[horas_efectivas],tblOrdenes[semana],$A31)</f>
        <v/>
      </c>
      <c r="F31" s="17">
        <f>SUMIFS(tblOrdenes[horas_efectivas],tblOrdenes[semana],$A31,tblOrdenes[estado],"Cerrada")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COUNTIFS(tblOrdenes[semana],$A32)</f>
        <v/>
      </c>
      <c r="C32" s="3">
        <f>COUNTIFS(tblOrdenes[semana],$A32,tblOrdenes[estado],"Cerrada")</f>
        <v/>
      </c>
      <c r="D32" s="18">
        <f>IF(B32=0,"",C32/B32)</f>
        <v/>
      </c>
      <c r="E32" s="17">
        <f>SUMIFS(tblOrdenes[horas_efectivas],tblOrdenes[semana],$A32)</f>
        <v/>
      </c>
      <c r="F32" s="17">
        <f>SUMIFS(tblOrdenes[horas_efectivas],tblOrdenes[semana],$A32,tblOrdenes[estado],"Cerrada")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COUNTIFS(tblOrdenes[semana],$A33)</f>
        <v/>
      </c>
      <c r="C33" s="3">
        <f>COUNTIFS(tblOrdenes[semana],$A33,tblOrdenes[estado],"Cerrada")</f>
        <v/>
      </c>
      <c r="D33" s="18">
        <f>IF(B33=0,"",C33/B33)</f>
        <v/>
      </c>
      <c r="E33" s="17">
        <f>SUMIFS(tblOrdenes[horas_efectivas],tblOrdenes[semana],$A33)</f>
        <v/>
      </c>
      <c r="F33" s="17">
        <f>SUMIFS(tblOrdenes[horas_efectivas],tblOrdenes[semana],$A33,tblOrdenes[estado],"Cerrada")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COUNTIFS(tblOrdenes[semana],$A34)</f>
        <v/>
      </c>
      <c r="C34" s="3">
        <f>COUNTIFS(tblOrdenes[semana],$A34,tblOrdenes[estado],"Cerrada")</f>
        <v/>
      </c>
      <c r="D34" s="18">
        <f>IF(B34=0,"",C34/B34)</f>
        <v/>
      </c>
      <c r="E34" s="17">
        <f>SUMIFS(tblOrdenes[horas_efectivas],tblOrdenes[semana],$A34)</f>
        <v/>
      </c>
      <c r="F34" s="17">
        <f>SUMIFS(tblOrdenes[horas_efectivas],tblOrdenes[semana],$A34,tblOrdenes[estado],"Cerrada")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COUNTIFS(tblOrdenes[semana],$A35)</f>
        <v/>
      </c>
      <c r="C35" s="3">
        <f>COUNTIFS(tblOrdenes[semana],$A35,tblOrdenes[estado],"Cerrada")</f>
        <v/>
      </c>
      <c r="D35" s="18">
        <f>IF(B35=0,"",C35/B35)</f>
        <v/>
      </c>
      <c r="E35" s="17">
        <f>SUMIFS(tblOrdenes[horas_efectivas],tblOrdenes[semana],$A35)</f>
        <v/>
      </c>
      <c r="F35" s="17">
        <f>SUMIFS(tblOrdenes[horas_efectivas],tblOrdenes[semana],$A35,tblOrdenes[estado],"Cerrada")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COUNTIFS(tblOrdenes[semana],$A36)</f>
        <v/>
      </c>
      <c r="C36" s="3">
        <f>COUNTIFS(tblOrdenes[semana],$A36,tblOrdenes[estado],"Cerrada")</f>
        <v/>
      </c>
      <c r="D36" s="18">
        <f>IF(B36=0,"",C36/B36)</f>
        <v/>
      </c>
      <c r="E36" s="17">
        <f>SUMIFS(tblOrdenes[horas_efectivas],tblOrdenes[semana],$A36)</f>
        <v/>
      </c>
      <c r="F36" s="17">
        <f>SUMIFS(tblOrdenes[horas_efectivas],tblOrdenes[semana],$A36,tblOrdenes[estado],"Cerrada")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COUNTIFS(tblOrdenes[semana],$A37)</f>
        <v/>
      </c>
      <c r="C37" s="3">
        <f>COUNTIFS(tblOrdenes[semana],$A37,tblOrdenes[estado],"Cerrada")</f>
        <v/>
      </c>
      <c r="D37" s="18">
        <f>IF(B37=0,"",C37/B37)</f>
        <v/>
      </c>
      <c r="E37" s="17">
        <f>SUMIFS(tblOrdenes[horas_efectivas],tblOrdenes[semana],$A37)</f>
        <v/>
      </c>
      <c r="F37" s="17">
        <f>SUMIFS(tblOrdenes[horas_efectivas],tblOrdenes[semana],$A37,tblOrdenes[estado],"Cerrada")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COUNTIFS(tblOrdenes[semana],$A38)</f>
        <v/>
      </c>
      <c r="C38" s="3">
        <f>COUNTIFS(tblOrdenes[semana],$A38,tblOrdenes[estado],"Cerrada")</f>
        <v/>
      </c>
      <c r="D38" s="18">
        <f>IF(B38=0,"",C38/B38)</f>
        <v/>
      </c>
      <c r="E38" s="17">
        <f>SUMIFS(tblOrdenes[horas_efectivas],tblOrdenes[semana],$A38)</f>
        <v/>
      </c>
      <c r="F38" s="17">
        <f>SUMIFS(tblOrdenes[horas_efectivas],tblOrdenes[semana],$A38,tblOrdenes[estado],"Cerrada")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COUNTIFS(tblOrdenes[semana],$A39)</f>
        <v/>
      </c>
      <c r="C39" s="3">
        <f>COUNTIFS(tblOrdenes[semana],$A39,tblOrdenes[estado],"Cerrada")</f>
        <v/>
      </c>
      <c r="D39" s="18">
        <f>IF(B39=0,"",C39/B39)</f>
        <v/>
      </c>
      <c r="E39" s="17">
        <f>SUMIFS(tblOrdenes[horas_efectivas],tblOrdenes[semana],$A39)</f>
        <v/>
      </c>
      <c r="F39" s="17">
        <f>SUMIFS(tblOrdenes[horas_efectivas],tblOrdenes[semana],$A39,tblOrdenes[estado],"Cerrada")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COUNTIFS(tblOrdenes[semana],$A40)</f>
        <v/>
      </c>
      <c r="C40" s="3">
        <f>COUNTIFS(tblOrdenes[semana],$A40,tblOrdenes[estado],"Cerrada")</f>
        <v/>
      </c>
      <c r="D40" s="18">
        <f>IF(B40=0,"",C40/B40)</f>
        <v/>
      </c>
      <c r="E40" s="17">
        <f>SUMIFS(tblOrdenes[horas_efectivas],tblOrdenes[semana],$A40)</f>
        <v/>
      </c>
      <c r="F40" s="17">
        <f>SUMIFS(tblOrdenes[horas_efectivas],tblOrdenes[semana],$A40,tblOrdenes[estado],"Cerrada")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COUNTIFS(tblOrdenes[semana],$A41)</f>
        <v/>
      </c>
      <c r="C41" s="3">
        <f>COUNTIFS(tblOrdenes[semana],$A41,tblOrdenes[estado],"Cerrada")</f>
        <v/>
      </c>
      <c r="D41" s="18">
        <f>IF(B41=0,"",C41/B41)</f>
        <v/>
      </c>
      <c r="E41" s="17">
        <f>SUMIFS(tblOrdenes[horas_efectivas],tblOrdenes[semana],$A41)</f>
        <v/>
      </c>
      <c r="F41" s="17">
        <f>SUMIFS(tblOrdenes[horas_efectivas],tblOrdenes[semana],$A41,tblOrdenes[estado],"Cerrada")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COUNTIFS(tblOrdenes[semana],$A42)</f>
        <v/>
      </c>
      <c r="C42" s="3">
        <f>COUNTIFS(tblOrdenes[semana],$A42,tblOrdenes[estado],"Cerrada")</f>
        <v/>
      </c>
      <c r="D42" s="18">
        <f>IF(B42=0,"",C42/B42)</f>
        <v/>
      </c>
      <c r="E42" s="17">
        <f>SUMIFS(tblOrdenes[horas_efectivas],tblOrdenes[semana],$A42)</f>
        <v/>
      </c>
      <c r="F42" s="17">
        <f>SUMIFS(tblOrdenes[horas_efectivas],tblOrdenes[semana],$A42,tblOrdenes[estado],"Cerrada")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COUNTIFS(tblOrdenes[semana],$A43)</f>
        <v/>
      </c>
      <c r="C43" s="3">
        <f>COUNTIFS(tblOrdenes[semana],$A43,tblOrdenes[estado],"Cerrada")</f>
        <v/>
      </c>
      <c r="D43" s="18">
        <f>IF(B43=0,"",C43/B43)</f>
        <v/>
      </c>
      <c r="E43" s="17">
        <f>SUMIFS(tblOrdenes[horas_efectivas],tblOrdenes[semana],$A43)</f>
        <v/>
      </c>
      <c r="F43" s="17">
        <f>SUMIFS(tblOrdenes[horas_efectivas],tblOrdenes[semana],$A43,tblOrdenes[estado],"Cerrada")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COUNTIFS(tblOrdenes[semana],$A44)</f>
        <v/>
      </c>
      <c r="C44" s="3">
        <f>COUNTIFS(tblOrdenes[semana],$A44,tblOrdenes[estado],"Cerrada")</f>
        <v/>
      </c>
      <c r="D44" s="18">
        <f>IF(B44=0,"",C44/B44)</f>
        <v/>
      </c>
      <c r="E44" s="17">
        <f>SUMIFS(tblOrdenes[horas_efectivas],tblOrdenes[semana],$A44)</f>
        <v/>
      </c>
      <c r="F44" s="17">
        <f>SUMIFS(tblOrdenes[horas_efectivas],tblOrdenes[semana],$A44,tblOrdenes[estado],"Cerrada")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COUNTIFS(tblOrdenes[semana],$A45)</f>
        <v/>
      </c>
      <c r="C45" s="3">
        <f>COUNTIFS(tblOrdenes[semana],$A45,tblOrdenes[estado],"Cerrada")</f>
        <v/>
      </c>
      <c r="D45" s="18">
        <f>IF(B45=0,"",C45/B45)</f>
        <v/>
      </c>
      <c r="E45" s="17">
        <f>SUMIFS(tblOrdenes[horas_efectivas],tblOrdenes[semana],$A45)</f>
        <v/>
      </c>
      <c r="F45" s="17">
        <f>SUMIFS(tblOrdenes[horas_efectivas],tblOrdenes[semana],$A45,tblOrdenes[estado],"Cerrada")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COUNTIFS(tblOrdenes[semana],$A46)</f>
        <v/>
      </c>
      <c r="C46" s="3">
        <f>COUNTIFS(tblOrdenes[semana],$A46,tblOrdenes[estado],"Cerrada")</f>
        <v/>
      </c>
      <c r="D46" s="18">
        <f>IF(B46=0,"",C46/B46)</f>
        <v/>
      </c>
      <c r="E46" s="17">
        <f>SUMIFS(tblOrdenes[horas_efectivas],tblOrdenes[semana],$A46)</f>
        <v/>
      </c>
      <c r="F46" s="17">
        <f>SUMIFS(tblOrdenes[horas_efectivas],tblOrdenes[semana],$A46,tblOrdenes[estado],"Cerrada")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COUNTIFS(tblOrdenes[semana],$A47)</f>
        <v/>
      </c>
      <c r="C47" s="3">
        <f>COUNTIFS(tblOrdenes[semana],$A47,tblOrdenes[estado],"Cerrada")</f>
        <v/>
      </c>
      <c r="D47" s="18">
        <f>IF(B47=0,"",C47/B47)</f>
        <v/>
      </c>
      <c r="E47" s="17">
        <f>SUMIFS(tblOrdenes[horas_efectivas],tblOrdenes[semana],$A47)</f>
        <v/>
      </c>
      <c r="F47" s="17">
        <f>SUMIFS(tblOrdenes[horas_efectivas],tblOrdenes[semana],$A47,tblOrdenes[estado],"Cerrada")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COUNTIFS(tblOrdenes[semana],$A48)</f>
        <v/>
      </c>
      <c r="C48" s="3">
        <f>COUNTIFS(tblOrdenes[semana],$A48,tblOrdenes[estado],"Cerrada")</f>
        <v/>
      </c>
      <c r="D48" s="18">
        <f>IF(B48=0,"",C48/B48)</f>
        <v/>
      </c>
      <c r="E48" s="17">
        <f>SUMIFS(tblOrdenes[horas_efectivas],tblOrdenes[semana],$A48)</f>
        <v/>
      </c>
      <c r="F48" s="17">
        <f>SUMIFS(tblOrdenes[horas_efectivas],tblOrdenes[semana],$A48,tblOrdenes[estado],"Cerrada")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COUNTIFS(tblOrdenes[semana],$A49)</f>
        <v/>
      </c>
      <c r="C49" s="3">
        <f>COUNTIFS(tblOrdenes[semana],$A49,tblOrdenes[estado],"Cerrada")</f>
        <v/>
      </c>
      <c r="D49" s="18">
        <f>IF(B49=0,"",C49/B49)</f>
        <v/>
      </c>
      <c r="E49" s="17">
        <f>SUMIFS(tblOrdenes[horas_efectivas],tblOrdenes[semana],$A49)</f>
        <v/>
      </c>
      <c r="F49" s="17">
        <f>SUMIFS(tblOrdenes[horas_efectivas],tblOrdenes[semana],$A49,tblOrdenes[estado],"Cerrada")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COUNTIFS(tblOrdenes[semana],$A50)</f>
        <v/>
      </c>
      <c r="C50" s="3">
        <f>COUNTIFS(tblOrdenes[semana],$A50,tblOrdenes[estado],"Cerrada")</f>
        <v/>
      </c>
      <c r="D50" s="18">
        <f>IF(B50=0,"",C50/B50)</f>
        <v/>
      </c>
      <c r="E50" s="17">
        <f>SUMIFS(tblOrdenes[horas_efectivas],tblOrdenes[semana],$A50)</f>
        <v/>
      </c>
      <c r="F50" s="17">
        <f>SUMIFS(tblOrdenes[horas_efectivas],tblOrdenes[semana],$A50,tblOrdenes[estado],"Cerrada")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COUNTIFS(tblOrdenes[semana],$A51)</f>
        <v/>
      </c>
      <c r="C51" s="3">
        <f>COUNTIFS(tblOrdenes[semana],$A51,tblOrdenes[estado],"Cerrada")</f>
        <v/>
      </c>
      <c r="D51" s="18">
        <f>IF(B51=0,"",C51/B51)</f>
        <v/>
      </c>
      <c r="E51" s="17">
        <f>SUMIFS(tblOrdenes[horas_efectivas],tblOrdenes[semana],$A51)</f>
        <v/>
      </c>
      <c r="F51" s="17">
        <f>SUMIFS(tblOrdenes[horas_efectivas],tblOrdenes[semana],$A51,tblOrdenes[estado],"Cerrada")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COUNTIFS(tblOrdenes[semana],$A52)</f>
        <v/>
      </c>
      <c r="C52" s="3">
        <f>COUNTIFS(tblOrdenes[semana],$A52,tblOrdenes[estado],"Cerrada")</f>
        <v/>
      </c>
      <c r="D52" s="18">
        <f>IF(B52=0,"",C52/B52)</f>
        <v/>
      </c>
      <c r="E52" s="17">
        <f>SUMIFS(tblOrdenes[horas_efectivas],tblOrdenes[semana],$A52)</f>
        <v/>
      </c>
      <c r="F52" s="17">
        <f>SUMIFS(tblOrdenes[horas_efectivas],tblOrdenes[semana],$A52,tblOrdenes[estado],"Cerrada")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COUNTIFS(tblOrdenes[semana],$A53)</f>
        <v/>
      </c>
      <c r="C53" s="3">
        <f>COUNTIFS(tblOrdenes[semana],$A53,tblOrdenes[estado],"Cerrada")</f>
        <v/>
      </c>
      <c r="D53" s="18">
        <f>IF(B53=0,"",C53/B53)</f>
        <v/>
      </c>
      <c r="E53" s="17">
        <f>SUMIFS(tblOrdenes[horas_efectivas],tblOrdenes[semana],$A53)</f>
        <v/>
      </c>
      <c r="F53" s="17">
        <f>SUMIFS(tblOrdenes[horas_efectivas],tblOrdenes[semana],$A53,tblOrdenes[estado],"Cerrada")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COUNTIFS(tblOrdenes[semana],$A54)</f>
        <v/>
      </c>
      <c r="C54" s="3">
        <f>COUNTIFS(tblOrdenes[semana],$A54,tblOrdenes[estado],"Cerrada")</f>
        <v/>
      </c>
      <c r="D54" s="18">
        <f>IF(B54=0,"",C54/B54)</f>
        <v/>
      </c>
      <c r="E54" s="17">
        <f>SUMIFS(tblOrdenes[horas_efectivas],tblOrdenes[semana],$A54)</f>
        <v/>
      </c>
      <c r="F54" s="17">
        <f>SUMIFS(tblOrdenes[horas_efectivas],tblOrdenes[semana],$A54,tblOrdenes[estado],"Cerrada")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COUNTIFS(tblOrdenes[semana],$A55)</f>
        <v/>
      </c>
      <c r="C55" s="3">
        <f>COUNTIFS(tblOrdenes[semana],$A55,tblOrdenes[estado],"Cerrada")</f>
        <v/>
      </c>
      <c r="D55" s="18">
        <f>IF(B55=0,"",C55/B55)</f>
        <v/>
      </c>
      <c r="E55" s="17">
        <f>SUMIFS(tblOrdenes[horas_efectivas],tblOrdenes[semana],$A55)</f>
        <v/>
      </c>
      <c r="F55" s="17">
        <f>SUMIFS(tblOrdenes[horas_efectivas],tblOrdenes[semana],$A55,tblOrdenes[estado],"Cerrada")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COUNTIFS(tblOrdenes[semana],$A56)</f>
        <v/>
      </c>
      <c r="C56" s="3">
        <f>COUNTIFS(tblOrdenes[semana],$A56,tblOrdenes[estado],"Cerrada")</f>
        <v/>
      </c>
      <c r="D56" s="18">
        <f>IF(B56=0,"",C56/B56)</f>
        <v/>
      </c>
      <c r="E56" s="17">
        <f>SUMIFS(tblOrdenes[horas_efectivas],tblOrdenes[semana],$A56)</f>
        <v/>
      </c>
      <c r="F56" s="17">
        <f>SUMIFS(tblOrdenes[horas_efectivas],tblOrdenes[semana],$A56,tblOrdenes[estado],"Cerrada")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COUNTIFS(tblOrdenes[semana],$A57)</f>
        <v/>
      </c>
      <c r="C57" s="3">
        <f>COUNTIFS(tblOrdenes[semana],$A57,tblOrdenes[estado],"Cerrada")</f>
        <v/>
      </c>
      <c r="D57" s="18">
        <f>IF(B57=0,"",C57/B57)</f>
        <v/>
      </c>
      <c r="E57" s="17">
        <f>SUMIFS(tblOrdenes[horas_efectivas],tblOrdenes[semana],$A57)</f>
        <v/>
      </c>
      <c r="F57" s="17">
        <f>SUMIFS(tblOrdenes[horas_efectivas],tblOrdenes[semana],$A57,tblOrdenes[estado],"Cerrada")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COUNTIFS(tblOrdenes[semana],$A58)</f>
        <v/>
      </c>
      <c r="C58" s="3">
        <f>COUNTIFS(tblOrdenes[semana],$A58,tblOrdenes[estado],"Cerrada")</f>
        <v/>
      </c>
      <c r="D58" s="18">
        <f>IF(B58=0,"",C58/B58)</f>
        <v/>
      </c>
      <c r="E58" s="17">
        <f>SUMIFS(tblOrdenes[horas_efectivas],tblOrdenes[semana],$A58)</f>
        <v/>
      </c>
      <c r="F58" s="17">
        <f>SUMIFS(tblOrdenes[horas_efectivas],tblOrdenes[semana],$A58,tblOrdenes[estado],"Cerrada")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COUNTIFS(tblOrdenes[semana],$A59)</f>
        <v/>
      </c>
      <c r="C59" s="3">
        <f>COUNTIFS(tblOrdenes[semana],$A59,tblOrdenes[estado],"Cerrada")</f>
        <v/>
      </c>
      <c r="D59" s="18">
        <f>IF(B59=0,"",C59/B59)</f>
        <v/>
      </c>
      <c r="E59" s="17">
        <f>SUMIFS(tblOrdenes[horas_efectivas],tblOrdenes[semana],$A59)</f>
        <v/>
      </c>
      <c r="F59" s="17">
        <f>SUMIFS(tblOrdenes[horas_efectivas],tblOrdenes[semana],$A59,tblOrdenes[estado],"Cerrada")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COUNTIFS(tblOrdenes[semana],$A60)</f>
        <v/>
      </c>
      <c r="C60" s="3">
        <f>COUNTIFS(tblOrdenes[semana],$A60,tblOrdenes[estado],"Cerrada")</f>
        <v/>
      </c>
      <c r="D60" s="18">
        <f>IF(B60=0,"",C60/B60)</f>
        <v/>
      </c>
      <c r="E60" s="17">
        <f>SUMIFS(tblOrdenes[horas_efectivas],tblOrdenes[semana],$A60)</f>
        <v/>
      </c>
      <c r="F60" s="17">
        <f>SUMIFS(tblOrdenes[horas_efectivas],tblOrdenes[semana],$A60,tblOrdenes[estado],"Cerrada")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COUNTIFS(tblOrdenes[semana],$A61)</f>
        <v/>
      </c>
      <c r="C61" s="3">
        <f>COUNTIFS(tblOrdenes[semana],$A61,tblOrdenes[estado],"Cerrada")</f>
        <v/>
      </c>
      <c r="D61" s="18">
        <f>IF(B61=0,"",C61/B61)</f>
        <v/>
      </c>
      <c r="E61" s="17">
        <f>SUMIFS(tblOrdenes[horas_efectivas],tblOrdenes[semana],$A61)</f>
        <v/>
      </c>
      <c r="F61" s="17">
        <f>SUMIFS(tblOrdenes[horas_efectivas],tblOrdenes[semana],$A61,tblOrdenes[estado],"Cerrada")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COUNTIFS(tblOrdenes[semana],$A62)</f>
        <v/>
      </c>
      <c r="C62" s="3">
        <f>COUNTIFS(tblOrdenes[semana],$A62,tblOrdenes[estado],"Cerrada")</f>
        <v/>
      </c>
      <c r="D62" s="18">
        <f>IF(B62=0,"",C62/B62)</f>
        <v/>
      </c>
      <c r="E62" s="17">
        <f>SUMIFS(tblOrdenes[horas_efectivas],tblOrdenes[semana],$A62)</f>
        <v/>
      </c>
      <c r="F62" s="17">
        <f>SUMIFS(tblOrdenes[horas_efectivas],tblOrdenes[semana],$A62,tblOrdenes[estado],"Cerrada")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COUNTIFS(tblOrdenes[semana],$A63)</f>
        <v/>
      </c>
      <c r="C63" s="3">
        <f>COUNTIFS(tblOrdenes[semana],$A63,tblOrdenes[estado],"Cerrada")</f>
        <v/>
      </c>
      <c r="D63" s="18">
        <f>IF(B63=0,"",C63/B63)</f>
        <v/>
      </c>
      <c r="E63" s="17">
        <f>SUMIFS(tblOrdenes[horas_efectivas],tblOrdenes[semana],$A63)</f>
        <v/>
      </c>
      <c r="F63" s="17">
        <f>SUMIFS(tblOrdenes[horas_efectivas],tblOrdenes[semana],$A63,tblOrdenes[estado],"Cerrada")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COUNTIFS(tblOrdenes[semana],$A64)</f>
        <v/>
      </c>
      <c r="C64" s="3">
        <f>COUNTIFS(tblOrdenes[semana],$A64,tblOrdenes[estado],"Cerrada")</f>
        <v/>
      </c>
      <c r="D64" s="18">
        <f>IF(B64=0,"",C64/B64)</f>
        <v/>
      </c>
      <c r="E64" s="17">
        <f>SUMIFS(tblOrdenes[horas_efectivas],tblOrdenes[semana],$A64)</f>
        <v/>
      </c>
      <c r="F64" s="17">
        <f>SUMIFS(tblOrdenes[horas_efectivas],tblOrdenes[semana],$A64,tblOrdenes[estado],"Cerrada")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COUNTIFS(tblOrdenes[area],$A68)</f>
        <v/>
      </c>
      <c r="C68" s="3">
        <f>COUNTIFS(tblOrdenes[area],$A68,tblOrdenes[estado],"Cerrada")</f>
        <v/>
      </c>
      <c r="D68" s="18">
        <f>IF(B68=0,"",C68/B68)</f>
        <v/>
      </c>
      <c r="E68" s="17">
        <f>SUMIFS(tblOrdenes[horas_efectivas],tblOrdenes[area],$A68)</f>
        <v/>
      </c>
      <c r="F68" s="17">
        <f>SUMIFS(tblOrdenes[horas_efectivas],tblOrdenes[area],$A68,tblOrdenes[estado],"Cerrada")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COUNTIFS(tblOrdenes[area],$A69)</f>
        <v/>
      </c>
      <c r="C69" s="3">
        <f>COUNTIFS(tblOrdenes[area],$A69,tblOrdenes[estado],"Cerrada")</f>
        <v/>
      </c>
      <c r="D69" s="18">
        <f>IF(B69=0,"",C69/B69)</f>
        <v/>
      </c>
      <c r="E69" s="17">
        <f>SUMIFS(tblOrdenes[horas_efectivas],tblOrdenes[area],$A69)</f>
        <v/>
      </c>
      <c r="F69" s="17">
        <f>SUMIFS(tblOrdenes[horas_efectivas],tblOrdenes[area],$A69,tblOrdenes[estado],"Cerrada")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COUNTIFS(tblOrdenes[area],$A70)</f>
        <v/>
      </c>
      <c r="C70" s="3">
        <f>COUNTIFS(tblOrdenes[area],$A70,tblOrdenes[estado],"Cerrada")</f>
        <v/>
      </c>
      <c r="D70" s="18">
        <f>IF(B70=0,"",C70/B70)</f>
        <v/>
      </c>
      <c r="E70" s="17">
        <f>SUMIFS(tblOrdenes[horas_efectivas],tblOrdenes[area],$A70)</f>
        <v/>
      </c>
      <c r="F70" s="17">
        <f>SUMIFS(tblOrdenes[horas_efectivas],tblOrdenes[area],$A70,tblOrdenes[estado],"Cerrada")</f>
        <v/>
      </c>
      <c r="G70" s="18">
        <f>IF(E70=0,"",F70/E70)</f>
        <v/>
      </c>
    </row>
    <row r="72">
      <c r="A72" s="4" t="inlineStr">
        <is>
          <t>POR ESPECIALIDAD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</row>
    <row r="74">
      <c r="A74" s="3" t="inlineStr">
        <is>
          <t>MEC</t>
        </is>
      </c>
      <c r="B74" s="3">
        <f>COUNTIFS(tblOrdenes[especialidad],$A74)</f>
        <v/>
      </c>
      <c r="C74" s="3">
        <f>COUNTIFS(tblOrdenes[especialidad],$A74,tblOrdenes[estado],"Cerrada")</f>
        <v/>
      </c>
      <c r="D74" s="18">
        <f>IF(B74=0,"",C74/B74)</f>
        <v/>
      </c>
      <c r="E74" s="17">
        <f>SUMIFS(tblOrdenes[horas_efectivas],tblOrdenes[especialidad],$A74)</f>
        <v/>
      </c>
      <c r="F74" s="17">
        <f>SUMIFS(tblOrdenes[horas_efectivas],tblOrdenes[especialidad],$A74,tblOrdenes[estado],"Cerrada")</f>
        <v/>
      </c>
      <c r="G74" s="18">
        <f>IF(E74=0,"",F74/E74)</f>
        <v/>
      </c>
    </row>
    <row r="75">
      <c r="A75" s="3" t="inlineStr">
        <is>
          <t>ELE</t>
        </is>
      </c>
      <c r="B75" s="3">
        <f>COUNTIFS(tblOrdenes[especialidad],$A75)</f>
        <v/>
      </c>
      <c r="C75" s="3">
        <f>COUNTIFS(tblOrdenes[especialidad],$A75,tblOrdenes[estado],"Cerrada")</f>
        <v/>
      </c>
      <c r="D75" s="18">
        <f>IF(B75=0,"",C75/B75)</f>
        <v/>
      </c>
      <c r="E75" s="17">
        <f>SUMIFS(tblOrdenes[horas_efectivas],tblOrdenes[especialidad],$A75)</f>
        <v/>
      </c>
      <c r="F75" s="17">
        <f>SUMIFS(tblOrdenes[horas_efectivas],tblOrdenes[especialidad],$A75,tblOrdenes[estado],"Cerrada")</f>
        <v/>
      </c>
      <c r="G75" s="18">
        <f>IF(E75=0,"",F75/E75)</f>
        <v/>
      </c>
    </row>
    <row r="76">
      <c r="A76" s="3" t="inlineStr">
        <is>
          <t>AUT</t>
        </is>
      </c>
      <c r="B76" s="3">
        <f>COUNTIFS(tblOrdenes[especialidad],$A76)</f>
        <v/>
      </c>
      <c r="C76" s="3">
        <f>COUNTIFS(tblOrdenes[especialidad],$A76,tblOrdenes[estado],"Cerrada")</f>
        <v/>
      </c>
      <c r="D76" s="18">
        <f>IF(B76=0,"",C76/B76)</f>
        <v/>
      </c>
      <c r="E76" s="17">
        <f>SUMIFS(tblOrdenes[horas_efectivas],tblOrdenes[especialidad],$A76)</f>
        <v/>
      </c>
      <c r="F76" s="17">
        <f>SUMIFS(tblOrdenes[horas_efectivas],tblOrdenes[especialidad],$A76,tblOrdenes[estado],"Cerrada")</f>
        <v/>
      </c>
      <c r="G76" s="18">
        <f>IF(E76=0,"",F76/E76)</f>
        <v/>
      </c>
    </row>
    <row r="77">
      <c r="A77" s="3" t="inlineStr">
        <is>
          <t>OP</t>
        </is>
      </c>
      <c r="B77" s="3">
        <f>COUNTIFS(tblOrdenes[especialidad],$A77)</f>
        <v/>
      </c>
      <c r="C77" s="3">
        <f>COUNTIFS(tblOrdenes[especialidad],$A77,tblOrdenes[estado],"Cerrada")</f>
        <v/>
      </c>
      <c r="D77" s="18">
        <f>IF(B77=0,"",C77/B77)</f>
        <v/>
      </c>
      <c r="E77" s="17">
        <f>SUMIFS(tblOrdenes[horas_efectivas],tblOrdenes[especialidad],$A77)</f>
        <v/>
      </c>
      <c r="F77" s="17">
        <f>SUMIFS(tblOrdenes[horas_efectivas],tblOrdenes[especialidad],$A77,tblOrdenes[estado],"Cerrada")</f>
        <v/>
      </c>
      <c r="G77" s="18">
        <f>IF(E77=0,"",F77/E77)</f>
        <v/>
      </c>
    </row>
    <row r="78">
      <c r="A78" s="3" t="inlineStr">
        <is>
          <t>TERCERO</t>
        </is>
      </c>
      <c r="B78" s="3">
        <f>COUNTIFS(tblOrdenes[especialidad],$A78)</f>
        <v/>
      </c>
      <c r="C78" s="3">
        <f>COUNTIFS(tblOrdenes[especialidad],$A78,tblOrdenes[estado],"Cerrada")</f>
        <v/>
      </c>
      <c r="D78" s="18">
        <f>IF(B78=0,"",C78/B78)</f>
        <v/>
      </c>
      <c r="E78" s="17">
        <f>SUMIFS(tblOrdenes[horas_efectivas],tblOrdenes[especialidad],$A78)</f>
        <v/>
      </c>
      <c r="F78" s="17">
        <f>SUMIFS(tblOrdenes[horas_efectivas],tblOrdenes[especialidad],$A78,tblOrdenes[estado],"Cerrada")</f>
        <v/>
      </c>
      <c r="G78" s="18">
        <f>IF(E78=0,"",F78/E78)</f>
        <v/>
      </c>
    </row>
    <row r="80">
      <c r="A80" s="4" t="inlineStr">
        <is>
          <t>POR COORDINADOR</t>
        </is>
      </c>
    </row>
    <row r="81">
      <c r="A81" s="5" t="inlineStr">
        <is>
          <t>valor</t>
        </is>
      </c>
      <c r="B81" s="5" t="inlineStr">
        <is>
          <t>total_ot</t>
        </is>
      </c>
      <c r="C81" s="5" t="inlineStr">
        <is>
          <t>cerradas</t>
        </is>
      </c>
      <c r="D81" s="5" t="inlineStr">
        <is>
          <t>adherencia_conteo</t>
        </is>
      </c>
      <c r="E81" s="5" t="inlineStr">
        <is>
          <t>hh_total</t>
        </is>
      </c>
      <c r="F81" s="5" t="inlineStr">
        <is>
          <t>hh_cerradas</t>
        </is>
      </c>
      <c r="G81" s="5" t="inlineStr">
        <is>
          <t>adherencia_horas</t>
        </is>
      </c>
    </row>
    <row r="82">
      <c r="A82" s="3" t="inlineStr">
        <is>
          <t>Coordinador A</t>
        </is>
      </c>
      <c r="B82" s="3">
        <f>COUNTIFS(tblOrdenes[coordinador],$A82)</f>
        <v/>
      </c>
      <c r="C82" s="3">
        <f>COUNTIFS(tblOrdenes[coordinador],$A82,tblOrdenes[estado],"Cerrada")</f>
        <v/>
      </c>
      <c r="D82" s="18">
        <f>IF(B82=0,"",C82/B82)</f>
        <v/>
      </c>
      <c r="E82" s="17">
        <f>SUMIFS(tblOrdenes[horas_efectivas],tblOrdenes[coordinador],$A82)</f>
        <v/>
      </c>
      <c r="F82" s="17">
        <f>SUMIFS(tblOrdenes[horas_efectivas],tblOrdenes[coordinador],$A82,tblOrdenes[estado],"Cerrada")</f>
        <v/>
      </c>
      <c r="G82" s="18">
        <f>IF(E82=0,"",F82/E82)</f>
        <v/>
      </c>
    </row>
    <row r="83">
      <c r="A83" s="3" t="inlineStr">
        <is>
          <t>Coordinador B</t>
        </is>
      </c>
      <c r="B83" s="3">
        <f>COUNTIFS(tblOrdenes[coordinador],$A83)</f>
        <v/>
      </c>
      <c r="C83" s="3">
        <f>COUNTIFS(tblOrdenes[coordinador],$A83,tblOrdenes[estado],"Cerrada")</f>
        <v/>
      </c>
      <c r="D83" s="18">
        <f>IF(B83=0,"",C83/B83)</f>
        <v/>
      </c>
      <c r="E83" s="17">
        <f>SUMIFS(tblOrdenes[horas_efectivas],tblOrdenes[coordinador],$A83)</f>
        <v/>
      </c>
      <c r="F83" s="17">
        <f>SUMIFS(tblOrdenes[horas_efectivas],tblOrdenes[coordinador],$A83,tblOrdenes[estado],"Cerrada")</f>
        <v/>
      </c>
      <c r="G83" s="18">
        <f>IF(E83=0,"",F83/E83)</f>
        <v/>
      </c>
    </row>
    <row r="84">
      <c r="A84" s="3" t="inlineStr">
        <is>
          <t>Coordinador C</t>
        </is>
      </c>
      <c r="B84" s="3">
        <f>COUNTIFS(tblOrdenes[coordinador],$A84)</f>
        <v/>
      </c>
      <c r="C84" s="3">
        <f>COUNTIFS(tblOrdenes[coordinador],$A84,tblOrdenes[estado],"Cerrada")</f>
        <v/>
      </c>
      <c r="D84" s="18">
        <f>IF(B84=0,"",C84/B84)</f>
        <v/>
      </c>
      <c r="E84" s="17">
        <f>SUMIFS(tblOrdenes[horas_efectivas],tblOrdenes[coordinador],$A84)</f>
        <v/>
      </c>
      <c r="F84" s="17">
        <f>SUMIFS(tblOrdenes[horas_efectivas],tblOrdenes[coordinador],$A84,tblOrdenes[estado],"Cerrada")</f>
        <v/>
      </c>
      <c r="G84" s="18">
        <f>IF(E84=0,"",F84/E84)</f>
        <v/>
      </c>
    </row>
    <row r="86">
      <c r="A86" s="4" t="inlineStr">
        <is>
          <t>POR CLASIFICACIÓN</t>
        </is>
      </c>
    </row>
    <row r="87">
      <c r="A87" s="5" t="inlineStr">
        <is>
          <t>valor</t>
        </is>
      </c>
      <c r="B87" s="5" t="inlineStr">
        <is>
          <t>total_ot</t>
        </is>
      </c>
      <c r="C87" s="5" t="inlineStr">
        <is>
          <t>cerradas</t>
        </is>
      </c>
      <c r="D87" s="5" t="inlineStr">
        <is>
          <t>adherencia_conteo</t>
        </is>
      </c>
      <c r="E87" s="5" t="inlineStr">
        <is>
          <t>hh_total</t>
        </is>
      </c>
      <c r="F87" s="5" t="inlineStr">
        <is>
          <t>hh_cerradas</t>
        </is>
      </c>
      <c r="G87" s="5" t="inlineStr">
        <is>
          <t>adherencia_horas</t>
        </is>
      </c>
    </row>
    <row r="88">
      <c r="A88" s="3" t="inlineStr">
        <is>
          <t>preventiva</t>
        </is>
      </c>
      <c r="B88" s="3">
        <f>COUNTIFS(tblOrdenes[clasificacion],$A88)</f>
        <v/>
      </c>
      <c r="C88" s="3">
        <f>COUNTIFS(tblOrdenes[clasificacion],$A88,tblOrdenes[estado],"Cerrada")</f>
        <v/>
      </c>
      <c r="D88" s="18">
        <f>IF(B88=0,"",C88/B88)</f>
        <v/>
      </c>
      <c r="E88" s="17">
        <f>SUMIFS(tblOrdenes[horas_efectivas],tblOrdenes[clasificacion],$A88)</f>
        <v/>
      </c>
      <c r="F88" s="17">
        <f>SUMIFS(tblOrdenes[horas_efectivas],tblOrdenes[clasificacion],$A88,tblOrdenes[estado],"Cerrada")</f>
        <v/>
      </c>
      <c r="G88" s="18">
        <f>IF(E88=0,"",F88/E88)</f>
        <v/>
      </c>
    </row>
    <row r="89">
      <c r="A89" s="3" t="inlineStr">
        <is>
          <t>correctiva</t>
        </is>
      </c>
      <c r="B89" s="3">
        <f>COUNTIFS(tblOrdenes[clasificacion],$A89)</f>
        <v/>
      </c>
      <c r="C89" s="3">
        <f>COUNTIFS(tblOrdenes[clasificacion],$A89,tblOrdenes[estado],"Cerrada")</f>
        <v/>
      </c>
      <c r="D89" s="18">
        <f>IF(B89=0,"",C89/B89)</f>
        <v/>
      </c>
      <c r="E89" s="17">
        <f>SUMIFS(tblOrdenes[horas_efectivas],tblOrdenes[clasificacion],$A89)</f>
        <v/>
      </c>
      <c r="F89" s="17">
        <f>SUMIFS(tblOrdenes[horas_efectivas],tblOrdenes[clasificacion],$A89,tblOrdenes[estado],"Cerrada")</f>
        <v/>
      </c>
      <c r="G89" s="18">
        <f>IF(E89=0,"",F89/E89)</f>
        <v/>
      </c>
    </row>
    <row r="90">
      <c r="A90" s="3" t="inlineStr">
        <is>
          <t>sin_clasificar</t>
        </is>
      </c>
      <c r="B90" s="3">
        <f>COUNTIFS(tblOrdenes[clasificacion],$A90)</f>
        <v/>
      </c>
      <c r="C90" s="3">
        <f>COUNTIFS(tblOrdenes[clasificacion],$A90,tblOrdenes[estado],"Cerrada")</f>
        <v/>
      </c>
      <c r="D90" s="18">
        <f>IF(B90=0,"",C90/B90)</f>
        <v/>
      </c>
      <c r="E90" s="17">
        <f>SUMIFS(tblOrdenes[horas_efectivas],tblOrdenes[clasificacion],$A90)</f>
        <v/>
      </c>
      <c r="F90" s="17">
        <f>SUMIFS(tblOrdenes[horas_efectivas],tblOrdenes[clasificacion],$A90,tblOrdenes[estado],"Cerrada")</f>
        <v/>
      </c>
      <c r="G90" s="18">
        <f>IF(E90=0,"",F90/E90)</f>
        <v/>
      </c>
    </row>
    <row r="92">
      <c r="A92" s="4" t="inlineStr">
        <is>
          <t>POR TÉCNICO</t>
        </is>
      </c>
    </row>
    <row r="93">
      <c r="A93" s="5" t="inlineStr">
        <is>
          <t>valor</t>
        </is>
      </c>
      <c r="B93" s="5" t="inlineStr">
        <is>
          <t>total_ot</t>
        </is>
      </c>
      <c r="C93" s="5" t="inlineStr">
        <is>
          <t>cerradas</t>
        </is>
      </c>
      <c r="D93" s="5" t="inlineStr">
        <is>
          <t>adherencia_conteo</t>
        </is>
      </c>
      <c r="E93" s="5" t="inlineStr">
        <is>
          <t>hh_total</t>
        </is>
      </c>
      <c r="F93" s="5" t="inlineStr">
        <is>
          <t>hh_cerradas</t>
        </is>
      </c>
      <c r="G93" s="5" t="inlineStr">
        <is>
          <t>adherencia_horas</t>
        </is>
      </c>
    </row>
    <row r="94">
      <c r="A94" s="3" t="inlineStr">
        <is>
          <t>Técnico 01</t>
        </is>
      </c>
      <c r="B94" s="3">
        <f>COUNTIFS(tblOrdenes[tecnico_asignado],$A94)</f>
        <v/>
      </c>
      <c r="C94" s="3">
        <f>COUNTIFS(tblOrdenes[tecnico_asignado],$A94,tblOrdenes[estado],"Cerrada")</f>
        <v/>
      </c>
      <c r="D94" s="18">
        <f>IF(B94=0,"",C94/B94)</f>
        <v/>
      </c>
      <c r="E94" s="17">
        <f>SUMIFS(tblOrdenes[horas_efectivas],tblOrdenes[tecnico_asignado],$A94)</f>
        <v/>
      </c>
      <c r="F94" s="17">
        <f>SUMIFS(tblOrdenes[horas_efectivas],tblOrdenes[tecnico_asignado],$A94,tblOrdenes[estado],"Cerrada")</f>
        <v/>
      </c>
      <c r="G94" s="18">
        <f>IF(E94=0,"",F94/E94)</f>
        <v/>
      </c>
    </row>
    <row r="95">
      <c r="A95" s="3" t="inlineStr">
        <is>
          <t>Técnico 02</t>
        </is>
      </c>
      <c r="B95" s="3">
        <f>COUNTIFS(tblOrdenes[tecnico_asignado],$A95)</f>
        <v/>
      </c>
      <c r="C95" s="3">
        <f>COUNTIFS(tblOrdenes[tecnico_asignado],$A95,tblOrdenes[estado],"Cerrada")</f>
        <v/>
      </c>
      <c r="D95" s="18">
        <f>IF(B95=0,"",C95/B95)</f>
        <v/>
      </c>
      <c r="E95" s="17">
        <f>SUMIFS(tblOrdenes[horas_efectivas],tblOrdenes[tecnico_asignado],$A95)</f>
        <v/>
      </c>
      <c r="F95" s="17">
        <f>SUMIFS(tblOrdenes[horas_efectivas],tblOrdenes[tecnico_asignado],$A95,tblOrdenes[estado],"Cerrada")</f>
        <v/>
      </c>
      <c r="G95" s="18">
        <f>IF(E95=0,"",F95/E95)</f>
        <v/>
      </c>
    </row>
    <row r="96">
      <c r="A96" s="3" t="inlineStr">
        <is>
          <t>Técnico 03</t>
        </is>
      </c>
      <c r="B96" s="3">
        <f>COUNTIFS(tblOrdenes[tecnico_asignado],$A96)</f>
        <v/>
      </c>
      <c r="C96" s="3">
        <f>COUNTIFS(tblOrdenes[tecnico_asignado],$A96,tblOrdenes[estado],"Cerrada")</f>
        <v/>
      </c>
      <c r="D96" s="18">
        <f>IF(B96=0,"",C96/B96)</f>
        <v/>
      </c>
      <c r="E96" s="17">
        <f>SUMIFS(tblOrdenes[horas_efectivas],tblOrdenes[tecnico_asignado],$A96)</f>
        <v/>
      </c>
      <c r="F96" s="17">
        <f>SUMIFS(tblOrdenes[horas_efectivas],tblOrdenes[tecnico_asignado],$A96,tblOrdenes[estado],"Cerrada")</f>
        <v/>
      </c>
      <c r="G96" s="18">
        <f>IF(E96=0,"",F96/E96)</f>
        <v/>
      </c>
    </row>
    <row r="97">
      <c r="A97" s="3" t="inlineStr">
        <is>
          <t>Técnico 04</t>
        </is>
      </c>
      <c r="B97" s="3">
        <f>COUNTIFS(tblOrdenes[tecnico_asignado],$A97)</f>
        <v/>
      </c>
      <c r="C97" s="3">
        <f>COUNTIFS(tblOrdenes[tecnico_asignado],$A97,tblOrdenes[estado],"Cerrada")</f>
        <v/>
      </c>
      <c r="D97" s="18">
        <f>IF(B97=0,"",C97/B97)</f>
        <v/>
      </c>
      <c r="E97" s="17">
        <f>SUMIFS(tblOrdenes[horas_efectivas],tblOrdenes[tecnico_asignado],$A97)</f>
        <v/>
      </c>
      <c r="F97" s="17">
        <f>SUMIFS(tblOrdenes[horas_efectivas],tblOrdenes[tecnico_asignado],$A97,tblOrdenes[estado],"Cerrada")</f>
        <v/>
      </c>
      <c r="G97" s="18">
        <f>IF(E97=0,"",F97/E97)</f>
        <v/>
      </c>
    </row>
    <row r="98">
      <c r="A98" s="3" t="inlineStr">
        <is>
          <t>Técnico 05</t>
        </is>
      </c>
      <c r="B98" s="3">
        <f>COUNTIFS(tblOrdenes[tecnico_asignado],$A98)</f>
        <v/>
      </c>
      <c r="C98" s="3">
        <f>COUNTIFS(tblOrdenes[tecnico_asignado],$A98,tblOrdenes[estado],"Cerrada")</f>
        <v/>
      </c>
      <c r="D98" s="18">
        <f>IF(B98=0,"",C98/B98)</f>
        <v/>
      </c>
      <c r="E98" s="17">
        <f>SUMIFS(tblOrdenes[horas_efectivas],tblOrdenes[tecnico_asignado],$A98)</f>
        <v/>
      </c>
      <c r="F98" s="17">
        <f>SUMIFS(tblOrdenes[horas_efectivas],tblOrdenes[tecnico_asignado],$A98,tblOrdenes[estado],"Cerrada")</f>
        <v/>
      </c>
      <c r="G98" s="18">
        <f>IF(E98=0,"",F98/E98)</f>
        <v/>
      </c>
    </row>
    <row r="99">
      <c r="A99" s="3" t="inlineStr">
        <is>
          <t>Técnico 06</t>
        </is>
      </c>
      <c r="B99" s="3">
        <f>COUNTIFS(tblOrdenes[tecnico_asignado],$A99)</f>
        <v/>
      </c>
      <c r="C99" s="3">
        <f>COUNTIFS(tblOrdenes[tecnico_asignado],$A99,tblOrdenes[estado],"Cerrada")</f>
        <v/>
      </c>
      <c r="D99" s="18">
        <f>IF(B99=0,"",C99/B99)</f>
        <v/>
      </c>
      <c r="E99" s="17">
        <f>SUMIFS(tblOrdenes[horas_efectivas],tblOrdenes[tecnico_asignado],$A99)</f>
        <v/>
      </c>
      <c r="F99" s="17">
        <f>SUMIFS(tblOrdenes[horas_efectivas],tblOrdenes[tecnico_asignado],$A99,tblOrdenes[estado],"Cerrada")</f>
        <v/>
      </c>
      <c r="G99" s="18">
        <f>IF(E99=0,"",F99/E99)</f>
        <v/>
      </c>
    </row>
    <row r="100">
      <c r="A100" s="3" t="inlineStr">
        <is>
          <t>Técnico 07</t>
        </is>
      </c>
      <c r="B100" s="3">
        <f>COUNTIFS(tblOrdenes[tecnico_asignado],$A100)</f>
        <v/>
      </c>
      <c r="C100" s="3">
        <f>COUNTIFS(tblOrdenes[tecnico_asignado],$A100,tblOrdenes[estado],"Cerrada")</f>
        <v/>
      </c>
      <c r="D100" s="18">
        <f>IF(B100=0,"",C100/B100)</f>
        <v/>
      </c>
      <c r="E100" s="17">
        <f>SUMIFS(tblOrdenes[horas_efectivas],tblOrdenes[tecnico_asignado],$A100)</f>
        <v/>
      </c>
      <c r="F100" s="17">
        <f>SUMIFS(tblOrdenes[horas_efectivas],tblOrdenes[tecnico_asignado],$A100,tblOrdenes[estado],"Cerrada")</f>
        <v/>
      </c>
      <c r="G100" s="18">
        <f>IF(E100=0,"",F100/E100)</f>
        <v/>
      </c>
    </row>
    <row r="101">
      <c r="A101" s="3" t="inlineStr">
        <is>
          <t>Técnico 08</t>
        </is>
      </c>
      <c r="B101" s="3">
        <f>COUNTIFS(tblOrdenes[tecnico_asignado],$A101)</f>
        <v/>
      </c>
      <c r="C101" s="3">
        <f>COUNTIFS(tblOrdenes[tecnico_asignado],$A101,tblOrdenes[estado],"Cerrada")</f>
        <v/>
      </c>
      <c r="D101" s="18">
        <f>IF(B101=0,"",C101/B101)</f>
        <v/>
      </c>
      <c r="E101" s="17">
        <f>SUMIFS(tblOrdenes[horas_efectivas],tblOrdenes[tecnico_asignado],$A101)</f>
        <v/>
      </c>
      <c r="F101" s="17">
        <f>SUMIFS(tblOrdenes[horas_efectivas],tblOrdenes[tecnico_asignado],$A101,tblOrdenes[estado],"Cerrada")</f>
        <v/>
      </c>
      <c r="G101" s="18">
        <f>IF(E101=0,"",F101/E101)</f>
        <v/>
      </c>
    </row>
    <row r="102">
      <c r="A102" s="3" t="inlineStr">
        <is>
          <t>Técnico 09</t>
        </is>
      </c>
      <c r="B102" s="3">
        <f>COUNTIFS(tblOrdenes[tecnico_asignado],$A102)</f>
        <v/>
      </c>
      <c r="C102" s="3">
        <f>COUNTIFS(tblOrdenes[tecnico_asignado],$A102,tblOrdenes[estado],"Cerrada")</f>
        <v/>
      </c>
      <c r="D102" s="18">
        <f>IF(B102=0,"",C102/B102)</f>
        <v/>
      </c>
      <c r="E102" s="17">
        <f>SUMIFS(tblOrdenes[horas_efectivas],tblOrdenes[tecnico_asignado],$A102)</f>
        <v/>
      </c>
      <c r="F102" s="17">
        <f>SUMIFS(tblOrdenes[horas_efectivas],tblOrdenes[tecnico_asignado],$A102,tblOrdenes[estado],"Cerrada")</f>
        <v/>
      </c>
      <c r="G102" s="18">
        <f>IF(E102=0,"",F102/E102)</f>
        <v/>
      </c>
    </row>
    <row r="103">
      <c r="A103" s="3" t="inlineStr">
        <is>
          <t>Técnico 10</t>
        </is>
      </c>
      <c r="B103" s="3">
        <f>COUNTIFS(tblOrdenes[tecnico_asignado],$A103)</f>
        <v/>
      </c>
      <c r="C103" s="3">
        <f>COUNTIFS(tblOrdenes[tecnico_asignado],$A103,tblOrdenes[estado],"Cerrada")</f>
        <v/>
      </c>
      <c r="D103" s="18">
        <f>IF(B103=0,"",C103/B103)</f>
        <v/>
      </c>
      <c r="E103" s="17">
        <f>SUMIFS(tblOrdenes[horas_efectivas],tblOrdenes[tecnico_asignado],$A103)</f>
        <v/>
      </c>
      <c r="F103" s="17">
        <f>SUMIFS(tblOrdenes[horas_efectivas],tblOrdenes[tecnico_asignado],$A103,tblOrdenes[estado],"Cerrada")</f>
        <v/>
      </c>
      <c r="G103" s="18">
        <f>IF(E103=0,"",F103/E103)</f>
        <v/>
      </c>
    </row>
    <row r="104">
      <c r="A104" s="3" t="inlineStr">
        <is>
          <t>Técnico 11</t>
        </is>
      </c>
      <c r="B104" s="3">
        <f>COUNTIFS(tblOrdenes[tecnico_asignado],$A104)</f>
        <v/>
      </c>
      <c r="C104" s="3">
        <f>COUNTIFS(tblOrdenes[tecnico_asignado],$A104,tblOrdenes[estado],"Cerrada")</f>
        <v/>
      </c>
      <c r="D104" s="18">
        <f>IF(B104=0,"",C104/B104)</f>
        <v/>
      </c>
      <c r="E104" s="17">
        <f>SUMIFS(tblOrdenes[horas_efectivas],tblOrdenes[tecnico_asignado],$A104)</f>
        <v/>
      </c>
      <c r="F104" s="17">
        <f>SUMIFS(tblOrdenes[horas_efectivas],tblOrdenes[tecnico_asignado],$A104,tblOrdenes[estado],"Cerrada")</f>
        <v/>
      </c>
      <c r="G104" s="18">
        <f>IF(E104=0,"",F104/E104)</f>
        <v/>
      </c>
    </row>
    <row r="105">
      <c r="A105" s="3" t="inlineStr">
        <is>
          <t>Técnico 12</t>
        </is>
      </c>
      <c r="B105" s="3">
        <f>COUNTIFS(tblOrdenes[tecnico_asignado],$A105)</f>
        <v/>
      </c>
      <c r="C105" s="3">
        <f>COUNTIFS(tblOrdenes[tecnico_asignado],$A105,tblOrdenes[estado],"Cerrada")</f>
        <v/>
      </c>
      <c r="D105" s="18">
        <f>IF(B105=0,"",C105/B105)</f>
        <v/>
      </c>
      <c r="E105" s="17">
        <f>SUMIFS(tblOrdenes[horas_efectivas],tblOrdenes[tecnico_asignado],$A105)</f>
        <v/>
      </c>
      <c r="F105" s="17">
        <f>SUMIFS(tblOrdenes[horas_efectivas],tblOrdenes[tecnico_asignado],$A105,tblOrdenes[estado],"Cerrada")</f>
        <v/>
      </c>
      <c r="G105" s="18">
        <f>IF(E105=0,"",F105/E105)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8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8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2:D84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2:G84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88:D90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88:G90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4:D105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4:G105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SUMIFS(tblOrdenes[costo_plan],tblOrdenes[area],$A6,tblOrdenes[anio],K$4,tblOrdenes[mes],K$5)</f>
        <v/>
      </c>
      <c r="L6" s="10">
        <f>SUM(B6:K6)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SUMIFS(tblOrdenes[costo_plan],tblOrdenes[area],$A7,tblOrdenes[anio],K$4,tblOrdenes[mes],K$5)</f>
        <v/>
      </c>
      <c r="L7" s="10">
        <f>SUM(B7:K7)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SUMIFS(tblOrdenes[costo_plan],tblOrdenes[area],$A8,tblOrdenes[anio],K$4,tblOrdenes[mes],K$5)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SUMIFS(tblOrdenes[costo_total],tblOrdenes[area],$A14,tblOrdenes[anio],K$12,tblOrdenes[mes],K$13)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SUMIFS(tblOrdenes[costo_total],tblOrdenes[area],$A15,tblOrdenes[anio],K$12,tblOrdenes[mes],K$13)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SUMIFS(tblOrdenes[costo_total],tblOrdenes[area],$A16,tblOrdenes[anio],K$12,tblOrdenes[mes],K$13)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L1</t>
        </is>
      </c>
      <c r="B28" s="10">
        <f>SUMIFS(tblOrdenes[costo_total],tblOrdenes[linea],$A28,tblOrdenes[anio],B$26,tblOrdenes[mes],B$27)</f>
        <v/>
      </c>
      <c r="C28" s="10">
        <f>SUMIFS(tblOrdenes[costo_total],tblOrdenes[linea],$A28,tblOrdenes[anio],C$26,tblOrdenes[mes],C$27)</f>
        <v/>
      </c>
      <c r="D28" s="10">
        <f>SUMIFS(tblOrdenes[costo_total],tblOrdenes[linea],$A28,tblOrdenes[anio],D$26,tblOrdenes[mes],D$27)</f>
        <v/>
      </c>
      <c r="E28" s="10">
        <f>SUMIFS(tblOrdenes[costo_total],tblOrdenes[linea],$A28,tblOrdenes[anio],E$26,tblOrdenes[mes],E$27)</f>
        <v/>
      </c>
      <c r="F28" s="10">
        <f>SUMIFS(tblOrdenes[costo_total],tblOrdenes[linea],$A28,tblOrdenes[anio],F$26,tblOrdenes[mes],F$27)</f>
        <v/>
      </c>
      <c r="G28" s="10">
        <f>SUMIFS(tblOrdenes[costo_total],tblOrdenes[linea],$A28,tblOrdenes[anio],G$26,tblOrdenes[mes],G$27)</f>
        <v/>
      </c>
      <c r="H28" s="10">
        <f>SUMIFS(tblOrdenes[costo_total],tblOrdenes[linea],$A28,tblOrdenes[anio],H$26,tblOrdenes[mes],H$27)</f>
        <v/>
      </c>
      <c r="I28" s="10">
        <f>SUMIFS(tblOrdenes[costo_total],tblOrdenes[linea],$A28,tblOrdenes[anio],I$26,tblOrdenes[mes],I$27)</f>
        <v/>
      </c>
      <c r="J28" s="10">
        <f>SUMIFS(tblOrdenes[costo_total],tblOrdenes[linea],$A28,tblOrdenes[anio],J$26,tblOrdenes[mes],J$27)</f>
        <v/>
      </c>
      <c r="K28" s="10">
        <f>SUMIFS(tblOrdenes[costo_total],tblOrdenes[linea],$A28,tblOrdenes[anio],K$26,tblOrdenes[mes],K$27)</f>
        <v/>
      </c>
      <c r="L28" s="10">
        <f>SUM(B28:K28)</f>
        <v/>
      </c>
    </row>
    <row r="29">
      <c r="A29" s="3" t="inlineStr">
        <is>
          <t>L2</t>
        </is>
      </c>
      <c r="B29" s="10">
        <f>SUMIFS(tblOrdenes[costo_total],tblOrdenes[linea],$A29,tblOrdenes[anio],B$26,tblOrdenes[mes],B$27)</f>
        <v/>
      </c>
      <c r="C29" s="10">
        <f>SUMIFS(tblOrdenes[costo_total],tblOrdenes[linea],$A29,tblOrdenes[anio],C$26,tblOrdenes[mes],C$27)</f>
        <v/>
      </c>
      <c r="D29" s="10">
        <f>SUMIFS(tblOrdenes[costo_total],tblOrdenes[linea],$A29,tblOrdenes[anio],D$26,tblOrdenes[mes],D$27)</f>
        <v/>
      </c>
      <c r="E29" s="10">
        <f>SUMIFS(tblOrdenes[costo_total],tblOrdenes[linea],$A29,tblOrdenes[anio],E$26,tblOrdenes[mes],E$27)</f>
        <v/>
      </c>
      <c r="F29" s="10">
        <f>SUMIFS(tblOrdenes[costo_total],tblOrdenes[linea],$A29,tblOrdenes[anio],F$26,tblOrdenes[mes],F$27)</f>
        <v/>
      </c>
      <c r="G29" s="10">
        <f>SUMIFS(tblOrdenes[costo_total],tblOrdenes[linea],$A29,tblOrdenes[anio],G$26,tblOrdenes[mes],G$27)</f>
        <v/>
      </c>
      <c r="H29" s="10">
        <f>SUMIFS(tblOrdenes[costo_total],tblOrdenes[linea],$A29,tblOrdenes[anio],H$26,tblOrdenes[mes],H$27)</f>
        <v/>
      </c>
      <c r="I29" s="10">
        <f>SUMIFS(tblOrdenes[costo_total],tblOrdenes[linea],$A29,tblOrdenes[anio],I$26,tblOrdenes[mes],I$27)</f>
        <v/>
      </c>
      <c r="J29" s="10">
        <f>SUMIFS(tblOrdenes[costo_total],tblOrdenes[linea],$A29,tblOrdenes[anio],J$26,tblOrdenes[mes],J$27)</f>
        <v/>
      </c>
      <c r="K29" s="10">
        <f>SUMIFS(tblOrdenes[costo_total],tblOrdenes[linea],$A29,tblOrdenes[anio],K$26,tblOrdenes[mes],K$27)</f>
        <v/>
      </c>
      <c r="L29" s="10">
        <f>SUM(B29:K29)</f>
        <v/>
      </c>
    </row>
    <row r="30">
      <c r="A30" s="3" t="inlineStr">
        <is>
          <t>L3</t>
        </is>
      </c>
      <c r="B30" s="10">
        <f>SUMIFS(tblOrdenes[costo_total],tblOrdenes[linea],$A30,tblOrdenes[anio],B$26,tblOrdenes[mes],B$27)</f>
        <v/>
      </c>
      <c r="C30" s="10">
        <f>SUMIFS(tblOrdenes[costo_total],tblOrdenes[linea],$A30,tblOrdenes[anio],C$26,tblOrdenes[mes],C$27)</f>
        <v/>
      </c>
      <c r="D30" s="10">
        <f>SUMIFS(tblOrdenes[costo_total],tblOrdenes[linea],$A30,tblOrdenes[anio],D$26,tblOrdenes[mes],D$27)</f>
        <v/>
      </c>
      <c r="E30" s="10">
        <f>SUMIFS(tblOrdenes[costo_total],tblOrdenes[linea],$A30,tblOrdenes[anio],E$26,tblOrdenes[mes],E$27)</f>
        <v/>
      </c>
      <c r="F30" s="10">
        <f>SUMIFS(tblOrdenes[costo_total],tblOrdenes[linea],$A30,tblOrdenes[anio],F$26,tblOrdenes[mes],F$27)</f>
        <v/>
      </c>
      <c r="G30" s="10">
        <f>SUMIFS(tblOrdenes[costo_total],tblOrdenes[linea],$A30,tblOrdenes[anio],G$26,tblOrdenes[mes],G$27)</f>
        <v/>
      </c>
      <c r="H30" s="10">
        <f>SUMIFS(tblOrdenes[costo_total],tblOrdenes[linea],$A30,tblOrdenes[anio],H$26,tblOrdenes[mes],H$27)</f>
        <v/>
      </c>
      <c r="I30" s="10">
        <f>SUMIFS(tblOrdenes[costo_total],tblOrdenes[linea],$A30,tblOrdenes[anio],I$26,tblOrdenes[mes],I$27)</f>
        <v/>
      </c>
      <c r="J30" s="10">
        <f>SUMIFS(tblOrdenes[costo_total],tblOrdenes[linea],$A30,tblOrdenes[anio],J$26,tblOrdenes[mes],J$27)</f>
        <v/>
      </c>
      <c r="K30" s="10">
        <f>SUMIFS(tblOrdenes[costo_total],tblOrdenes[linea],$A30,tblOrdenes[anio],K$26,tblOrdenes[mes],K$27)</f>
        <v/>
      </c>
      <c r="L30" s="10">
        <f>SUM(B30:K30)</f>
        <v/>
      </c>
    </row>
    <row r="31">
      <c r="A31" s="3" t="inlineStr">
        <is>
          <t>L4</t>
        </is>
      </c>
      <c r="B31" s="10">
        <f>SUMIFS(tblOrdenes[costo_total],tblOrdenes[linea],$A31,tblOrdenes[anio],B$26,tblOrdenes[mes],B$27)</f>
        <v/>
      </c>
      <c r="C31" s="10">
        <f>SUMIFS(tblOrdenes[costo_total],tblOrdenes[linea],$A31,tblOrdenes[anio],C$26,tblOrdenes[mes],C$27)</f>
        <v/>
      </c>
      <c r="D31" s="10">
        <f>SUMIFS(tblOrdenes[costo_total],tblOrdenes[linea],$A31,tblOrdenes[anio],D$26,tblOrdenes[mes],D$27)</f>
        <v/>
      </c>
      <c r="E31" s="10">
        <f>SUMIFS(tblOrdenes[costo_total],tblOrdenes[linea],$A31,tblOrdenes[anio],E$26,tblOrdenes[mes],E$27)</f>
        <v/>
      </c>
      <c r="F31" s="10">
        <f>SUMIFS(tblOrdenes[costo_total],tblOrdenes[linea],$A31,tblOrdenes[anio],F$26,tblOrdenes[mes],F$27)</f>
        <v/>
      </c>
      <c r="G31" s="10">
        <f>SUMIFS(tblOrdenes[costo_total],tblOrdenes[linea],$A31,tblOrdenes[anio],G$26,tblOrdenes[mes],G$27)</f>
        <v/>
      </c>
      <c r="H31" s="10">
        <f>SUMIFS(tblOrdenes[costo_total],tblOrdenes[linea],$A31,tblOrdenes[anio],H$26,tblOrdenes[mes],H$27)</f>
        <v/>
      </c>
      <c r="I31" s="10">
        <f>SUMIFS(tblOrdenes[costo_total],tblOrdenes[linea],$A31,tblOrdenes[anio],I$26,tblOrdenes[mes],I$27)</f>
        <v/>
      </c>
      <c r="J31" s="10">
        <f>SUMIFS(tblOrdenes[costo_total],tblOrdenes[linea],$A31,tblOrdenes[anio],J$26,tblOrdenes[mes],J$27)</f>
        <v/>
      </c>
      <c r="K31" s="10">
        <f>SUMIFS(tblOrdenes[costo_total],tblOrdenes[linea],$A31,tblOrdenes[anio],K$26,tblOrdenes[mes],K$27)</f>
        <v/>
      </c>
      <c r="L31" s="10">
        <f>SUM(B31:K31)</f>
        <v/>
      </c>
    </row>
    <row r="32">
      <c r="A32" s="3" t="inlineStr">
        <is>
          <t>SG</t>
        </is>
      </c>
      <c r="B32" s="10">
        <f>SUMIFS(tblOrdenes[costo_total],tblOrdenes[linea],$A32,tblOrdenes[anio],B$26,tblOrdenes[mes],B$27)</f>
        <v/>
      </c>
      <c r="C32" s="10">
        <f>SUMIFS(tblOrdenes[costo_total],tblOrdenes[linea],$A32,tblOrdenes[anio],C$26,tblOrdenes[mes],C$27)</f>
        <v/>
      </c>
      <c r="D32" s="10">
        <f>SUMIFS(tblOrdenes[costo_total],tblOrdenes[linea],$A32,tblOrdenes[anio],D$26,tblOrdenes[mes],D$27)</f>
        <v/>
      </c>
      <c r="E32" s="10">
        <f>SUMIFS(tblOrdenes[costo_total],tblOrdenes[linea],$A32,tblOrdenes[anio],E$26,tblOrdenes[mes],E$27)</f>
        <v/>
      </c>
      <c r="F32" s="10">
        <f>SUMIFS(tblOrdenes[costo_total],tblOrdenes[linea],$A32,tblOrdenes[anio],F$26,tblOrdenes[mes],F$27)</f>
        <v/>
      </c>
      <c r="G32" s="10">
        <f>SUMIFS(tblOrdenes[costo_total],tblOrdenes[linea],$A32,tblOrdenes[anio],G$26,tblOrdenes[mes],G$27)</f>
        <v/>
      </c>
      <c r="H32" s="10">
        <f>SUMIFS(tblOrdenes[costo_total],tblOrdenes[linea],$A32,tblOrdenes[anio],H$26,tblOrdenes[mes],H$27)</f>
        <v/>
      </c>
      <c r="I32" s="10">
        <f>SUMIFS(tblOrdenes[costo_total],tblOrdenes[linea],$A32,tblOrdenes[anio],I$26,tblOrdenes[mes],I$27)</f>
        <v/>
      </c>
      <c r="J32" s="10">
        <f>SUMIFS(tblOrdenes[costo_total],tblOrdenes[linea],$A32,tblOrdenes[anio],J$26,tblOrdenes[mes],J$27)</f>
        <v/>
      </c>
      <c r="K32" s="10">
        <f>SUMIFS(tblOrdenes[costo_total],tblOrdenes[linea],$A32,tblOrdenes[anio],K$26,tblOrdenes[mes],K$27)</f>
        <v/>
      </c>
      <c r="L32" s="10">
        <f>SUM(B32:K32)</f>
        <v/>
      </c>
    </row>
    <row r="33">
      <c r="A33" s="3" t="inlineStr">
        <is>
          <t>TC</t>
        </is>
      </c>
      <c r="B33" s="10">
        <f>SUMIFS(tblOrdenes[costo_total],tblOrdenes[linea],$A33,tblOrdenes[anio],B$26,tblOrdenes[mes],B$27)</f>
        <v/>
      </c>
      <c r="C33" s="10">
        <f>SUMIFS(tblOrdenes[costo_total],tblOrdenes[linea],$A33,tblOrdenes[anio],C$26,tblOrdenes[mes],C$27)</f>
        <v/>
      </c>
      <c r="D33" s="10">
        <f>SUMIFS(tblOrdenes[costo_total],tblOrdenes[linea],$A33,tblOrdenes[anio],D$26,tblOrdenes[mes],D$27)</f>
        <v/>
      </c>
      <c r="E33" s="10">
        <f>SUMIFS(tblOrdenes[costo_total],tblOrdenes[linea],$A33,tblOrdenes[anio],E$26,tblOrdenes[mes],E$27)</f>
        <v/>
      </c>
      <c r="F33" s="10">
        <f>SUMIFS(tblOrdenes[costo_total],tblOrdenes[linea],$A33,tblOrdenes[anio],F$26,tblOrdenes[mes],F$27)</f>
        <v/>
      </c>
      <c r="G33" s="10">
        <f>SUMIFS(tblOrdenes[costo_total],tblOrdenes[linea],$A33,tblOrdenes[anio],G$26,tblOrdenes[mes],G$27)</f>
        <v/>
      </c>
      <c r="H33" s="10">
        <f>SUMIFS(tblOrdenes[costo_total],tblOrdenes[linea],$A33,tblOrdenes[anio],H$26,tblOrdenes[mes],H$27)</f>
        <v/>
      </c>
      <c r="I33" s="10">
        <f>SUMIFS(tblOrdenes[costo_total],tblOrdenes[linea],$A33,tblOrdenes[anio],I$26,tblOrdenes[mes],I$27)</f>
        <v/>
      </c>
      <c r="J33" s="10">
        <f>SUMIFS(tblOrdenes[costo_total],tblOrdenes[linea],$A33,tblOrdenes[anio],J$26,tblOrdenes[mes],J$27)</f>
        <v/>
      </c>
      <c r="K33" s="10">
        <f>SUMIFS(tblOrdenes[costo_total],tblOrdenes[linea],$A33,tblOrdenes[anio],K$26,tblOrdenes[mes],K$27)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SUMIFS(tblOrdenes[costo_total],tblOrdenes[equipo],$A5,tblOrdenes[anio],K$3,tblOrdenes[mes],K$4)</f>
        <v/>
      </c>
      <c r="L5" s="10">
        <f>SUM(B5:K5)</f>
        <v/>
      </c>
    </row>
    <row r="6">
      <c r="A6" s="3" t="inlineStr">
        <is>
          <t>EQ-103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SUMIFS(tblOrdenes[costo_total],tblOrdenes[equipo],$A6,tblOrdenes[anio],K$3,tblOrdenes[mes],K$4)</f>
        <v/>
      </c>
      <c r="L6" s="10">
        <f>SUM(B6:K6)</f>
        <v/>
      </c>
    </row>
    <row r="7">
      <c r="A7" s="3" t="inlineStr">
        <is>
          <t>EQ-101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SUMIFS(tblOrdenes[costo_total],tblOrdenes[equipo],$A7,tblOrdenes[anio],K$3,tblOrdenes[mes],K$4)</f>
        <v/>
      </c>
      <c r="L7" s="10">
        <f>SUM(B7:K7)</f>
        <v/>
      </c>
    </row>
    <row r="8">
      <c r="A8" s="3" t="inlineStr">
        <is>
          <t>EQ-106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SUMIFS(tblOrdenes[costo_total],tblOrdenes[equipo],$A8,tblOrdenes[anio],K$3,tblOrdenes[mes],K$4)</f>
        <v/>
      </c>
      <c r="L8" s="10">
        <f>SUM(B8:K8)</f>
        <v/>
      </c>
    </row>
    <row r="9">
      <c r="A9" s="3" t="inlineStr">
        <is>
          <t>EQ-108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SUMIFS(tblOrdenes[costo_total],tblOrdenes[equipo],$A9,tblOrdenes[anio],K$3,tblOrdenes[mes],K$4)</f>
        <v/>
      </c>
      <c r="L9" s="10">
        <f>SUM(B9:K9)</f>
        <v/>
      </c>
    </row>
    <row r="10">
      <c r="A10" s="3" t="inlineStr">
        <is>
          <t>EQ-102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SUMIFS(tblOrdenes[costo_total],tblOrdenes[equipo],$A10,tblOrdenes[anio],K$3,tblOrdenes[mes],K$4)</f>
        <v/>
      </c>
      <c r="L10" s="10">
        <f>SUM(B10:K10)</f>
        <v/>
      </c>
    </row>
    <row r="11">
      <c r="A11" s="3" t="inlineStr">
        <is>
          <t>EQ-105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SUMIFS(tblOrdenes[costo_total],tblOrdenes[equipo],$A11,tblOrdenes[anio],K$3,tblOrdenes[mes],K$4)</f>
        <v/>
      </c>
      <c r="L11" s="10">
        <f>SUM(B11:K11)</f>
        <v/>
      </c>
    </row>
    <row r="12">
      <c r="A12" s="3" t="inlineStr">
        <is>
          <t>EQ-104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SUMIFS(tblOrdenes[costo_total],tblOrdenes[equipo],$A12,tblOrdenes[anio],K$3,tblOrdenes[mes],K$4)</f>
        <v/>
      </c>
      <c r="L12" s="10">
        <f>SUM(B12:K12)</f>
        <v/>
      </c>
    </row>
    <row r="13">
      <c r="A13" s="3" t="inlineStr">
        <is>
          <t>EQ-109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SUMIFS(tblOrdenes[costo_total],tblOrdenes[equipo],$A13,tblOrdenes[anio],K$3,tblOrdenes[mes],K$4)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SUMIFS(tblOrdenes[costo_total],tblOrdenes[equipo],$A14,tblOrdenes[anio],K$3,tblOrdenes[mes],K$4)</f>
        <v/>
      </c>
      <c r="L14" s="10">
        <f>SUM(B14:K14)</f>
        <v/>
      </c>
    </row>
    <row r="15">
      <c r="A15" s="3" t="inlineStr">
        <is>
          <t>EQ-112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SUMIFS(tblOrdenes[costo_total],tblOrdenes[equipo],$A15,tblOrdenes[anio],K$3,tblOrdenes[mes],K$4)</f>
        <v/>
      </c>
      <c r="L15" s="10">
        <f>SUM(B15:K15)</f>
        <v/>
      </c>
    </row>
    <row r="16">
      <c r="A16" s="3" t="inlineStr">
        <is>
          <t>EQ-111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SUMIFS(tblOrdenes[costo_total],tblOrdenes[equipo],$A16,tblOrdenes[anio],K$3,tblOrdenes[mes],K$4)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8">
      <c r="A18" s="2" t="inlineStr">
        <is>
          <t>La validación no bloquea: todo se importa y aquí se reporta (REGLA-10).</t>
        </is>
      </c>
    </row>
  </sheetData>
  <conditionalFormatting sqref="B4:B16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/>
  </sheetPr>
  <dimension ref="A1:K1207"/>
  <sheetViews>
    <sheetView workbookViewId="0">
      <selection activeCell="A1" sqref="A1"/>
    </sheetView>
  </sheetViews>
  <sheetFormatPr baseColWidth="8" defaultRowHeight="15"/>
  <cols>
    <col width="60" customWidth="1" min="11" max="11"/>
  </cols>
  <sheetData>
    <row r="1">
      <c r="A1" s="1" t="inlineStr">
        <is>
          <t>EXPORTAR — texto del plan listo para copiar en un correo (sin macros)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</row>
    <row r="5">
      <c r="A5" s="4" t="inlineStr">
        <is>
          <t>texto (seleccione la celda A6, copie y pegue):</t>
        </is>
      </c>
    </row>
    <row r="6">
      <c r="A6" s="21">
        <f>"PLAN "&amp;$B$3&amp;" | turno: "&amp;$D$3&amp;" | coordinador: "&amp;$F$3&amp;CHAR(10)&amp;_xlfn.TEXTJOIN(CHAR(10),TRUE,$K$8:$K$1207)</f>
        <v/>
      </c>
    </row>
    <row r="7">
      <c r="K7" s="2" t="inlineStr">
        <is>
          <t>columna auxiliar del armado del texto — no editar</t>
        </is>
      </c>
    </row>
    <row r="8">
      <c r="K8" s="3">
        <f>IF(AND(IF($B$3="(todos)",TRUE,'ORDENES'!$O4=$B$3),IF($D$3="(todos)",TRUE,'ORDENES'!$AC4=$D$3),IF($F$3="(todos)",TRUE,'ORDENES'!$V4=$F$3),'ORDENES'!$AA4=TRUE),'ORDENES'!$AN4&amp;" | "&amp;'ORDENES'!$R4&amp;" | "&amp;IF('ORDENES'!$AB4="","(sin técnico)",'ORDENES'!$AB4)&amp;" | "&amp;'ORDENES'!$D4&amp;" ("&amp;'ORDENES'!$M4&amp;" h)","")</f>
        <v/>
      </c>
    </row>
    <row r="9">
      <c r="K9" s="3">
        <f>IF(AND(IF($B$3="(todos)",TRUE,'ORDENES'!$O5=$B$3),IF($D$3="(todos)",TRUE,'ORDENES'!$AC5=$D$3),IF($F$3="(todos)",TRUE,'ORDENES'!$V5=$F$3),'ORDENES'!$AA5=TRUE),'ORDENES'!$AN5&amp;" | "&amp;'ORDENES'!$R5&amp;" | "&amp;IF('ORDENES'!$AB5="","(sin técnico)",'ORDENES'!$AB5)&amp;" | "&amp;'ORDENES'!$D5&amp;" ("&amp;'ORDENES'!$M5&amp;" h)","")</f>
        <v/>
      </c>
    </row>
    <row r="10">
      <c r="K10" s="3">
        <f>IF(AND(IF($B$3="(todos)",TRUE,'ORDENES'!$O6=$B$3),IF($D$3="(todos)",TRUE,'ORDENES'!$AC6=$D$3),IF($F$3="(todos)",TRUE,'ORDENES'!$V6=$F$3),'ORDENES'!$AA6=TRUE),'ORDENES'!$AN6&amp;" | "&amp;'ORDENES'!$R6&amp;" | "&amp;IF('ORDENES'!$AB6="","(sin técnico)",'ORDENES'!$AB6)&amp;" | "&amp;'ORDENES'!$D6&amp;" ("&amp;'ORDENES'!$M6&amp;" h)","")</f>
        <v/>
      </c>
    </row>
    <row r="11">
      <c r="K11" s="3">
        <f>IF(AND(IF($B$3="(todos)",TRUE,'ORDENES'!$O7=$B$3),IF($D$3="(todos)",TRUE,'ORDENES'!$AC7=$D$3),IF($F$3="(todos)",TRUE,'ORDENES'!$V7=$F$3),'ORDENES'!$AA7=TRUE),'ORDENES'!$AN7&amp;" | "&amp;'ORDENES'!$R7&amp;" | "&amp;IF('ORDENES'!$AB7="","(sin técnico)",'ORDENES'!$AB7)&amp;" | "&amp;'ORDENES'!$D7&amp;" ("&amp;'ORDENES'!$M7&amp;" h)","")</f>
        <v/>
      </c>
    </row>
    <row r="12">
      <c r="K12" s="3">
        <f>IF(AND(IF($B$3="(todos)",TRUE,'ORDENES'!$O8=$B$3),IF($D$3="(todos)",TRUE,'ORDENES'!$AC8=$D$3),IF($F$3="(todos)",TRUE,'ORDENES'!$V8=$F$3),'ORDENES'!$AA8=TRUE),'ORDENES'!$AN8&amp;" | "&amp;'ORDENES'!$R8&amp;" | "&amp;IF('ORDENES'!$AB8="","(sin técnico)",'ORDENES'!$AB8)&amp;" | "&amp;'ORDENES'!$D8&amp;" ("&amp;'ORDENES'!$M8&amp;" h)","")</f>
        <v/>
      </c>
    </row>
    <row r="13">
      <c r="K13" s="3">
        <f>IF(AND(IF($B$3="(todos)",TRUE,'ORDENES'!$O9=$B$3),IF($D$3="(todos)",TRUE,'ORDENES'!$AC9=$D$3),IF($F$3="(todos)",TRUE,'ORDENES'!$V9=$F$3),'ORDENES'!$AA9=TRUE),'ORDENES'!$AN9&amp;" | "&amp;'ORDENES'!$R9&amp;" | "&amp;IF('ORDENES'!$AB9="","(sin técnico)",'ORDENES'!$AB9)&amp;" | "&amp;'ORDENES'!$D9&amp;" ("&amp;'ORDENES'!$M9&amp;" h)","")</f>
        <v/>
      </c>
    </row>
    <row r="14">
      <c r="K14" s="3">
        <f>IF(AND(IF($B$3="(todos)",TRUE,'ORDENES'!$O10=$B$3),IF($D$3="(todos)",TRUE,'ORDENES'!$AC10=$D$3),IF($F$3="(todos)",TRUE,'ORDENES'!$V10=$F$3),'ORDENES'!$AA10=TRUE),'ORDENES'!$AN10&amp;" | "&amp;'ORDENES'!$R10&amp;" | "&amp;IF('ORDENES'!$AB10="","(sin técnico)",'ORDENES'!$AB10)&amp;" | "&amp;'ORDENES'!$D10&amp;" ("&amp;'ORDENES'!$M10&amp;" h)","")</f>
        <v/>
      </c>
    </row>
    <row r="15">
      <c r="K15" s="3">
        <f>IF(AND(IF($B$3="(todos)",TRUE,'ORDENES'!$O11=$B$3),IF($D$3="(todos)",TRUE,'ORDENES'!$AC11=$D$3),IF($F$3="(todos)",TRUE,'ORDENES'!$V11=$F$3),'ORDENES'!$AA11=TRUE),'ORDENES'!$AN11&amp;" | "&amp;'ORDENES'!$R11&amp;" | "&amp;IF('ORDENES'!$AB11="","(sin técnico)",'ORDENES'!$AB11)&amp;" | "&amp;'ORDENES'!$D11&amp;" ("&amp;'ORDENES'!$M11&amp;" h)","")</f>
        <v/>
      </c>
    </row>
    <row r="16">
      <c r="K16" s="3">
        <f>IF(AND(IF($B$3="(todos)",TRUE,'ORDENES'!$O12=$B$3),IF($D$3="(todos)",TRUE,'ORDENES'!$AC12=$D$3),IF($F$3="(todos)",TRUE,'ORDENES'!$V12=$F$3),'ORDENES'!$AA12=TRUE),'ORDENES'!$AN12&amp;" | "&amp;'ORDENES'!$R12&amp;" | "&amp;IF('ORDENES'!$AB12="","(sin técnico)",'ORDENES'!$AB12)&amp;" | "&amp;'ORDENES'!$D12&amp;" ("&amp;'ORDENES'!$M12&amp;" h)","")</f>
        <v/>
      </c>
    </row>
    <row r="17">
      <c r="K17" s="3">
        <f>IF(AND(IF($B$3="(todos)",TRUE,'ORDENES'!$O13=$B$3),IF($D$3="(todos)",TRUE,'ORDENES'!$AC13=$D$3),IF($F$3="(todos)",TRUE,'ORDENES'!$V13=$F$3),'ORDENES'!$AA13=TRUE),'ORDENES'!$AN13&amp;" | "&amp;'ORDENES'!$R13&amp;" | "&amp;IF('ORDENES'!$AB13="","(sin técnico)",'ORDENES'!$AB13)&amp;" | "&amp;'ORDENES'!$D13&amp;" ("&amp;'ORDENES'!$M13&amp;" h)","")</f>
        <v/>
      </c>
    </row>
    <row r="18">
      <c r="K18" s="3">
        <f>IF(AND(IF($B$3="(todos)",TRUE,'ORDENES'!$O14=$B$3),IF($D$3="(todos)",TRUE,'ORDENES'!$AC14=$D$3),IF($F$3="(todos)",TRUE,'ORDENES'!$V14=$F$3),'ORDENES'!$AA14=TRUE),'ORDENES'!$AN14&amp;" | "&amp;'ORDENES'!$R14&amp;" | "&amp;IF('ORDENES'!$AB14="","(sin técnico)",'ORDENES'!$AB14)&amp;" | "&amp;'ORDENES'!$D14&amp;" ("&amp;'ORDENES'!$M14&amp;" h)","")</f>
        <v/>
      </c>
    </row>
    <row r="19">
      <c r="K19" s="3">
        <f>IF(AND(IF($B$3="(todos)",TRUE,'ORDENES'!$O15=$B$3),IF($D$3="(todos)",TRUE,'ORDENES'!$AC15=$D$3),IF($F$3="(todos)",TRUE,'ORDENES'!$V15=$F$3),'ORDENES'!$AA15=TRUE),'ORDENES'!$AN15&amp;" | "&amp;'ORDENES'!$R15&amp;" | "&amp;IF('ORDENES'!$AB15="","(sin técnico)",'ORDENES'!$AB15)&amp;" | "&amp;'ORDENES'!$D15&amp;" ("&amp;'ORDENES'!$M15&amp;" h)","")</f>
        <v/>
      </c>
    </row>
    <row r="20">
      <c r="K20" s="3">
        <f>IF(AND(IF($B$3="(todos)",TRUE,'ORDENES'!$O16=$B$3),IF($D$3="(todos)",TRUE,'ORDENES'!$AC16=$D$3),IF($F$3="(todos)",TRUE,'ORDENES'!$V16=$F$3),'ORDENES'!$AA16=TRUE),'ORDENES'!$AN16&amp;" | "&amp;'ORDENES'!$R16&amp;" | "&amp;IF('ORDENES'!$AB16="","(sin técnico)",'ORDENES'!$AB16)&amp;" | "&amp;'ORDENES'!$D16&amp;" ("&amp;'ORDENES'!$M16&amp;" h)","")</f>
        <v/>
      </c>
    </row>
    <row r="21">
      <c r="K21" s="3">
        <f>IF(AND(IF($B$3="(todos)",TRUE,'ORDENES'!$O17=$B$3),IF($D$3="(todos)",TRUE,'ORDENES'!$AC17=$D$3),IF($F$3="(todos)",TRUE,'ORDENES'!$V17=$F$3),'ORDENES'!$AA17=TRUE),'ORDENES'!$AN17&amp;" | "&amp;'ORDENES'!$R17&amp;" | "&amp;IF('ORDENES'!$AB17="","(sin técnico)",'ORDENES'!$AB17)&amp;" | "&amp;'ORDENES'!$D17&amp;" ("&amp;'ORDENES'!$M17&amp;" h)","")</f>
        <v/>
      </c>
    </row>
    <row r="22">
      <c r="K22" s="3">
        <f>IF(AND(IF($B$3="(todos)",TRUE,'ORDENES'!$O18=$B$3),IF($D$3="(todos)",TRUE,'ORDENES'!$AC18=$D$3),IF($F$3="(todos)",TRUE,'ORDENES'!$V18=$F$3),'ORDENES'!$AA18=TRUE),'ORDENES'!$AN18&amp;" | "&amp;'ORDENES'!$R18&amp;" | "&amp;IF('ORDENES'!$AB18="","(sin técnico)",'ORDENES'!$AB18)&amp;" | "&amp;'ORDENES'!$D18&amp;" ("&amp;'ORDENES'!$M18&amp;" h)","")</f>
        <v/>
      </c>
    </row>
    <row r="23">
      <c r="K23" s="3">
        <f>IF(AND(IF($B$3="(todos)",TRUE,'ORDENES'!$O19=$B$3),IF($D$3="(todos)",TRUE,'ORDENES'!$AC19=$D$3),IF($F$3="(todos)",TRUE,'ORDENES'!$V19=$F$3),'ORDENES'!$AA19=TRUE),'ORDENES'!$AN19&amp;" | "&amp;'ORDENES'!$R19&amp;" | "&amp;IF('ORDENES'!$AB19="","(sin técnico)",'ORDENES'!$AB19)&amp;" | "&amp;'ORDENES'!$D19&amp;" ("&amp;'ORDENES'!$M19&amp;" h)","")</f>
        <v/>
      </c>
    </row>
    <row r="24">
      <c r="K24" s="3">
        <f>IF(AND(IF($B$3="(todos)",TRUE,'ORDENES'!$O20=$B$3),IF($D$3="(todos)",TRUE,'ORDENES'!$AC20=$D$3),IF($F$3="(todos)",TRUE,'ORDENES'!$V20=$F$3),'ORDENES'!$AA20=TRUE),'ORDENES'!$AN20&amp;" | "&amp;'ORDENES'!$R20&amp;" | "&amp;IF('ORDENES'!$AB20="","(sin técnico)",'ORDENES'!$AB20)&amp;" | "&amp;'ORDENES'!$D20&amp;" ("&amp;'ORDENES'!$M20&amp;" h)","")</f>
        <v/>
      </c>
    </row>
    <row r="25">
      <c r="K25" s="3">
        <f>IF(AND(IF($B$3="(todos)",TRUE,'ORDENES'!$O21=$B$3),IF($D$3="(todos)",TRUE,'ORDENES'!$AC21=$D$3),IF($F$3="(todos)",TRUE,'ORDENES'!$V21=$F$3),'ORDENES'!$AA21=TRUE),'ORDENES'!$AN21&amp;" | "&amp;'ORDENES'!$R21&amp;" | "&amp;IF('ORDENES'!$AB21="","(sin técnico)",'ORDENES'!$AB21)&amp;" | "&amp;'ORDENES'!$D21&amp;" ("&amp;'ORDENES'!$M21&amp;" h)","")</f>
        <v/>
      </c>
    </row>
    <row r="26">
      <c r="K26" s="3">
        <f>IF(AND(IF($B$3="(todos)",TRUE,'ORDENES'!$O22=$B$3),IF($D$3="(todos)",TRUE,'ORDENES'!$AC22=$D$3),IF($F$3="(todos)",TRUE,'ORDENES'!$V22=$F$3),'ORDENES'!$AA22=TRUE),'ORDENES'!$AN22&amp;" | "&amp;'ORDENES'!$R22&amp;" | "&amp;IF('ORDENES'!$AB22="","(sin técnico)",'ORDENES'!$AB22)&amp;" | "&amp;'ORDENES'!$D22&amp;" ("&amp;'ORDENES'!$M22&amp;" h)","")</f>
        <v/>
      </c>
    </row>
    <row r="27">
      <c r="K27" s="3">
        <f>IF(AND(IF($B$3="(todos)",TRUE,'ORDENES'!$O23=$B$3),IF($D$3="(todos)",TRUE,'ORDENES'!$AC23=$D$3),IF($F$3="(todos)",TRUE,'ORDENES'!$V23=$F$3),'ORDENES'!$AA23=TRUE),'ORDENES'!$AN23&amp;" | "&amp;'ORDENES'!$R23&amp;" | "&amp;IF('ORDENES'!$AB23="","(sin técnico)",'ORDENES'!$AB23)&amp;" | "&amp;'ORDENES'!$D23&amp;" ("&amp;'ORDENES'!$M23&amp;" h)","")</f>
        <v/>
      </c>
    </row>
    <row r="28">
      <c r="K28" s="3">
        <f>IF(AND(IF($B$3="(todos)",TRUE,'ORDENES'!$O24=$B$3),IF($D$3="(todos)",TRUE,'ORDENES'!$AC24=$D$3),IF($F$3="(todos)",TRUE,'ORDENES'!$V24=$F$3),'ORDENES'!$AA24=TRUE),'ORDENES'!$AN24&amp;" | "&amp;'ORDENES'!$R24&amp;" | "&amp;IF('ORDENES'!$AB24="","(sin técnico)",'ORDENES'!$AB24)&amp;" | "&amp;'ORDENES'!$D24&amp;" ("&amp;'ORDENES'!$M24&amp;" h)","")</f>
        <v/>
      </c>
    </row>
    <row r="29">
      <c r="K29" s="3">
        <f>IF(AND(IF($B$3="(todos)",TRUE,'ORDENES'!$O25=$B$3),IF($D$3="(todos)",TRUE,'ORDENES'!$AC25=$D$3),IF($F$3="(todos)",TRUE,'ORDENES'!$V25=$F$3),'ORDENES'!$AA25=TRUE),'ORDENES'!$AN25&amp;" | "&amp;'ORDENES'!$R25&amp;" | "&amp;IF('ORDENES'!$AB25="","(sin técnico)",'ORDENES'!$AB25)&amp;" | "&amp;'ORDENES'!$D25&amp;" ("&amp;'ORDENES'!$M25&amp;" h)","")</f>
        <v/>
      </c>
    </row>
    <row r="30">
      <c r="K30" s="3">
        <f>IF(AND(IF($B$3="(todos)",TRUE,'ORDENES'!$O26=$B$3),IF($D$3="(todos)",TRUE,'ORDENES'!$AC26=$D$3),IF($F$3="(todos)",TRUE,'ORDENES'!$V26=$F$3),'ORDENES'!$AA26=TRUE),'ORDENES'!$AN26&amp;" | "&amp;'ORDENES'!$R26&amp;" | "&amp;IF('ORDENES'!$AB26="","(sin técnico)",'ORDENES'!$AB26)&amp;" | "&amp;'ORDENES'!$D26&amp;" ("&amp;'ORDENES'!$M26&amp;" h)","")</f>
        <v/>
      </c>
    </row>
    <row r="31">
      <c r="K31" s="3">
        <f>IF(AND(IF($B$3="(todos)",TRUE,'ORDENES'!$O27=$B$3),IF($D$3="(todos)",TRUE,'ORDENES'!$AC27=$D$3),IF($F$3="(todos)",TRUE,'ORDENES'!$V27=$F$3),'ORDENES'!$AA27=TRUE),'ORDENES'!$AN27&amp;" | "&amp;'ORDENES'!$R27&amp;" | "&amp;IF('ORDENES'!$AB27="","(sin técnico)",'ORDENES'!$AB27)&amp;" | "&amp;'ORDENES'!$D27&amp;" ("&amp;'ORDENES'!$M27&amp;" h)","")</f>
        <v/>
      </c>
    </row>
    <row r="32">
      <c r="K32" s="3">
        <f>IF(AND(IF($B$3="(todos)",TRUE,'ORDENES'!$O28=$B$3),IF($D$3="(todos)",TRUE,'ORDENES'!$AC28=$D$3),IF($F$3="(todos)",TRUE,'ORDENES'!$V28=$F$3),'ORDENES'!$AA28=TRUE),'ORDENES'!$AN28&amp;" | "&amp;'ORDENES'!$R28&amp;" | "&amp;IF('ORDENES'!$AB28="","(sin técnico)",'ORDENES'!$AB28)&amp;" | "&amp;'ORDENES'!$D28&amp;" ("&amp;'ORDENES'!$M28&amp;" h)","")</f>
        <v/>
      </c>
    </row>
    <row r="33">
      <c r="K33" s="3">
        <f>IF(AND(IF($B$3="(todos)",TRUE,'ORDENES'!$O29=$B$3),IF($D$3="(todos)",TRUE,'ORDENES'!$AC29=$D$3),IF($F$3="(todos)",TRUE,'ORDENES'!$V29=$F$3),'ORDENES'!$AA29=TRUE),'ORDENES'!$AN29&amp;" | "&amp;'ORDENES'!$R29&amp;" | "&amp;IF('ORDENES'!$AB29="","(sin técnico)",'ORDENES'!$AB29)&amp;" | "&amp;'ORDENES'!$D29&amp;" ("&amp;'ORDENES'!$M29&amp;" h)","")</f>
        <v/>
      </c>
    </row>
    <row r="34">
      <c r="K34" s="3">
        <f>IF(AND(IF($B$3="(todos)",TRUE,'ORDENES'!$O30=$B$3),IF($D$3="(todos)",TRUE,'ORDENES'!$AC30=$D$3),IF($F$3="(todos)",TRUE,'ORDENES'!$V30=$F$3),'ORDENES'!$AA30=TRUE),'ORDENES'!$AN30&amp;" | "&amp;'ORDENES'!$R30&amp;" | "&amp;IF('ORDENES'!$AB30="","(sin técnico)",'ORDENES'!$AB30)&amp;" | "&amp;'ORDENES'!$D30&amp;" ("&amp;'ORDENES'!$M30&amp;" h)","")</f>
        <v/>
      </c>
    </row>
    <row r="35">
      <c r="K35" s="3">
        <f>IF(AND(IF($B$3="(todos)",TRUE,'ORDENES'!$O31=$B$3),IF($D$3="(todos)",TRUE,'ORDENES'!$AC31=$D$3),IF($F$3="(todos)",TRUE,'ORDENES'!$V31=$F$3),'ORDENES'!$AA31=TRUE),'ORDENES'!$AN31&amp;" | "&amp;'ORDENES'!$R31&amp;" | "&amp;IF('ORDENES'!$AB31="","(sin técnico)",'ORDENES'!$AB31)&amp;" | "&amp;'ORDENES'!$D31&amp;" ("&amp;'ORDENES'!$M31&amp;" h)","")</f>
        <v/>
      </c>
    </row>
    <row r="36">
      <c r="K36" s="3">
        <f>IF(AND(IF($B$3="(todos)",TRUE,'ORDENES'!$O32=$B$3),IF($D$3="(todos)",TRUE,'ORDENES'!$AC32=$D$3),IF($F$3="(todos)",TRUE,'ORDENES'!$V32=$F$3),'ORDENES'!$AA32=TRUE),'ORDENES'!$AN32&amp;" | "&amp;'ORDENES'!$R32&amp;" | "&amp;IF('ORDENES'!$AB32="","(sin técnico)",'ORDENES'!$AB32)&amp;" | "&amp;'ORDENES'!$D32&amp;" ("&amp;'ORDENES'!$M32&amp;" h)","")</f>
        <v/>
      </c>
    </row>
    <row r="37">
      <c r="K37" s="3">
        <f>IF(AND(IF($B$3="(todos)",TRUE,'ORDENES'!$O33=$B$3),IF($D$3="(todos)",TRUE,'ORDENES'!$AC33=$D$3),IF($F$3="(todos)",TRUE,'ORDENES'!$V33=$F$3),'ORDENES'!$AA33=TRUE),'ORDENES'!$AN33&amp;" | "&amp;'ORDENES'!$R33&amp;" | "&amp;IF('ORDENES'!$AB33="","(sin técnico)",'ORDENES'!$AB33)&amp;" | "&amp;'ORDENES'!$D33&amp;" ("&amp;'ORDENES'!$M33&amp;" h)","")</f>
        <v/>
      </c>
    </row>
    <row r="38">
      <c r="K38" s="3">
        <f>IF(AND(IF($B$3="(todos)",TRUE,'ORDENES'!$O34=$B$3),IF($D$3="(todos)",TRUE,'ORDENES'!$AC34=$D$3),IF($F$3="(todos)",TRUE,'ORDENES'!$V34=$F$3),'ORDENES'!$AA34=TRUE),'ORDENES'!$AN34&amp;" | "&amp;'ORDENES'!$R34&amp;" | "&amp;IF('ORDENES'!$AB34="","(sin técnico)",'ORDENES'!$AB34)&amp;" | "&amp;'ORDENES'!$D34&amp;" ("&amp;'ORDENES'!$M34&amp;" h)","")</f>
        <v/>
      </c>
    </row>
    <row r="39">
      <c r="K39" s="3">
        <f>IF(AND(IF($B$3="(todos)",TRUE,'ORDENES'!$O35=$B$3),IF($D$3="(todos)",TRUE,'ORDENES'!$AC35=$D$3),IF($F$3="(todos)",TRUE,'ORDENES'!$V35=$F$3),'ORDENES'!$AA35=TRUE),'ORDENES'!$AN35&amp;" | "&amp;'ORDENES'!$R35&amp;" | "&amp;IF('ORDENES'!$AB35="","(sin técnico)",'ORDENES'!$AB35)&amp;" | "&amp;'ORDENES'!$D35&amp;" ("&amp;'ORDENES'!$M35&amp;" h)","")</f>
        <v/>
      </c>
    </row>
    <row r="40">
      <c r="K40" s="3">
        <f>IF(AND(IF($B$3="(todos)",TRUE,'ORDENES'!$O36=$B$3),IF($D$3="(todos)",TRUE,'ORDENES'!$AC36=$D$3),IF($F$3="(todos)",TRUE,'ORDENES'!$V36=$F$3),'ORDENES'!$AA36=TRUE),'ORDENES'!$AN36&amp;" | "&amp;'ORDENES'!$R36&amp;" | "&amp;IF('ORDENES'!$AB36="","(sin técnico)",'ORDENES'!$AB36)&amp;" | "&amp;'ORDENES'!$D36&amp;" ("&amp;'ORDENES'!$M36&amp;" h)","")</f>
        <v/>
      </c>
    </row>
    <row r="41">
      <c r="K41" s="3">
        <f>IF(AND(IF($B$3="(todos)",TRUE,'ORDENES'!$O37=$B$3),IF($D$3="(todos)",TRUE,'ORDENES'!$AC37=$D$3),IF($F$3="(todos)",TRUE,'ORDENES'!$V37=$F$3),'ORDENES'!$AA37=TRUE),'ORDENES'!$AN37&amp;" | "&amp;'ORDENES'!$R37&amp;" | "&amp;IF('ORDENES'!$AB37="","(sin técnico)",'ORDENES'!$AB37)&amp;" | "&amp;'ORDENES'!$D37&amp;" ("&amp;'ORDENES'!$M37&amp;" h)","")</f>
        <v/>
      </c>
    </row>
    <row r="42">
      <c r="K42" s="3">
        <f>IF(AND(IF($B$3="(todos)",TRUE,'ORDENES'!$O38=$B$3),IF($D$3="(todos)",TRUE,'ORDENES'!$AC38=$D$3),IF($F$3="(todos)",TRUE,'ORDENES'!$V38=$F$3),'ORDENES'!$AA38=TRUE),'ORDENES'!$AN38&amp;" | "&amp;'ORDENES'!$R38&amp;" | "&amp;IF('ORDENES'!$AB38="","(sin técnico)",'ORDENES'!$AB38)&amp;" | "&amp;'ORDENES'!$D38&amp;" ("&amp;'ORDENES'!$M38&amp;" h)","")</f>
        <v/>
      </c>
    </row>
    <row r="43">
      <c r="K43" s="3">
        <f>IF(AND(IF($B$3="(todos)",TRUE,'ORDENES'!$O39=$B$3),IF($D$3="(todos)",TRUE,'ORDENES'!$AC39=$D$3),IF($F$3="(todos)",TRUE,'ORDENES'!$V39=$F$3),'ORDENES'!$AA39=TRUE),'ORDENES'!$AN39&amp;" | "&amp;'ORDENES'!$R39&amp;" | "&amp;IF('ORDENES'!$AB39="","(sin técnico)",'ORDENES'!$AB39)&amp;" | "&amp;'ORDENES'!$D39&amp;" ("&amp;'ORDENES'!$M39&amp;" h)","")</f>
        <v/>
      </c>
    </row>
    <row r="44">
      <c r="K44" s="3">
        <f>IF(AND(IF($B$3="(todos)",TRUE,'ORDENES'!$O40=$B$3),IF($D$3="(todos)",TRUE,'ORDENES'!$AC40=$D$3),IF($F$3="(todos)",TRUE,'ORDENES'!$V40=$F$3),'ORDENES'!$AA40=TRUE),'ORDENES'!$AN40&amp;" | "&amp;'ORDENES'!$R40&amp;" | "&amp;IF('ORDENES'!$AB40="","(sin técnico)",'ORDENES'!$AB40)&amp;" | "&amp;'ORDENES'!$D40&amp;" ("&amp;'ORDENES'!$M40&amp;" h)","")</f>
        <v/>
      </c>
    </row>
    <row r="45">
      <c r="K45" s="3">
        <f>IF(AND(IF($B$3="(todos)",TRUE,'ORDENES'!$O41=$B$3),IF($D$3="(todos)",TRUE,'ORDENES'!$AC41=$D$3),IF($F$3="(todos)",TRUE,'ORDENES'!$V41=$F$3),'ORDENES'!$AA41=TRUE),'ORDENES'!$AN41&amp;" | "&amp;'ORDENES'!$R41&amp;" | "&amp;IF('ORDENES'!$AB41="","(sin técnico)",'ORDENES'!$AB41)&amp;" | "&amp;'ORDENES'!$D41&amp;" ("&amp;'ORDENES'!$M41&amp;" h)","")</f>
        <v/>
      </c>
    </row>
    <row r="46">
      <c r="K46" s="3">
        <f>IF(AND(IF($B$3="(todos)",TRUE,'ORDENES'!$O42=$B$3),IF($D$3="(todos)",TRUE,'ORDENES'!$AC42=$D$3),IF($F$3="(todos)",TRUE,'ORDENES'!$V42=$F$3),'ORDENES'!$AA42=TRUE),'ORDENES'!$AN42&amp;" | "&amp;'ORDENES'!$R42&amp;" | "&amp;IF('ORDENES'!$AB42="","(sin técnico)",'ORDENES'!$AB42)&amp;" | "&amp;'ORDENES'!$D42&amp;" ("&amp;'ORDENES'!$M42&amp;" h)","")</f>
        <v/>
      </c>
    </row>
    <row r="47">
      <c r="K47" s="3">
        <f>IF(AND(IF($B$3="(todos)",TRUE,'ORDENES'!$O43=$B$3),IF($D$3="(todos)",TRUE,'ORDENES'!$AC43=$D$3),IF($F$3="(todos)",TRUE,'ORDENES'!$V43=$F$3),'ORDENES'!$AA43=TRUE),'ORDENES'!$AN43&amp;" | "&amp;'ORDENES'!$R43&amp;" | "&amp;IF('ORDENES'!$AB43="","(sin técnico)",'ORDENES'!$AB43)&amp;" | "&amp;'ORDENES'!$D43&amp;" ("&amp;'ORDENES'!$M43&amp;" h)","")</f>
        <v/>
      </c>
    </row>
    <row r="48">
      <c r="K48" s="3">
        <f>IF(AND(IF($B$3="(todos)",TRUE,'ORDENES'!$O44=$B$3),IF($D$3="(todos)",TRUE,'ORDENES'!$AC44=$D$3),IF($F$3="(todos)",TRUE,'ORDENES'!$V44=$F$3),'ORDENES'!$AA44=TRUE),'ORDENES'!$AN44&amp;" | "&amp;'ORDENES'!$R44&amp;" | "&amp;IF('ORDENES'!$AB44="","(sin técnico)",'ORDENES'!$AB44)&amp;" | "&amp;'ORDENES'!$D44&amp;" ("&amp;'ORDENES'!$M44&amp;" h)","")</f>
        <v/>
      </c>
    </row>
    <row r="49">
      <c r="K49" s="3">
        <f>IF(AND(IF($B$3="(todos)",TRUE,'ORDENES'!$O45=$B$3),IF($D$3="(todos)",TRUE,'ORDENES'!$AC45=$D$3),IF($F$3="(todos)",TRUE,'ORDENES'!$V45=$F$3),'ORDENES'!$AA45=TRUE),'ORDENES'!$AN45&amp;" | "&amp;'ORDENES'!$R45&amp;" | "&amp;IF('ORDENES'!$AB45="","(sin técnico)",'ORDENES'!$AB45)&amp;" | "&amp;'ORDENES'!$D45&amp;" ("&amp;'ORDENES'!$M45&amp;" h)","")</f>
        <v/>
      </c>
    </row>
    <row r="50">
      <c r="K50" s="3">
        <f>IF(AND(IF($B$3="(todos)",TRUE,'ORDENES'!$O46=$B$3),IF($D$3="(todos)",TRUE,'ORDENES'!$AC46=$D$3),IF($F$3="(todos)",TRUE,'ORDENES'!$V46=$F$3),'ORDENES'!$AA46=TRUE),'ORDENES'!$AN46&amp;" | "&amp;'ORDENES'!$R46&amp;" | "&amp;IF('ORDENES'!$AB46="","(sin técnico)",'ORDENES'!$AB46)&amp;" | "&amp;'ORDENES'!$D46&amp;" ("&amp;'ORDENES'!$M46&amp;" h)","")</f>
        <v/>
      </c>
    </row>
    <row r="51">
      <c r="K51" s="3">
        <f>IF(AND(IF($B$3="(todos)",TRUE,'ORDENES'!$O47=$B$3),IF($D$3="(todos)",TRUE,'ORDENES'!$AC47=$D$3),IF($F$3="(todos)",TRUE,'ORDENES'!$V47=$F$3),'ORDENES'!$AA47=TRUE),'ORDENES'!$AN47&amp;" | "&amp;'ORDENES'!$R47&amp;" | "&amp;IF('ORDENES'!$AB47="","(sin técnico)",'ORDENES'!$AB47)&amp;" | "&amp;'ORDENES'!$D47&amp;" ("&amp;'ORDENES'!$M47&amp;" h)","")</f>
        <v/>
      </c>
    </row>
    <row r="52">
      <c r="K52" s="3">
        <f>IF(AND(IF($B$3="(todos)",TRUE,'ORDENES'!$O48=$B$3),IF($D$3="(todos)",TRUE,'ORDENES'!$AC48=$D$3),IF($F$3="(todos)",TRUE,'ORDENES'!$V48=$F$3),'ORDENES'!$AA48=TRUE),'ORDENES'!$AN48&amp;" | "&amp;'ORDENES'!$R48&amp;" | "&amp;IF('ORDENES'!$AB48="","(sin técnico)",'ORDENES'!$AB48)&amp;" | "&amp;'ORDENES'!$D48&amp;" ("&amp;'ORDENES'!$M48&amp;" h)","")</f>
        <v/>
      </c>
    </row>
    <row r="53">
      <c r="K53" s="3">
        <f>IF(AND(IF($B$3="(todos)",TRUE,'ORDENES'!$O49=$B$3),IF($D$3="(todos)",TRUE,'ORDENES'!$AC49=$D$3),IF($F$3="(todos)",TRUE,'ORDENES'!$V49=$F$3),'ORDENES'!$AA49=TRUE),'ORDENES'!$AN49&amp;" | "&amp;'ORDENES'!$R49&amp;" | "&amp;IF('ORDENES'!$AB49="","(sin técnico)",'ORDENES'!$AB49)&amp;" | "&amp;'ORDENES'!$D49&amp;" ("&amp;'ORDENES'!$M49&amp;" h)","")</f>
        <v/>
      </c>
    </row>
    <row r="54">
      <c r="K54" s="3">
        <f>IF(AND(IF($B$3="(todos)",TRUE,'ORDENES'!$O50=$B$3),IF($D$3="(todos)",TRUE,'ORDENES'!$AC50=$D$3),IF($F$3="(todos)",TRUE,'ORDENES'!$V50=$F$3),'ORDENES'!$AA50=TRUE),'ORDENES'!$AN50&amp;" | "&amp;'ORDENES'!$R50&amp;" | "&amp;IF('ORDENES'!$AB50="","(sin técnico)",'ORDENES'!$AB50)&amp;" | "&amp;'ORDENES'!$D50&amp;" ("&amp;'ORDENES'!$M50&amp;" h)","")</f>
        <v/>
      </c>
    </row>
    <row r="55">
      <c r="K55" s="3">
        <f>IF(AND(IF($B$3="(todos)",TRUE,'ORDENES'!$O51=$B$3),IF($D$3="(todos)",TRUE,'ORDENES'!$AC51=$D$3),IF($F$3="(todos)",TRUE,'ORDENES'!$V51=$F$3),'ORDENES'!$AA51=TRUE),'ORDENES'!$AN51&amp;" | "&amp;'ORDENES'!$R51&amp;" | "&amp;IF('ORDENES'!$AB51="","(sin técnico)",'ORDENES'!$AB51)&amp;" | "&amp;'ORDENES'!$D51&amp;" ("&amp;'ORDENES'!$M51&amp;" h)","")</f>
        <v/>
      </c>
    </row>
    <row r="56">
      <c r="K56" s="3">
        <f>IF(AND(IF($B$3="(todos)",TRUE,'ORDENES'!$O52=$B$3),IF($D$3="(todos)",TRUE,'ORDENES'!$AC52=$D$3),IF($F$3="(todos)",TRUE,'ORDENES'!$V52=$F$3),'ORDENES'!$AA52=TRUE),'ORDENES'!$AN52&amp;" | "&amp;'ORDENES'!$R52&amp;" | "&amp;IF('ORDENES'!$AB52="","(sin técnico)",'ORDENES'!$AB52)&amp;" | "&amp;'ORDENES'!$D52&amp;" ("&amp;'ORDENES'!$M52&amp;" h)","")</f>
        <v/>
      </c>
    </row>
    <row r="57">
      <c r="K57" s="3">
        <f>IF(AND(IF($B$3="(todos)",TRUE,'ORDENES'!$O53=$B$3),IF($D$3="(todos)",TRUE,'ORDENES'!$AC53=$D$3),IF($F$3="(todos)",TRUE,'ORDENES'!$V53=$F$3),'ORDENES'!$AA53=TRUE),'ORDENES'!$AN53&amp;" | "&amp;'ORDENES'!$R53&amp;" | "&amp;IF('ORDENES'!$AB53="","(sin técnico)",'ORDENES'!$AB53)&amp;" | "&amp;'ORDENES'!$D53&amp;" ("&amp;'ORDENES'!$M53&amp;" h)","")</f>
        <v/>
      </c>
    </row>
    <row r="58">
      <c r="K58" s="3">
        <f>IF(AND(IF($B$3="(todos)",TRUE,'ORDENES'!$O54=$B$3),IF($D$3="(todos)",TRUE,'ORDENES'!$AC54=$D$3),IF($F$3="(todos)",TRUE,'ORDENES'!$V54=$F$3),'ORDENES'!$AA54=TRUE),'ORDENES'!$AN54&amp;" | "&amp;'ORDENES'!$R54&amp;" | "&amp;IF('ORDENES'!$AB54="","(sin técnico)",'ORDENES'!$AB54)&amp;" | "&amp;'ORDENES'!$D54&amp;" ("&amp;'ORDENES'!$M54&amp;" h)","")</f>
        <v/>
      </c>
    </row>
    <row r="59">
      <c r="K59" s="3">
        <f>IF(AND(IF($B$3="(todos)",TRUE,'ORDENES'!$O55=$B$3),IF($D$3="(todos)",TRUE,'ORDENES'!$AC55=$D$3),IF($F$3="(todos)",TRUE,'ORDENES'!$V55=$F$3),'ORDENES'!$AA55=TRUE),'ORDENES'!$AN55&amp;" | "&amp;'ORDENES'!$R55&amp;" | "&amp;IF('ORDENES'!$AB55="","(sin técnico)",'ORDENES'!$AB55)&amp;" | "&amp;'ORDENES'!$D55&amp;" ("&amp;'ORDENES'!$M55&amp;" h)","")</f>
        <v/>
      </c>
    </row>
    <row r="60">
      <c r="K60" s="3">
        <f>IF(AND(IF($B$3="(todos)",TRUE,'ORDENES'!$O56=$B$3),IF($D$3="(todos)",TRUE,'ORDENES'!$AC56=$D$3),IF($F$3="(todos)",TRUE,'ORDENES'!$V56=$F$3),'ORDENES'!$AA56=TRUE),'ORDENES'!$AN56&amp;" | "&amp;'ORDENES'!$R56&amp;" | "&amp;IF('ORDENES'!$AB56="","(sin técnico)",'ORDENES'!$AB56)&amp;" | "&amp;'ORDENES'!$D56&amp;" ("&amp;'ORDENES'!$M56&amp;" h)","")</f>
        <v/>
      </c>
    </row>
    <row r="61">
      <c r="K61" s="3">
        <f>IF(AND(IF($B$3="(todos)",TRUE,'ORDENES'!$O57=$B$3),IF($D$3="(todos)",TRUE,'ORDENES'!$AC57=$D$3),IF($F$3="(todos)",TRUE,'ORDENES'!$V57=$F$3),'ORDENES'!$AA57=TRUE),'ORDENES'!$AN57&amp;" | "&amp;'ORDENES'!$R57&amp;" | "&amp;IF('ORDENES'!$AB57="","(sin técnico)",'ORDENES'!$AB57)&amp;" | "&amp;'ORDENES'!$D57&amp;" ("&amp;'ORDENES'!$M57&amp;" h)","")</f>
        <v/>
      </c>
    </row>
    <row r="62">
      <c r="K62" s="3">
        <f>IF(AND(IF($B$3="(todos)",TRUE,'ORDENES'!$O58=$B$3),IF($D$3="(todos)",TRUE,'ORDENES'!$AC58=$D$3),IF($F$3="(todos)",TRUE,'ORDENES'!$V58=$F$3),'ORDENES'!$AA58=TRUE),'ORDENES'!$AN58&amp;" | "&amp;'ORDENES'!$R58&amp;" | "&amp;IF('ORDENES'!$AB58="","(sin técnico)",'ORDENES'!$AB58)&amp;" | "&amp;'ORDENES'!$D58&amp;" ("&amp;'ORDENES'!$M58&amp;" h)","")</f>
        <v/>
      </c>
    </row>
    <row r="63">
      <c r="K63" s="3">
        <f>IF(AND(IF($B$3="(todos)",TRUE,'ORDENES'!$O59=$B$3),IF($D$3="(todos)",TRUE,'ORDENES'!$AC59=$D$3),IF($F$3="(todos)",TRUE,'ORDENES'!$V59=$F$3),'ORDENES'!$AA59=TRUE),'ORDENES'!$AN59&amp;" | "&amp;'ORDENES'!$R59&amp;" | "&amp;IF('ORDENES'!$AB59="","(sin técnico)",'ORDENES'!$AB59)&amp;" | "&amp;'ORDENES'!$D59&amp;" ("&amp;'ORDENES'!$M59&amp;" h)","")</f>
        <v/>
      </c>
    </row>
    <row r="64">
      <c r="K64" s="3">
        <f>IF(AND(IF($B$3="(todos)",TRUE,'ORDENES'!$O60=$B$3),IF($D$3="(todos)",TRUE,'ORDENES'!$AC60=$D$3),IF($F$3="(todos)",TRUE,'ORDENES'!$V60=$F$3),'ORDENES'!$AA60=TRUE),'ORDENES'!$AN60&amp;" | "&amp;'ORDENES'!$R60&amp;" | "&amp;IF('ORDENES'!$AB60="","(sin técnico)",'ORDENES'!$AB60)&amp;" | "&amp;'ORDENES'!$D60&amp;" ("&amp;'ORDENES'!$M60&amp;" h)","")</f>
        <v/>
      </c>
    </row>
    <row r="65">
      <c r="K65" s="3">
        <f>IF(AND(IF($B$3="(todos)",TRUE,'ORDENES'!$O61=$B$3),IF($D$3="(todos)",TRUE,'ORDENES'!$AC61=$D$3),IF($F$3="(todos)",TRUE,'ORDENES'!$V61=$F$3),'ORDENES'!$AA61=TRUE),'ORDENES'!$AN61&amp;" | "&amp;'ORDENES'!$R61&amp;" | "&amp;IF('ORDENES'!$AB61="","(sin técnico)",'ORDENES'!$AB61)&amp;" | "&amp;'ORDENES'!$D61&amp;" ("&amp;'ORDENES'!$M61&amp;" h)","")</f>
        <v/>
      </c>
    </row>
    <row r="66">
      <c r="K66" s="3">
        <f>IF(AND(IF($B$3="(todos)",TRUE,'ORDENES'!$O62=$B$3),IF($D$3="(todos)",TRUE,'ORDENES'!$AC62=$D$3),IF($F$3="(todos)",TRUE,'ORDENES'!$V62=$F$3),'ORDENES'!$AA62=TRUE),'ORDENES'!$AN62&amp;" | "&amp;'ORDENES'!$R62&amp;" | "&amp;IF('ORDENES'!$AB62="","(sin técnico)",'ORDENES'!$AB62)&amp;" | "&amp;'ORDENES'!$D62&amp;" ("&amp;'ORDENES'!$M62&amp;" h)","")</f>
        <v/>
      </c>
    </row>
    <row r="67">
      <c r="K67" s="3">
        <f>IF(AND(IF($B$3="(todos)",TRUE,'ORDENES'!$O63=$B$3),IF($D$3="(todos)",TRUE,'ORDENES'!$AC63=$D$3),IF($F$3="(todos)",TRUE,'ORDENES'!$V63=$F$3),'ORDENES'!$AA63=TRUE),'ORDENES'!$AN63&amp;" | "&amp;'ORDENES'!$R63&amp;" | "&amp;IF('ORDENES'!$AB63="","(sin técnico)",'ORDENES'!$AB63)&amp;" | "&amp;'ORDENES'!$D63&amp;" ("&amp;'ORDENES'!$M63&amp;" h)","")</f>
        <v/>
      </c>
    </row>
    <row r="68">
      <c r="K68" s="3">
        <f>IF(AND(IF($B$3="(todos)",TRUE,'ORDENES'!$O64=$B$3),IF($D$3="(todos)",TRUE,'ORDENES'!$AC64=$D$3),IF($F$3="(todos)",TRUE,'ORDENES'!$V64=$F$3),'ORDENES'!$AA64=TRUE),'ORDENES'!$AN64&amp;" | "&amp;'ORDENES'!$R64&amp;" | "&amp;IF('ORDENES'!$AB64="","(sin técnico)",'ORDENES'!$AB64)&amp;" | "&amp;'ORDENES'!$D64&amp;" ("&amp;'ORDENES'!$M64&amp;" h)","")</f>
        <v/>
      </c>
    </row>
    <row r="69">
      <c r="K69" s="3">
        <f>IF(AND(IF($B$3="(todos)",TRUE,'ORDENES'!$O65=$B$3),IF($D$3="(todos)",TRUE,'ORDENES'!$AC65=$D$3),IF($F$3="(todos)",TRUE,'ORDENES'!$V65=$F$3),'ORDENES'!$AA65=TRUE),'ORDENES'!$AN65&amp;" | "&amp;'ORDENES'!$R65&amp;" | "&amp;IF('ORDENES'!$AB65="","(sin técnico)",'ORDENES'!$AB65)&amp;" | "&amp;'ORDENES'!$D65&amp;" ("&amp;'ORDENES'!$M65&amp;" h)","")</f>
        <v/>
      </c>
    </row>
    <row r="70">
      <c r="K70" s="3">
        <f>IF(AND(IF($B$3="(todos)",TRUE,'ORDENES'!$O66=$B$3),IF($D$3="(todos)",TRUE,'ORDENES'!$AC66=$D$3),IF($F$3="(todos)",TRUE,'ORDENES'!$V66=$F$3),'ORDENES'!$AA66=TRUE),'ORDENES'!$AN66&amp;" | "&amp;'ORDENES'!$R66&amp;" | "&amp;IF('ORDENES'!$AB66="","(sin técnico)",'ORDENES'!$AB66)&amp;" | "&amp;'ORDENES'!$D66&amp;" ("&amp;'ORDENES'!$M66&amp;" h)","")</f>
        <v/>
      </c>
    </row>
    <row r="71">
      <c r="K71" s="3">
        <f>IF(AND(IF($B$3="(todos)",TRUE,'ORDENES'!$O67=$B$3),IF($D$3="(todos)",TRUE,'ORDENES'!$AC67=$D$3),IF($F$3="(todos)",TRUE,'ORDENES'!$V67=$F$3),'ORDENES'!$AA67=TRUE),'ORDENES'!$AN67&amp;" | "&amp;'ORDENES'!$R67&amp;" | "&amp;IF('ORDENES'!$AB67="","(sin técnico)",'ORDENES'!$AB67)&amp;" | "&amp;'ORDENES'!$D67&amp;" ("&amp;'ORDENES'!$M67&amp;" h)","")</f>
        <v/>
      </c>
    </row>
    <row r="72">
      <c r="K72" s="3">
        <f>IF(AND(IF($B$3="(todos)",TRUE,'ORDENES'!$O68=$B$3),IF($D$3="(todos)",TRUE,'ORDENES'!$AC68=$D$3),IF($F$3="(todos)",TRUE,'ORDENES'!$V68=$F$3),'ORDENES'!$AA68=TRUE),'ORDENES'!$AN68&amp;" | "&amp;'ORDENES'!$R68&amp;" | "&amp;IF('ORDENES'!$AB68="","(sin técnico)",'ORDENES'!$AB68)&amp;" | "&amp;'ORDENES'!$D68&amp;" ("&amp;'ORDENES'!$M68&amp;" h)","")</f>
        <v/>
      </c>
    </row>
    <row r="73">
      <c r="K73" s="3">
        <f>IF(AND(IF($B$3="(todos)",TRUE,'ORDENES'!$O69=$B$3),IF($D$3="(todos)",TRUE,'ORDENES'!$AC69=$D$3),IF($F$3="(todos)",TRUE,'ORDENES'!$V69=$F$3),'ORDENES'!$AA69=TRUE),'ORDENES'!$AN69&amp;" | "&amp;'ORDENES'!$R69&amp;" | "&amp;IF('ORDENES'!$AB69="","(sin técnico)",'ORDENES'!$AB69)&amp;" | "&amp;'ORDENES'!$D69&amp;" ("&amp;'ORDENES'!$M69&amp;" h)","")</f>
        <v/>
      </c>
    </row>
    <row r="74">
      <c r="K74" s="3">
        <f>IF(AND(IF($B$3="(todos)",TRUE,'ORDENES'!$O70=$B$3),IF($D$3="(todos)",TRUE,'ORDENES'!$AC70=$D$3),IF($F$3="(todos)",TRUE,'ORDENES'!$V70=$F$3),'ORDENES'!$AA70=TRUE),'ORDENES'!$AN70&amp;" | "&amp;'ORDENES'!$R70&amp;" | "&amp;IF('ORDENES'!$AB70="","(sin técnico)",'ORDENES'!$AB70)&amp;" | "&amp;'ORDENES'!$D70&amp;" ("&amp;'ORDENES'!$M70&amp;" h)","")</f>
        <v/>
      </c>
    </row>
    <row r="75">
      <c r="K75" s="3">
        <f>IF(AND(IF($B$3="(todos)",TRUE,'ORDENES'!$O71=$B$3),IF($D$3="(todos)",TRUE,'ORDENES'!$AC71=$D$3),IF($F$3="(todos)",TRUE,'ORDENES'!$V71=$F$3),'ORDENES'!$AA71=TRUE),'ORDENES'!$AN71&amp;" | "&amp;'ORDENES'!$R71&amp;" | "&amp;IF('ORDENES'!$AB71="","(sin técnico)",'ORDENES'!$AB71)&amp;" | "&amp;'ORDENES'!$D71&amp;" ("&amp;'ORDENES'!$M71&amp;" h)","")</f>
        <v/>
      </c>
    </row>
    <row r="76">
      <c r="K76" s="3">
        <f>IF(AND(IF($B$3="(todos)",TRUE,'ORDENES'!$O72=$B$3),IF($D$3="(todos)",TRUE,'ORDENES'!$AC72=$D$3),IF($F$3="(todos)",TRUE,'ORDENES'!$V72=$F$3),'ORDENES'!$AA72=TRUE),'ORDENES'!$AN72&amp;" | "&amp;'ORDENES'!$R72&amp;" | "&amp;IF('ORDENES'!$AB72="","(sin técnico)",'ORDENES'!$AB72)&amp;" | "&amp;'ORDENES'!$D72&amp;" ("&amp;'ORDENES'!$M72&amp;" h)","")</f>
        <v/>
      </c>
    </row>
    <row r="77">
      <c r="K77" s="3">
        <f>IF(AND(IF($B$3="(todos)",TRUE,'ORDENES'!$O73=$B$3),IF($D$3="(todos)",TRUE,'ORDENES'!$AC73=$D$3),IF($F$3="(todos)",TRUE,'ORDENES'!$V73=$F$3),'ORDENES'!$AA73=TRUE),'ORDENES'!$AN73&amp;" | "&amp;'ORDENES'!$R73&amp;" | "&amp;IF('ORDENES'!$AB73="","(sin técnico)",'ORDENES'!$AB73)&amp;" | "&amp;'ORDENES'!$D73&amp;" ("&amp;'ORDENES'!$M73&amp;" h)","")</f>
        <v/>
      </c>
    </row>
    <row r="78">
      <c r="K78" s="3">
        <f>IF(AND(IF($B$3="(todos)",TRUE,'ORDENES'!$O74=$B$3),IF($D$3="(todos)",TRUE,'ORDENES'!$AC74=$D$3),IF($F$3="(todos)",TRUE,'ORDENES'!$V74=$F$3),'ORDENES'!$AA74=TRUE),'ORDENES'!$AN74&amp;" | "&amp;'ORDENES'!$R74&amp;" | "&amp;IF('ORDENES'!$AB74="","(sin técnico)",'ORDENES'!$AB74)&amp;" | "&amp;'ORDENES'!$D74&amp;" ("&amp;'ORDENES'!$M74&amp;" h)","")</f>
        <v/>
      </c>
    </row>
    <row r="79">
      <c r="K79" s="3">
        <f>IF(AND(IF($B$3="(todos)",TRUE,'ORDENES'!$O75=$B$3),IF($D$3="(todos)",TRUE,'ORDENES'!$AC75=$D$3),IF($F$3="(todos)",TRUE,'ORDENES'!$V75=$F$3),'ORDENES'!$AA75=TRUE),'ORDENES'!$AN75&amp;" | "&amp;'ORDENES'!$R75&amp;" | "&amp;IF('ORDENES'!$AB75="","(sin técnico)",'ORDENES'!$AB75)&amp;" | "&amp;'ORDENES'!$D75&amp;" ("&amp;'ORDENES'!$M75&amp;" h)","")</f>
        <v/>
      </c>
    </row>
    <row r="80">
      <c r="K80" s="3">
        <f>IF(AND(IF($B$3="(todos)",TRUE,'ORDENES'!$O76=$B$3),IF($D$3="(todos)",TRUE,'ORDENES'!$AC76=$D$3),IF($F$3="(todos)",TRUE,'ORDENES'!$V76=$F$3),'ORDENES'!$AA76=TRUE),'ORDENES'!$AN76&amp;" | "&amp;'ORDENES'!$R76&amp;" | "&amp;IF('ORDENES'!$AB76="","(sin técnico)",'ORDENES'!$AB76)&amp;" | "&amp;'ORDENES'!$D76&amp;" ("&amp;'ORDENES'!$M76&amp;" h)","")</f>
        <v/>
      </c>
    </row>
    <row r="81">
      <c r="K81" s="3">
        <f>IF(AND(IF($B$3="(todos)",TRUE,'ORDENES'!$O77=$B$3),IF($D$3="(todos)",TRUE,'ORDENES'!$AC77=$D$3),IF($F$3="(todos)",TRUE,'ORDENES'!$V77=$F$3),'ORDENES'!$AA77=TRUE),'ORDENES'!$AN77&amp;" | "&amp;'ORDENES'!$R77&amp;" | "&amp;IF('ORDENES'!$AB77="","(sin técnico)",'ORDENES'!$AB77)&amp;" | "&amp;'ORDENES'!$D77&amp;" ("&amp;'ORDENES'!$M77&amp;" h)","")</f>
        <v/>
      </c>
    </row>
    <row r="82">
      <c r="K82" s="3">
        <f>IF(AND(IF($B$3="(todos)",TRUE,'ORDENES'!$O78=$B$3),IF($D$3="(todos)",TRUE,'ORDENES'!$AC78=$D$3),IF($F$3="(todos)",TRUE,'ORDENES'!$V78=$F$3),'ORDENES'!$AA78=TRUE),'ORDENES'!$AN78&amp;" | "&amp;'ORDENES'!$R78&amp;" | "&amp;IF('ORDENES'!$AB78="","(sin técnico)",'ORDENES'!$AB78)&amp;" | "&amp;'ORDENES'!$D78&amp;" ("&amp;'ORDENES'!$M78&amp;" h)","")</f>
        <v/>
      </c>
    </row>
    <row r="83">
      <c r="K83" s="3">
        <f>IF(AND(IF($B$3="(todos)",TRUE,'ORDENES'!$O79=$B$3),IF($D$3="(todos)",TRUE,'ORDENES'!$AC79=$D$3),IF($F$3="(todos)",TRUE,'ORDENES'!$V79=$F$3),'ORDENES'!$AA79=TRUE),'ORDENES'!$AN79&amp;" | "&amp;'ORDENES'!$R79&amp;" | "&amp;IF('ORDENES'!$AB79="","(sin técnico)",'ORDENES'!$AB79)&amp;" | "&amp;'ORDENES'!$D79&amp;" ("&amp;'ORDENES'!$M79&amp;" h)","")</f>
        <v/>
      </c>
    </row>
    <row r="84">
      <c r="K84" s="3">
        <f>IF(AND(IF($B$3="(todos)",TRUE,'ORDENES'!$O80=$B$3),IF($D$3="(todos)",TRUE,'ORDENES'!$AC80=$D$3),IF($F$3="(todos)",TRUE,'ORDENES'!$V80=$F$3),'ORDENES'!$AA80=TRUE),'ORDENES'!$AN80&amp;" | "&amp;'ORDENES'!$R80&amp;" | "&amp;IF('ORDENES'!$AB80="","(sin técnico)",'ORDENES'!$AB80)&amp;" | "&amp;'ORDENES'!$D80&amp;" ("&amp;'ORDENES'!$M80&amp;" h)","")</f>
        <v/>
      </c>
    </row>
    <row r="85">
      <c r="K85" s="3">
        <f>IF(AND(IF($B$3="(todos)",TRUE,'ORDENES'!$O81=$B$3),IF($D$3="(todos)",TRUE,'ORDENES'!$AC81=$D$3),IF($F$3="(todos)",TRUE,'ORDENES'!$V81=$F$3),'ORDENES'!$AA81=TRUE),'ORDENES'!$AN81&amp;" | "&amp;'ORDENES'!$R81&amp;" | "&amp;IF('ORDENES'!$AB81="","(sin técnico)",'ORDENES'!$AB81)&amp;" | "&amp;'ORDENES'!$D81&amp;" ("&amp;'ORDENES'!$M81&amp;" h)","")</f>
        <v/>
      </c>
    </row>
    <row r="86">
      <c r="K86" s="3">
        <f>IF(AND(IF($B$3="(todos)",TRUE,'ORDENES'!$O82=$B$3),IF($D$3="(todos)",TRUE,'ORDENES'!$AC82=$D$3),IF($F$3="(todos)",TRUE,'ORDENES'!$V82=$F$3),'ORDENES'!$AA82=TRUE),'ORDENES'!$AN82&amp;" | "&amp;'ORDENES'!$R82&amp;" | "&amp;IF('ORDENES'!$AB82="","(sin técnico)",'ORDENES'!$AB82)&amp;" | "&amp;'ORDENES'!$D82&amp;" ("&amp;'ORDENES'!$M82&amp;" h)","")</f>
        <v/>
      </c>
    </row>
    <row r="87">
      <c r="K87" s="3">
        <f>IF(AND(IF($B$3="(todos)",TRUE,'ORDENES'!$O83=$B$3),IF($D$3="(todos)",TRUE,'ORDENES'!$AC83=$D$3),IF($F$3="(todos)",TRUE,'ORDENES'!$V83=$F$3),'ORDENES'!$AA83=TRUE),'ORDENES'!$AN83&amp;" | "&amp;'ORDENES'!$R83&amp;" | "&amp;IF('ORDENES'!$AB83="","(sin técnico)",'ORDENES'!$AB83)&amp;" | "&amp;'ORDENES'!$D83&amp;" ("&amp;'ORDENES'!$M83&amp;" h)","")</f>
        <v/>
      </c>
    </row>
    <row r="88">
      <c r="K88" s="3">
        <f>IF(AND(IF($B$3="(todos)",TRUE,'ORDENES'!$O84=$B$3),IF($D$3="(todos)",TRUE,'ORDENES'!$AC84=$D$3),IF($F$3="(todos)",TRUE,'ORDENES'!$V84=$F$3),'ORDENES'!$AA84=TRUE),'ORDENES'!$AN84&amp;" | "&amp;'ORDENES'!$R84&amp;" | "&amp;IF('ORDENES'!$AB84="","(sin técnico)",'ORDENES'!$AB84)&amp;" | "&amp;'ORDENES'!$D84&amp;" ("&amp;'ORDENES'!$M84&amp;" h)","")</f>
        <v/>
      </c>
    </row>
    <row r="89">
      <c r="K89" s="3">
        <f>IF(AND(IF($B$3="(todos)",TRUE,'ORDENES'!$O85=$B$3),IF($D$3="(todos)",TRUE,'ORDENES'!$AC85=$D$3),IF($F$3="(todos)",TRUE,'ORDENES'!$V85=$F$3),'ORDENES'!$AA85=TRUE),'ORDENES'!$AN85&amp;" | "&amp;'ORDENES'!$R85&amp;" | "&amp;IF('ORDENES'!$AB85="","(sin técnico)",'ORDENES'!$AB85)&amp;" | "&amp;'ORDENES'!$D85&amp;" ("&amp;'ORDENES'!$M85&amp;" h)","")</f>
        <v/>
      </c>
    </row>
    <row r="90">
      <c r="K90" s="3">
        <f>IF(AND(IF($B$3="(todos)",TRUE,'ORDENES'!$O86=$B$3),IF($D$3="(todos)",TRUE,'ORDENES'!$AC86=$D$3),IF($F$3="(todos)",TRUE,'ORDENES'!$V86=$F$3),'ORDENES'!$AA86=TRUE),'ORDENES'!$AN86&amp;" | "&amp;'ORDENES'!$R86&amp;" | "&amp;IF('ORDENES'!$AB86="","(sin técnico)",'ORDENES'!$AB86)&amp;" | "&amp;'ORDENES'!$D86&amp;" ("&amp;'ORDENES'!$M86&amp;" h)","")</f>
        <v/>
      </c>
    </row>
    <row r="91">
      <c r="K91" s="3">
        <f>IF(AND(IF($B$3="(todos)",TRUE,'ORDENES'!$O87=$B$3),IF($D$3="(todos)",TRUE,'ORDENES'!$AC87=$D$3),IF($F$3="(todos)",TRUE,'ORDENES'!$V87=$F$3),'ORDENES'!$AA87=TRUE),'ORDENES'!$AN87&amp;" | "&amp;'ORDENES'!$R87&amp;" | "&amp;IF('ORDENES'!$AB87="","(sin técnico)",'ORDENES'!$AB87)&amp;" | "&amp;'ORDENES'!$D87&amp;" ("&amp;'ORDENES'!$M87&amp;" h)","")</f>
        <v/>
      </c>
    </row>
    <row r="92">
      <c r="K92" s="3">
        <f>IF(AND(IF($B$3="(todos)",TRUE,'ORDENES'!$O88=$B$3),IF($D$3="(todos)",TRUE,'ORDENES'!$AC88=$D$3),IF($F$3="(todos)",TRUE,'ORDENES'!$V88=$F$3),'ORDENES'!$AA88=TRUE),'ORDENES'!$AN88&amp;" | "&amp;'ORDENES'!$R88&amp;" | "&amp;IF('ORDENES'!$AB88="","(sin técnico)",'ORDENES'!$AB88)&amp;" | "&amp;'ORDENES'!$D88&amp;" ("&amp;'ORDENES'!$M88&amp;" h)","")</f>
        <v/>
      </c>
    </row>
    <row r="93">
      <c r="K93" s="3">
        <f>IF(AND(IF($B$3="(todos)",TRUE,'ORDENES'!$O89=$B$3),IF($D$3="(todos)",TRUE,'ORDENES'!$AC89=$D$3),IF($F$3="(todos)",TRUE,'ORDENES'!$V89=$F$3),'ORDENES'!$AA89=TRUE),'ORDENES'!$AN89&amp;" | "&amp;'ORDENES'!$R89&amp;" | "&amp;IF('ORDENES'!$AB89="","(sin técnico)",'ORDENES'!$AB89)&amp;" | "&amp;'ORDENES'!$D89&amp;" ("&amp;'ORDENES'!$M89&amp;" h)","")</f>
        <v/>
      </c>
    </row>
    <row r="94">
      <c r="K94" s="3">
        <f>IF(AND(IF($B$3="(todos)",TRUE,'ORDENES'!$O90=$B$3),IF($D$3="(todos)",TRUE,'ORDENES'!$AC90=$D$3),IF($F$3="(todos)",TRUE,'ORDENES'!$V90=$F$3),'ORDENES'!$AA90=TRUE),'ORDENES'!$AN90&amp;" | "&amp;'ORDENES'!$R90&amp;" | "&amp;IF('ORDENES'!$AB90="","(sin técnico)",'ORDENES'!$AB90)&amp;" | "&amp;'ORDENES'!$D90&amp;" ("&amp;'ORDENES'!$M90&amp;" h)","")</f>
        <v/>
      </c>
    </row>
    <row r="95">
      <c r="K95" s="3">
        <f>IF(AND(IF($B$3="(todos)",TRUE,'ORDENES'!$O91=$B$3),IF($D$3="(todos)",TRUE,'ORDENES'!$AC91=$D$3),IF($F$3="(todos)",TRUE,'ORDENES'!$V91=$F$3),'ORDENES'!$AA91=TRUE),'ORDENES'!$AN91&amp;" | "&amp;'ORDENES'!$R91&amp;" | "&amp;IF('ORDENES'!$AB91="","(sin técnico)",'ORDENES'!$AB91)&amp;" | "&amp;'ORDENES'!$D91&amp;" ("&amp;'ORDENES'!$M91&amp;" h)","")</f>
        <v/>
      </c>
    </row>
    <row r="96">
      <c r="K96" s="3">
        <f>IF(AND(IF($B$3="(todos)",TRUE,'ORDENES'!$O92=$B$3),IF($D$3="(todos)",TRUE,'ORDENES'!$AC92=$D$3),IF($F$3="(todos)",TRUE,'ORDENES'!$V92=$F$3),'ORDENES'!$AA92=TRUE),'ORDENES'!$AN92&amp;" | "&amp;'ORDENES'!$R92&amp;" | "&amp;IF('ORDENES'!$AB92="","(sin técnico)",'ORDENES'!$AB92)&amp;" | "&amp;'ORDENES'!$D92&amp;" ("&amp;'ORDENES'!$M92&amp;" h)","")</f>
        <v/>
      </c>
    </row>
    <row r="97">
      <c r="K97" s="3">
        <f>IF(AND(IF($B$3="(todos)",TRUE,'ORDENES'!$O93=$B$3),IF($D$3="(todos)",TRUE,'ORDENES'!$AC93=$D$3),IF($F$3="(todos)",TRUE,'ORDENES'!$V93=$F$3),'ORDENES'!$AA93=TRUE),'ORDENES'!$AN93&amp;" | "&amp;'ORDENES'!$R93&amp;" | "&amp;IF('ORDENES'!$AB93="","(sin técnico)",'ORDENES'!$AB93)&amp;" | "&amp;'ORDENES'!$D93&amp;" ("&amp;'ORDENES'!$M93&amp;" h)","")</f>
        <v/>
      </c>
    </row>
    <row r="98">
      <c r="K98" s="3">
        <f>IF(AND(IF($B$3="(todos)",TRUE,'ORDENES'!$O94=$B$3),IF($D$3="(todos)",TRUE,'ORDENES'!$AC94=$D$3),IF($F$3="(todos)",TRUE,'ORDENES'!$V94=$F$3),'ORDENES'!$AA94=TRUE),'ORDENES'!$AN94&amp;" | "&amp;'ORDENES'!$R94&amp;" | "&amp;IF('ORDENES'!$AB94="","(sin técnico)",'ORDENES'!$AB94)&amp;" | "&amp;'ORDENES'!$D94&amp;" ("&amp;'ORDENES'!$M94&amp;" h)","")</f>
        <v/>
      </c>
    </row>
    <row r="99">
      <c r="K99" s="3">
        <f>IF(AND(IF($B$3="(todos)",TRUE,'ORDENES'!$O95=$B$3),IF($D$3="(todos)",TRUE,'ORDENES'!$AC95=$D$3),IF($F$3="(todos)",TRUE,'ORDENES'!$V95=$F$3),'ORDENES'!$AA95=TRUE),'ORDENES'!$AN95&amp;" | "&amp;'ORDENES'!$R95&amp;" | "&amp;IF('ORDENES'!$AB95="","(sin técnico)",'ORDENES'!$AB95)&amp;" | "&amp;'ORDENES'!$D95&amp;" ("&amp;'ORDENES'!$M95&amp;" h)","")</f>
        <v/>
      </c>
    </row>
    <row r="100">
      <c r="K100" s="3">
        <f>IF(AND(IF($B$3="(todos)",TRUE,'ORDENES'!$O96=$B$3),IF($D$3="(todos)",TRUE,'ORDENES'!$AC96=$D$3),IF($F$3="(todos)",TRUE,'ORDENES'!$V96=$F$3),'ORDENES'!$AA96=TRUE),'ORDENES'!$AN96&amp;" | "&amp;'ORDENES'!$R96&amp;" | "&amp;IF('ORDENES'!$AB96="","(sin técnico)",'ORDENES'!$AB96)&amp;" | "&amp;'ORDENES'!$D96&amp;" ("&amp;'ORDENES'!$M96&amp;" h)","")</f>
        <v/>
      </c>
    </row>
    <row r="101">
      <c r="K101" s="3">
        <f>IF(AND(IF($B$3="(todos)",TRUE,'ORDENES'!$O97=$B$3),IF($D$3="(todos)",TRUE,'ORDENES'!$AC97=$D$3),IF($F$3="(todos)",TRUE,'ORDENES'!$V97=$F$3),'ORDENES'!$AA97=TRUE),'ORDENES'!$AN97&amp;" | "&amp;'ORDENES'!$R97&amp;" | "&amp;IF('ORDENES'!$AB97="","(sin técnico)",'ORDENES'!$AB97)&amp;" | "&amp;'ORDENES'!$D97&amp;" ("&amp;'ORDENES'!$M97&amp;" h)","")</f>
        <v/>
      </c>
    </row>
    <row r="102">
      <c r="K102" s="3">
        <f>IF(AND(IF($B$3="(todos)",TRUE,'ORDENES'!$O98=$B$3),IF($D$3="(todos)",TRUE,'ORDENES'!$AC98=$D$3),IF($F$3="(todos)",TRUE,'ORDENES'!$V98=$F$3),'ORDENES'!$AA98=TRUE),'ORDENES'!$AN98&amp;" | "&amp;'ORDENES'!$R98&amp;" | "&amp;IF('ORDENES'!$AB98="","(sin técnico)",'ORDENES'!$AB98)&amp;" | "&amp;'ORDENES'!$D98&amp;" ("&amp;'ORDENES'!$M98&amp;" h)","")</f>
        <v/>
      </c>
    </row>
    <row r="103">
      <c r="K103" s="3">
        <f>IF(AND(IF($B$3="(todos)",TRUE,'ORDENES'!$O99=$B$3),IF($D$3="(todos)",TRUE,'ORDENES'!$AC99=$D$3),IF($F$3="(todos)",TRUE,'ORDENES'!$V99=$F$3),'ORDENES'!$AA99=TRUE),'ORDENES'!$AN99&amp;" | "&amp;'ORDENES'!$R99&amp;" | "&amp;IF('ORDENES'!$AB99="","(sin técnico)",'ORDENES'!$AB99)&amp;" | "&amp;'ORDENES'!$D99&amp;" ("&amp;'ORDENES'!$M99&amp;" h)","")</f>
        <v/>
      </c>
    </row>
    <row r="104">
      <c r="K104" s="3">
        <f>IF(AND(IF($B$3="(todos)",TRUE,'ORDENES'!$O100=$B$3),IF($D$3="(todos)",TRUE,'ORDENES'!$AC100=$D$3),IF($F$3="(todos)",TRUE,'ORDENES'!$V100=$F$3),'ORDENES'!$AA100=TRUE),'ORDENES'!$AN100&amp;" | "&amp;'ORDENES'!$R100&amp;" | "&amp;IF('ORDENES'!$AB100="","(sin técnico)",'ORDENES'!$AB100)&amp;" | "&amp;'ORDENES'!$D100&amp;" ("&amp;'ORDENES'!$M100&amp;" h)","")</f>
        <v/>
      </c>
    </row>
    <row r="105">
      <c r="K105" s="3">
        <f>IF(AND(IF($B$3="(todos)",TRUE,'ORDENES'!$O101=$B$3),IF($D$3="(todos)",TRUE,'ORDENES'!$AC101=$D$3),IF($F$3="(todos)",TRUE,'ORDENES'!$V101=$F$3),'ORDENES'!$AA101=TRUE),'ORDENES'!$AN101&amp;" | "&amp;'ORDENES'!$R101&amp;" | "&amp;IF('ORDENES'!$AB101="","(sin técnico)",'ORDENES'!$AB101)&amp;" | "&amp;'ORDENES'!$D101&amp;" ("&amp;'ORDENES'!$M101&amp;" h)","")</f>
        <v/>
      </c>
    </row>
    <row r="106">
      <c r="K106" s="3">
        <f>IF(AND(IF($B$3="(todos)",TRUE,'ORDENES'!$O102=$B$3),IF($D$3="(todos)",TRUE,'ORDENES'!$AC102=$D$3),IF($F$3="(todos)",TRUE,'ORDENES'!$V102=$F$3),'ORDENES'!$AA102=TRUE),'ORDENES'!$AN102&amp;" | "&amp;'ORDENES'!$R102&amp;" | "&amp;IF('ORDENES'!$AB102="","(sin técnico)",'ORDENES'!$AB102)&amp;" | "&amp;'ORDENES'!$D102&amp;" ("&amp;'ORDENES'!$M102&amp;" h)","")</f>
        <v/>
      </c>
    </row>
    <row r="107">
      <c r="K107" s="3">
        <f>IF(AND(IF($B$3="(todos)",TRUE,'ORDENES'!$O103=$B$3),IF($D$3="(todos)",TRUE,'ORDENES'!$AC103=$D$3),IF($F$3="(todos)",TRUE,'ORDENES'!$V103=$F$3),'ORDENES'!$AA103=TRUE),'ORDENES'!$AN103&amp;" | "&amp;'ORDENES'!$R103&amp;" | "&amp;IF('ORDENES'!$AB103="","(sin técnico)",'ORDENES'!$AB103)&amp;" | "&amp;'ORDENES'!$D103&amp;" ("&amp;'ORDENES'!$M103&amp;" h)","")</f>
        <v/>
      </c>
    </row>
    <row r="108">
      <c r="K108" s="3">
        <f>IF(AND(IF($B$3="(todos)",TRUE,'ORDENES'!$O104=$B$3),IF($D$3="(todos)",TRUE,'ORDENES'!$AC104=$D$3),IF($F$3="(todos)",TRUE,'ORDENES'!$V104=$F$3),'ORDENES'!$AA104=TRUE),'ORDENES'!$AN104&amp;" | "&amp;'ORDENES'!$R104&amp;" | "&amp;IF('ORDENES'!$AB104="","(sin técnico)",'ORDENES'!$AB104)&amp;" | "&amp;'ORDENES'!$D104&amp;" ("&amp;'ORDENES'!$M104&amp;" h)","")</f>
        <v/>
      </c>
    </row>
    <row r="109">
      <c r="K109" s="3">
        <f>IF(AND(IF($B$3="(todos)",TRUE,'ORDENES'!$O105=$B$3),IF($D$3="(todos)",TRUE,'ORDENES'!$AC105=$D$3),IF($F$3="(todos)",TRUE,'ORDENES'!$V105=$F$3),'ORDENES'!$AA105=TRUE),'ORDENES'!$AN105&amp;" | "&amp;'ORDENES'!$R105&amp;" | "&amp;IF('ORDENES'!$AB105="","(sin técnico)",'ORDENES'!$AB105)&amp;" | "&amp;'ORDENES'!$D105&amp;" ("&amp;'ORDENES'!$M105&amp;" h)","")</f>
        <v/>
      </c>
    </row>
    <row r="110">
      <c r="K110" s="3">
        <f>IF(AND(IF($B$3="(todos)",TRUE,'ORDENES'!$O106=$B$3),IF($D$3="(todos)",TRUE,'ORDENES'!$AC106=$D$3),IF($F$3="(todos)",TRUE,'ORDENES'!$V106=$F$3),'ORDENES'!$AA106=TRUE),'ORDENES'!$AN106&amp;" | "&amp;'ORDENES'!$R106&amp;" | "&amp;IF('ORDENES'!$AB106="","(sin técnico)",'ORDENES'!$AB106)&amp;" | "&amp;'ORDENES'!$D106&amp;" ("&amp;'ORDENES'!$M106&amp;" h)","")</f>
        <v/>
      </c>
    </row>
    <row r="111">
      <c r="K111" s="3">
        <f>IF(AND(IF($B$3="(todos)",TRUE,'ORDENES'!$O107=$B$3),IF($D$3="(todos)",TRUE,'ORDENES'!$AC107=$D$3),IF($F$3="(todos)",TRUE,'ORDENES'!$V107=$F$3),'ORDENES'!$AA107=TRUE),'ORDENES'!$AN107&amp;" | "&amp;'ORDENES'!$R107&amp;" | "&amp;IF('ORDENES'!$AB107="","(sin técnico)",'ORDENES'!$AB107)&amp;" | "&amp;'ORDENES'!$D107&amp;" ("&amp;'ORDENES'!$M107&amp;" h)","")</f>
        <v/>
      </c>
    </row>
    <row r="112">
      <c r="K112" s="3">
        <f>IF(AND(IF($B$3="(todos)",TRUE,'ORDENES'!$O108=$B$3),IF($D$3="(todos)",TRUE,'ORDENES'!$AC108=$D$3),IF($F$3="(todos)",TRUE,'ORDENES'!$V108=$F$3),'ORDENES'!$AA108=TRUE),'ORDENES'!$AN108&amp;" | "&amp;'ORDENES'!$R108&amp;" | "&amp;IF('ORDENES'!$AB108="","(sin técnico)",'ORDENES'!$AB108)&amp;" | "&amp;'ORDENES'!$D108&amp;" ("&amp;'ORDENES'!$M108&amp;" h)","")</f>
        <v/>
      </c>
    </row>
    <row r="113">
      <c r="K113" s="3">
        <f>IF(AND(IF($B$3="(todos)",TRUE,'ORDENES'!$O109=$B$3),IF($D$3="(todos)",TRUE,'ORDENES'!$AC109=$D$3),IF($F$3="(todos)",TRUE,'ORDENES'!$V109=$F$3),'ORDENES'!$AA109=TRUE),'ORDENES'!$AN109&amp;" | "&amp;'ORDENES'!$R109&amp;" | "&amp;IF('ORDENES'!$AB109="","(sin técnico)",'ORDENES'!$AB109)&amp;" | "&amp;'ORDENES'!$D109&amp;" ("&amp;'ORDENES'!$M109&amp;" h)","")</f>
        <v/>
      </c>
    </row>
    <row r="114">
      <c r="K114" s="3">
        <f>IF(AND(IF($B$3="(todos)",TRUE,'ORDENES'!$O110=$B$3),IF($D$3="(todos)",TRUE,'ORDENES'!$AC110=$D$3),IF($F$3="(todos)",TRUE,'ORDENES'!$V110=$F$3),'ORDENES'!$AA110=TRUE),'ORDENES'!$AN110&amp;" | "&amp;'ORDENES'!$R110&amp;" | "&amp;IF('ORDENES'!$AB110="","(sin técnico)",'ORDENES'!$AB110)&amp;" | "&amp;'ORDENES'!$D110&amp;" ("&amp;'ORDENES'!$M110&amp;" h)","")</f>
        <v/>
      </c>
    </row>
    <row r="115">
      <c r="K115" s="3">
        <f>IF(AND(IF($B$3="(todos)",TRUE,'ORDENES'!$O111=$B$3),IF($D$3="(todos)",TRUE,'ORDENES'!$AC111=$D$3),IF($F$3="(todos)",TRUE,'ORDENES'!$V111=$F$3),'ORDENES'!$AA111=TRUE),'ORDENES'!$AN111&amp;" | "&amp;'ORDENES'!$R111&amp;" | "&amp;IF('ORDENES'!$AB111="","(sin técnico)",'ORDENES'!$AB111)&amp;" | "&amp;'ORDENES'!$D111&amp;" ("&amp;'ORDENES'!$M111&amp;" h)","")</f>
        <v/>
      </c>
    </row>
    <row r="116">
      <c r="K116" s="3">
        <f>IF(AND(IF($B$3="(todos)",TRUE,'ORDENES'!$O112=$B$3),IF($D$3="(todos)",TRUE,'ORDENES'!$AC112=$D$3),IF($F$3="(todos)",TRUE,'ORDENES'!$V112=$F$3),'ORDENES'!$AA112=TRUE),'ORDENES'!$AN112&amp;" | "&amp;'ORDENES'!$R112&amp;" | "&amp;IF('ORDENES'!$AB112="","(sin técnico)",'ORDENES'!$AB112)&amp;" | "&amp;'ORDENES'!$D112&amp;" ("&amp;'ORDENES'!$M112&amp;" h)","")</f>
        <v/>
      </c>
    </row>
    <row r="117">
      <c r="K117" s="3">
        <f>IF(AND(IF($B$3="(todos)",TRUE,'ORDENES'!$O113=$B$3),IF($D$3="(todos)",TRUE,'ORDENES'!$AC113=$D$3),IF($F$3="(todos)",TRUE,'ORDENES'!$V113=$F$3),'ORDENES'!$AA113=TRUE),'ORDENES'!$AN113&amp;" | "&amp;'ORDENES'!$R113&amp;" | "&amp;IF('ORDENES'!$AB113="","(sin técnico)",'ORDENES'!$AB113)&amp;" | "&amp;'ORDENES'!$D113&amp;" ("&amp;'ORDENES'!$M113&amp;" h)","")</f>
        <v/>
      </c>
    </row>
    <row r="118">
      <c r="K118" s="3">
        <f>IF(AND(IF($B$3="(todos)",TRUE,'ORDENES'!$O114=$B$3),IF($D$3="(todos)",TRUE,'ORDENES'!$AC114=$D$3),IF($F$3="(todos)",TRUE,'ORDENES'!$V114=$F$3),'ORDENES'!$AA114=TRUE),'ORDENES'!$AN114&amp;" | "&amp;'ORDENES'!$R114&amp;" | "&amp;IF('ORDENES'!$AB114="","(sin técnico)",'ORDENES'!$AB114)&amp;" | "&amp;'ORDENES'!$D114&amp;" ("&amp;'ORDENES'!$M114&amp;" h)","")</f>
        <v/>
      </c>
    </row>
    <row r="119">
      <c r="K119" s="3">
        <f>IF(AND(IF($B$3="(todos)",TRUE,'ORDENES'!$O115=$B$3),IF($D$3="(todos)",TRUE,'ORDENES'!$AC115=$D$3),IF($F$3="(todos)",TRUE,'ORDENES'!$V115=$F$3),'ORDENES'!$AA115=TRUE),'ORDENES'!$AN115&amp;" | "&amp;'ORDENES'!$R115&amp;" | "&amp;IF('ORDENES'!$AB115="","(sin técnico)",'ORDENES'!$AB115)&amp;" | "&amp;'ORDENES'!$D115&amp;" ("&amp;'ORDENES'!$M115&amp;" h)","")</f>
        <v/>
      </c>
    </row>
    <row r="120">
      <c r="K120" s="3">
        <f>IF(AND(IF($B$3="(todos)",TRUE,'ORDENES'!$O116=$B$3),IF($D$3="(todos)",TRUE,'ORDENES'!$AC116=$D$3),IF($F$3="(todos)",TRUE,'ORDENES'!$V116=$F$3),'ORDENES'!$AA116=TRUE),'ORDENES'!$AN116&amp;" | "&amp;'ORDENES'!$R116&amp;" | "&amp;IF('ORDENES'!$AB116="","(sin técnico)",'ORDENES'!$AB116)&amp;" | "&amp;'ORDENES'!$D116&amp;" ("&amp;'ORDENES'!$M116&amp;" h)","")</f>
        <v/>
      </c>
    </row>
    <row r="121">
      <c r="K121" s="3">
        <f>IF(AND(IF($B$3="(todos)",TRUE,'ORDENES'!$O117=$B$3),IF($D$3="(todos)",TRUE,'ORDENES'!$AC117=$D$3),IF($F$3="(todos)",TRUE,'ORDENES'!$V117=$F$3),'ORDENES'!$AA117=TRUE),'ORDENES'!$AN117&amp;" | "&amp;'ORDENES'!$R117&amp;" | "&amp;IF('ORDENES'!$AB117="","(sin técnico)",'ORDENES'!$AB117)&amp;" | "&amp;'ORDENES'!$D117&amp;" ("&amp;'ORDENES'!$M117&amp;" h)","")</f>
        <v/>
      </c>
    </row>
    <row r="122">
      <c r="K122" s="3">
        <f>IF(AND(IF($B$3="(todos)",TRUE,'ORDENES'!$O118=$B$3),IF($D$3="(todos)",TRUE,'ORDENES'!$AC118=$D$3),IF($F$3="(todos)",TRUE,'ORDENES'!$V118=$F$3),'ORDENES'!$AA118=TRUE),'ORDENES'!$AN118&amp;" | "&amp;'ORDENES'!$R118&amp;" | "&amp;IF('ORDENES'!$AB118="","(sin técnico)",'ORDENES'!$AB118)&amp;" | "&amp;'ORDENES'!$D118&amp;" ("&amp;'ORDENES'!$M118&amp;" h)","")</f>
        <v/>
      </c>
    </row>
    <row r="123">
      <c r="K123" s="3">
        <f>IF(AND(IF($B$3="(todos)",TRUE,'ORDENES'!$O119=$B$3),IF($D$3="(todos)",TRUE,'ORDENES'!$AC119=$D$3),IF($F$3="(todos)",TRUE,'ORDENES'!$V119=$F$3),'ORDENES'!$AA119=TRUE),'ORDENES'!$AN119&amp;" | "&amp;'ORDENES'!$R119&amp;" | "&amp;IF('ORDENES'!$AB119="","(sin técnico)",'ORDENES'!$AB119)&amp;" | "&amp;'ORDENES'!$D119&amp;" ("&amp;'ORDENES'!$M119&amp;" h)","")</f>
        <v/>
      </c>
    </row>
    <row r="124">
      <c r="K124" s="3">
        <f>IF(AND(IF($B$3="(todos)",TRUE,'ORDENES'!$O120=$B$3),IF($D$3="(todos)",TRUE,'ORDENES'!$AC120=$D$3),IF($F$3="(todos)",TRUE,'ORDENES'!$V120=$F$3),'ORDENES'!$AA120=TRUE),'ORDENES'!$AN120&amp;" | "&amp;'ORDENES'!$R120&amp;" | "&amp;IF('ORDENES'!$AB120="","(sin técnico)",'ORDENES'!$AB120)&amp;" | "&amp;'ORDENES'!$D120&amp;" ("&amp;'ORDENES'!$M120&amp;" h)","")</f>
        <v/>
      </c>
    </row>
    <row r="125">
      <c r="K125" s="3">
        <f>IF(AND(IF($B$3="(todos)",TRUE,'ORDENES'!$O121=$B$3),IF($D$3="(todos)",TRUE,'ORDENES'!$AC121=$D$3),IF($F$3="(todos)",TRUE,'ORDENES'!$V121=$F$3),'ORDENES'!$AA121=TRUE),'ORDENES'!$AN121&amp;" | "&amp;'ORDENES'!$R121&amp;" | "&amp;IF('ORDENES'!$AB121="","(sin técnico)",'ORDENES'!$AB121)&amp;" | "&amp;'ORDENES'!$D121&amp;" ("&amp;'ORDENES'!$M121&amp;" h)","")</f>
        <v/>
      </c>
    </row>
    <row r="126">
      <c r="K126" s="3">
        <f>IF(AND(IF($B$3="(todos)",TRUE,'ORDENES'!$O122=$B$3),IF($D$3="(todos)",TRUE,'ORDENES'!$AC122=$D$3),IF($F$3="(todos)",TRUE,'ORDENES'!$V122=$F$3),'ORDENES'!$AA122=TRUE),'ORDENES'!$AN122&amp;" | "&amp;'ORDENES'!$R122&amp;" | "&amp;IF('ORDENES'!$AB122="","(sin técnico)",'ORDENES'!$AB122)&amp;" | "&amp;'ORDENES'!$D122&amp;" ("&amp;'ORDENES'!$M122&amp;" h)","")</f>
        <v/>
      </c>
    </row>
    <row r="127">
      <c r="K127" s="3">
        <f>IF(AND(IF($B$3="(todos)",TRUE,'ORDENES'!$O123=$B$3),IF($D$3="(todos)",TRUE,'ORDENES'!$AC123=$D$3),IF($F$3="(todos)",TRUE,'ORDENES'!$V123=$F$3),'ORDENES'!$AA123=TRUE),'ORDENES'!$AN123&amp;" | "&amp;'ORDENES'!$R123&amp;" | "&amp;IF('ORDENES'!$AB123="","(sin técnico)",'ORDENES'!$AB123)&amp;" | "&amp;'ORDENES'!$D123&amp;" ("&amp;'ORDENES'!$M123&amp;" h)","")</f>
        <v/>
      </c>
    </row>
    <row r="128">
      <c r="K128" s="3">
        <f>IF(AND(IF($B$3="(todos)",TRUE,'ORDENES'!$O124=$B$3),IF($D$3="(todos)",TRUE,'ORDENES'!$AC124=$D$3),IF($F$3="(todos)",TRUE,'ORDENES'!$V124=$F$3),'ORDENES'!$AA124=TRUE),'ORDENES'!$AN124&amp;" | "&amp;'ORDENES'!$R124&amp;" | "&amp;IF('ORDENES'!$AB124="","(sin técnico)",'ORDENES'!$AB124)&amp;" | "&amp;'ORDENES'!$D124&amp;" ("&amp;'ORDENES'!$M124&amp;" h)","")</f>
        <v/>
      </c>
    </row>
    <row r="129">
      <c r="K129" s="3">
        <f>IF(AND(IF($B$3="(todos)",TRUE,'ORDENES'!$O125=$B$3),IF($D$3="(todos)",TRUE,'ORDENES'!$AC125=$D$3),IF($F$3="(todos)",TRUE,'ORDENES'!$V125=$F$3),'ORDENES'!$AA125=TRUE),'ORDENES'!$AN125&amp;" | "&amp;'ORDENES'!$R125&amp;" | "&amp;IF('ORDENES'!$AB125="","(sin técnico)",'ORDENES'!$AB125)&amp;" | "&amp;'ORDENES'!$D125&amp;" ("&amp;'ORDENES'!$M125&amp;" h)","")</f>
        <v/>
      </c>
    </row>
    <row r="130">
      <c r="K130" s="3">
        <f>IF(AND(IF($B$3="(todos)",TRUE,'ORDENES'!$O126=$B$3),IF($D$3="(todos)",TRUE,'ORDENES'!$AC126=$D$3),IF($F$3="(todos)",TRUE,'ORDENES'!$V126=$F$3),'ORDENES'!$AA126=TRUE),'ORDENES'!$AN126&amp;" | "&amp;'ORDENES'!$R126&amp;" | "&amp;IF('ORDENES'!$AB126="","(sin técnico)",'ORDENES'!$AB126)&amp;" | "&amp;'ORDENES'!$D126&amp;" ("&amp;'ORDENES'!$M126&amp;" h)","")</f>
        <v/>
      </c>
    </row>
    <row r="131">
      <c r="K131" s="3">
        <f>IF(AND(IF($B$3="(todos)",TRUE,'ORDENES'!$O127=$B$3),IF($D$3="(todos)",TRUE,'ORDENES'!$AC127=$D$3),IF($F$3="(todos)",TRUE,'ORDENES'!$V127=$F$3),'ORDENES'!$AA127=TRUE),'ORDENES'!$AN127&amp;" | "&amp;'ORDENES'!$R127&amp;" | "&amp;IF('ORDENES'!$AB127="","(sin técnico)",'ORDENES'!$AB127)&amp;" | "&amp;'ORDENES'!$D127&amp;" ("&amp;'ORDENES'!$M127&amp;" h)","")</f>
        <v/>
      </c>
    </row>
    <row r="132">
      <c r="K132" s="3">
        <f>IF(AND(IF($B$3="(todos)",TRUE,'ORDENES'!$O128=$B$3),IF($D$3="(todos)",TRUE,'ORDENES'!$AC128=$D$3),IF($F$3="(todos)",TRUE,'ORDENES'!$V128=$F$3),'ORDENES'!$AA128=TRUE),'ORDENES'!$AN128&amp;" | "&amp;'ORDENES'!$R128&amp;" | "&amp;IF('ORDENES'!$AB128="","(sin técnico)",'ORDENES'!$AB128)&amp;" | "&amp;'ORDENES'!$D128&amp;" ("&amp;'ORDENES'!$M128&amp;" h)","")</f>
        <v/>
      </c>
    </row>
    <row r="133">
      <c r="K133" s="3">
        <f>IF(AND(IF($B$3="(todos)",TRUE,'ORDENES'!$O129=$B$3),IF($D$3="(todos)",TRUE,'ORDENES'!$AC129=$D$3),IF($F$3="(todos)",TRUE,'ORDENES'!$V129=$F$3),'ORDENES'!$AA129=TRUE),'ORDENES'!$AN129&amp;" | "&amp;'ORDENES'!$R129&amp;" | "&amp;IF('ORDENES'!$AB129="","(sin técnico)",'ORDENES'!$AB129)&amp;" | "&amp;'ORDENES'!$D129&amp;" ("&amp;'ORDENES'!$M129&amp;" h)","")</f>
        <v/>
      </c>
    </row>
    <row r="134">
      <c r="K134" s="3">
        <f>IF(AND(IF($B$3="(todos)",TRUE,'ORDENES'!$O130=$B$3),IF($D$3="(todos)",TRUE,'ORDENES'!$AC130=$D$3),IF($F$3="(todos)",TRUE,'ORDENES'!$V130=$F$3),'ORDENES'!$AA130=TRUE),'ORDENES'!$AN130&amp;" | "&amp;'ORDENES'!$R130&amp;" | "&amp;IF('ORDENES'!$AB130="","(sin técnico)",'ORDENES'!$AB130)&amp;" | "&amp;'ORDENES'!$D130&amp;" ("&amp;'ORDENES'!$M130&amp;" h)","")</f>
        <v/>
      </c>
    </row>
    <row r="135">
      <c r="K135" s="3">
        <f>IF(AND(IF($B$3="(todos)",TRUE,'ORDENES'!$O131=$B$3),IF($D$3="(todos)",TRUE,'ORDENES'!$AC131=$D$3),IF($F$3="(todos)",TRUE,'ORDENES'!$V131=$F$3),'ORDENES'!$AA131=TRUE),'ORDENES'!$AN131&amp;" | "&amp;'ORDENES'!$R131&amp;" | "&amp;IF('ORDENES'!$AB131="","(sin técnico)",'ORDENES'!$AB131)&amp;" | "&amp;'ORDENES'!$D131&amp;" ("&amp;'ORDENES'!$M131&amp;" h)","")</f>
        <v/>
      </c>
    </row>
    <row r="136">
      <c r="K136" s="3">
        <f>IF(AND(IF($B$3="(todos)",TRUE,'ORDENES'!$O132=$B$3),IF($D$3="(todos)",TRUE,'ORDENES'!$AC132=$D$3),IF($F$3="(todos)",TRUE,'ORDENES'!$V132=$F$3),'ORDENES'!$AA132=TRUE),'ORDENES'!$AN132&amp;" | "&amp;'ORDENES'!$R132&amp;" | "&amp;IF('ORDENES'!$AB132="","(sin técnico)",'ORDENES'!$AB132)&amp;" | "&amp;'ORDENES'!$D132&amp;" ("&amp;'ORDENES'!$M132&amp;" h)","")</f>
        <v/>
      </c>
    </row>
    <row r="137">
      <c r="K137" s="3">
        <f>IF(AND(IF($B$3="(todos)",TRUE,'ORDENES'!$O133=$B$3),IF($D$3="(todos)",TRUE,'ORDENES'!$AC133=$D$3),IF($F$3="(todos)",TRUE,'ORDENES'!$V133=$F$3),'ORDENES'!$AA133=TRUE),'ORDENES'!$AN133&amp;" | "&amp;'ORDENES'!$R133&amp;" | "&amp;IF('ORDENES'!$AB133="","(sin técnico)",'ORDENES'!$AB133)&amp;" | "&amp;'ORDENES'!$D133&amp;" ("&amp;'ORDENES'!$M133&amp;" h)","")</f>
        <v/>
      </c>
    </row>
    <row r="138">
      <c r="K138" s="3">
        <f>IF(AND(IF($B$3="(todos)",TRUE,'ORDENES'!$O134=$B$3),IF($D$3="(todos)",TRUE,'ORDENES'!$AC134=$D$3),IF($F$3="(todos)",TRUE,'ORDENES'!$V134=$F$3),'ORDENES'!$AA134=TRUE),'ORDENES'!$AN134&amp;" | "&amp;'ORDENES'!$R134&amp;" | "&amp;IF('ORDENES'!$AB134="","(sin técnico)",'ORDENES'!$AB134)&amp;" | "&amp;'ORDENES'!$D134&amp;" ("&amp;'ORDENES'!$M134&amp;" h)","")</f>
        <v/>
      </c>
    </row>
    <row r="139">
      <c r="K139" s="3">
        <f>IF(AND(IF($B$3="(todos)",TRUE,'ORDENES'!$O135=$B$3),IF($D$3="(todos)",TRUE,'ORDENES'!$AC135=$D$3),IF($F$3="(todos)",TRUE,'ORDENES'!$V135=$F$3),'ORDENES'!$AA135=TRUE),'ORDENES'!$AN135&amp;" | "&amp;'ORDENES'!$R135&amp;" | "&amp;IF('ORDENES'!$AB135="","(sin técnico)",'ORDENES'!$AB135)&amp;" | "&amp;'ORDENES'!$D135&amp;" ("&amp;'ORDENES'!$M135&amp;" h)","")</f>
        <v/>
      </c>
    </row>
    <row r="140">
      <c r="K140" s="3">
        <f>IF(AND(IF($B$3="(todos)",TRUE,'ORDENES'!$O136=$B$3),IF($D$3="(todos)",TRUE,'ORDENES'!$AC136=$D$3),IF($F$3="(todos)",TRUE,'ORDENES'!$V136=$F$3),'ORDENES'!$AA136=TRUE),'ORDENES'!$AN136&amp;" | "&amp;'ORDENES'!$R136&amp;" | "&amp;IF('ORDENES'!$AB136="","(sin técnico)",'ORDENES'!$AB136)&amp;" | "&amp;'ORDENES'!$D136&amp;" ("&amp;'ORDENES'!$M136&amp;" h)","")</f>
        <v/>
      </c>
    </row>
    <row r="141">
      <c r="K141" s="3">
        <f>IF(AND(IF($B$3="(todos)",TRUE,'ORDENES'!$O137=$B$3),IF($D$3="(todos)",TRUE,'ORDENES'!$AC137=$D$3),IF($F$3="(todos)",TRUE,'ORDENES'!$V137=$F$3),'ORDENES'!$AA137=TRUE),'ORDENES'!$AN137&amp;" | "&amp;'ORDENES'!$R137&amp;" | "&amp;IF('ORDENES'!$AB137="","(sin técnico)",'ORDENES'!$AB137)&amp;" | "&amp;'ORDENES'!$D137&amp;" ("&amp;'ORDENES'!$M137&amp;" h)","")</f>
        <v/>
      </c>
    </row>
    <row r="142">
      <c r="K142" s="3">
        <f>IF(AND(IF($B$3="(todos)",TRUE,'ORDENES'!$O138=$B$3),IF($D$3="(todos)",TRUE,'ORDENES'!$AC138=$D$3),IF($F$3="(todos)",TRUE,'ORDENES'!$V138=$F$3),'ORDENES'!$AA138=TRUE),'ORDENES'!$AN138&amp;" | "&amp;'ORDENES'!$R138&amp;" | "&amp;IF('ORDENES'!$AB138="","(sin técnico)",'ORDENES'!$AB138)&amp;" | "&amp;'ORDENES'!$D138&amp;" ("&amp;'ORDENES'!$M138&amp;" h)","")</f>
        <v/>
      </c>
    </row>
    <row r="143">
      <c r="K143" s="3">
        <f>IF(AND(IF($B$3="(todos)",TRUE,'ORDENES'!$O139=$B$3),IF($D$3="(todos)",TRUE,'ORDENES'!$AC139=$D$3),IF($F$3="(todos)",TRUE,'ORDENES'!$V139=$F$3),'ORDENES'!$AA139=TRUE),'ORDENES'!$AN139&amp;" | "&amp;'ORDENES'!$R139&amp;" | "&amp;IF('ORDENES'!$AB139="","(sin técnico)",'ORDENES'!$AB139)&amp;" | "&amp;'ORDENES'!$D139&amp;" ("&amp;'ORDENES'!$M139&amp;" h)","")</f>
        <v/>
      </c>
    </row>
    <row r="144">
      <c r="K144" s="3">
        <f>IF(AND(IF($B$3="(todos)",TRUE,'ORDENES'!$O140=$B$3),IF($D$3="(todos)",TRUE,'ORDENES'!$AC140=$D$3),IF($F$3="(todos)",TRUE,'ORDENES'!$V140=$F$3),'ORDENES'!$AA140=TRUE),'ORDENES'!$AN140&amp;" | "&amp;'ORDENES'!$R140&amp;" | "&amp;IF('ORDENES'!$AB140="","(sin técnico)",'ORDENES'!$AB140)&amp;" | "&amp;'ORDENES'!$D140&amp;" ("&amp;'ORDENES'!$M140&amp;" h)","")</f>
        <v/>
      </c>
    </row>
    <row r="145">
      <c r="K145" s="3">
        <f>IF(AND(IF($B$3="(todos)",TRUE,'ORDENES'!$O141=$B$3),IF($D$3="(todos)",TRUE,'ORDENES'!$AC141=$D$3),IF($F$3="(todos)",TRUE,'ORDENES'!$V141=$F$3),'ORDENES'!$AA141=TRUE),'ORDENES'!$AN141&amp;" | "&amp;'ORDENES'!$R141&amp;" | "&amp;IF('ORDENES'!$AB141="","(sin técnico)",'ORDENES'!$AB141)&amp;" | "&amp;'ORDENES'!$D141&amp;" ("&amp;'ORDENES'!$M141&amp;" h)","")</f>
        <v/>
      </c>
    </row>
    <row r="146">
      <c r="K146" s="3">
        <f>IF(AND(IF($B$3="(todos)",TRUE,'ORDENES'!$O142=$B$3),IF($D$3="(todos)",TRUE,'ORDENES'!$AC142=$D$3),IF($F$3="(todos)",TRUE,'ORDENES'!$V142=$F$3),'ORDENES'!$AA142=TRUE),'ORDENES'!$AN142&amp;" | "&amp;'ORDENES'!$R142&amp;" | "&amp;IF('ORDENES'!$AB142="","(sin técnico)",'ORDENES'!$AB142)&amp;" | "&amp;'ORDENES'!$D142&amp;" ("&amp;'ORDENES'!$M142&amp;" h)","")</f>
        <v/>
      </c>
    </row>
    <row r="147">
      <c r="K147" s="3">
        <f>IF(AND(IF($B$3="(todos)",TRUE,'ORDENES'!$O143=$B$3),IF($D$3="(todos)",TRUE,'ORDENES'!$AC143=$D$3),IF($F$3="(todos)",TRUE,'ORDENES'!$V143=$F$3),'ORDENES'!$AA143=TRUE),'ORDENES'!$AN143&amp;" | "&amp;'ORDENES'!$R143&amp;" | "&amp;IF('ORDENES'!$AB143="","(sin técnico)",'ORDENES'!$AB143)&amp;" | "&amp;'ORDENES'!$D143&amp;" ("&amp;'ORDENES'!$M143&amp;" h)","")</f>
        <v/>
      </c>
    </row>
    <row r="148">
      <c r="K148" s="3">
        <f>IF(AND(IF($B$3="(todos)",TRUE,'ORDENES'!$O144=$B$3),IF($D$3="(todos)",TRUE,'ORDENES'!$AC144=$D$3),IF($F$3="(todos)",TRUE,'ORDENES'!$V144=$F$3),'ORDENES'!$AA144=TRUE),'ORDENES'!$AN144&amp;" | "&amp;'ORDENES'!$R144&amp;" | "&amp;IF('ORDENES'!$AB144="","(sin técnico)",'ORDENES'!$AB144)&amp;" | "&amp;'ORDENES'!$D144&amp;" ("&amp;'ORDENES'!$M144&amp;" h)","")</f>
        <v/>
      </c>
    </row>
    <row r="149">
      <c r="K149" s="3">
        <f>IF(AND(IF($B$3="(todos)",TRUE,'ORDENES'!$O145=$B$3),IF($D$3="(todos)",TRUE,'ORDENES'!$AC145=$D$3),IF($F$3="(todos)",TRUE,'ORDENES'!$V145=$F$3),'ORDENES'!$AA145=TRUE),'ORDENES'!$AN145&amp;" | "&amp;'ORDENES'!$R145&amp;" | "&amp;IF('ORDENES'!$AB145="","(sin técnico)",'ORDENES'!$AB145)&amp;" | "&amp;'ORDENES'!$D145&amp;" ("&amp;'ORDENES'!$M145&amp;" h)","")</f>
        <v/>
      </c>
    </row>
    <row r="150">
      <c r="K150" s="3">
        <f>IF(AND(IF($B$3="(todos)",TRUE,'ORDENES'!$O146=$B$3),IF($D$3="(todos)",TRUE,'ORDENES'!$AC146=$D$3),IF($F$3="(todos)",TRUE,'ORDENES'!$V146=$F$3),'ORDENES'!$AA146=TRUE),'ORDENES'!$AN146&amp;" | "&amp;'ORDENES'!$R146&amp;" | "&amp;IF('ORDENES'!$AB146="","(sin técnico)",'ORDENES'!$AB146)&amp;" | "&amp;'ORDENES'!$D146&amp;" ("&amp;'ORDENES'!$M146&amp;" h)","")</f>
        <v/>
      </c>
    </row>
    <row r="151">
      <c r="K151" s="3">
        <f>IF(AND(IF($B$3="(todos)",TRUE,'ORDENES'!$O147=$B$3),IF($D$3="(todos)",TRUE,'ORDENES'!$AC147=$D$3),IF($F$3="(todos)",TRUE,'ORDENES'!$V147=$F$3),'ORDENES'!$AA147=TRUE),'ORDENES'!$AN147&amp;" | "&amp;'ORDENES'!$R147&amp;" | "&amp;IF('ORDENES'!$AB147="","(sin técnico)",'ORDENES'!$AB147)&amp;" | "&amp;'ORDENES'!$D147&amp;" ("&amp;'ORDENES'!$M147&amp;" h)","")</f>
        <v/>
      </c>
    </row>
    <row r="152">
      <c r="K152" s="3">
        <f>IF(AND(IF($B$3="(todos)",TRUE,'ORDENES'!$O148=$B$3),IF($D$3="(todos)",TRUE,'ORDENES'!$AC148=$D$3),IF($F$3="(todos)",TRUE,'ORDENES'!$V148=$F$3),'ORDENES'!$AA148=TRUE),'ORDENES'!$AN148&amp;" | "&amp;'ORDENES'!$R148&amp;" | "&amp;IF('ORDENES'!$AB148="","(sin técnico)",'ORDENES'!$AB148)&amp;" | "&amp;'ORDENES'!$D148&amp;" ("&amp;'ORDENES'!$M148&amp;" h)","")</f>
        <v/>
      </c>
    </row>
    <row r="153">
      <c r="K153" s="3">
        <f>IF(AND(IF($B$3="(todos)",TRUE,'ORDENES'!$O149=$B$3),IF($D$3="(todos)",TRUE,'ORDENES'!$AC149=$D$3),IF($F$3="(todos)",TRUE,'ORDENES'!$V149=$F$3),'ORDENES'!$AA149=TRUE),'ORDENES'!$AN149&amp;" | "&amp;'ORDENES'!$R149&amp;" | "&amp;IF('ORDENES'!$AB149="","(sin técnico)",'ORDENES'!$AB149)&amp;" | "&amp;'ORDENES'!$D149&amp;" ("&amp;'ORDENES'!$M149&amp;" h)","")</f>
        <v/>
      </c>
    </row>
    <row r="154">
      <c r="K154" s="3">
        <f>IF(AND(IF($B$3="(todos)",TRUE,'ORDENES'!$O150=$B$3),IF($D$3="(todos)",TRUE,'ORDENES'!$AC150=$D$3),IF($F$3="(todos)",TRUE,'ORDENES'!$V150=$F$3),'ORDENES'!$AA150=TRUE),'ORDENES'!$AN150&amp;" | "&amp;'ORDENES'!$R150&amp;" | "&amp;IF('ORDENES'!$AB150="","(sin técnico)",'ORDENES'!$AB150)&amp;" | "&amp;'ORDENES'!$D150&amp;" ("&amp;'ORDENES'!$M150&amp;" h)","")</f>
        <v/>
      </c>
    </row>
    <row r="155">
      <c r="K155" s="3">
        <f>IF(AND(IF($B$3="(todos)",TRUE,'ORDENES'!$O151=$B$3),IF($D$3="(todos)",TRUE,'ORDENES'!$AC151=$D$3),IF($F$3="(todos)",TRUE,'ORDENES'!$V151=$F$3),'ORDENES'!$AA151=TRUE),'ORDENES'!$AN151&amp;" | "&amp;'ORDENES'!$R151&amp;" | "&amp;IF('ORDENES'!$AB151="","(sin técnico)",'ORDENES'!$AB151)&amp;" | "&amp;'ORDENES'!$D151&amp;" ("&amp;'ORDENES'!$M151&amp;" h)","")</f>
        <v/>
      </c>
    </row>
    <row r="156">
      <c r="K156" s="3">
        <f>IF(AND(IF($B$3="(todos)",TRUE,'ORDENES'!$O152=$B$3),IF($D$3="(todos)",TRUE,'ORDENES'!$AC152=$D$3),IF($F$3="(todos)",TRUE,'ORDENES'!$V152=$F$3),'ORDENES'!$AA152=TRUE),'ORDENES'!$AN152&amp;" | "&amp;'ORDENES'!$R152&amp;" | "&amp;IF('ORDENES'!$AB152="","(sin técnico)",'ORDENES'!$AB152)&amp;" | "&amp;'ORDENES'!$D152&amp;" ("&amp;'ORDENES'!$M152&amp;" h)","")</f>
        <v/>
      </c>
    </row>
    <row r="157">
      <c r="K157" s="3">
        <f>IF(AND(IF($B$3="(todos)",TRUE,'ORDENES'!$O153=$B$3),IF($D$3="(todos)",TRUE,'ORDENES'!$AC153=$D$3),IF($F$3="(todos)",TRUE,'ORDENES'!$V153=$F$3),'ORDENES'!$AA153=TRUE),'ORDENES'!$AN153&amp;" | "&amp;'ORDENES'!$R153&amp;" | "&amp;IF('ORDENES'!$AB153="","(sin técnico)",'ORDENES'!$AB153)&amp;" | "&amp;'ORDENES'!$D153&amp;" ("&amp;'ORDENES'!$M153&amp;" h)","")</f>
        <v/>
      </c>
    </row>
    <row r="158">
      <c r="K158" s="3">
        <f>IF(AND(IF($B$3="(todos)",TRUE,'ORDENES'!$O154=$B$3),IF($D$3="(todos)",TRUE,'ORDENES'!$AC154=$D$3),IF($F$3="(todos)",TRUE,'ORDENES'!$V154=$F$3),'ORDENES'!$AA154=TRUE),'ORDENES'!$AN154&amp;" | "&amp;'ORDENES'!$R154&amp;" | "&amp;IF('ORDENES'!$AB154="","(sin técnico)",'ORDENES'!$AB154)&amp;" | "&amp;'ORDENES'!$D154&amp;" ("&amp;'ORDENES'!$M154&amp;" h)","")</f>
        <v/>
      </c>
    </row>
    <row r="159">
      <c r="K159" s="3">
        <f>IF(AND(IF($B$3="(todos)",TRUE,'ORDENES'!$O155=$B$3),IF($D$3="(todos)",TRUE,'ORDENES'!$AC155=$D$3),IF($F$3="(todos)",TRUE,'ORDENES'!$V155=$F$3),'ORDENES'!$AA155=TRUE),'ORDENES'!$AN155&amp;" | "&amp;'ORDENES'!$R155&amp;" | "&amp;IF('ORDENES'!$AB155="","(sin técnico)",'ORDENES'!$AB155)&amp;" | "&amp;'ORDENES'!$D155&amp;" ("&amp;'ORDENES'!$M155&amp;" h)","")</f>
        <v/>
      </c>
    </row>
    <row r="160">
      <c r="K160" s="3">
        <f>IF(AND(IF($B$3="(todos)",TRUE,'ORDENES'!$O156=$B$3),IF($D$3="(todos)",TRUE,'ORDENES'!$AC156=$D$3),IF($F$3="(todos)",TRUE,'ORDENES'!$V156=$F$3),'ORDENES'!$AA156=TRUE),'ORDENES'!$AN156&amp;" | "&amp;'ORDENES'!$R156&amp;" | "&amp;IF('ORDENES'!$AB156="","(sin técnico)",'ORDENES'!$AB156)&amp;" | "&amp;'ORDENES'!$D156&amp;" ("&amp;'ORDENES'!$M156&amp;" h)","")</f>
        <v/>
      </c>
    </row>
    <row r="161">
      <c r="K161" s="3">
        <f>IF(AND(IF($B$3="(todos)",TRUE,'ORDENES'!$O157=$B$3),IF($D$3="(todos)",TRUE,'ORDENES'!$AC157=$D$3),IF($F$3="(todos)",TRUE,'ORDENES'!$V157=$F$3),'ORDENES'!$AA157=TRUE),'ORDENES'!$AN157&amp;" | "&amp;'ORDENES'!$R157&amp;" | "&amp;IF('ORDENES'!$AB157="","(sin técnico)",'ORDENES'!$AB157)&amp;" | "&amp;'ORDENES'!$D157&amp;" ("&amp;'ORDENES'!$M157&amp;" h)","")</f>
        <v/>
      </c>
    </row>
    <row r="162">
      <c r="K162" s="3">
        <f>IF(AND(IF($B$3="(todos)",TRUE,'ORDENES'!$O158=$B$3),IF($D$3="(todos)",TRUE,'ORDENES'!$AC158=$D$3),IF($F$3="(todos)",TRUE,'ORDENES'!$V158=$F$3),'ORDENES'!$AA158=TRUE),'ORDENES'!$AN158&amp;" | "&amp;'ORDENES'!$R158&amp;" | "&amp;IF('ORDENES'!$AB158="","(sin técnico)",'ORDENES'!$AB158)&amp;" | "&amp;'ORDENES'!$D158&amp;" ("&amp;'ORDENES'!$M158&amp;" h)","")</f>
        <v/>
      </c>
    </row>
    <row r="163">
      <c r="K163" s="3">
        <f>IF(AND(IF($B$3="(todos)",TRUE,'ORDENES'!$O159=$B$3),IF($D$3="(todos)",TRUE,'ORDENES'!$AC159=$D$3),IF($F$3="(todos)",TRUE,'ORDENES'!$V159=$F$3),'ORDENES'!$AA159=TRUE),'ORDENES'!$AN159&amp;" | "&amp;'ORDENES'!$R159&amp;" | "&amp;IF('ORDENES'!$AB159="","(sin técnico)",'ORDENES'!$AB159)&amp;" | "&amp;'ORDENES'!$D159&amp;" ("&amp;'ORDENES'!$M159&amp;" h)","")</f>
        <v/>
      </c>
    </row>
    <row r="164">
      <c r="K164" s="3">
        <f>IF(AND(IF($B$3="(todos)",TRUE,'ORDENES'!$O160=$B$3),IF($D$3="(todos)",TRUE,'ORDENES'!$AC160=$D$3),IF($F$3="(todos)",TRUE,'ORDENES'!$V160=$F$3),'ORDENES'!$AA160=TRUE),'ORDENES'!$AN160&amp;" | "&amp;'ORDENES'!$R160&amp;" | "&amp;IF('ORDENES'!$AB160="","(sin técnico)",'ORDENES'!$AB160)&amp;" | "&amp;'ORDENES'!$D160&amp;" ("&amp;'ORDENES'!$M160&amp;" h)","")</f>
        <v/>
      </c>
    </row>
    <row r="165">
      <c r="K165" s="3">
        <f>IF(AND(IF($B$3="(todos)",TRUE,'ORDENES'!$O161=$B$3),IF($D$3="(todos)",TRUE,'ORDENES'!$AC161=$D$3),IF($F$3="(todos)",TRUE,'ORDENES'!$V161=$F$3),'ORDENES'!$AA161=TRUE),'ORDENES'!$AN161&amp;" | "&amp;'ORDENES'!$R161&amp;" | "&amp;IF('ORDENES'!$AB161="","(sin técnico)",'ORDENES'!$AB161)&amp;" | "&amp;'ORDENES'!$D161&amp;" ("&amp;'ORDENES'!$M161&amp;" h)","")</f>
        <v/>
      </c>
    </row>
    <row r="166">
      <c r="K166" s="3">
        <f>IF(AND(IF($B$3="(todos)",TRUE,'ORDENES'!$O162=$B$3),IF($D$3="(todos)",TRUE,'ORDENES'!$AC162=$D$3),IF($F$3="(todos)",TRUE,'ORDENES'!$V162=$F$3),'ORDENES'!$AA162=TRUE),'ORDENES'!$AN162&amp;" | "&amp;'ORDENES'!$R162&amp;" | "&amp;IF('ORDENES'!$AB162="","(sin técnico)",'ORDENES'!$AB162)&amp;" | "&amp;'ORDENES'!$D162&amp;" ("&amp;'ORDENES'!$M162&amp;" h)","")</f>
        <v/>
      </c>
    </row>
    <row r="167">
      <c r="K167" s="3">
        <f>IF(AND(IF($B$3="(todos)",TRUE,'ORDENES'!$O163=$B$3),IF($D$3="(todos)",TRUE,'ORDENES'!$AC163=$D$3),IF($F$3="(todos)",TRUE,'ORDENES'!$V163=$F$3),'ORDENES'!$AA163=TRUE),'ORDENES'!$AN163&amp;" | "&amp;'ORDENES'!$R163&amp;" | "&amp;IF('ORDENES'!$AB163="","(sin técnico)",'ORDENES'!$AB163)&amp;" | "&amp;'ORDENES'!$D163&amp;" ("&amp;'ORDENES'!$M163&amp;" h)","")</f>
        <v/>
      </c>
    </row>
    <row r="168">
      <c r="K168" s="3">
        <f>IF(AND(IF($B$3="(todos)",TRUE,'ORDENES'!$O164=$B$3),IF($D$3="(todos)",TRUE,'ORDENES'!$AC164=$D$3),IF($F$3="(todos)",TRUE,'ORDENES'!$V164=$F$3),'ORDENES'!$AA164=TRUE),'ORDENES'!$AN164&amp;" | "&amp;'ORDENES'!$R164&amp;" | "&amp;IF('ORDENES'!$AB164="","(sin técnico)",'ORDENES'!$AB164)&amp;" | "&amp;'ORDENES'!$D164&amp;" ("&amp;'ORDENES'!$M164&amp;" h)","")</f>
        <v/>
      </c>
    </row>
    <row r="169">
      <c r="K169" s="3">
        <f>IF(AND(IF($B$3="(todos)",TRUE,'ORDENES'!$O165=$B$3),IF($D$3="(todos)",TRUE,'ORDENES'!$AC165=$D$3),IF($F$3="(todos)",TRUE,'ORDENES'!$V165=$F$3),'ORDENES'!$AA165=TRUE),'ORDENES'!$AN165&amp;" | "&amp;'ORDENES'!$R165&amp;" | "&amp;IF('ORDENES'!$AB165="","(sin técnico)",'ORDENES'!$AB165)&amp;" | "&amp;'ORDENES'!$D165&amp;" ("&amp;'ORDENES'!$M165&amp;" h)","")</f>
        <v/>
      </c>
    </row>
    <row r="170">
      <c r="K170" s="3">
        <f>IF(AND(IF($B$3="(todos)",TRUE,'ORDENES'!$O166=$B$3),IF($D$3="(todos)",TRUE,'ORDENES'!$AC166=$D$3),IF($F$3="(todos)",TRUE,'ORDENES'!$V166=$F$3),'ORDENES'!$AA166=TRUE),'ORDENES'!$AN166&amp;" | "&amp;'ORDENES'!$R166&amp;" | "&amp;IF('ORDENES'!$AB166="","(sin técnico)",'ORDENES'!$AB166)&amp;" | "&amp;'ORDENES'!$D166&amp;" ("&amp;'ORDENES'!$M166&amp;" h)","")</f>
        <v/>
      </c>
    </row>
    <row r="171">
      <c r="K171" s="3">
        <f>IF(AND(IF($B$3="(todos)",TRUE,'ORDENES'!$O167=$B$3),IF($D$3="(todos)",TRUE,'ORDENES'!$AC167=$D$3),IF($F$3="(todos)",TRUE,'ORDENES'!$V167=$F$3),'ORDENES'!$AA167=TRUE),'ORDENES'!$AN167&amp;" | "&amp;'ORDENES'!$R167&amp;" | "&amp;IF('ORDENES'!$AB167="","(sin técnico)",'ORDENES'!$AB167)&amp;" | "&amp;'ORDENES'!$D167&amp;" ("&amp;'ORDENES'!$M167&amp;" h)","")</f>
        <v/>
      </c>
    </row>
    <row r="172">
      <c r="K172" s="3">
        <f>IF(AND(IF($B$3="(todos)",TRUE,'ORDENES'!$O168=$B$3),IF($D$3="(todos)",TRUE,'ORDENES'!$AC168=$D$3),IF($F$3="(todos)",TRUE,'ORDENES'!$V168=$F$3),'ORDENES'!$AA168=TRUE),'ORDENES'!$AN168&amp;" | "&amp;'ORDENES'!$R168&amp;" | "&amp;IF('ORDENES'!$AB168="","(sin técnico)",'ORDENES'!$AB168)&amp;" | "&amp;'ORDENES'!$D168&amp;" ("&amp;'ORDENES'!$M168&amp;" h)","")</f>
        <v/>
      </c>
    </row>
    <row r="173">
      <c r="K173" s="3">
        <f>IF(AND(IF($B$3="(todos)",TRUE,'ORDENES'!$O169=$B$3),IF($D$3="(todos)",TRUE,'ORDENES'!$AC169=$D$3),IF($F$3="(todos)",TRUE,'ORDENES'!$V169=$F$3),'ORDENES'!$AA169=TRUE),'ORDENES'!$AN169&amp;" | "&amp;'ORDENES'!$R169&amp;" | "&amp;IF('ORDENES'!$AB169="","(sin técnico)",'ORDENES'!$AB169)&amp;" | "&amp;'ORDENES'!$D169&amp;" ("&amp;'ORDENES'!$M169&amp;" h)","")</f>
        <v/>
      </c>
    </row>
    <row r="174">
      <c r="K174" s="3">
        <f>IF(AND(IF($B$3="(todos)",TRUE,'ORDENES'!$O170=$B$3),IF($D$3="(todos)",TRUE,'ORDENES'!$AC170=$D$3),IF($F$3="(todos)",TRUE,'ORDENES'!$V170=$F$3),'ORDENES'!$AA170=TRUE),'ORDENES'!$AN170&amp;" | "&amp;'ORDENES'!$R170&amp;" | "&amp;IF('ORDENES'!$AB170="","(sin técnico)",'ORDENES'!$AB170)&amp;" | "&amp;'ORDENES'!$D170&amp;" ("&amp;'ORDENES'!$M170&amp;" h)","")</f>
        <v/>
      </c>
    </row>
    <row r="175">
      <c r="K175" s="3">
        <f>IF(AND(IF($B$3="(todos)",TRUE,'ORDENES'!$O171=$B$3),IF($D$3="(todos)",TRUE,'ORDENES'!$AC171=$D$3),IF($F$3="(todos)",TRUE,'ORDENES'!$V171=$F$3),'ORDENES'!$AA171=TRUE),'ORDENES'!$AN171&amp;" | "&amp;'ORDENES'!$R171&amp;" | "&amp;IF('ORDENES'!$AB171="","(sin técnico)",'ORDENES'!$AB171)&amp;" | "&amp;'ORDENES'!$D171&amp;" ("&amp;'ORDENES'!$M171&amp;" h)","")</f>
        <v/>
      </c>
    </row>
    <row r="176">
      <c r="K176" s="3">
        <f>IF(AND(IF($B$3="(todos)",TRUE,'ORDENES'!$O172=$B$3),IF($D$3="(todos)",TRUE,'ORDENES'!$AC172=$D$3),IF($F$3="(todos)",TRUE,'ORDENES'!$V172=$F$3),'ORDENES'!$AA172=TRUE),'ORDENES'!$AN172&amp;" | "&amp;'ORDENES'!$R172&amp;" | "&amp;IF('ORDENES'!$AB172="","(sin técnico)",'ORDENES'!$AB172)&amp;" | "&amp;'ORDENES'!$D172&amp;" ("&amp;'ORDENES'!$M172&amp;" h)","")</f>
        <v/>
      </c>
    </row>
    <row r="177">
      <c r="K177" s="3">
        <f>IF(AND(IF($B$3="(todos)",TRUE,'ORDENES'!$O173=$B$3),IF($D$3="(todos)",TRUE,'ORDENES'!$AC173=$D$3),IF($F$3="(todos)",TRUE,'ORDENES'!$V173=$F$3),'ORDENES'!$AA173=TRUE),'ORDENES'!$AN173&amp;" | "&amp;'ORDENES'!$R173&amp;" | "&amp;IF('ORDENES'!$AB173="","(sin técnico)",'ORDENES'!$AB173)&amp;" | "&amp;'ORDENES'!$D173&amp;" ("&amp;'ORDENES'!$M173&amp;" h)","")</f>
        <v/>
      </c>
    </row>
    <row r="178">
      <c r="K178" s="3">
        <f>IF(AND(IF($B$3="(todos)",TRUE,'ORDENES'!$O174=$B$3),IF($D$3="(todos)",TRUE,'ORDENES'!$AC174=$D$3),IF($F$3="(todos)",TRUE,'ORDENES'!$V174=$F$3),'ORDENES'!$AA174=TRUE),'ORDENES'!$AN174&amp;" | "&amp;'ORDENES'!$R174&amp;" | "&amp;IF('ORDENES'!$AB174="","(sin técnico)",'ORDENES'!$AB174)&amp;" | "&amp;'ORDENES'!$D174&amp;" ("&amp;'ORDENES'!$M174&amp;" h)","")</f>
        <v/>
      </c>
    </row>
    <row r="179">
      <c r="K179" s="3">
        <f>IF(AND(IF($B$3="(todos)",TRUE,'ORDENES'!$O175=$B$3),IF($D$3="(todos)",TRUE,'ORDENES'!$AC175=$D$3),IF($F$3="(todos)",TRUE,'ORDENES'!$V175=$F$3),'ORDENES'!$AA175=TRUE),'ORDENES'!$AN175&amp;" | "&amp;'ORDENES'!$R175&amp;" | "&amp;IF('ORDENES'!$AB175="","(sin técnico)",'ORDENES'!$AB175)&amp;" | "&amp;'ORDENES'!$D175&amp;" ("&amp;'ORDENES'!$M175&amp;" h)","")</f>
        <v/>
      </c>
    </row>
    <row r="180">
      <c r="K180" s="3">
        <f>IF(AND(IF($B$3="(todos)",TRUE,'ORDENES'!$O176=$B$3),IF($D$3="(todos)",TRUE,'ORDENES'!$AC176=$D$3),IF($F$3="(todos)",TRUE,'ORDENES'!$V176=$F$3),'ORDENES'!$AA176=TRUE),'ORDENES'!$AN176&amp;" | "&amp;'ORDENES'!$R176&amp;" | "&amp;IF('ORDENES'!$AB176="","(sin técnico)",'ORDENES'!$AB176)&amp;" | "&amp;'ORDENES'!$D176&amp;" ("&amp;'ORDENES'!$M176&amp;" h)","")</f>
        <v/>
      </c>
    </row>
    <row r="181">
      <c r="K181" s="3">
        <f>IF(AND(IF($B$3="(todos)",TRUE,'ORDENES'!$O177=$B$3),IF($D$3="(todos)",TRUE,'ORDENES'!$AC177=$D$3),IF($F$3="(todos)",TRUE,'ORDENES'!$V177=$F$3),'ORDENES'!$AA177=TRUE),'ORDENES'!$AN177&amp;" | "&amp;'ORDENES'!$R177&amp;" | "&amp;IF('ORDENES'!$AB177="","(sin técnico)",'ORDENES'!$AB177)&amp;" | "&amp;'ORDENES'!$D177&amp;" ("&amp;'ORDENES'!$M177&amp;" h)","")</f>
        <v/>
      </c>
    </row>
    <row r="182">
      <c r="K182" s="3">
        <f>IF(AND(IF($B$3="(todos)",TRUE,'ORDENES'!$O178=$B$3),IF($D$3="(todos)",TRUE,'ORDENES'!$AC178=$D$3),IF($F$3="(todos)",TRUE,'ORDENES'!$V178=$F$3),'ORDENES'!$AA178=TRUE),'ORDENES'!$AN178&amp;" | "&amp;'ORDENES'!$R178&amp;" | "&amp;IF('ORDENES'!$AB178="","(sin técnico)",'ORDENES'!$AB178)&amp;" | "&amp;'ORDENES'!$D178&amp;" ("&amp;'ORDENES'!$M178&amp;" h)","")</f>
        <v/>
      </c>
    </row>
    <row r="183">
      <c r="K183" s="3">
        <f>IF(AND(IF($B$3="(todos)",TRUE,'ORDENES'!$O179=$B$3),IF($D$3="(todos)",TRUE,'ORDENES'!$AC179=$D$3),IF($F$3="(todos)",TRUE,'ORDENES'!$V179=$F$3),'ORDENES'!$AA179=TRUE),'ORDENES'!$AN179&amp;" | "&amp;'ORDENES'!$R179&amp;" | "&amp;IF('ORDENES'!$AB179="","(sin técnico)",'ORDENES'!$AB179)&amp;" | "&amp;'ORDENES'!$D179&amp;" ("&amp;'ORDENES'!$M179&amp;" h)","")</f>
        <v/>
      </c>
    </row>
    <row r="184">
      <c r="K184" s="3">
        <f>IF(AND(IF($B$3="(todos)",TRUE,'ORDENES'!$O180=$B$3),IF($D$3="(todos)",TRUE,'ORDENES'!$AC180=$D$3),IF($F$3="(todos)",TRUE,'ORDENES'!$V180=$F$3),'ORDENES'!$AA180=TRUE),'ORDENES'!$AN180&amp;" | "&amp;'ORDENES'!$R180&amp;" | "&amp;IF('ORDENES'!$AB180="","(sin técnico)",'ORDENES'!$AB180)&amp;" | "&amp;'ORDENES'!$D180&amp;" ("&amp;'ORDENES'!$M180&amp;" h)","")</f>
        <v/>
      </c>
    </row>
    <row r="185">
      <c r="K185" s="3">
        <f>IF(AND(IF($B$3="(todos)",TRUE,'ORDENES'!$O181=$B$3),IF($D$3="(todos)",TRUE,'ORDENES'!$AC181=$D$3),IF($F$3="(todos)",TRUE,'ORDENES'!$V181=$F$3),'ORDENES'!$AA181=TRUE),'ORDENES'!$AN181&amp;" | "&amp;'ORDENES'!$R181&amp;" | "&amp;IF('ORDENES'!$AB181="","(sin técnico)",'ORDENES'!$AB181)&amp;" | "&amp;'ORDENES'!$D181&amp;" ("&amp;'ORDENES'!$M181&amp;" h)","")</f>
        <v/>
      </c>
    </row>
    <row r="186">
      <c r="K186" s="3">
        <f>IF(AND(IF($B$3="(todos)",TRUE,'ORDENES'!$O182=$B$3),IF($D$3="(todos)",TRUE,'ORDENES'!$AC182=$D$3),IF($F$3="(todos)",TRUE,'ORDENES'!$V182=$F$3),'ORDENES'!$AA182=TRUE),'ORDENES'!$AN182&amp;" | "&amp;'ORDENES'!$R182&amp;" | "&amp;IF('ORDENES'!$AB182="","(sin técnico)",'ORDENES'!$AB182)&amp;" | "&amp;'ORDENES'!$D182&amp;" ("&amp;'ORDENES'!$M182&amp;" h)","")</f>
        <v/>
      </c>
    </row>
    <row r="187">
      <c r="K187" s="3">
        <f>IF(AND(IF($B$3="(todos)",TRUE,'ORDENES'!$O183=$B$3),IF($D$3="(todos)",TRUE,'ORDENES'!$AC183=$D$3),IF($F$3="(todos)",TRUE,'ORDENES'!$V183=$F$3),'ORDENES'!$AA183=TRUE),'ORDENES'!$AN183&amp;" | "&amp;'ORDENES'!$R183&amp;" | "&amp;IF('ORDENES'!$AB183="","(sin técnico)",'ORDENES'!$AB183)&amp;" | "&amp;'ORDENES'!$D183&amp;" ("&amp;'ORDENES'!$M183&amp;" h)","")</f>
        <v/>
      </c>
    </row>
    <row r="188">
      <c r="K188" s="3">
        <f>IF(AND(IF($B$3="(todos)",TRUE,'ORDENES'!$O184=$B$3),IF($D$3="(todos)",TRUE,'ORDENES'!$AC184=$D$3),IF($F$3="(todos)",TRUE,'ORDENES'!$V184=$F$3),'ORDENES'!$AA184=TRUE),'ORDENES'!$AN184&amp;" | "&amp;'ORDENES'!$R184&amp;" | "&amp;IF('ORDENES'!$AB184="","(sin técnico)",'ORDENES'!$AB184)&amp;" | "&amp;'ORDENES'!$D184&amp;" ("&amp;'ORDENES'!$M184&amp;" h)","")</f>
        <v/>
      </c>
    </row>
    <row r="189">
      <c r="K189" s="3">
        <f>IF(AND(IF($B$3="(todos)",TRUE,'ORDENES'!$O185=$B$3),IF($D$3="(todos)",TRUE,'ORDENES'!$AC185=$D$3),IF($F$3="(todos)",TRUE,'ORDENES'!$V185=$F$3),'ORDENES'!$AA185=TRUE),'ORDENES'!$AN185&amp;" | "&amp;'ORDENES'!$R185&amp;" | "&amp;IF('ORDENES'!$AB185="","(sin técnico)",'ORDENES'!$AB185)&amp;" | "&amp;'ORDENES'!$D185&amp;" ("&amp;'ORDENES'!$M185&amp;" h)","")</f>
        <v/>
      </c>
    </row>
    <row r="190">
      <c r="K190" s="3">
        <f>IF(AND(IF($B$3="(todos)",TRUE,'ORDENES'!$O186=$B$3),IF($D$3="(todos)",TRUE,'ORDENES'!$AC186=$D$3),IF($F$3="(todos)",TRUE,'ORDENES'!$V186=$F$3),'ORDENES'!$AA186=TRUE),'ORDENES'!$AN186&amp;" | "&amp;'ORDENES'!$R186&amp;" | "&amp;IF('ORDENES'!$AB186="","(sin técnico)",'ORDENES'!$AB186)&amp;" | "&amp;'ORDENES'!$D186&amp;" ("&amp;'ORDENES'!$M186&amp;" h)","")</f>
        <v/>
      </c>
    </row>
    <row r="191">
      <c r="K191" s="3">
        <f>IF(AND(IF($B$3="(todos)",TRUE,'ORDENES'!$O187=$B$3),IF($D$3="(todos)",TRUE,'ORDENES'!$AC187=$D$3),IF($F$3="(todos)",TRUE,'ORDENES'!$V187=$F$3),'ORDENES'!$AA187=TRUE),'ORDENES'!$AN187&amp;" | "&amp;'ORDENES'!$R187&amp;" | "&amp;IF('ORDENES'!$AB187="","(sin técnico)",'ORDENES'!$AB187)&amp;" | "&amp;'ORDENES'!$D187&amp;" ("&amp;'ORDENES'!$M187&amp;" h)","")</f>
        <v/>
      </c>
    </row>
    <row r="192">
      <c r="K192" s="3">
        <f>IF(AND(IF($B$3="(todos)",TRUE,'ORDENES'!$O188=$B$3),IF($D$3="(todos)",TRUE,'ORDENES'!$AC188=$D$3),IF($F$3="(todos)",TRUE,'ORDENES'!$V188=$F$3),'ORDENES'!$AA188=TRUE),'ORDENES'!$AN188&amp;" | "&amp;'ORDENES'!$R188&amp;" | "&amp;IF('ORDENES'!$AB188="","(sin técnico)",'ORDENES'!$AB188)&amp;" | "&amp;'ORDENES'!$D188&amp;" ("&amp;'ORDENES'!$M188&amp;" h)","")</f>
        <v/>
      </c>
    </row>
    <row r="193">
      <c r="K193" s="3">
        <f>IF(AND(IF($B$3="(todos)",TRUE,'ORDENES'!$O189=$B$3),IF($D$3="(todos)",TRUE,'ORDENES'!$AC189=$D$3),IF($F$3="(todos)",TRUE,'ORDENES'!$V189=$F$3),'ORDENES'!$AA189=TRUE),'ORDENES'!$AN189&amp;" | "&amp;'ORDENES'!$R189&amp;" | "&amp;IF('ORDENES'!$AB189="","(sin técnico)",'ORDENES'!$AB189)&amp;" | "&amp;'ORDENES'!$D189&amp;" ("&amp;'ORDENES'!$M189&amp;" h)","")</f>
        <v/>
      </c>
    </row>
    <row r="194">
      <c r="K194" s="3">
        <f>IF(AND(IF($B$3="(todos)",TRUE,'ORDENES'!$O190=$B$3),IF($D$3="(todos)",TRUE,'ORDENES'!$AC190=$D$3),IF($F$3="(todos)",TRUE,'ORDENES'!$V190=$F$3),'ORDENES'!$AA190=TRUE),'ORDENES'!$AN190&amp;" | "&amp;'ORDENES'!$R190&amp;" | "&amp;IF('ORDENES'!$AB190="","(sin técnico)",'ORDENES'!$AB190)&amp;" | "&amp;'ORDENES'!$D190&amp;" ("&amp;'ORDENES'!$M190&amp;" h)","")</f>
        <v/>
      </c>
    </row>
    <row r="195">
      <c r="K195" s="3">
        <f>IF(AND(IF($B$3="(todos)",TRUE,'ORDENES'!$O191=$B$3),IF($D$3="(todos)",TRUE,'ORDENES'!$AC191=$D$3),IF($F$3="(todos)",TRUE,'ORDENES'!$V191=$F$3),'ORDENES'!$AA191=TRUE),'ORDENES'!$AN191&amp;" | "&amp;'ORDENES'!$R191&amp;" | "&amp;IF('ORDENES'!$AB191="","(sin técnico)",'ORDENES'!$AB191)&amp;" | "&amp;'ORDENES'!$D191&amp;" ("&amp;'ORDENES'!$M191&amp;" h)","")</f>
        <v/>
      </c>
    </row>
    <row r="196">
      <c r="K196" s="3">
        <f>IF(AND(IF($B$3="(todos)",TRUE,'ORDENES'!$O192=$B$3),IF($D$3="(todos)",TRUE,'ORDENES'!$AC192=$D$3),IF($F$3="(todos)",TRUE,'ORDENES'!$V192=$F$3),'ORDENES'!$AA192=TRUE),'ORDENES'!$AN192&amp;" | "&amp;'ORDENES'!$R192&amp;" | "&amp;IF('ORDENES'!$AB192="","(sin técnico)",'ORDENES'!$AB192)&amp;" | "&amp;'ORDENES'!$D192&amp;" ("&amp;'ORDENES'!$M192&amp;" h)","")</f>
        <v/>
      </c>
    </row>
    <row r="197">
      <c r="K197" s="3">
        <f>IF(AND(IF($B$3="(todos)",TRUE,'ORDENES'!$O193=$B$3),IF($D$3="(todos)",TRUE,'ORDENES'!$AC193=$D$3),IF($F$3="(todos)",TRUE,'ORDENES'!$V193=$F$3),'ORDENES'!$AA193=TRUE),'ORDENES'!$AN193&amp;" | "&amp;'ORDENES'!$R193&amp;" | "&amp;IF('ORDENES'!$AB193="","(sin técnico)",'ORDENES'!$AB193)&amp;" | "&amp;'ORDENES'!$D193&amp;" ("&amp;'ORDENES'!$M193&amp;" h)","")</f>
        <v/>
      </c>
    </row>
    <row r="198">
      <c r="K198" s="3">
        <f>IF(AND(IF($B$3="(todos)",TRUE,'ORDENES'!$O194=$B$3),IF($D$3="(todos)",TRUE,'ORDENES'!$AC194=$D$3),IF($F$3="(todos)",TRUE,'ORDENES'!$V194=$F$3),'ORDENES'!$AA194=TRUE),'ORDENES'!$AN194&amp;" | "&amp;'ORDENES'!$R194&amp;" | "&amp;IF('ORDENES'!$AB194="","(sin técnico)",'ORDENES'!$AB194)&amp;" | "&amp;'ORDENES'!$D194&amp;" ("&amp;'ORDENES'!$M194&amp;" h)","")</f>
        <v/>
      </c>
    </row>
    <row r="199">
      <c r="K199" s="3">
        <f>IF(AND(IF($B$3="(todos)",TRUE,'ORDENES'!$O195=$B$3),IF($D$3="(todos)",TRUE,'ORDENES'!$AC195=$D$3),IF($F$3="(todos)",TRUE,'ORDENES'!$V195=$F$3),'ORDENES'!$AA195=TRUE),'ORDENES'!$AN195&amp;" | "&amp;'ORDENES'!$R195&amp;" | "&amp;IF('ORDENES'!$AB195="","(sin técnico)",'ORDENES'!$AB195)&amp;" | "&amp;'ORDENES'!$D195&amp;" ("&amp;'ORDENES'!$M195&amp;" h)","")</f>
        <v/>
      </c>
    </row>
    <row r="200">
      <c r="K200" s="3">
        <f>IF(AND(IF($B$3="(todos)",TRUE,'ORDENES'!$O196=$B$3),IF($D$3="(todos)",TRUE,'ORDENES'!$AC196=$D$3),IF($F$3="(todos)",TRUE,'ORDENES'!$V196=$F$3),'ORDENES'!$AA196=TRUE),'ORDENES'!$AN196&amp;" | "&amp;'ORDENES'!$R196&amp;" | "&amp;IF('ORDENES'!$AB196="","(sin técnico)",'ORDENES'!$AB196)&amp;" | "&amp;'ORDENES'!$D196&amp;" ("&amp;'ORDENES'!$M196&amp;" h)","")</f>
        <v/>
      </c>
    </row>
    <row r="201">
      <c r="K201" s="3">
        <f>IF(AND(IF($B$3="(todos)",TRUE,'ORDENES'!$O197=$B$3),IF($D$3="(todos)",TRUE,'ORDENES'!$AC197=$D$3),IF($F$3="(todos)",TRUE,'ORDENES'!$V197=$F$3),'ORDENES'!$AA197=TRUE),'ORDENES'!$AN197&amp;" | "&amp;'ORDENES'!$R197&amp;" | "&amp;IF('ORDENES'!$AB197="","(sin técnico)",'ORDENES'!$AB197)&amp;" | "&amp;'ORDENES'!$D197&amp;" ("&amp;'ORDENES'!$M197&amp;" h)","")</f>
        <v/>
      </c>
    </row>
    <row r="202">
      <c r="K202" s="3">
        <f>IF(AND(IF($B$3="(todos)",TRUE,'ORDENES'!$O198=$B$3),IF($D$3="(todos)",TRUE,'ORDENES'!$AC198=$D$3),IF($F$3="(todos)",TRUE,'ORDENES'!$V198=$F$3),'ORDENES'!$AA198=TRUE),'ORDENES'!$AN198&amp;" | "&amp;'ORDENES'!$R198&amp;" | "&amp;IF('ORDENES'!$AB198="","(sin técnico)",'ORDENES'!$AB198)&amp;" | "&amp;'ORDENES'!$D198&amp;" ("&amp;'ORDENES'!$M198&amp;" h)","")</f>
        <v/>
      </c>
    </row>
    <row r="203">
      <c r="K203" s="3">
        <f>IF(AND(IF($B$3="(todos)",TRUE,'ORDENES'!$O199=$B$3),IF($D$3="(todos)",TRUE,'ORDENES'!$AC199=$D$3),IF($F$3="(todos)",TRUE,'ORDENES'!$V199=$F$3),'ORDENES'!$AA199=TRUE),'ORDENES'!$AN199&amp;" | "&amp;'ORDENES'!$R199&amp;" | "&amp;IF('ORDENES'!$AB199="","(sin técnico)",'ORDENES'!$AB199)&amp;" | "&amp;'ORDENES'!$D199&amp;" ("&amp;'ORDENES'!$M199&amp;" h)","")</f>
        <v/>
      </c>
    </row>
    <row r="204">
      <c r="K204" s="3">
        <f>IF(AND(IF($B$3="(todos)",TRUE,'ORDENES'!$O200=$B$3),IF($D$3="(todos)",TRUE,'ORDENES'!$AC200=$D$3),IF($F$3="(todos)",TRUE,'ORDENES'!$V200=$F$3),'ORDENES'!$AA200=TRUE),'ORDENES'!$AN200&amp;" | "&amp;'ORDENES'!$R200&amp;" | "&amp;IF('ORDENES'!$AB200="","(sin técnico)",'ORDENES'!$AB200)&amp;" | "&amp;'ORDENES'!$D200&amp;" ("&amp;'ORDENES'!$M200&amp;" h)","")</f>
        <v/>
      </c>
    </row>
    <row r="205">
      <c r="K205" s="3">
        <f>IF(AND(IF($B$3="(todos)",TRUE,'ORDENES'!$O201=$B$3),IF($D$3="(todos)",TRUE,'ORDENES'!$AC201=$D$3),IF($F$3="(todos)",TRUE,'ORDENES'!$V201=$F$3),'ORDENES'!$AA201=TRUE),'ORDENES'!$AN201&amp;" | "&amp;'ORDENES'!$R201&amp;" | "&amp;IF('ORDENES'!$AB201="","(sin técnico)",'ORDENES'!$AB201)&amp;" | "&amp;'ORDENES'!$D201&amp;" ("&amp;'ORDENES'!$M201&amp;" h)","")</f>
        <v/>
      </c>
    </row>
    <row r="206">
      <c r="K206" s="3">
        <f>IF(AND(IF($B$3="(todos)",TRUE,'ORDENES'!$O202=$B$3),IF($D$3="(todos)",TRUE,'ORDENES'!$AC202=$D$3),IF($F$3="(todos)",TRUE,'ORDENES'!$V202=$F$3),'ORDENES'!$AA202=TRUE),'ORDENES'!$AN202&amp;" | "&amp;'ORDENES'!$R202&amp;" | "&amp;IF('ORDENES'!$AB202="","(sin técnico)",'ORDENES'!$AB202)&amp;" | "&amp;'ORDENES'!$D202&amp;" ("&amp;'ORDENES'!$M202&amp;" h)","")</f>
        <v/>
      </c>
    </row>
    <row r="207">
      <c r="K207" s="3">
        <f>IF(AND(IF($B$3="(todos)",TRUE,'ORDENES'!$O203=$B$3),IF($D$3="(todos)",TRUE,'ORDENES'!$AC203=$D$3),IF($F$3="(todos)",TRUE,'ORDENES'!$V203=$F$3),'ORDENES'!$AA203=TRUE),'ORDENES'!$AN203&amp;" | "&amp;'ORDENES'!$R203&amp;" | "&amp;IF('ORDENES'!$AB203="","(sin técnico)",'ORDENES'!$AB203)&amp;" | "&amp;'ORDENES'!$D203&amp;" ("&amp;'ORDENES'!$M203&amp;" h)","")</f>
        <v/>
      </c>
    </row>
    <row r="208">
      <c r="K208" s="3">
        <f>IF(AND(IF($B$3="(todos)",TRUE,'ORDENES'!$O204=$B$3),IF($D$3="(todos)",TRUE,'ORDENES'!$AC204=$D$3),IF($F$3="(todos)",TRUE,'ORDENES'!$V204=$F$3),'ORDENES'!$AA204=TRUE),'ORDENES'!$AN204&amp;" | "&amp;'ORDENES'!$R204&amp;" | "&amp;IF('ORDENES'!$AB204="","(sin técnico)",'ORDENES'!$AB204)&amp;" | "&amp;'ORDENES'!$D204&amp;" ("&amp;'ORDENES'!$M204&amp;" h)","")</f>
        <v/>
      </c>
    </row>
    <row r="209">
      <c r="K209" s="3">
        <f>IF(AND(IF($B$3="(todos)",TRUE,'ORDENES'!$O205=$B$3),IF($D$3="(todos)",TRUE,'ORDENES'!$AC205=$D$3),IF($F$3="(todos)",TRUE,'ORDENES'!$V205=$F$3),'ORDENES'!$AA205=TRUE),'ORDENES'!$AN205&amp;" | "&amp;'ORDENES'!$R205&amp;" | "&amp;IF('ORDENES'!$AB205="","(sin técnico)",'ORDENES'!$AB205)&amp;" | "&amp;'ORDENES'!$D205&amp;" ("&amp;'ORDENES'!$M205&amp;" h)","")</f>
        <v/>
      </c>
    </row>
    <row r="210">
      <c r="K210" s="3">
        <f>IF(AND(IF($B$3="(todos)",TRUE,'ORDENES'!$O206=$B$3),IF($D$3="(todos)",TRUE,'ORDENES'!$AC206=$D$3),IF($F$3="(todos)",TRUE,'ORDENES'!$V206=$F$3),'ORDENES'!$AA206=TRUE),'ORDENES'!$AN206&amp;" | "&amp;'ORDENES'!$R206&amp;" | "&amp;IF('ORDENES'!$AB206="","(sin técnico)",'ORDENES'!$AB206)&amp;" | "&amp;'ORDENES'!$D206&amp;" ("&amp;'ORDENES'!$M206&amp;" h)","")</f>
        <v/>
      </c>
    </row>
    <row r="211">
      <c r="K211" s="3">
        <f>IF(AND(IF($B$3="(todos)",TRUE,'ORDENES'!$O207=$B$3),IF($D$3="(todos)",TRUE,'ORDENES'!$AC207=$D$3),IF($F$3="(todos)",TRUE,'ORDENES'!$V207=$F$3),'ORDENES'!$AA207=TRUE),'ORDENES'!$AN207&amp;" | "&amp;'ORDENES'!$R207&amp;" | "&amp;IF('ORDENES'!$AB207="","(sin técnico)",'ORDENES'!$AB207)&amp;" | "&amp;'ORDENES'!$D207&amp;" ("&amp;'ORDENES'!$M207&amp;" h)","")</f>
        <v/>
      </c>
    </row>
    <row r="212">
      <c r="K212" s="3">
        <f>IF(AND(IF($B$3="(todos)",TRUE,'ORDENES'!$O208=$B$3),IF($D$3="(todos)",TRUE,'ORDENES'!$AC208=$D$3),IF($F$3="(todos)",TRUE,'ORDENES'!$V208=$F$3),'ORDENES'!$AA208=TRUE),'ORDENES'!$AN208&amp;" | "&amp;'ORDENES'!$R208&amp;" | "&amp;IF('ORDENES'!$AB208="","(sin técnico)",'ORDENES'!$AB208)&amp;" | "&amp;'ORDENES'!$D208&amp;" ("&amp;'ORDENES'!$M208&amp;" h)","")</f>
        <v/>
      </c>
    </row>
    <row r="213">
      <c r="K213" s="3">
        <f>IF(AND(IF($B$3="(todos)",TRUE,'ORDENES'!$O209=$B$3),IF($D$3="(todos)",TRUE,'ORDENES'!$AC209=$D$3),IF($F$3="(todos)",TRUE,'ORDENES'!$V209=$F$3),'ORDENES'!$AA209=TRUE),'ORDENES'!$AN209&amp;" | "&amp;'ORDENES'!$R209&amp;" | "&amp;IF('ORDENES'!$AB209="","(sin técnico)",'ORDENES'!$AB209)&amp;" | "&amp;'ORDENES'!$D209&amp;" ("&amp;'ORDENES'!$M209&amp;" h)","")</f>
        <v/>
      </c>
    </row>
    <row r="214">
      <c r="K214" s="3">
        <f>IF(AND(IF($B$3="(todos)",TRUE,'ORDENES'!$O210=$B$3),IF($D$3="(todos)",TRUE,'ORDENES'!$AC210=$D$3),IF($F$3="(todos)",TRUE,'ORDENES'!$V210=$F$3),'ORDENES'!$AA210=TRUE),'ORDENES'!$AN210&amp;" | "&amp;'ORDENES'!$R210&amp;" | "&amp;IF('ORDENES'!$AB210="","(sin técnico)",'ORDENES'!$AB210)&amp;" | "&amp;'ORDENES'!$D210&amp;" ("&amp;'ORDENES'!$M210&amp;" h)","")</f>
        <v/>
      </c>
    </row>
    <row r="215">
      <c r="K215" s="3">
        <f>IF(AND(IF($B$3="(todos)",TRUE,'ORDENES'!$O211=$B$3),IF($D$3="(todos)",TRUE,'ORDENES'!$AC211=$D$3),IF($F$3="(todos)",TRUE,'ORDENES'!$V211=$F$3),'ORDENES'!$AA211=TRUE),'ORDENES'!$AN211&amp;" | "&amp;'ORDENES'!$R211&amp;" | "&amp;IF('ORDENES'!$AB211="","(sin técnico)",'ORDENES'!$AB211)&amp;" | "&amp;'ORDENES'!$D211&amp;" ("&amp;'ORDENES'!$M211&amp;" h)","")</f>
        <v/>
      </c>
    </row>
    <row r="216">
      <c r="K216" s="3">
        <f>IF(AND(IF($B$3="(todos)",TRUE,'ORDENES'!$O212=$B$3),IF($D$3="(todos)",TRUE,'ORDENES'!$AC212=$D$3),IF($F$3="(todos)",TRUE,'ORDENES'!$V212=$F$3),'ORDENES'!$AA212=TRUE),'ORDENES'!$AN212&amp;" | "&amp;'ORDENES'!$R212&amp;" | "&amp;IF('ORDENES'!$AB212="","(sin técnico)",'ORDENES'!$AB212)&amp;" | "&amp;'ORDENES'!$D212&amp;" ("&amp;'ORDENES'!$M212&amp;" h)","")</f>
        <v/>
      </c>
    </row>
    <row r="217">
      <c r="K217" s="3">
        <f>IF(AND(IF($B$3="(todos)",TRUE,'ORDENES'!$O213=$B$3),IF($D$3="(todos)",TRUE,'ORDENES'!$AC213=$D$3),IF($F$3="(todos)",TRUE,'ORDENES'!$V213=$F$3),'ORDENES'!$AA213=TRUE),'ORDENES'!$AN213&amp;" | "&amp;'ORDENES'!$R213&amp;" | "&amp;IF('ORDENES'!$AB213="","(sin técnico)",'ORDENES'!$AB213)&amp;" | "&amp;'ORDENES'!$D213&amp;" ("&amp;'ORDENES'!$M213&amp;" h)","")</f>
        <v/>
      </c>
    </row>
    <row r="218">
      <c r="K218" s="3">
        <f>IF(AND(IF($B$3="(todos)",TRUE,'ORDENES'!$O214=$B$3),IF($D$3="(todos)",TRUE,'ORDENES'!$AC214=$D$3),IF($F$3="(todos)",TRUE,'ORDENES'!$V214=$F$3),'ORDENES'!$AA214=TRUE),'ORDENES'!$AN214&amp;" | "&amp;'ORDENES'!$R214&amp;" | "&amp;IF('ORDENES'!$AB214="","(sin técnico)",'ORDENES'!$AB214)&amp;" | "&amp;'ORDENES'!$D214&amp;" ("&amp;'ORDENES'!$M214&amp;" h)","")</f>
        <v/>
      </c>
    </row>
    <row r="219">
      <c r="K219" s="3">
        <f>IF(AND(IF($B$3="(todos)",TRUE,'ORDENES'!$O215=$B$3),IF($D$3="(todos)",TRUE,'ORDENES'!$AC215=$D$3),IF($F$3="(todos)",TRUE,'ORDENES'!$V215=$F$3),'ORDENES'!$AA215=TRUE),'ORDENES'!$AN215&amp;" | "&amp;'ORDENES'!$R215&amp;" | "&amp;IF('ORDENES'!$AB215="","(sin técnico)",'ORDENES'!$AB215)&amp;" | "&amp;'ORDENES'!$D215&amp;" ("&amp;'ORDENES'!$M215&amp;" h)","")</f>
        <v/>
      </c>
    </row>
    <row r="220">
      <c r="K220" s="3">
        <f>IF(AND(IF($B$3="(todos)",TRUE,'ORDENES'!$O216=$B$3),IF($D$3="(todos)",TRUE,'ORDENES'!$AC216=$D$3),IF($F$3="(todos)",TRUE,'ORDENES'!$V216=$F$3),'ORDENES'!$AA216=TRUE),'ORDENES'!$AN216&amp;" | "&amp;'ORDENES'!$R216&amp;" | "&amp;IF('ORDENES'!$AB216="","(sin técnico)",'ORDENES'!$AB216)&amp;" | "&amp;'ORDENES'!$D216&amp;" ("&amp;'ORDENES'!$M216&amp;" h)","")</f>
        <v/>
      </c>
    </row>
    <row r="221">
      <c r="K221" s="3">
        <f>IF(AND(IF($B$3="(todos)",TRUE,'ORDENES'!$O217=$B$3),IF($D$3="(todos)",TRUE,'ORDENES'!$AC217=$D$3),IF($F$3="(todos)",TRUE,'ORDENES'!$V217=$F$3),'ORDENES'!$AA217=TRUE),'ORDENES'!$AN217&amp;" | "&amp;'ORDENES'!$R217&amp;" | "&amp;IF('ORDENES'!$AB217="","(sin técnico)",'ORDENES'!$AB217)&amp;" | "&amp;'ORDENES'!$D217&amp;" ("&amp;'ORDENES'!$M217&amp;" h)","")</f>
        <v/>
      </c>
    </row>
    <row r="222">
      <c r="K222" s="3">
        <f>IF(AND(IF($B$3="(todos)",TRUE,'ORDENES'!$O218=$B$3),IF($D$3="(todos)",TRUE,'ORDENES'!$AC218=$D$3),IF($F$3="(todos)",TRUE,'ORDENES'!$V218=$F$3),'ORDENES'!$AA218=TRUE),'ORDENES'!$AN218&amp;" | "&amp;'ORDENES'!$R218&amp;" | "&amp;IF('ORDENES'!$AB218="","(sin técnico)",'ORDENES'!$AB218)&amp;" | "&amp;'ORDENES'!$D218&amp;" ("&amp;'ORDENES'!$M218&amp;" h)","")</f>
        <v/>
      </c>
    </row>
    <row r="223">
      <c r="K223" s="3">
        <f>IF(AND(IF($B$3="(todos)",TRUE,'ORDENES'!$O219=$B$3),IF($D$3="(todos)",TRUE,'ORDENES'!$AC219=$D$3),IF($F$3="(todos)",TRUE,'ORDENES'!$V219=$F$3),'ORDENES'!$AA219=TRUE),'ORDENES'!$AN219&amp;" | "&amp;'ORDENES'!$R219&amp;" | "&amp;IF('ORDENES'!$AB219="","(sin técnico)",'ORDENES'!$AB219)&amp;" | "&amp;'ORDENES'!$D219&amp;" ("&amp;'ORDENES'!$M219&amp;" h)","")</f>
        <v/>
      </c>
    </row>
    <row r="224">
      <c r="K224" s="3">
        <f>IF(AND(IF($B$3="(todos)",TRUE,'ORDENES'!$O220=$B$3),IF($D$3="(todos)",TRUE,'ORDENES'!$AC220=$D$3),IF($F$3="(todos)",TRUE,'ORDENES'!$V220=$F$3),'ORDENES'!$AA220=TRUE),'ORDENES'!$AN220&amp;" | "&amp;'ORDENES'!$R220&amp;" | "&amp;IF('ORDENES'!$AB220="","(sin técnico)",'ORDENES'!$AB220)&amp;" | "&amp;'ORDENES'!$D220&amp;" ("&amp;'ORDENES'!$M220&amp;" h)","")</f>
        <v/>
      </c>
    </row>
    <row r="225">
      <c r="K225" s="3">
        <f>IF(AND(IF($B$3="(todos)",TRUE,'ORDENES'!$O221=$B$3),IF($D$3="(todos)",TRUE,'ORDENES'!$AC221=$D$3),IF($F$3="(todos)",TRUE,'ORDENES'!$V221=$F$3),'ORDENES'!$AA221=TRUE),'ORDENES'!$AN221&amp;" | "&amp;'ORDENES'!$R221&amp;" | "&amp;IF('ORDENES'!$AB221="","(sin técnico)",'ORDENES'!$AB221)&amp;" | "&amp;'ORDENES'!$D221&amp;" ("&amp;'ORDENES'!$M221&amp;" h)","")</f>
        <v/>
      </c>
    </row>
    <row r="226">
      <c r="K226" s="3">
        <f>IF(AND(IF($B$3="(todos)",TRUE,'ORDENES'!$O222=$B$3),IF($D$3="(todos)",TRUE,'ORDENES'!$AC222=$D$3),IF($F$3="(todos)",TRUE,'ORDENES'!$V222=$F$3),'ORDENES'!$AA222=TRUE),'ORDENES'!$AN222&amp;" | "&amp;'ORDENES'!$R222&amp;" | "&amp;IF('ORDENES'!$AB222="","(sin técnico)",'ORDENES'!$AB222)&amp;" | "&amp;'ORDENES'!$D222&amp;" ("&amp;'ORDENES'!$M222&amp;" h)","")</f>
        <v/>
      </c>
    </row>
    <row r="227">
      <c r="K227" s="3">
        <f>IF(AND(IF($B$3="(todos)",TRUE,'ORDENES'!$O223=$B$3),IF($D$3="(todos)",TRUE,'ORDENES'!$AC223=$D$3),IF($F$3="(todos)",TRUE,'ORDENES'!$V223=$F$3),'ORDENES'!$AA223=TRUE),'ORDENES'!$AN223&amp;" | "&amp;'ORDENES'!$R223&amp;" | "&amp;IF('ORDENES'!$AB223="","(sin técnico)",'ORDENES'!$AB223)&amp;" | "&amp;'ORDENES'!$D223&amp;" ("&amp;'ORDENES'!$M223&amp;" h)","")</f>
        <v/>
      </c>
    </row>
    <row r="228">
      <c r="K228" s="3">
        <f>IF(AND(IF($B$3="(todos)",TRUE,'ORDENES'!$O224=$B$3),IF($D$3="(todos)",TRUE,'ORDENES'!$AC224=$D$3),IF($F$3="(todos)",TRUE,'ORDENES'!$V224=$F$3),'ORDENES'!$AA224=TRUE),'ORDENES'!$AN224&amp;" | "&amp;'ORDENES'!$R224&amp;" | "&amp;IF('ORDENES'!$AB224="","(sin técnico)",'ORDENES'!$AB224)&amp;" | "&amp;'ORDENES'!$D224&amp;" ("&amp;'ORDENES'!$M224&amp;" h)","")</f>
        <v/>
      </c>
    </row>
    <row r="229">
      <c r="K229" s="3">
        <f>IF(AND(IF($B$3="(todos)",TRUE,'ORDENES'!$O225=$B$3),IF($D$3="(todos)",TRUE,'ORDENES'!$AC225=$D$3),IF($F$3="(todos)",TRUE,'ORDENES'!$V225=$F$3),'ORDENES'!$AA225=TRUE),'ORDENES'!$AN225&amp;" | "&amp;'ORDENES'!$R225&amp;" | "&amp;IF('ORDENES'!$AB225="","(sin técnico)",'ORDENES'!$AB225)&amp;" | "&amp;'ORDENES'!$D225&amp;" ("&amp;'ORDENES'!$M225&amp;" h)","")</f>
        <v/>
      </c>
    </row>
    <row r="230">
      <c r="K230" s="3">
        <f>IF(AND(IF($B$3="(todos)",TRUE,'ORDENES'!$O226=$B$3),IF($D$3="(todos)",TRUE,'ORDENES'!$AC226=$D$3),IF($F$3="(todos)",TRUE,'ORDENES'!$V226=$F$3),'ORDENES'!$AA226=TRUE),'ORDENES'!$AN226&amp;" | "&amp;'ORDENES'!$R226&amp;" | "&amp;IF('ORDENES'!$AB226="","(sin técnico)",'ORDENES'!$AB226)&amp;" | "&amp;'ORDENES'!$D226&amp;" ("&amp;'ORDENES'!$M226&amp;" h)","")</f>
        <v/>
      </c>
    </row>
    <row r="231">
      <c r="K231" s="3">
        <f>IF(AND(IF($B$3="(todos)",TRUE,'ORDENES'!$O227=$B$3),IF($D$3="(todos)",TRUE,'ORDENES'!$AC227=$D$3),IF($F$3="(todos)",TRUE,'ORDENES'!$V227=$F$3),'ORDENES'!$AA227=TRUE),'ORDENES'!$AN227&amp;" | "&amp;'ORDENES'!$R227&amp;" | "&amp;IF('ORDENES'!$AB227="","(sin técnico)",'ORDENES'!$AB227)&amp;" | "&amp;'ORDENES'!$D227&amp;" ("&amp;'ORDENES'!$M227&amp;" h)","")</f>
        <v/>
      </c>
    </row>
    <row r="232">
      <c r="K232" s="3">
        <f>IF(AND(IF($B$3="(todos)",TRUE,'ORDENES'!$O228=$B$3),IF($D$3="(todos)",TRUE,'ORDENES'!$AC228=$D$3),IF($F$3="(todos)",TRUE,'ORDENES'!$V228=$F$3),'ORDENES'!$AA228=TRUE),'ORDENES'!$AN228&amp;" | "&amp;'ORDENES'!$R228&amp;" | "&amp;IF('ORDENES'!$AB228="","(sin técnico)",'ORDENES'!$AB228)&amp;" | "&amp;'ORDENES'!$D228&amp;" ("&amp;'ORDENES'!$M228&amp;" h)","")</f>
        <v/>
      </c>
    </row>
    <row r="233">
      <c r="K233" s="3">
        <f>IF(AND(IF($B$3="(todos)",TRUE,'ORDENES'!$O229=$B$3),IF($D$3="(todos)",TRUE,'ORDENES'!$AC229=$D$3),IF($F$3="(todos)",TRUE,'ORDENES'!$V229=$F$3),'ORDENES'!$AA229=TRUE),'ORDENES'!$AN229&amp;" | "&amp;'ORDENES'!$R229&amp;" | "&amp;IF('ORDENES'!$AB229="","(sin técnico)",'ORDENES'!$AB229)&amp;" | "&amp;'ORDENES'!$D229&amp;" ("&amp;'ORDENES'!$M229&amp;" h)","")</f>
        <v/>
      </c>
    </row>
    <row r="234">
      <c r="K234" s="3">
        <f>IF(AND(IF($B$3="(todos)",TRUE,'ORDENES'!$O230=$B$3),IF($D$3="(todos)",TRUE,'ORDENES'!$AC230=$D$3),IF($F$3="(todos)",TRUE,'ORDENES'!$V230=$F$3),'ORDENES'!$AA230=TRUE),'ORDENES'!$AN230&amp;" | "&amp;'ORDENES'!$R230&amp;" | "&amp;IF('ORDENES'!$AB230="","(sin técnico)",'ORDENES'!$AB230)&amp;" | "&amp;'ORDENES'!$D230&amp;" ("&amp;'ORDENES'!$M230&amp;" h)","")</f>
        <v/>
      </c>
    </row>
    <row r="235">
      <c r="K235" s="3">
        <f>IF(AND(IF($B$3="(todos)",TRUE,'ORDENES'!$O231=$B$3),IF($D$3="(todos)",TRUE,'ORDENES'!$AC231=$D$3),IF($F$3="(todos)",TRUE,'ORDENES'!$V231=$F$3),'ORDENES'!$AA231=TRUE),'ORDENES'!$AN231&amp;" | "&amp;'ORDENES'!$R231&amp;" | "&amp;IF('ORDENES'!$AB231="","(sin técnico)",'ORDENES'!$AB231)&amp;" | "&amp;'ORDENES'!$D231&amp;" ("&amp;'ORDENES'!$M231&amp;" h)","")</f>
        <v/>
      </c>
    </row>
    <row r="236">
      <c r="K236" s="3">
        <f>IF(AND(IF($B$3="(todos)",TRUE,'ORDENES'!$O232=$B$3),IF($D$3="(todos)",TRUE,'ORDENES'!$AC232=$D$3),IF($F$3="(todos)",TRUE,'ORDENES'!$V232=$F$3),'ORDENES'!$AA232=TRUE),'ORDENES'!$AN232&amp;" | "&amp;'ORDENES'!$R232&amp;" | "&amp;IF('ORDENES'!$AB232="","(sin técnico)",'ORDENES'!$AB232)&amp;" | "&amp;'ORDENES'!$D232&amp;" ("&amp;'ORDENES'!$M232&amp;" h)","")</f>
        <v/>
      </c>
    </row>
    <row r="237">
      <c r="K237" s="3">
        <f>IF(AND(IF($B$3="(todos)",TRUE,'ORDENES'!$O233=$B$3),IF($D$3="(todos)",TRUE,'ORDENES'!$AC233=$D$3),IF($F$3="(todos)",TRUE,'ORDENES'!$V233=$F$3),'ORDENES'!$AA233=TRUE),'ORDENES'!$AN233&amp;" | "&amp;'ORDENES'!$R233&amp;" | "&amp;IF('ORDENES'!$AB233="","(sin técnico)",'ORDENES'!$AB233)&amp;" | "&amp;'ORDENES'!$D233&amp;" ("&amp;'ORDENES'!$M233&amp;" h)","")</f>
        <v/>
      </c>
    </row>
    <row r="238">
      <c r="K238" s="3">
        <f>IF(AND(IF($B$3="(todos)",TRUE,'ORDENES'!$O234=$B$3),IF($D$3="(todos)",TRUE,'ORDENES'!$AC234=$D$3),IF($F$3="(todos)",TRUE,'ORDENES'!$V234=$F$3),'ORDENES'!$AA234=TRUE),'ORDENES'!$AN234&amp;" | "&amp;'ORDENES'!$R234&amp;" | "&amp;IF('ORDENES'!$AB234="","(sin técnico)",'ORDENES'!$AB234)&amp;" | "&amp;'ORDENES'!$D234&amp;" ("&amp;'ORDENES'!$M234&amp;" h)","")</f>
        <v/>
      </c>
    </row>
    <row r="239">
      <c r="K239" s="3">
        <f>IF(AND(IF($B$3="(todos)",TRUE,'ORDENES'!$O235=$B$3),IF($D$3="(todos)",TRUE,'ORDENES'!$AC235=$D$3),IF($F$3="(todos)",TRUE,'ORDENES'!$V235=$F$3),'ORDENES'!$AA235=TRUE),'ORDENES'!$AN235&amp;" | "&amp;'ORDENES'!$R235&amp;" | "&amp;IF('ORDENES'!$AB235="","(sin técnico)",'ORDENES'!$AB235)&amp;" | "&amp;'ORDENES'!$D235&amp;" ("&amp;'ORDENES'!$M235&amp;" h)","")</f>
        <v/>
      </c>
    </row>
    <row r="240">
      <c r="K240" s="3">
        <f>IF(AND(IF($B$3="(todos)",TRUE,'ORDENES'!$O236=$B$3),IF($D$3="(todos)",TRUE,'ORDENES'!$AC236=$D$3),IF($F$3="(todos)",TRUE,'ORDENES'!$V236=$F$3),'ORDENES'!$AA236=TRUE),'ORDENES'!$AN236&amp;" | "&amp;'ORDENES'!$R236&amp;" | "&amp;IF('ORDENES'!$AB236="","(sin técnico)",'ORDENES'!$AB236)&amp;" | "&amp;'ORDENES'!$D236&amp;" ("&amp;'ORDENES'!$M236&amp;" h)","")</f>
        <v/>
      </c>
    </row>
    <row r="241">
      <c r="K241" s="3">
        <f>IF(AND(IF($B$3="(todos)",TRUE,'ORDENES'!$O237=$B$3),IF($D$3="(todos)",TRUE,'ORDENES'!$AC237=$D$3),IF($F$3="(todos)",TRUE,'ORDENES'!$V237=$F$3),'ORDENES'!$AA237=TRUE),'ORDENES'!$AN237&amp;" | "&amp;'ORDENES'!$R237&amp;" | "&amp;IF('ORDENES'!$AB237="","(sin técnico)",'ORDENES'!$AB237)&amp;" | "&amp;'ORDENES'!$D237&amp;" ("&amp;'ORDENES'!$M237&amp;" h)","")</f>
        <v/>
      </c>
    </row>
    <row r="242">
      <c r="K242" s="3">
        <f>IF(AND(IF($B$3="(todos)",TRUE,'ORDENES'!$O238=$B$3),IF($D$3="(todos)",TRUE,'ORDENES'!$AC238=$D$3),IF($F$3="(todos)",TRUE,'ORDENES'!$V238=$F$3),'ORDENES'!$AA238=TRUE),'ORDENES'!$AN238&amp;" | "&amp;'ORDENES'!$R238&amp;" | "&amp;IF('ORDENES'!$AB238="","(sin técnico)",'ORDENES'!$AB238)&amp;" | "&amp;'ORDENES'!$D238&amp;" ("&amp;'ORDENES'!$M238&amp;" h)","")</f>
        <v/>
      </c>
    </row>
    <row r="243">
      <c r="K243" s="3">
        <f>IF(AND(IF($B$3="(todos)",TRUE,'ORDENES'!$O239=$B$3),IF($D$3="(todos)",TRUE,'ORDENES'!$AC239=$D$3),IF($F$3="(todos)",TRUE,'ORDENES'!$V239=$F$3),'ORDENES'!$AA239=TRUE),'ORDENES'!$AN239&amp;" | "&amp;'ORDENES'!$R239&amp;" | "&amp;IF('ORDENES'!$AB239="","(sin técnico)",'ORDENES'!$AB239)&amp;" | "&amp;'ORDENES'!$D239&amp;" ("&amp;'ORDENES'!$M239&amp;" h)","")</f>
        <v/>
      </c>
    </row>
    <row r="244">
      <c r="K244" s="3">
        <f>IF(AND(IF($B$3="(todos)",TRUE,'ORDENES'!$O240=$B$3),IF($D$3="(todos)",TRUE,'ORDENES'!$AC240=$D$3),IF($F$3="(todos)",TRUE,'ORDENES'!$V240=$F$3),'ORDENES'!$AA240=TRUE),'ORDENES'!$AN240&amp;" | "&amp;'ORDENES'!$R240&amp;" | "&amp;IF('ORDENES'!$AB240="","(sin técnico)",'ORDENES'!$AB240)&amp;" | "&amp;'ORDENES'!$D240&amp;" ("&amp;'ORDENES'!$M240&amp;" h)","")</f>
        <v/>
      </c>
    </row>
    <row r="245">
      <c r="K245" s="3">
        <f>IF(AND(IF($B$3="(todos)",TRUE,'ORDENES'!$O241=$B$3),IF($D$3="(todos)",TRUE,'ORDENES'!$AC241=$D$3),IF($F$3="(todos)",TRUE,'ORDENES'!$V241=$F$3),'ORDENES'!$AA241=TRUE),'ORDENES'!$AN241&amp;" | "&amp;'ORDENES'!$R241&amp;" | "&amp;IF('ORDENES'!$AB241="","(sin técnico)",'ORDENES'!$AB241)&amp;" | "&amp;'ORDENES'!$D241&amp;" ("&amp;'ORDENES'!$M241&amp;" h)","")</f>
        <v/>
      </c>
    </row>
    <row r="246">
      <c r="K246" s="3">
        <f>IF(AND(IF($B$3="(todos)",TRUE,'ORDENES'!$O242=$B$3),IF($D$3="(todos)",TRUE,'ORDENES'!$AC242=$D$3),IF($F$3="(todos)",TRUE,'ORDENES'!$V242=$F$3),'ORDENES'!$AA242=TRUE),'ORDENES'!$AN242&amp;" | "&amp;'ORDENES'!$R242&amp;" | "&amp;IF('ORDENES'!$AB242="","(sin técnico)",'ORDENES'!$AB242)&amp;" | "&amp;'ORDENES'!$D242&amp;" ("&amp;'ORDENES'!$M242&amp;" h)","")</f>
        <v/>
      </c>
    </row>
    <row r="247">
      <c r="K247" s="3">
        <f>IF(AND(IF($B$3="(todos)",TRUE,'ORDENES'!$O243=$B$3),IF($D$3="(todos)",TRUE,'ORDENES'!$AC243=$D$3),IF($F$3="(todos)",TRUE,'ORDENES'!$V243=$F$3),'ORDENES'!$AA243=TRUE),'ORDENES'!$AN243&amp;" | "&amp;'ORDENES'!$R243&amp;" | "&amp;IF('ORDENES'!$AB243="","(sin técnico)",'ORDENES'!$AB243)&amp;" | "&amp;'ORDENES'!$D243&amp;" ("&amp;'ORDENES'!$M243&amp;" h)","")</f>
        <v/>
      </c>
    </row>
    <row r="248">
      <c r="K248" s="3">
        <f>IF(AND(IF($B$3="(todos)",TRUE,'ORDENES'!$O244=$B$3),IF($D$3="(todos)",TRUE,'ORDENES'!$AC244=$D$3),IF($F$3="(todos)",TRUE,'ORDENES'!$V244=$F$3),'ORDENES'!$AA244=TRUE),'ORDENES'!$AN244&amp;" | "&amp;'ORDENES'!$R244&amp;" | "&amp;IF('ORDENES'!$AB244="","(sin técnico)",'ORDENES'!$AB244)&amp;" | "&amp;'ORDENES'!$D244&amp;" ("&amp;'ORDENES'!$M244&amp;" h)","")</f>
        <v/>
      </c>
    </row>
    <row r="249">
      <c r="K249" s="3">
        <f>IF(AND(IF($B$3="(todos)",TRUE,'ORDENES'!$O245=$B$3),IF($D$3="(todos)",TRUE,'ORDENES'!$AC245=$D$3),IF($F$3="(todos)",TRUE,'ORDENES'!$V245=$F$3),'ORDENES'!$AA245=TRUE),'ORDENES'!$AN245&amp;" | "&amp;'ORDENES'!$R245&amp;" | "&amp;IF('ORDENES'!$AB245="","(sin técnico)",'ORDENES'!$AB245)&amp;" | "&amp;'ORDENES'!$D245&amp;" ("&amp;'ORDENES'!$M245&amp;" h)","")</f>
        <v/>
      </c>
    </row>
    <row r="250">
      <c r="K250" s="3">
        <f>IF(AND(IF($B$3="(todos)",TRUE,'ORDENES'!$O246=$B$3),IF($D$3="(todos)",TRUE,'ORDENES'!$AC246=$D$3),IF($F$3="(todos)",TRUE,'ORDENES'!$V246=$F$3),'ORDENES'!$AA246=TRUE),'ORDENES'!$AN246&amp;" | "&amp;'ORDENES'!$R246&amp;" | "&amp;IF('ORDENES'!$AB246="","(sin técnico)",'ORDENES'!$AB246)&amp;" | "&amp;'ORDENES'!$D246&amp;" ("&amp;'ORDENES'!$M246&amp;" h)","")</f>
        <v/>
      </c>
    </row>
    <row r="251">
      <c r="K251" s="3">
        <f>IF(AND(IF($B$3="(todos)",TRUE,'ORDENES'!$O247=$B$3),IF($D$3="(todos)",TRUE,'ORDENES'!$AC247=$D$3),IF($F$3="(todos)",TRUE,'ORDENES'!$V247=$F$3),'ORDENES'!$AA247=TRUE),'ORDENES'!$AN247&amp;" | "&amp;'ORDENES'!$R247&amp;" | "&amp;IF('ORDENES'!$AB247="","(sin técnico)",'ORDENES'!$AB247)&amp;" | "&amp;'ORDENES'!$D247&amp;" ("&amp;'ORDENES'!$M247&amp;" h)","")</f>
        <v/>
      </c>
    </row>
    <row r="252">
      <c r="K252" s="3">
        <f>IF(AND(IF($B$3="(todos)",TRUE,'ORDENES'!$O248=$B$3),IF($D$3="(todos)",TRUE,'ORDENES'!$AC248=$D$3),IF($F$3="(todos)",TRUE,'ORDENES'!$V248=$F$3),'ORDENES'!$AA248=TRUE),'ORDENES'!$AN248&amp;" | "&amp;'ORDENES'!$R248&amp;" | "&amp;IF('ORDENES'!$AB248="","(sin técnico)",'ORDENES'!$AB248)&amp;" | "&amp;'ORDENES'!$D248&amp;" ("&amp;'ORDENES'!$M248&amp;" h)","")</f>
        <v/>
      </c>
    </row>
    <row r="253">
      <c r="K253" s="3">
        <f>IF(AND(IF($B$3="(todos)",TRUE,'ORDENES'!$O249=$B$3),IF($D$3="(todos)",TRUE,'ORDENES'!$AC249=$D$3),IF($F$3="(todos)",TRUE,'ORDENES'!$V249=$F$3),'ORDENES'!$AA249=TRUE),'ORDENES'!$AN249&amp;" | "&amp;'ORDENES'!$R249&amp;" | "&amp;IF('ORDENES'!$AB249="","(sin técnico)",'ORDENES'!$AB249)&amp;" | "&amp;'ORDENES'!$D249&amp;" ("&amp;'ORDENES'!$M249&amp;" h)","")</f>
        <v/>
      </c>
    </row>
    <row r="254">
      <c r="K254" s="3">
        <f>IF(AND(IF($B$3="(todos)",TRUE,'ORDENES'!$O250=$B$3),IF($D$3="(todos)",TRUE,'ORDENES'!$AC250=$D$3),IF($F$3="(todos)",TRUE,'ORDENES'!$V250=$F$3),'ORDENES'!$AA250=TRUE),'ORDENES'!$AN250&amp;" | "&amp;'ORDENES'!$R250&amp;" | "&amp;IF('ORDENES'!$AB250="","(sin técnico)",'ORDENES'!$AB250)&amp;" | "&amp;'ORDENES'!$D250&amp;" ("&amp;'ORDENES'!$M250&amp;" h)","")</f>
        <v/>
      </c>
    </row>
    <row r="255">
      <c r="K255" s="3">
        <f>IF(AND(IF($B$3="(todos)",TRUE,'ORDENES'!$O251=$B$3),IF($D$3="(todos)",TRUE,'ORDENES'!$AC251=$D$3),IF($F$3="(todos)",TRUE,'ORDENES'!$V251=$F$3),'ORDENES'!$AA251=TRUE),'ORDENES'!$AN251&amp;" | "&amp;'ORDENES'!$R251&amp;" | "&amp;IF('ORDENES'!$AB251="","(sin técnico)",'ORDENES'!$AB251)&amp;" | "&amp;'ORDENES'!$D251&amp;" ("&amp;'ORDENES'!$M251&amp;" h)","")</f>
        <v/>
      </c>
    </row>
    <row r="256">
      <c r="K256" s="3">
        <f>IF(AND(IF($B$3="(todos)",TRUE,'ORDENES'!$O252=$B$3),IF($D$3="(todos)",TRUE,'ORDENES'!$AC252=$D$3),IF($F$3="(todos)",TRUE,'ORDENES'!$V252=$F$3),'ORDENES'!$AA252=TRUE),'ORDENES'!$AN252&amp;" | "&amp;'ORDENES'!$R252&amp;" | "&amp;IF('ORDENES'!$AB252="","(sin técnico)",'ORDENES'!$AB252)&amp;" | "&amp;'ORDENES'!$D252&amp;" ("&amp;'ORDENES'!$M252&amp;" h)","")</f>
        <v/>
      </c>
    </row>
    <row r="257">
      <c r="K257" s="3">
        <f>IF(AND(IF($B$3="(todos)",TRUE,'ORDENES'!$O253=$B$3),IF($D$3="(todos)",TRUE,'ORDENES'!$AC253=$D$3),IF($F$3="(todos)",TRUE,'ORDENES'!$V253=$F$3),'ORDENES'!$AA253=TRUE),'ORDENES'!$AN253&amp;" | "&amp;'ORDENES'!$R253&amp;" | "&amp;IF('ORDENES'!$AB253="","(sin técnico)",'ORDENES'!$AB253)&amp;" | "&amp;'ORDENES'!$D253&amp;" ("&amp;'ORDENES'!$M253&amp;" h)","")</f>
        <v/>
      </c>
    </row>
    <row r="258">
      <c r="K258" s="3">
        <f>IF(AND(IF($B$3="(todos)",TRUE,'ORDENES'!$O254=$B$3),IF($D$3="(todos)",TRUE,'ORDENES'!$AC254=$D$3),IF($F$3="(todos)",TRUE,'ORDENES'!$V254=$F$3),'ORDENES'!$AA254=TRUE),'ORDENES'!$AN254&amp;" | "&amp;'ORDENES'!$R254&amp;" | "&amp;IF('ORDENES'!$AB254="","(sin técnico)",'ORDENES'!$AB254)&amp;" | "&amp;'ORDENES'!$D254&amp;" ("&amp;'ORDENES'!$M254&amp;" h)","")</f>
        <v/>
      </c>
    </row>
    <row r="259">
      <c r="K259" s="3">
        <f>IF(AND(IF($B$3="(todos)",TRUE,'ORDENES'!$O255=$B$3),IF($D$3="(todos)",TRUE,'ORDENES'!$AC255=$D$3),IF($F$3="(todos)",TRUE,'ORDENES'!$V255=$F$3),'ORDENES'!$AA255=TRUE),'ORDENES'!$AN255&amp;" | "&amp;'ORDENES'!$R255&amp;" | "&amp;IF('ORDENES'!$AB255="","(sin técnico)",'ORDENES'!$AB255)&amp;" | "&amp;'ORDENES'!$D255&amp;" ("&amp;'ORDENES'!$M255&amp;" h)","")</f>
        <v/>
      </c>
    </row>
    <row r="260">
      <c r="K260" s="3">
        <f>IF(AND(IF($B$3="(todos)",TRUE,'ORDENES'!$O256=$B$3),IF($D$3="(todos)",TRUE,'ORDENES'!$AC256=$D$3),IF($F$3="(todos)",TRUE,'ORDENES'!$V256=$F$3),'ORDENES'!$AA256=TRUE),'ORDENES'!$AN256&amp;" | "&amp;'ORDENES'!$R256&amp;" | "&amp;IF('ORDENES'!$AB256="","(sin técnico)",'ORDENES'!$AB256)&amp;" | "&amp;'ORDENES'!$D256&amp;" ("&amp;'ORDENES'!$M256&amp;" h)","")</f>
        <v/>
      </c>
    </row>
    <row r="261">
      <c r="K261" s="3">
        <f>IF(AND(IF($B$3="(todos)",TRUE,'ORDENES'!$O257=$B$3),IF($D$3="(todos)",TRUE,'ORDENES'!$AC257=$D$3),IF($F$3="(todos)",TRUE,'ORDENES'!$V257=$F$3),'ORDENES'!$AA257=TRUE),'ORDENES'!$AN257&amp;" | "&amp;'ORDENES'!$R257&amp;" | "&amp;IF('ORDENES'!$AB257="","(sin técnico)",'ORDENES'!$AB257)&amp;" | "&amp;'ORDENES'!$D257&amp;" ("&amp;'ORDENES'!$M257&amp;" h)","")</f>
        <v/>
      </c>
    </row>
    <row r="262">
      <c r="K262" s="3">
        <f>IF(AND(IF($B$3="(todos)",TRUE,'ORDENES'!$O258=$B$3),IF($D$3="(todos)",TRUE,'ORDENES'!$AC258=$D$3),IF($F$3="(todos)",TRUE,'ORDENES'!$V258=$F$3),'ORDENES'!$AA258=TRUE),'ORDENES'!$AN258&amp;" | "&amp;'ORDENES'!$R258&amp;" | "&amp;IF('ORDENES'!$AB258="","(sin técnico)",'ORDENES'!$AB258)&amp;" | "&amp;'ORDENES'!$D258&amp;" ("&amp;'ORDENES'!$M258&amp;" h)","")</f>
        <v/>
      </c>
    </row>
    <row r="263">
      <c r="K263" s="3">
        <f>IF(AND(IF($B$3="(todos)",TRUE,'ORDENES'!$O259=$B$3),IF($D$3="(todos)",TRUE,'ORDENES'!$AC259=$D$3),IF($F$3="(todos)",TRUE,'ORDENES'!$V259=$F$3),'ORDENES'!$AA259=TRUE),'ORDENES'!$AN259&amp;" | "&amp;'ORDENES'!$R259&amp;" | "&amp;IF('ORDENES'!$AB259="","(sin técnico)",'ORDENES'!$AB259)&amp;" | "&amp;'ORDENES'!$D259&amp;" ("&amp;'ORDENES'!$M259&amp;" h)","")</f>
        <v/>
      </c>
    </row>
    <row r="264">
      <c r="K264" s="3">
        <f>IF(AND(IF($B$3="(todos)",TRUE,'ORDENES'!$O260=$B$3),IF($D$3="(todos)",TRUE,'ORDENES'!$AC260=$D$3),IF($F$3="(todos)",TRUE,'ORDENES'!$V260=$F$3),'ORDENES'!$AA260=TRUE),'ORDENES'!$AN260&amp;" | "&amp;'ORDENES'!$R260&amp;" | "&amp;IF('ORDENES'!$AB260="","(sin técnico)",'ORDENES'!$AB260)&amp;" | "&amp;'ORDENES'!$D260&amp;" ("&amp;'ORDENES'!$M260&amp;" h)","")</f>
        <v/>
      </c>
    </row>
    <row r="265">
      <c r="K265" s="3">
        <f>IF(AND(IF($B$3="(todos)",TRUE,'ORDENES'!$O261=$B$3),IF($D$3="(todos)",TRUE,'ORDENES'!$AC261=$D$3),IF($F$3="(todos)",TRUE,'ORDENES'!$V261=$F$3),'ORDENES'!$AA261=TRUE),'ORDENES'!$AN261&amp;" | "&amp;'ORDENES'!$R261&amp;" | "&amp;IF('ORDENES'!$AB261="","(sin técnico)",'ORDENES'!$AB261)&amp;" | "&amp;'ORDENES'!$D261&amp;" ("&amp;'ORDENES'!$M261&amp;" h)","")</f>
        <v/>
      </c>
    </row>
    <row r="266">
      <c r="K266" s="3">
        <f>IF(AND(IF($B$3="(todos)",TRUE,'ORDENES'!$O262=$B$3),IF($D$3="(todos)",TRUE,'ORDENES'!$AC262=$D$3),IF($F$3="(todos)",TRUE,'ORDENES'!$V262=$F$3),'ORDENES'!$AA262=TRUE),'ORDENES'!$AN262&amp;" | "&amp;'ORDENES'!$R262&amp;" | "&amp;IF('ORDENES'!$AB262="","(sin técnico)",'ORDENES'!$AB262)&amp;" | "&amp;'ORDENES'!$D262&amp;" ("&amp;'ORDENES'!$M262&amp;" h)","")</f>
        <v/>
      </c>
    </row>
    <row r="267">
      <c r="K267" s="3">
        <f>IF(AND(IF($B$3="(todos)",TRUE,'ORDENES'!$O263=$B$3),IF($D$3="(todos)",TRUE,'ORDENES'!$AC263=$D$3),IF($F$3="(todos)",TRUE,'ORDENES'!$V263=$F$3),'ORDENES'!$AA263=TRUE),'ORDENES'!$AN263&amp;" | "&amp;'ORDENES'!$R263&amp;" | "&amp;IF('ORDENES'!$AB263="","(sin técnico)",'ORDENES'!$AB263)&amp;" | "&amp;'ORDENES'!$D263&amp;" ("&amp;'ORDENES'!$M263&amp;" h)","")</f>
        <v/>
      </c>
    </row>
    <row r="268">
      <c r="K268" s="3">
        <f>IF(AND(IF($B$3="(todos)",TRUE,'ORDENES'!$O264=$B$3),IF($D$3="(todos)",TRUE,'ORDENES'!$AC264=$D$3),IF($F$3="(todos)",TRUE,'ORDENES'!$V264=$F$3),'ORDENES'!$AA264=TRUE),'ORDENES'!$AN264&amp;" | "&amp;'ORDENES'!$R264&amp;" | "&amp;IF('ORDENES'!$AB264="","(sin técnico)",'ORDENES'!$AB264)&amp;" | "&amp;'ORDENES'!$D264&amp;" ("&amp;'ORDENES'!$M264&amp;" h)","")</f>
        <v/>
      </c>
    </row>
    <row r="269">
      <c r="K269" s="3">
        <f>IF(AND(IF($B$3="(todos)",TRUE,'ORDENES'!$O265=$B$3),IF($D$3="(todos)",TRUE,'ORDENES'!$AC265=$D$3),IF($F$3="(todos)",TRUE,'ORDENES'!$V265=$F$3),'ORDENES'!$AA265=TRUE),'ORDENES'!$AN265&amp;" | "&amp;'ORDENES'!$R265&amp;" | "&amp;IF('ORDENES'!$AB265="","(sin técnico)",'ORDENES'!$AB265)&amp;" | "&amp;'ORDENES'!$D265&amp;" ("&amp;'ORDENES'!$M265&amp;" h)","")</f>
        <v/>
      </c>
    </row>
    <row r="270">
      <c r="K270" s="3">
        <f>IF(AND(IF($B$3="(todos)",TRUE,'ORDENES'!$O266=$B$3),IF($D$3="(todos)",TRUE,'ORDENES'!$AC266=$D$3),IF($F$3="(todos)",TRUE,'ORDENES'!$V266=$F$3),'ORDENES'!$AA266=TRUE),'ORDENES'!$AN266&amp;" | "&amp;'ORDENES'!$R266&amp;" | "&amp;IF('ORDENES'!$AB266="","(sin técnico)",'ORDENES'!$AB266)&amp;" | "&amp;'ORDENES'!$D266&amp;" ("&amp;'ORDENES'!$M266&amp;" h)","")</f>
        <v/>
      </c>
    </row>
    <row r="271">
      <c r="K271" s="3">
        <f>IF(AND(IF($B$3="(todos)",TRUE,'ORDENES'!$O267=$B$3),IF($D$3="(todos)",TRUE,'ORDENES'!$AC267=$D$3),IF($F$3="(todos)",TRUE,'ORDENES'!$V267=$F$3),'ORDENES'!$AA267=TRUE),'ORDENES'!$AN267&amp;" | "&amp;'ORDENES'!$R267&amp;" | "&amp;IF('ORDENES'!$AB267="","(sin técnico)",'ORDENES'!$AB267)&amp;" | "&amp;'ORDENES'!$D267&amp;" ("&amp;'ORDENES'!$M267&amp;" h)","")</f>
        <v/>
      </c>
    </row>
    <row r="272">
      <c r="K272" s="3">
        <f>IF(AND(IF($B$3="(todos)",TRUE,'ORDENES'!$O268=$B$3),IF($D$3="(todos)",TRUE,'ORDENES'!$AC268=$D$3),IF($F$3="(todos)",TRUE,'ORDENES'!$V268=$F$3),'ORDENES'!$AA268=TRUE),'ORDENES'!$AN268&amp;" | "&amp;'ORDENES'!$R268&amp;" | "&amp;IF('ORDENES'!$AB268="","(sin técnico)",'ORDENES'!$AB268)&amp;" | "&amp;'ORDENES'!$D268&amp;" ("&amp;'ORDENES'!$M268&amp;" h)","")</f>
        <v/>
      </c>
    </row>
    <row r="273">
      <c r="K273" s="3">
        <f>IF(AND(IF($B$3="(todos)",TRUE,'ORDENES'!$O269=$B$3),IF($D$3="(todos)",TRUE,'ORDENES'!$AC269=$D$3),IF($F$3="(todos)",TRUE,'ORDENES'!$V269=$F$3),'ORDENES'!$AA269=TRUE),'ORDENES'!$AN269&amp;" | "&amp;'ORDENES'!$R269&amp;" | "&amp;IF('ORDENES'!$AB269="","(sin técnico)",'ORDENES'!$AB269)&amp;" | "&amp;'ORDENES'!$D269&amp;" ("&amp;'ORDENES'!$M269&amp;" h)","")</f>
        <v/>
      </c>
    </row>
    <row r="274">
      <c r="K274" s="3">
        <f>IF(AND(IF($B$3="(todos)",TRUE,'ORDENES'!$O270=$B$3),IF($D$3="(todos)",TRUE,'ORDENES'!$AC270=$D$3),IF($F$3="(todos)",TRUE,'ORDENES'!$V270=$F$3),'ORDENES'!$AA270=TRUE),'ORDENES'!$AN270&amp;" | "&amp;'ORDENES'!$R270&amp;" | "&amp;IF('ORDENES'!$AB270="","(sin técnico)",'ORDENES'!$AB270)&amp;" | "&amp;'ORDENES'!$D270&amp;" ("&amp;'ORDENES'!$M270&amp;" h)","")</f>
        <v/>
      </c>
    </row>
    <row r="275">
      <c r="K275" s="3">
        <f>IF(AND(IF($B$3="(todos)",TRUE,'ORDENES'!$O271=$B$3),IF($D$3="(todos)",TRUE,'ORDENES'!$AC271=$D$3),IF($F$3="(todos)",TRUE,'ORDENES'!$V271=$F$3),'ORDENES'!$AA271=TRUE),'ORDENES'!$AN271&amp;" | "&amp;'ORDENES'!$R271&amp;" | "&amp;IF('ORDENES'!$AB271="","(sin técnico)",'ORDENES'!$AB271)&amp;" | "&amp;'ORDENES'!$D271&amp;" ("&amp;'ORDENES'!$M271&amp;" h)","")</f>
        <v/>
      </c>
    </row>
    <row r="276">
      <c r="K276" s="3">
        <f>IF(AND(IF($B$3="(todos)",TRUE,'ORDENES'!$O272=$B$3),IF($D$3="(todos)",TRUE,'ORDENES'!$AC272=$D$3),IF($F$3="(todos)",TRUE,'ORDENES'!$V272=$F$3),'ORDENES'!$AA272=TRUE),'ORDENES'!$AN272&amp;" | "&amp;'ORDENES'!$R272&amp;" | "&amp;IF('ORDENES'!$AB272="","(sin técnico)",'ORDENES'!$AB272)&amp;" | "&amp;'ORDENES'!$D272&amp;" ("&amp;'ORDENES'!$M272&amp;" h)","")</f>
        <v/>
      </c>
    </row>
    <row r="277">
      <c r="K277" s="3">
        <f>IF(AND(IF($B$3="(todos)",TRUE,'ORDENES'!$O273=$B$3),IF($D$3="(todos)",TRUE,'ORDENES'!$AC273=$D$3),IF($F$3="(todos)",TRUE,'ORDENES'!$V273=$F$3),'ORDENES'!$AA273=TRUE),'ORDENES'!$AN273&amp;" | "&amp;'ORDENES'!$R273&amp;" | "&amp;IF('ORDENES'!$AB273="","(sin técnico)",'ORDENES'!$AB273)&amp;" | "&amp;'ORDENES'!$D273&amp;" ("&amp;'ORDENES'!$M273&amp;" h)","")</f>
        <v/>
      </c>
    </row>
    <row r="278">
      <c r="K278" s="3">
        <f>IF(AND(IF($B$3="(todos)",TRUE,'ORDENES'!$O274=$B$3),IF($D$3="(todos)",TRUE,'ORDENES'!$AC274=$D$3),IF($F$3="(todos)",TRUE,'ORDENES'!$V274=$F$3),'ORDENES'!$AA274=TRUE),'ORDENES'!$AN274&amp;" | "&amp;'ORDENES'!$R274&amp;" | "&amp;IF('ORDENES'!$AB274="","(sin técnico)",'ORDENES'!$AB274)&amp;" | "&amp;'ORDENES'!$D274&amp;" ("&amp;'ORDENES'!$M274&amp;" h)","")</f>
        <v/>
      </c>
    </row>
    <row r="279">
      <c r="K279" s="3">
        <f>IF(AND(IF($B$3="(todos)",TRUE,'ORDENES'!$O275=$B$3),IF($D$3="(todos)",TRUE,'ORDENES'!$AC275=$D$3),IF($F$3="(todos)",TRUE,'ORDENES'!$V275=$F$3),'ORDENES'!$AA275=TRUE),'ORDENES'!$AN275&amp;" | "&amp;'ORDENES'!$R275&amp;" | "&amp;IF('ORDENES'!$AB275="","(sin técnico)",'ORDENES'!$AB275)&amp;" | "&amp;'ORDENES'!$D275&amp;" ("&amp;'ORDENES'!$M275&amp;" h)","")</f>
        <v/>
      </c>
    </row>
    <row r="280">
      <c r="K280" s="3">
        <f>IF(AND(IF($B$3="(todos)",TRUE,'ORDENES'!$O276=$B$3),IF($D$3="(todos)",TRUE,'ORDENES'!$AC276=$D$3),IF($F$3="(todos)",TRUE,'ORDENES'!$V276=$F$3),'ORDENES'!$AA276=TRUE),'ORDENES'!$AN276&amp;" | "&amp;'ORDENES'!$R276&amp;" | "&amp;IF('ORDENES'!$AB276="","(sin técnico)",'ORDENES'!$AB276)&amp;" | "&amp;'ORDENES'!$D276&amp;" ("&amp;'ORDENES'!$M276&amp;" h)","")</f>
        <v/>
      </c>
    </row>
    <row r="281">
      <c r="K281" s="3">
        <f>IF(AND(IF($B$3="(todos)",TRUE,'ORDENES'!$O277=$B$3),IF($D$3="(todos)",TRUE,'ORDENES'!$AC277=$D$3),IF($F$3="(todos)",TRUE,'ORDENES'!$V277=$F$3),'ORDENES'!$AA277=TRUE),'ORDENES'!$AN277&amp;" | "&amp;'ORDENES'!$R277&amp;" | "&amp;IF('ORDENES'!$AB277="","(sin técnico)",'ORDENES'!$AB277)&amp;" | "&amp;'ORDENES'!$D277&amp;" ("&amp;'ORDENES'!$M277&amp;" h)","")</f>
        <v/>
      </c>
    </row>
    <row r="282">
      <c r="K282" s="3">
        <f>IF(AND(IF($B$3="(todos)",TRUE,'ORDENES'!$O278=$B$3),IF($D$3="(todos)",TRUE,'ORDENES'!$AC278=$D$3),IF($F$3="(todos)",TRUE,'ORDENES'!$V278=$F$3),'ORDENES'!$AA278=TRUE),'ORDENES'!$AN278&amp;" | "&amp;'ORDENES'!$R278&amp;" | "&amp;IF('ORDENES'!$AB278="","(sin técnico)",'ORDENES'!$AB278)&amp;" | "&amp;'ORDENES'!$D278&amp;" ("&amp;'ORDENES'!$M278&amp;" h)","")</f>
        <v/>
      </c>
    </row>
    <row r="283">
      <c r="K283" s="3">
        <f>IF(AND(IF($B$3="(todos)",TRUE,'ORDENES'!$O279=$B$3),IF($D$3="(todos)",TRUE,'ORDENES'!$AC279=$D$3),IF($F$3="(todos)",TRUE,'ORDENES'!$V279=$F$3),'ORDENES'!$AA279=TRUE),'ORDENES'!$AN279&amp;" | "&amp;'ORDENES'!$R279&amp;" | "&amp;IF('ORDENES'!$AB279="","(sin técnico)",'ORDENES'!$AB279)&amp;" | "&amp;'ORDENES'!$D279&amp;" ("&amp;'ORDENES'!$M279&amp;" h)","")</f>
        <v/>
      </c>
    </row>
    <row r="284">
      <c r="K284" s="3">
        <f>IF(AND(IF($B$3="(todos)",TRUE,'ORDENES'!$O280=$B$3),IF($D$3="(todos)",TRUE,'ORDENES'!$AC280=$D$3),IF($F$3="(todos)",TRUE,'ORDENES'!$V280=$F$3),'ORDENES'!$AA280=TRUE),'ORDENES'!$AN280&amp;" | "&amp;'ORDENES'!$R280&amp;" | "&amp;IF('ORDENES'!$AB280="","(sin técnico)",'ORDENES'!$AB280)&amp;" | "&amp;'ORDENES'!$D280&amp;" ("&amp;'ORDENES'!$M280&amp;" h)","")</f>
        <v/>
      </c>
    </row>
    <row r="285">
      <c r="K285" s="3">
        <f>IF(AND(IF($B$3="(todos)",TRUE,'ORDENES'!$O281=$B$3),IF($D$3="(todos)",TRUE,'ORDENES'!$AC281=$D$3),IF($F$3="(todos)",TRUE,'ORDENES'!$V281=$F$3),'ORDENES'!$AA281=TRUE),'ORDENES'!$AN281&amp;" | "&amp;'ORDENES'!$R281&amp;" | "&amp;IF('ORDENES'!$AB281="","(sin técnico)",'ORDENES'!$AB281)&amp;" | "&amp;'ORDENES'!$D281&amp;" ("&amp;'ORDENES'!$M281&amp;" h)","")</f>
        <v/>
      </c>
    </row>
    <row r="286">
      <c r="K286" s="3">
        <f>IF(AND(IF($B$3="(todos)",TRUE,'ORDENES'!$O282=$B$3),IF($D$3="(todos)",TRUE,'ORDENES'!$AC282=$D$3),IF($F$3="(todos)",TRUE,'ORDENES'!$V282=$F$3),'ORDENES'!$AA282=TRUE),'ORDENES'!$AN282&amp;" | "&amp;'ORDENES'!$R282&amp;" | "&amp;IF('ORDENES'!$AB282="","(sin técnico)",'ORDENES'!$AB282)&amp;" | "&amp;'ORDENES'!$D282&amp;" ("&amp;'ORDENES'!$M282&amp;" h)","")</f>
        <v/>
      </c>
    </row>
    <row r="287">
      <c r="K287" s="3">
        <f>IF(AND(IF($B$3="(todos)",TRUE,'ORDENES'!$O283=$B$3),IF($D$3="(todos)",TRUE,'ORDENES'!$AC283=$D$3),IF($F$3="(todos)",TRUE,'ORDENES'!$V283=$F$3),'ORDENES'!$AA283=TRUE),'ORDENES'!$AN283&amp;" | "&amp;'ORDENES'!$R283&amp;" | "&amp;IF('ORDENES'!$AB283="","(sin técnico)",'ORDENES'!$AB283)&amp;" | "&amp;'ORDENES'!$D283&amp;" ("&amp;'ORDENES'!$M283&amp;" h)","")</f>
        <v/>
      </c>
    </row>
    <row r="288">
      <c r="K288" s="3">
        <f>IF(AND(IF($B$3="(todos)",TRUE,'ORDENES'!$O284=$B$3),IF($D$3="(todos)",TRUE,'ORDENES'!$AC284=$D$3),IF($F$3="(todos)",TRUE,'ORDENES'!$V284=$F$3),'ORDENES'!$AA284=TRUE),'ORDENES'!$AN284&amp;" | "&amp;'ORDENES'!$R284&amp;" | "&amp;IF('ORDENES'!$AB284="","(sin técnico)",'ORDENES'!$AB284)&amp;" | "&amp;'ORDENES'!$D284&amp;" ("&amp;'ORDENES'!$M284&amp;" h)","")</f>
        <v/>
      </c>
    </row>
    <row r="289">
      <c r="K289" s="3">
        <f>IF(AND(IF($B$3="(todos)",TRUE,'ORDENES'!$O285=$B$3),IF($D$3="(todos)",TRUE,'ORDENES'!$AC285=$D$3),IF($F$3="(todos)",TRUE,'ORDENES'!$V285=$F$3),'ORDENES'!$AA285=TRUE),'ORDENES'!$AN285&amp;" | "&amp;'ORDENES'!$R285&amp;" | "&amp;IF('ORDENES'!$AB285="","(sin técnico)",'ORDENES'!$AB285)&amp;" | "&amp;'ORDENES'!$D285&amp;" ("&amp;'ORDENES'!$M285&amp;" h)","")</f>
        <v/>
      </c>
    </row>
    <row r="290">
      <c r="K290" s="3">
        <f>IF(AND(IF($B$3="(todos)",TRUE,'ORDENES'!$O286=$B$3),IF($D$3="(todos)",TRUE,'ORDENES'!$AC286=$D$3),IF($F$3="(todos)",TRUE,'ORDENES'!$V286=$F$3),'ORDENES'!$AA286=TRUE),'ORDENES'!$AN286&amp;" | "&amp;'ORDENES'!$R286&amp;" | "&amp;IF('ORDENES'!$AB286="","(sin técnico)",'ORDENES'!$AB286)&amp;" | "&amp;'ORDENES'!$D286&amp;" ("&amp;'ORDENES'!$M286&amp;" h)","")</f>
        <v/>
      </c>
    </row>
    <row r="291">
      <c r="K291" s="3">
        <f>IF(AND(IF($B$3="(todos)",TRUE,'ORDENES'!$O287=$B$3),IF($D$3="(todos)",TRUE,'ORDENES'!$AC287=$D$3),IF($F$3="(todos)",TRUE,'ORDENES'!$V287=$F$3),'ORDENES'!$AA287=TRUE),'ORDENES'!$AN287&amp;" | "&amp;'ORDENES'!$R287&amp;" | "&amp;IF('ORDENES'!$AB287="","(sin técnico)",'ORDENES'!$AB287)&amp;" | "&amp;'ORDENES'!$D287&amp;" ("&amp;'ORDENES'!$M287&amp;" h)","")</f>
        <v/>
      </c>
    </row>
    <row r="292">
      <c r="K292" s="3">
        <f>IF(AND(IF($B$3="(todos)",TRUE,'ORDENES'!$O288=$B$3),IF($D$3="(todos)",TRUE,'ORDENES'!$AC288=$D$3),IF($F$3="(todos)",TRUE,'ORDENES'!$V288=$F$3),'ORDENES'!$AA288=TRUE),'ORDENES'!$AN288&amp;" | "&amp;'ORDENES'!$R288&amp;" | "&amp;IF('ORDENES'!$AB288="","(sin técnico)",'ORDENES'!$AB288)&amp;" | "&amp;'ORDENES'!$D288&amp;" ("&amp;'ORDENES'!$M288&amp;" h)","")</f>
        <v/>
      </c>
    </row>
    <row r="293">
      <c r="K293" s="3">
        <f>IF(AND(IF($B$3="(todos)",TRUE,'ORDENES'!$O289=$B$3),IF($D$3="(todos)",TRUE,'ORDENES'!$AC289=$D$3),IF($F$3="(todos)",TRUE,'ORDENES'!$V289=$F$3),'ORDENES'!$AA289=TRUE),'ORDENES'!$AN289&amp;" | "&amp;'ORDENES'!$R289&amp;" | "&amp;IF('ORDENES'!$AB289="","(sin técnico)",'ORDENES'!$AB289)&amp;" | "&amp;'ORDENES'!$D289&amp;" ("&amp;'ORDENES'!$M289&amp;" h)","")</f>
        <v/>
      </c>
    </row>
    <row r="294">
      <c r="K294" s="3">
        <f>IF(AND(IF($B$3="(todos)",TRUE,'ORDENES'!$O290=$B$3),IF($D$3="(todos)",TRUE,'ORDENES'!$AC290=$D$3),IF($F$3="(todos)",TRUE,'ORDENES'!$V290=$F$3),'ORDENES'!$AA290=TRUE),'ORDENES'!$AN290&amp;" | "&amp;'ORDENES'!$R290&amp;" | "&amp;IF('ORDENES'!$AB290="","(sin técnico)",'ORDENES'!$AB290)&amp;" | "&amp;'ORDENES'!$D290&amp;" ("&amp;'ORDENES'!$M290&amp;" h)","")</f>
        <v/>
      </c>
    </row>
    <row r="295">
      <c r="K295" s="3">
        <f>IF(AND(IF($B$3="(todos)",TRUE,'ORDENES'!$O291=$B$3),IF($D$3="(todos)",TRUE,'ORDENES'!$AC291=$D$3),IF($F$3="(todos)",TRUE,'ORDENES'!$V291=$F$3),'ORDENES'!$AA291=TRUE),'ORDENES'!$AN291&amp;" | "&amp;'ORDENES'!$R291&amp;" | "&amp;IF('ORDENES'!$AB291="","(sin técnico)",'ORDENES'!$AB291)&amp;" | "&amp;'ORDENES'!$D291&amp;" ("&amp;'ORDENES'!$M291&amp;" h)","")</f>
        <v/>
      </c>
    </row>
    <row r="296">
      <c r="K296" s="3">
        <f>IF(AND(IF($B$3="(todos)",TRUE,'ORDENES'!$O292=$B$3),IF($D$3="(todos)",TRUE,'ORDENES'!$AC292=$D$3),IF($F$3="(todos)",TRUE,'ORDENES'!$V292=$F$3),'ORDENES'!$AA292=TRUE),'ORDENES'!$AN292&amp;" | "&amp;'ORDENES'!$R292&amp;" | "&amp;IF('ORDENES'!$AB292="","(sin técnico)",'ORDENES'!$AB292)&amp;" | "&amp;'ORDENES'!$D292&amp;" ("&amp;'ORDENES'!$M292&amp;" h)","")</f>
        <v/>
      </c>
    </row>
    <row r="297">
      <c r="K297" s="3">
        <f>IF(AND(IF($B$3="(todos)",TRUE,'ORDENES'!$O293=$B$3),IF($D$3="(todos)",TRUE,'ORDENES'!$AC293=$D$3),IF($F$3="(todos)",TRUE,'ORDENES'!$V293=$F$3),'ORDENES'!$AA293=TRUE),'ORDENES'!$AN293&amp;" | "&amp;'ORDENES'!$R293&amp;" | "&amp;IF('ORDENES'!$AB293="","(sin técnico)",'ORDENES'!$AB293)&amp;" | "&amp;'ORDENES'!$D293&amp;" ("&amp;'ORDENES'!$M293&amp;" h)","")</f>
        <v/>
      </c>
    </row>
    <row r="298">
      <c r="K298" s="3">
        <f>IF(AND(IF($B$3="(todos)",TRUE,'ORDENES'!$O294=$B$3),IF($D$3="(todos)",TRUE,'ORDENES'!$AC294=$D$3),IF($F$3="(todos)",TRUE,'ORDENES'!$V294=$F$3),'ORDENES'!$AA294=TRUE),'ORDENES'!$AN294&amp;" | "&amp;'ORDENES'!$R294&amp;" | "&amp;IF('ORDENES'!$AB294="","(sin técnico)",'ORDENES'!$AB294)&amp;" | "&amp;'ORDENES'!$D294&amp;" ("&amp;'ORDENES'!$M294&amp;" h)","")</f>
        <v/>
      </c>
    </row>
    <row r="299">
      <c r="K299" s="3">
        <f>IF(AND(IF($B$3="(todos)",TRUE,'ORDENES'!$O295=$B$3),IF($D$3="(todos)",TRUE,'ORDENES'!$AC295=$D$3),IF($F$3="(todos)",TRUE,'ORDENES'!$V295=$F$3),'ORDENES'!$AA295=TRUE),'ORDENES'!$AN295&amp;" | "&amp;'ORDENES'!$R295&amp;" | "&amp;IF('ORDENES'!$AB295="","(sin técnico)",'ORDENES'!$AB295)&amp;" | "&amp;'ORDENES'!$D295&amp;" ("&amp;'ORDENES'!$M295&amp;" h)","")</f>
        <v/>
      </c>
    </row>
    <row r="300">
      <c r="K300" s="3">
        <f>IF(AND(IF($B$3="(todos)",TRUE,'ORDENES'!$O296=$B$3),IF($D$3="(todos)",TRUE,'ORDENES'!$AC296=$D$3),IF($F$3="(todos)",TRUE,'ORDENES'!$V296=$F$3),'ORDENES'!$AA296=TRUE),'ORDENES'!$AN296&amp;" | "&amp;'ORDENES'!$R296&amp;" | "&amp;IF('ORDENES'!$AB296="","(sin técnico)",'ORDENES'!$AB296)&amp;" | "&amp;'ORDENES'!$D296&amp;" ("&amp;'ORDENES'!$M296&amp;" h)","")</f>
        <v/>
      </c>
    </row>
    <row r="301">
      <c r="K301" s="3">
        <f>IF(AND(IF($B$3="(todos)",TRUE,'ORDENES'!$O297=$B$3),IF($D$3="(todos)",TRUE,'ORDENES'!$AC297=$D$3),IF($F$3="(todos)",TRUE,'ORDENES'!$V297=$F$3),'ORDENES'!$AA297=TRUE),'ORDENES'!$AN297&amp;" | "&amp;'ORDENES'!$R297&amp;" | "&amp;IF('ORDENES'!$AB297="","(sin técnico)",'ORDENES'!$AB297)&amp;" | "&amp;'ORDENES'!$D297&amp;" ("&amp;'ORDENES'!$M297&amp;" h)","")</f>
        <v/>
      </c>
    </row>
    <row r="302">
      <c r="K302" s="3">
        <f>IF(AND(IF($B$3="(todos)",TRUE,'ORDENES'!$O298=$B$3),IF($D$3="(todos)",TRUE,'ORDENES'!$AC298=$D$3),IF($F$3="(todos)",TRUE,'ORDENES'!$V298=$F$3),'ORDENES'!$AA298=TRUE),'ORDENES'!$AN298&amp;" | "&amp;'ORDENES'!$R298&amp;" | "&amp;IF('ORDENES'!$AB298="","(sin técnico)",'ORDENES'!$AB298)&amp;" | "&amp;'ORDENES'!$D298&amp;" ("&amp;'ORDENES'!$M298&amp;" h)","")</f>
        <v/>
      </c>
    </row>
    <row r="303">
      <c r="K303" s="3">
        <f>IF(AND(IF($B$3="(todos)",TRUE,'ORDENES'!$O299=$B$3),IF($D$3="(todos)",TRUE,'ORDENES'!$AC299=$D$3),IF($F$3="(todos)",TRUE,'ORDENES'!$V299=$F$3),'ORDENES'!$AA299=TRUE),'ORDENES'!$AN299&amp;" | "&amp;'ORDENES'!$R299&amp;" | "&amp;IF('ORDENES'!$AB299="","(sin técnico)",'ORDENES'!$AB299)&amp;" | "&amp;'ORDENES'!$D299&amp;" ("&amp;'ORDENES'!$M299&amp;" h)","")</f>
        <v/>
      </c>
    </row>
    <row r="304">
      <c r="K304" s="3">
        <f>IF(AND(IF($B$3="(todos)",TRUE,'ORDENES'!$O300=$B$3),IF($D$3="(todos)",TRUE,'ORDENES'!$AC300=$D$3),IF($F$3="(todos)",TRUE,'ORDENES'!$V300=$F$3),'ORDENES'!$AA300=TRUE),'ORDENES'!$AN300&amp;" | "&amp;'ORDENES'!$R300&amp;" | "&amp;IF('ORDENES'!$AB300="","(sin técnico)",'ORDENES'!$AB300)&amp;" | "&amp;'ORDENES'!$D300&amp;" ("&amp;'ORDENES'!$M300&amp;" h)","")</f>
        <v/>
      </c>
    </row>
    <row r="305">
      <c r="K305" s="3">
        <f>IF(AND(IF($B$3="(todos)",TRUE,'ORDENES'!$O301=$B$3),IF($D$3="(todos)",TRUE,'ORDENES'!$AC301=$D$3),IF($F$3="(todos)",TRUE,'ORDENES'!$V301=$F$3),'ORDENES'!$AA301=TRUE),'ORDENES'!$AN301&amp;" | "&amp;'ORDENES'!$R301&amp;" | "&amp;IF('ORDENES'!$AB301="","(sin técnico)",'ORDENES'!$AB301)&amp;" | "&amp;'ORDENES'!$D301&amp;" ("&amp;'ORDENES'!$M301&amp;" h)","")</f>
        <v/>
      </c>
    </row>
    <row r="306">
      <c r="K306" s="3">
        <f>IF(AND(IF($B$3="(todos)",TRUE,'ORDENES'!$O302=$B$3),IF($D$3="(todos)",TRUE,'ORDENES'!$AC302=$D$3),IF($F$3="(todos)",TRUE,'ORDENES'!$V302=$F$3),'ORDENES'!$AA302=TRUE),'ORDENES'!$AN302&amp;" | "&amp;'ORDENES'!$R302&amp;" | "&amp;IF('ORDENES'!$AB302="","(sin técnico)",'ORDENES'!$AB302)&amp;" | "&amp;'ORDENES'!$D302&amp;" ("&amp;'ORDENES'!$M302&amp;" h)","")</f>
        <v/>
      </c>
    </row>
    <row r="307">
      <c r="K307" s="3">
        <f>IF(AND(IF($B$3="(todos)",TRUE,'ORDENES'!$O303=$B$3),IF($D$3="(todos)",TRUE,'ORDENES'!$AC303=$D$3),IF($F$3="(todos)",TRUE,'ORDENES'!$V303=$F$3),'ORDENES'!$AA303=TRUE),'ORDENES'!$AN303&amp;" | "&amp;'ORDENES'!$R303&amp;" | "&amp;IF('ORDENES'!$AB303="","(sin técnico)",'ORDENES'!$AB303)&amp;" | "&amp;'ORDENES'!$D303&amp;" ("&amp;'ORDENES'!$M303&amp;" h)","")</f>
        <v/>
      </c>
    </row>
    <row r="308">
      <c r="K308" s="3">
        <f>IF(AND(IF($B$3="(todos)",TRUE,'ORDENES'!$O304=$B$3),IF($D$3="(todos)",TRUE,'ORDENES'!$AC304=$D$3),IF($F$3="(todos)",TRUE,'ORDENES'!$V304=$F$3),'ORDENES'!$AA304=TRUE),'ORDENES'!$AN304&amp;" | "&amp;'ORDENES'!$R304&amp;" | "&amp;IF('ORDENES'!$AB304="","(sin técnico)",'ORDENES'!$AB304)&amp;" | "&amp;'ORDENES'!$D304&amp;" ("&amp;'ORDENES'!$M304&amp;" h)","")</f>
        <v/>
      </c>
    </row>
    <row r="309">
      <c r="K309" s="3">
        <f>IF(AND(IF($B$3="(todos)",TRUE,'ORDENES'!$O305=$B$3),IF($D$3="(todos)",TRUE,'ORDENES'!$AC305=$D$3),IF($F$3="(todos)",TRUE,'ORDENES'!$V305=$F$3),'ORDENES'!$AA305=TRUE),'ORDENES'!$AN305&amp;" | "&amp;'ORDENES'!$R305&amp;" | "&amp;IF('ORDENES'!$AB305="","(sin técnico)",'ORDENES'!$AB305)&amp;" | "&amp;'ORDENES'!$D305&amp;" ("&amp;'ORDENES'!$M305&amp;" h)","")</f>
        <v/>
      </c>
    </row>
    <row r="310">
      <c r="K310" s="3">
        <f>IF(AND(IF($B$3="(todos)",TRUE,'ORDENES'!$O306=$B$3),IF($D$3="(todos)",TRUE,'ORDENES'!$AC306=$D$3),IF($F$3="(todos)",TRUE,'ORDENES'!$V306=$F$3),'ORDENES'!$AA306=TRUE),'ORDENES'!$AN306&amp;" | "&amp;'ORDENES'!$R306&amp;" | "&amp;IF('ORDENES'!$AB306="","(sin técnico)",'ORDENES'!$AB306)&amp;" | "&amp;'ORDENES'!$D306&amp;" ("&amp;'ORDENES'!$M306&amp;" h)","")</f>
        <v/>
      </c>
    </row>
    <row r="311">
      <c r="K311" s="3">
        <f>IF(AND(IF($B$3="(todos)",TRUE,'ORDENES'!$O307=$B$3),IF($D$3="(todos)",TRUE,'ORDENES'!$AC307=$D$3),IF($F$3="(todos)",TRUE,'ORDENES'!$V307=$F$3),'ORDENES'!$AA307=TRUE),'ORDENES'!$AN307&amp;" | "&amp;'ORDENES'!$R307&amp;" | "&amp;IF('ORDENES'!$AB307="","(sin técnico)",'ORDENES'!$AB307)&amp;" | "&amp;'ORDENES'!$D307&amp;" ("&amp;'ORDENES'!$M307&amp;" h)","")</f>
        <v/>
      </c>
    </row>
    <row r="312">
      <c r="K312" s="3">
        <f>IF(AND(IF($B$3="(todos)",TRUE,'ORDENES'!$O308=$B$3),IF($D$3="(todos)",TRUE,'ORDENES'!$AC308=$D$3),IF($F$3="(todos)",TRUE,'ORDENES'!$V308=$F$3),'ORDENES'!$AA308=TRUE),'ORDENES'!$AN308&amp;" | "&amp;'ORDENES'!$R308&amp;" | "&amp;IF('ORDENES'!$AB308="","(sin técnico)",'ORDENES'!$AB308)&amp;" | "&amp;'ORDENES'!$D308&amp;" ("&amp;'ORDENES'!$M308&amp;" h)","")</f>
        <v/>
      </c>
    </row>
    <row r="313">
      <c r="K313" s="3">
        <f>IF(AND(IF($B$3="(todos)",TRUE,'ORDENES'!$O309=$B$3),IF($D$3="(todos)",TRUE,'ORDENES'!$AC309=$D$3),IF($F$3="(todos)",TRUE,'ORDENES'!$V309=$F$3),'ORDENES'!$AA309=TRUE),'ORDENES'!$AN309&amp;" | "&amp;'ORDENES'!$R309&amp;" | "&amp;IF('ORDENES'!$AB309="","(sin técnico)",'ORDENES'!$AB309)&amp;" | "&amp;'ORDENES'!$D309&amp;" ("&amp;'ORDENES'!$M309&amp;" h)","")</f>
        <v/>
      </c>
    </row>
    <row r="314">
      <c r="K314" s="3">
        <f>IF(AND(IF($B$3="(todos)",TRUE,'ORDENES'!$O310=$B$3),IF($D$3="(todos)",TRUE,'ORDENES'!$AC310=$D$3),IF($F$3="(todos)",TRUE,'ORDENES'!$V310=$F$3),'ORDENES'!$AA310=TRUE),'ORDENES'!$AN310&amp;" | "&amp;'ORDENES'!$R310&amp;" | "&amp;IF('ORDENES'!$AB310="","(sin técnico)",'ORDENES'!$AB310)&amp;" | "&amp;'ORDENES'!$D310&amp;" ("&amp;'ORDENES'!$M310&amp;" h)","")</f>
        <v/>
      </c>
    </row>
    <row r="315">
      <c r="K315" s="3">
        <f>IF(AND(IF($B$3="(todos)",TRUE,'ORDENES'!$O311=$B$3),IF($D$3="(todos)",TRUE,'ORDENES'!$AC311=$D$3),IF($F$3="(todos)",TRUE,'ORDENES'!$V311=$F$3),'ORDENES'!$AA311=TRUE),'ORDENES'!$AN311&amp;" | "&amp;'ORDENES'!$R311&amp;" | "&amp;IF('ORDENES'!$AB311="","(sin técnico)",'ORDENES'!$AB311)&amp;" | "&amp;'ORDENES'!$D311&amp;" ("&amp;'ORDENES'!$M311&amp;" h)","")</f>
        <v/>
      </c>
    </row>
    <row r="316">
      <c r="K316" s="3">
        <f>IF(AND(IF($B$3="(todos)",TRUE,'ORDENES'!$O312=$B$3),IF($D$3="(todos)",TRUE,'ORDENES'!$AC312=$D$3),IF($F$3="(todos)",TRUE,'ORDENES'!$V312=$F$3),'ORDENES'!$AA312=TRUE),'ORDENES'!$AN312&amp;" | "&amp;'ORDENES'!$R312&amp;" | "&amp;IF('ORDENES'!$AB312="","(sin técnico)",'ORDENES'!$AB312)&amp;" | "&amp;'ORDENES'!$D312&amp;" ("&amp;'ORDENES'!$M312&amp;" h)","")</f>
        <v/>
      </c>
    </row>
    <row r="317">
      <c r="K317" s="3">
        <f>IF(AND(IF($B$3="(todos)",TRUE,'ORDENES'!$O313=$B$3),IF($D$3="(todos)",TRUE,'ORDENES'!$AC313=$D$3),IF($F$3="(todos)",TRUE,'ORDENES'!$V313=$F$3),'ORDENES'!$AA313=TRUE),'ORDENES'!$AN313&amp;" | "&amp;'ORDENES'!$R313&amp;" | "&amp;IF('ORDENES'!$AB313="","(sin técnico)",'ORDENES'!$AB313)&amp;" | "&amp;'ORDENES'!$D313&amp;" ("&amp;'ORDENES'!$M313&amp;" h)","")</f>
        <v/>
      </c>
    </row>
    <row r="318">
      <c r="K318" s="3">
        <f>IF(AND(IF($B$3="(todos)",TRUE,'ORDENES'!$O314=$B$3),IF($D$3="(todos)",TRUE,'ORDENES'!$AC314=$D$3),IF($F$3="(todos)",TRUE,'ORDENES'!$V314=$F$3),'ORDENES'!$AA314=TRUE),'ORDENES'!$AN314&amp;" | "&amp;'ORDENES'!$R314&amp;" | "&amp;IF('ORDENES'!$AB314="","(sin técnico)",'ORDENES'!$AB314)&amp;" | "&amp;'ORDENES'!$D314&amp;" ("&amp;'ORDENES'!$M314&amp;" h)","")</f>
        <v/>
      </c>
    </row>
    <row r="319">
      <c r="K319" s="3">
        <f>IF(AND(IF($B$3="(todos)",TRUE,'ORDENES'!$O315=$B$3),IF($D$3="(todos)",TRUE,'ORDENES'!$AC315=$D$3),IF($F$3="(todos)",TRUE,'ORDENES'!$V315=$F$3),'ORDENES'!$AA315=TRUE),'ORDENES'!$AN315&amp;" | "&amp;'ORDENES'!$R315&amp;" | "&amp;IF('ORDENES'!$AB315="","(sin técnico)",'ORDENES'!$AB315)&amp;" | "&amp;'ORDENES'!$D315&amp;" ("&amp;'ORDENES'!$M315&amp;" h)","")</f>
        <v/>
      </c>
    </row>
    <row r="320">
      <c r="K320" s="3">
        <f>IF(AND(IF($B$3="(todos)",TRUE,'ORDENES'!$O316=$B$3),IF($D$3="(todos)",TRUE,'ORDENES'!$AC316=$D$3),IF($F$3="(todos)",TRUE,'ORDENES'!$V316=$F$3),'ORDENES'!$AA316=TRUE),'ORDENES'!$AN316&amp;" | "&amp;'ORDENES'!$R316&amp;" | "&amp;IF('ORDENES'!$AB316="","(sin técnico)",'ORDENES'!$AB316)&amp;" | "&amp;'ORDENES'!$D316&amp;" ("&amp;'ORDENES'!$M316&amp;" h)","")</f>
        <v/>
      </c>
    </row>
    <row r="321">
      <c r="K321" s="3">
        <f>IF(AND(IF($B$3="(todos)",TRUE,'ORDENES'!$O317=$B$3),IF($D$3="(todos)",TRUE,'ORDENES'!$AC317=$D$3),IF($F$3="(todos)",TRUE,'ORDENES'!$V317=$F$3),'ORDENES'!$AA317=TRUE),'ORDENES'!$AN317&amp;" | "&amp;'ORDENES'!$R317&amp;" | "&amp;IF('ORDENES'!$AB317="","(sin técnico)",'ORDENES'!$AB317)&amp;" | "&amp;'ORDENES'!$D317&amp;" ("&amp;'ORDENES'!$M317&amp;" h)","")</f>
        <v/>
      </c>
    </row>
    <row r="322">
      <c r="K322" s="3">
        <f>IF(AND(IF($B$3="(todos)",TRUE,'ORDENES'!$O318=$B$3),IF($D$3="(todos)",TRUE,'ORDENES'!$AC318=$D$3),IF($F$3="(todos)",TRUE,'ORDENES'!$V318=$F$3),'ORDENES'!$AA318=TRUE),'ORDENES'!$AN318&amp;" | "&amp;'ORDENES'!$R318&amp;" | "&amp;IF('ORDENES'!$AB318="","(sin técnico)",'ORDENES'!$AB318)&amp;" | "&amp;'ORDENES'!$D318&amp;" ("&amp;'ORDENES'!$M318&amp;" h)","")</f>
        <v/>
      </c>
    </row>
    <row r="323">
      <c r="K323" s="3">
        <f>IF(AND(IF($B$3="(todos)",TRUE,'ORDENES'!$O319=$B$3),IF($D$3="(todos)",TRUE,'ORDENES'!$AC319=$D$3),IF($F$3="(todos)",TRUE,'ORDENES'!$V319=$F$3),'ORDENES'!$AA319=TRUE),'ORDENES'!$AN319&amp;" | "&amp;'ORDENES'!$R319&amp;" | "&amp;IF('ORDENES'!$AB319="","(sin técnico)",'ORDENES'!$AB319)&amp;" | "&amp;'ORDENES'!$D319&amp;" ("&amp;'ORDENES'!$M319&amp;" h)","")</f>
        <v/>
      </c>
    </row>
    <row r="324">
      <c r="K324" s="3">
        <f>IF(AND(IF($B$3="(todos)",TRUE,'ORDENES'!$O320=$B$3),IF($D$3="(todos)",TRUE,'ORDENES'!$AC320=$D$3),IF($F$3="(todos)",TRUE,'ORDENES'!$V320=$F$3),'ORDENES'!$AA320=TRUE),'ORDENES'!$AN320&amp;" | "&amp;'ORDENES'!$R320&amp;" | "&amp;IF('ORDENES'!$AB320="","(sin técnico)",'ORDENES'!$AB320)&amp;" | "&amp;'ORDENES'!$D320&amp;" ("&amp;'ORDENES'!$M320&amp;" h)","")</f>
        <v/>
      </c>
    </row>
    <row r="325">
      <c r="K325" s="3">
        <f>IF(AND(IF($B$3="(todos)",TRUE,'ORDENES'!$O321=$B$3),IF($D$3="(todos)",TRUE,'ORDENES'!$AC321=$D$3),IF($F$3="(todos)",TRUE,'ORDENES'!$V321=$F$3),'ORDENES'!$AA321=TRUE),'ORDENES'!$AN321&amp;" | "&amp;'ORDENES'!$R321&amp;" | "&amp;IF('ORDENES'!$AB321="","(sin técnico)",'ORDENES'!$AB321)&amp;" | "&amp;'ORDENES'!$D321&amp;" ("&amp;'ORDENES'!$M321&amp;" h)","")</f>
        <v/>
      </c>
    </row>
    <row r="326">
      <c r="K326" s="3">
        <f>IF(AND(IF($B$3="(todos)",TRUE,'ORDENES'!$O322=$B$3),IF($D$3="(todos)",TRUE,'ORDENES'!$AC322=$D$3),IF($F$3="(todos)",TRUE,'ORDENES'!$V322=$F$3),'ORDENES'!$AA322=TRUE),'ORDENES'!$AN322&amp;" | "&amp;'ORDENES'!$R322&amp;" | "&amp;IF('ORDENES'!$AB322="","(sin técnico)",'ORDENES'!$AB322)&amp;" | "&amp;'ORDENES'!$D322&amp;" ("&amp;'ORDENES'!$M322&amp;" h)","")</f>
        <v/>
      </c>
    </row>
    <row r="327">
      <c r="K327" s="3">
        <f>IF(AND(IF($B$3="(todos)",TRUE,'ORDENES'!$O323=$B$3),IF($D$3="(todos)",TRUE,'ORDENES'!$AC323=$D$3),IF($F$3="(todos)",TRUE,'ORDENES'!$V323=$F$3),'ORDENES'!$AA323=TRUE),'ORDENES'!$AN323&amp;" | "&amp;'ORDENES'!$R323&amp;" | "&amp;IF('ORDENES'!$AB323="","(sin técnico)",'ORDENES'!$AB323)&amp;" | "&amp;'ORDENES'!$D323&amp;" ("&amp;'ORDENES'!$M323&amp;" h)","")</f>
        <v/>
      </c>
    </row>
    <row r="328">
      <c r="K328" s="3">
        <f>IF(AND(IF($B$3="(todos)",TRUE,'ORDENES'!$O324=$B$3),IF($D$3="(todos)",TRUE,'ORDENES'!$AC324=$D$3),IF($F$3="(todos)",TRUE,'ORDENES'!$V324=$F$3),'ORDENES'!$AA324=TRUE),'ORDENES'!$AN324&amp;" | "&amp;'ORDENES'!$R324&amp;" | "&amp;IF('ORDENES'!$AB324="","(sin técnico)",'ORDENES'!$AB324)&amp;" | "&amp;'ORDENES'!$D324&amp;" ("&amp;'ORDENES'!$M324&amp;" h)","")</f>
        <v/>
      </c>
    </row>
    <row r="329">
      <c r="K329" s="3">
        <f>IF(AND(IF($B$3="(todos)",TRUE,'ORDENES'!$O325=$B$3),IF($D$3="(todos)",TRUE,'ORDENES'!$AC325=$D$3),IF($F$3="(todos)",TRUE,'ORDENES'!$V325=$F$3),'ORDENES'!$AA325=TRUE),'ORDENES'!$AN325&amp;" | "&amp;'ORDENES'!$R325&amp;" | "&amp;IF('ORDENES'!$AB325="","(sin técnico)",'ORDENES'!$AB325)&amp;" | "&amp;'ORDENES'!$D325&amp;" ("&amp;'ORDENES'!$M325&amp;" h)","")</f>
        <v/>
      </c>
    </row>
    <row r="330">
      <c r="K330" s="3">
        <f>IF(AND(IF($B$3="(todos)",TRUE,'ORDENES'!$O326=$B$3),IF($D$3="(todos)",TRUE,'ORDENES'!$AC326=$D$3),IF($F$3="(todos)",TRUE,'ORDENES'!$V326=$F$3),'ORDENES'!$AA326=TRUE),'ORDENES'!$AN326&amp;" | "&amp;'ORDENES'!$R326&amp;" | "&amp;IF('ORDENES'!$AB326="","(sin técnico)",'ORDENES'!$AB326)&amp;" | "&amp;'ORDENES'!$D326&amp;" ("&amp;'ORDENES'!$M326&amp;" h)","")</f>
        <v/>
      </c>
    </row>
    <row r="331">
      <c r="K331" s="3">
        <f>IF(AND(IF($B$3="(todos)",TRUE,'ORDENES'!$O327=$B$3),IF($D$3="(todos)",TRUE,'ORDENES'!$AC327=$D$3),IF($F$3="(todos)",TRUE,'ORDENES'!$V327=$F$3),'ORDENES'!$AA327=TRUE),'ORDENES'!$AN327&amp;" | "&amp;'ORDENES'!$R327&amp;" | "&amp;IF('ORDENES'!$AB327="","(sin técnico)",'ORDENES'!$AB327)&amp;" | "&amp;'ORDENES'!$D327&amp;" ("&amp;'ORDENES'!$M327&amp;" h)","")</f>
        <v/>
      </c>
    </row>
    <row r="332">
      <c r="K332" s="3">
        <f>IF(AND(IF($B$3="(todos)",TRUE,'ORDENES'!$O328=$B$3),IF($D$3="(todos)",TRUE,'ORDENES'!$AC328=$D$3),IF($F$3="(todos)",TRUE,'ORDENES'!$V328=$F$3),'ORDENES'!$AA328=TRUE),'ORDENES'!$AN328&amp;" | "&amp;'ORDENES'!$R328&amp;" | "&amp;IF('ORDENES'!$AB328="","(sin técnico)",'ORDENES'!$AB328)&amp;" | "&amp;'ORDENES'!$D328&amp;" ("&amp;'ORDENES'!$M328&amp;" h)","")</f>
        <v/>
      </c>
    </row>
    <row r="333">
      <c r="K333" s="3">
        <f>IF(AND(IF($B$3="(todos)",TRUE,'ORDENES'!$O329=$B$3),IF($D$3="(todos)",TRUE,'ORDENES'!$AC329=$D$3),IF($F$3="(todos)",TRUE,'ORDENES'!$V329=$F$3),'ORDENES'!$AA329=TRUE),'ORDENES'!$AN329&amp;" | "&amp;'ORDENES'!$R329&amp;" | "&amp;IF('ORDENES'!$AB329="","(sin técnico)",'ORDENES'!$AB329)&amp;" | "&amp;'ORDENES'!$D329&amp;" ("&amp;'ORDENES'!$M329&amp;" h)","")</f>
        <v/>
      </c>
    </row>
    <row r="334">
      <c r="K334" s="3">
        <f>IF(AND(IF($B$3="(todos)",TRUE,'ORDENES'!$O330=$B$3),IF($D$3="(todos)",TRUE,'ORDENES'!$AC330=$D$3),IF($F$3="(todos)",TRUE,'ORDENES'!$V330=$F$3),'ORDENES'!$AA330=TRUE),'ORDENES'!$AN330&amp;" | "&amp;'ORDENES'!$R330&amp;" | "&amp;IF('ORDENES'!$AB330="","(sin técnico)",'ORDENES'!$AB330)&amp;" | "&amp;'ORDENES'!$D330&amp;" ("&amp;'ORDENES'!$M330&amp;" h)","")</f>
        <v/>
      </c>
    </row>
    <row r="335">
      <c r="K335" s="3">
        <f>IF(AND(IF($B$3="(todos)",TRUE,'ORDENES'!$O331=$B$3),IF($D$3="(todos)",TRUE,'ORDENES'!$AC331=$D$3),IF($F$3="(todos)",TRUE,'ORDENES'!$V331=$F$3),'ORDENES'!$AA331=TRUE),'ORDENES'!$AN331&amp;" | "&amp;'ORDENES'!$R331&amp;" | "&amp;IF('ORDENES'!$AB331="","(sin técnico)",'ORDENES'!$AB331)&amp;" | "&amp;'ORDENES'!$D331&amp;" ("&amp;'ORDENES'!$M331&amp;" h)","")</f>
        <v/>
      </c>
    </row>
    <row r="336">
      <c r="K336" s="3">
        <f>IF(AND(IF($B$3="(todos)",TRUE,'ORDENES'!$O332=$B$3),IF($D$3="(todos)",TRUE,'ORDENES'!$AC332=$D$3),IF($F$3="(todos)",TRUE,'ORDENES'!$V332=$F$3),'ORDENES'!$AA332=TRUE),'ORDENES'!$AN332&amp;" | "&amp;'ORDENES'!$R332&amp;" | "&amp;IF('ORDENES'!$AB332="","(sin técnico)",'ORDENES'!$AB332)&amp;" | "&amp;'ORDENES'!$D332&amp;" ("&amp;'ORDENES'!$M332&amp;" h)","")</f>
        <v/>
      </c>
    </row>
    <row r="337">
      <c r="K337" s="3">
        <f>IF(AND(IF($B$3="(todos)",TRUE,'ORDENES'!$O333=$B$3),IF($D$3="(todos)",TRUE,'ORDENES'!$AC333=$D$3),IF($F$3="(todos)",TRUE,'ORDENES'!$V333=$F$3),'ORDENES'!$AA333=TRUE),'ORDENES'!$AN333&amp;" | "&amp;'ORDENES'!$R333&amp;" | "&amp;IF('ORDENES'!$AB333="","(sin técnico)",'ORDENES'!$AB333)&amp;" | "&amp;'ORDENES'!$D333&amp;" ("&amp;'ORDENES'!$M333&amp;" h)","")</f>
        <v/>
      </c>
    </row>
    <row r="338">
      <c r="K338" s="3">
        <f>IF(AND(IF($B$3="(todos)",TRUE,'ORDENES'!$O334=$B$3),IF($D$3="(todos)",TRUE,'ORDENES'!$AC334=$D$3),IF($F$3="(todos)",TRUE,'ORDENES'!$V334=$F$3),'ORDENES'!$AA334=TRUE),'ORDENES'!$AN334&amp;" | "&amp;'ORDENES'!$R334&amp;" | "&amp;IF('ORDENES'!$AB334="","(sin técnico)",'ORDENES'!$AB334)&amp;" | "&amp;'ORDENES'!$D334&amp;" ("&amp;'ORDENES'!$M334&amp;" h)","")</f>
        <v/>
      </c>
    </row>
    <row r="339">
      <c r="K339" s="3">
        <f>IF(AND(IF($B$3="(todos)",TRUE,'ORDENES'!$O335=$B$3),IF($D$3="(todos)",TRUE,'ORDENES'!$AC335=$D$3),IF($F$3="(todos)",TRUE,'ORDENES'!$V335=$F$3),'ORDENES'!$AA335=TRUE),'ORDENES'!$AN335&amp;" | "&amp;'ORDENES'!$R335&amp;" | "&amp;IF('ORDENES'!$AB335="","(sin técnico)",'ORDENES'!$AB335)&amp;" | "&amp;'ORDENES'!$D335&amp;" ("&amp;'ORDENES'!$M335&amp;" h)","")</f>
        <v/>
      </c>
    </row>
    <row r="340">
      <c r="K340" s="3">
        <f>IF(AND(IF($B$3="(todos)",TRUE,'ORDENES'!$O336=$B$3),IF($D$3="(todos)",TRUE,'ORDENES'!$AC336=$D$3),IF($F$3="(todos)",TRUE,'ORDENES'!$V336=$F$3),'ORDENES'!$AA336=TRUE),'ORDENES'!$AN336&amp;" | "&amp;'ORDENES'!$R336&amp;" | "&amp;IF('ORDENES'!$AB336="","(sin técnico)",'ORDENES'!$AB336)&amp;" | "&amp;'ORDENES'!$D336&amp;" ("&amp;'ORDENES'!$M336&amp;" h)","")</f>
        <v/>
      </c>
    </row>
    <row r="341">
      <c r="K341" s="3">
        <f>IF(AND(IF($B$3="(todos)",TRUE,'ORDENES'!$O337=$B$3),IF($D$3="(todos)",TRUE,'ORDENES'!$AC337=$D$3),IF($F$3="(todos)",TRUE,'ORDENES'!$V337=$F$3),'ORDENES'!$AA337=TRUE),'ORDENES'!$AN337&amp;" | "&amp;'ORDENES'!$R337&amp;" | "&amp;IF('ORDENES'!$AB337="","(sin técnico)",'ORDENES'!$AB337)&amp;" | "&amp;'ORDENES'!$D337&amp;" ("&amp;'ORDENES'!$M337&amp;" h)","")</f>
        <v/>
      </c>
    </row>
    <row r="342">
      <c r="K342" s="3">
        <f>IF(AND(IF($B$3="(todos)",TRUE,'ORDENES'!$O338=$B$3),IF($D$3="(todos)",TRUE,'ORDENES'!$AC338=$D$3),IF($F$3="(todos)",TRUE,'ORDENES'!$V338=$F$3),'ORDENES'!$AA338=TRUE),'ORDENES'!$AN338&amp;" | "&amp;'ORDENES'!$R338&amp;" | "&amp;IF('ORDENES'!$AB338="","(sin técnico)",'ORDENES'!$AB338)&amp;" | "&amp;'ORDENES'!$D338&amp;" ("&amp;'ORDENES'!$M338&amp;" h)","")</f>
        <v/>
      </c>
    </row>
    <row r="343">
      <c r="K343" s="3">
        <f>IF(AND(IF($B$3="(todos)",TRUE,'ORDENES'!$O339=$B$3),IF($D$3="(todos)",TRUE,'ORDENES'!$AC339=$D$3),IF($F$3="(todos)",TRUE,'ORDENES'!$V339=$F$3),'ORDENES'!$AA339=TRUE),'ORDENES'!$AN339&amp;" | "&amp;'ORDENES'!$R339&amp;" | "&amp;IF('ORDENES'!$AB339="","(sin técnico)",'ORDENES'!$AB339)&amp;" | "&amp;'ORDENES'!$D339&amp;" ("&amp;'ORDENES'!$M339&amp;" h)","")</f>
        <v/>
      </c>
    </row>
    <row r="344">
      <c r="K344" s="3">
        <f>IF(AND(IF($B$3="(todos)",TRUE,'ORDENES'!$O340=$B$3),IF($D$3="(todos)",TRUE,'ORDENES'!$AC340=$D$3),IF($F$3="(todos)",TRUE,'ORDENES'!$V340=$F$3),'ORDENES'!$AA340=TRUE),'ORDENES'!$AN340&amp;" | "&amp;'ORDENES'!$R340&amp;" | "&amp;IF('ORDENES'!$AB340="","(sin técnico)",'ORDENES'!$AB340)&amp;" | "&amp;'ORDENES'!$D340&amp;" ("&amp;'ORDENES'!$M340&amp;" h)","")</f>
        <v/>
      </c>
    </row>
    <row r="345">
      <c r="K345" s="3">
        <f>IF(AND(IF($B$3="(todos)",TRUE,'ORDENES'!$O341=$B$3),IF($D$3="(todos)",TRUE,'ORDENES'!$AC341=$D$3),IF($F$3="(todos)",TRUE,'ORDENES'!$V341=$F$3),'ORDENES'!$AA341=TRUE),'ORDENES'!$AN341&amp;" | "&amp;'ORDENES'!$R341&amp;" | "&amp;IF('ORDENES'!$AB341="","(sin técnico)",'ORDENES'!$AB341)&amp;" | "&amp;'ORDENES'!$D341&amp;" ("&amp;'ORDENES'!$M341&amp;" h)","")</f>
        <v/>
      </c>
    </row>
    <row r="346">
      <c r="K346" s="3">
        <f>IF(AND(IF($B$3="(todos)",TRUE,'ORDENES'!$O342=$B$3),IF($D$3="(todos)",TRUE,'ORDENES'!$AC342=$D$3),IF($F$3="(todos)",TRUE,'ORDENES'!$V342=$F$3),'ORDENES'!$AA342=TRUE),'ORDENES'!$AN342&amp;" | "&amp;'ORDENES'!$R342&amp;" | "&amp;IF('ORDENES'!$AB342="","(sin técnico)",'ORDENES'!$AB342)&amp;" | "&amp;'ORDENES'!$D342&amp;" ("&amp;'ORDENES'!$M342&amp;" h)","")</f>
        <v/>
      </c>
    </row>
    <row r="347">
      <c r="K347" s="3">
        <f>IF(AND(IF($B$3="(todos)",TRUE,'ORDENES'!$O343=$B$3),IF($D$3="(todos)",TRUE,'ORDENES'!$AC343=$D$3),IF($F$3="(todos)",TRUE,'ORDENES'!$V343=$F$3),'ORDENES'!$AA343=TRUE),'ORDENES'!$AN343&amp;" | "&amp;'ORDENES'!$R343&amp;" | "&amp;IF('ORDENES'!$AB343="","(sin técnico)",'ORDENES'!$AB343)&amp;" | "&amp;'ORDENES'!$D343&amp;" ("&amp;'ORDENES'!$M343&amp;" h)","")</f>
        <v/>
      </c>
    </row>
    <row r="348">
      <c r="K348" s="3">
        <f>IF(AND(IF($B$3="(todos)",TRUE,'ORDENES'!$O344=$B$3),IF($D$3="(todos)",TRUE,'ORDENES'!$AC344=$D$3),IF($F$3="(todos)",TRUE,'ORDENES'!$V344=$F$3),'ORDENES'!$AA344=TRUE),'ORDENES'!$AN344&amp;" | "&amp;'ORDENES'!$R344&amp;" | "&amp;IF('ORDENES'!$AB344="","(sin técnico)",'ORDENES'!$AB344)&amp;" | "&amp;'ORDENES'!$D344&amp;" ("&amp;'ORDENES'!$M344&amp;" h)","")</f>
        <v/>
      </c>
    </row>
    <row r="349">
      <c r="K349" s="3">
        <f>IF(AND(IF($B$3="(todos)",TRUE,'ORDENES'!$O345=$B$3),IF($D$3="(todos)",TRUE,'ORDENES'!$AC345=$D$3),IF($F$3="(todos)",TRUE,'ORDENES'!$V345=$F$3),'ORDENES'!$AA345=TRUE),'ORDENES'!$AN345&amp;" | "&amp;'ORDENES'!$R345&amp;" | "&amp;IF('ORDENES'!$AB345="","(sin técnico)",'ORDENES'!$AB345)&amp;" | "&amp;'ORDENES'!$D345&amp;" ("&amp;'ORDENES'!$M345&amp;" h)","")</f>
        <v/>
      </c>
    </row>
    <row r="350">
      <c r="K350" s="3">
        <f>IF(AND(IF($B$3="(todos)",TRUE,'ORDENES'!$O346=$B$3),IF($D$3="(todos)",TRUE,'ORDENES'!$AC346=$D$3),IF($F$3="(todos)",TRUE,'ORDENES'!$V346=$F$3),'ORDENES'!$AA346=TRUE),'ORDENES'!$AN346&amp;" | "&amp;'ORDENES'!$R346&amp;" | "&amp;IF('ORDENES'!$AB346="","(sin técnico)",'ORDENES'!$AB346)&amp;" | "&amp;'ORDENES'!$D346&amp;" ("&amp;'ORDENES'!$M346&amp;" h)","")</f>
        <v/>
      </c>
    </row>
    <row r="351">
      <c r="K351" s="3">
        <f>IF(AND(IF($B$3="(todos)",TRUE,'ORDENES'!$O347=$B$3),IF($D$3="(todos)",TRUE,'ORDENES'!$AC347=$D$3),IF($F$3="(todos)",TRUE,'ORDENES'!$V347=$F$3),'ORDENES'!$AA347=TRUE),'ORDENES'!$AN347&amp;" | "&amp;'ORDENES'!$R347&amp;" | "&amp;IF('ORDENES'!$AB347="","(sin técnico)",'ORDENES'!$AB347)&amp;" | "&amp;'ORDENES'!$D347&amp;" ("&amp;'ORDENES'!$M347&amp;" h)","")</f>
        <v/>
      </c>
    </row>
    <row r="352">
      <c r="K352" s="3">
        <f>IF(AND(IF($B$3="(todos)",TRUE,'ORDENES'!$O348=$B$3),IF($D$3="(todos)",TRUE,'ORDENES'!$AC348=$D$3),IF($F$3="(todos)",TRUE,'ORDENES'!$V348=$F$3),'ORDENES'!$AA348=TRUE),'ORDENES'!$AN348&amp;" | "&amp;'ORDENES'!$R348&amp;" | "&amp;IF('ORDENES'!$AB348="","(sin técnico)",'ORDENES'!$AB348)&amp;" | "&amp;'ORDENES'!$D348&amp;" ("&amp;'ORDENES'!$M348&amp;" h)","")</f>
        <v/>
      </c>
    </row>
    <row r="353">
      <c r="K353" s="3">
        <f>IF(AND(IF($B$3="(todos)",TRUE,'ORDENES'!$O349=$B$3),IF($D$3="(todos)",TRUE,'ORDENES'!$AC349=$D$3),IF($F$3="(todos)",TRUE,'ORDENES'!$V349=$F$3),'ORDENES'!$AA349=TRUE),'ORDENES'!$AN349&amp;" | "&amp;'ORDENES'!$R349&amp;" | "&amp;IF('ORDENES'!$AB349="","(sin técnico)",'ORDENES'!$AB349)&amp;" | "&amp;'ORDENES'!$D349&amp;" ("&amp;'ORDENES'!$M349&amp;" h)","")</f>
        <v/>
      </c>
    </row>
    <row r="354">
      <c r="K354" s="3">
        <f>IF(AND(IF($B$3="(todos)",TRUE,'ORDENES'!$O350=$B$3),IF($D$3="(todos)",TRUE,'ORDENES'!$AC350=$D$3),IF($F$3="(todos)",TRUE,'ORDENES'!$V350=$F$3),'ORDENES'!$AA350=TRUE),'ORDENES'!$AN350&amp;" | "&amp;'ORDENES'!$R350&amp;" | "&amp;IF('ORDENES'!$AB350="","(sin técnico)",'ORDENES'!$AB350)&amp;" | "&amp;'ORDENES'!$D350&amp;" ("&amp;'ORDENES'!$M350&amp;" h)","")</f>
        <v/>
      </c>
    </row>
    <row r="355">
      <c r="K355" s="3">
        <f>IF(AND(IF($B$3="(todos)",TRUE,'ORDENES'!$O351=$B$3),IF($D$3="(todos)",TRUE,'ORDENES'!$AC351=$D$3),IF($F$3="(todos)",TRUE,'ORDENES'!$V351=$F$3),'ORDENES'!$AA351=TRUE),'ORDENES'!$AN351&amp;" | "&amp;'ORDENES'!$R351&amp;" | "&amp;IF('ORDENES'!$AB351="","(sin técnico)",'ORDENES'!$AB351)&amp;" | "&amp;'ORDENES'!$D351&amp;" ("&amp;'ORDENES'!$M351&amp;" h)","")</f>
        <v/>
      </c>
    </row>
    <row r="356">
      <c r="K356" s="3">
        <f>IF(AND(IF($B$3="(todos)",TRUE,'ORDENES'!$O352=$B$3),IF($D$3="(todos)",TRUE,'ORDENES'!$AC352=$D$3),IF($F$3="(todos)",TRUE,'ORDENES'!$V352=$F$3),'ORDENES'!$AA352=TRUE),'ORDENES'!$AN352&amp;" | "&amp;'ORDENES'!$R352&amp;" | "&amp;IF('ORDENES'!$AB352="","(sin técnico)",'ORDENES'!$AB352)&amp;" | "&amp;'ORDENES'!$D352&amp;" ("&amp;'ORDENES'!$M352&amp;" h)","")</f>
        <v/>
      </c>
    </row>
    <row r="357">
      <c r="K357" s="3">
        <f>IF(AND(IF($B$3="(todos)",TRUE,'ORDENES'!$O353=$B$3),IF($D$3="(todos)",TRUE,'ORDENES'!$AC353=$D$3),IF($F$3="(todos)",TRUE,'ORDENES'!$V353=$F$3),'ORDENES'!$AA353=TRUE),'ORDENES'!$AN353&amp;" | "&amp;'ORDENES'!$R353&amp;" | "&amp;IF('ORDENES'!$AB353="","(sin técnico)",'ORDENES'!$AB353)&amp;" | "&amp;'ORDENES'!$D353&amp;" ("&amp;'ORDENES'!$M353&amp;" h)","")</f>
        <v/>
      </c>
    </row>
    <row r="358">
      <c r="K358" s="3">
        <f>IF(AND(IF($B$3="(todos)",TRUE,'ORDENES'!$O354=$B$3),IF($D$3="(todos)",TRUE,'ORDENES'!$AC354=$D$3),IF($F$3="(todos)",TRUE,'ORDENES'!$V354=$F$3),'ORDENES'!$AA354=TRUE),'ORDENES'!$AN354&amp;" | "&amp;'ORDENES'!$R354&amp;" | "&amp;IF('ORDENES'!$AB354="","(sin técnico)",'ORDENES'!$AB354)&amp;" | "&amp;'ORDENES'!$D354&amp;" ("&amp;'ORDENES'!$M354&amp;" h)","")</f>
        <v/>
      </c>
    </row>
    <row r="359">
      <c r="K359" s="3">
        <f>IF(AND(IF($B$3="(todos)",TRUE,'ORDENES'!$O355=$B$3),IF($D$3="(todos)",TRUE,'ORDENES'!$AC355=$D$3),IF($F$3="(todos)",TRUE,'ORDENES'!$V355=$F$3),'ORDENES'!$AA355=TRUE),'ORDENES'!$AN355&amp;" | "&amp;'ORDENES'!$R355&amp;" | "&amp;IF('ORDENES'!$AB355="","(sin técnico)",'ORDENES'!$AB355)&amp;" | "&amp;'ORDENES'!$D355&amp;" ("&amp;'ORDENES'!$M355&amp;" h)","")</f>
        <v/>
      </c>
    </row>
    <row r="360">
      <c r="K360" s="3">
        <f>IF(AND(IF($B$3="(todos)",TRUE,'ORDENES'!$O356=$B$3),IF($D$3="(todos)",TRUE,'ORDENES'!$AC356=$D$3),IF($F$3="(todos)",TRUE,'ORDENES'!$V356=$F$3),'ORDENES'!$AA356=TRUE),'ORDENES'!$AN356&amp;" | "&amp;'ORDENES'!$R356&amp;" | "&amp;IF('ORDENES'!$AB356="","(sin técnico)",'ORDENES'!$AB356)&amp;" | "&amp;'ORDENES'!$D356&amp;" ("&amp;'ORDENES'!$M356&amp;" h)","")</f>
        <v/>
      </c>
    </row>
    <row r="361">
      <c r="K361" s="3">
        <f>IF(AND(IF($B$3="(todos)",TRUE,'ORDENES'!$O357=$B$3),IF($D$3="(todos)",TRUE,'ORDENES'!$AC357=$D$3),IF($F$3="(todos)",TRUE,'ORDENES'!$V357=$F$3),'ORDENES'!$AA357=TRUE),'ORDENES'!$AN357&amp;" | "&amp;'ORDENES'!$R357&amp;" | "&amp;IF('ORDENES'!$AB357="","(sin técnico)",'ORDENES'!$AB357)&amp;" | "&amp;'ORDENES'!$D357&amp;" ("&amp;'ORDENES'!$M357&amp;" h)","")</f>
        <v/>
      </c>
    </row>
    <row r="362">
      <c r="K362" s="3">
        <f>IF(AND(IF($B$3="(todos)",TRUE,'ORDENES'!$O358=$B$3),IF($D$3="(todos)",TRUE,'ORDENES'!$AC358=$D$3),IF($F$3="(todos)",TRUE,'ORDENES'!$V358=$F$3),'ORDENES'!$AA358=TRUE),'ORDENES'!$AN358&amp;" | "&amp;'ORDENES'!$R358&amp;" | "&amp;IF('ORDENES'!$AB358="","(sin técnico)",'ORDENES'!$AB358)&amp;" | "&amp;'ORDENES'!$D358&amp;" ("&amp;'ORDENES'!$M358&amp;" h)","")</f>
        <v/>
      </c>
    </row>
    <row r="363">
      <c r="K363" s="3">
        <f>IF(AND(IF($B$3="(todos)",TRUE,'ORDENES'!$O359=$B$3),IF($D$3="(todos)",TRUE,'ORDENES'!$AC359=$D$3),IF($F$3="(todos)",TRUE,'ORDENES'!$V359=$F$3),'ORDENES'!$AA359=TRUE),'ORDENES'!$AN359&amp;" | "&amp;'ORDENES'!$R359&amp;" | "&amp;IF('ORDENES'!$AB359="","(sin técnico)",'ORDENES'!$AB359)&amp;" | "&amp;'ORDENES'!$D359&amp;" ("&amp;'ORDENES'!$M359&amp;" h)","")</f>
        <v/>
      </c>
    </row>
    <row r="364">
      <c r="K364" s="3">
        <f>IF(AND(IF($B$3="(todos)",TRUE,'ORDENES'!$O360=$B$3),IF($D$3="(todos)",TRUE,'ORDENES'!$AC360=$D$3),IF($F$3="(todos)",TRUE,'ORDENES'!$V360=$F$3),'ORDENES'!$AA360=TRUE),'ORDENES'!$AN360&amp;" | "&amp;'ORDENES'!$R360&amp;" | "&amp;IF('ORDENES'!$AB360="","(sin técnico)",'ORDENES'!$AB360)&amp;" | "&amp;'ORDENES'!$D360&amp;" ("&amp;'ORDENES'!$M360&amp;" h)","")</f>
        <v/>
      </c>
    </row>
    <row r="365">
      <c r="K365" s="3">
        <f>IF(AND(IF($B$3="(todos)",TRUE,'ORDENES'!$O361=$B$3),IF($D$3="(todos)",TRUE,'ORDENES'!$AC361=$D$3),IF($F$3="(todos)",TRUE,'ORDENES'!$V361=$F$3),'ORDENES'!$AA361=TRUE),'ORDENES'!$AN361&amp;" | "&amp;'ORDENES'!$R361&amp;" | "&amp;IF('ORDENES'!$AB361="","(sin técnico)",'ORDENES'!$AB361)&amp;" | "&amp;'ORDENES'!$D361&amp;" ("&amp;'ORDENES'!$M361&amp;" h)","")</f>
        <v/>
      </c>
    </row>
    <row r="366">
      <c r="K366" s="3">
        <f>IF(AND(IF($B$3="(todos)",TRUE,'ORDENES'!$O362=$B$3),IF($D$3="(todos)",TRUE,'ORDENES'!$AC362=$D$3),IF($F$3="(todos)",TRUE,'ORDENES'!$V362=$F$3),'ORDENES'!$AA362=TRUE),'ORDENES'!$AN362&amp;" | "&amp;'ORDENES'!$R362&amp;" | "&amp;IF('ORDENES'!$AB362="","(sin técnico)",'ORDENES'!$AB362)&amp;" | "&amp;'ORDENES'!$D362&amp;" ("&amp;'ORDENES'!$M362&amp;" h)","")</f>
        <v/>
      </c>
    </row>
    <row r="367">
      <c r="K367" s="3">
        <f>IF(AND(IF($B$3="(todos)",TRUE,'ORDENES'!$O363=$B$3),IF($D$3="(todos)",TRUE,'ORDENES'!$AC363=$D$3),IF($F$3="(todos)",TRUE,'ORDENES'!$V363=$F$3),'ORDENES'!$AA363=TRUE),'ORDENES'!$AN363&amp;" | "&amp;'ORDENES'!$R363&amp;" | "&amp;IF('ORDENES'!$AB363="","(sin técnico)",'ORDENES'!$AB363)&amp;" | "&amp;'ORDENES'!$D363&amp;" ("&amp;'ORDENES'!$M363&amp;" h)","")</f>
        <v/>
      </c>
    </row>
    <row r="368">
      <c r="K368" s="3">
        <f>IF(AND(IF($B$3="(todos)",TRUE,'ORDENES'!$O364=$B$3),IF($D$3="(todos)",TRUE,'ORDENES'!$AC364=$D$3),IF($F$3="(todos)",TRUE,'ORDENES'!$V364=$F$3),'ORDENES'!$AA364=TRUE),'ORDENES'!$AN364&amp;" | "&amp;'ORDENES'!$R364&amp;" | "&amp;IF('ORDENES'!$AB364="","(sin técnico)",'ORDENES'!$AB364)&amp;" | "&amp;'ORDENES'!$D364&amp;" ("&amp;'ORDENES'!$M364&amp;" h)","")</f>
        <v/>
      </c>
    </row>
    <row r="369">
      <c r="K369" s="3">
        <f>IF(AND(IF($B$3="(todos)",TRUE,'ORDENES'!$O365=$B$3),IF($D$3="(todos)",TRUE,'ORDENES'!$AC365=$D$3),IF($F$3="(todos)",TRUE,'ORDENES'!$V365=$F$3),'ORDENES'!$AA365=TRUE),'ORDENES'!$AN365&amp;" | "&amp;'ORDENES'!$R365&amp;" | "&amp;IF('ORDENES'!$AB365="","(sin técnico)",'ORDENES'!$AB365)&amp;" | "&amp;'ORDENES'!$D365&amp;" ("&amp;'ORDENES'!$M365&amp;" h)","")</f>
        <v/>
      </c>
    </row>
    <row r="370">
      <c r="K370" s="3">
        <f>IF(AND(IF($B$3="(todos)",TRUE,'ORDENES'!$O366=$B$3),IF($D$3="(todos)",TRUE,'ORDENES'!$AC366=$D$3),IF($F$3="(todos)",TRUE,'ORDENES'!$V366=$F$3),'ORDENES'!$AA366=TRUE),'ORDENES'!$AN366&amp;" | "&amp;'ORDENES'!$R366&amp;" | "&amp;IF('ORDENES'!$AB366="","(sin técnico)",'ORDENES'!$AB366)&amp;" | "&amp;'ORDENES'!$D366&amp;" ("&amp;'ORDENES'!$M366&amp;" h)","")</f>
        <v/>
      </c>
    </row>
    <row r="371">
      <c r="K371" s="3">
        <f>IF(AND(IF($B$3="(todos)",TRUE,'ORDENES'!$O367=$B$3),IF($D$3="(todos)",TRUE,'ORDENES'!$AC367=$D$3),IF($F$3="(todos)",TRUE,'ORDENES'!$V367=$F$3),'ORDENES'!$AA367=TRUE),'ORDENES'!$AN367&amp;" | "&amp;'ORDENES'!$R367&amp;" | "&amp;IF('ORDENES'!$AB367="","(sin técnico)",'ORDENES'!$AB367)&amp;" | "&amp;'ORDENES'!$D367&amp;" ("&amp;'ORDENES'!$M367&amp;" h)","")</f>
        <v/>
      </c>
    </row>
    <row r="372">
      <c r="K372" s="3">
        <f>IF(AND(IF($B$3="(todos)",TRUE,'ORDENES'!$O368=$B$3),IF($D$3="(todos)",TRUE,'ORDENES'!$AC368=$D$3),IF($F$3="(todos)",TRUE,'ORDENES'!$V368=$F$3),'ORDENES'!$AA368=TRUE),'ORDENES'!$AN368&amp;" | "&amp;'ORDENES'!$R368&amp;" | "&amp;IF('ORDENES'!$AB368="","(sin técnico)",'ORDENES'!$AB368)&amp;" | "&amp;'ORDENES'!$D368&amp;" ("&amp;'ORDENES'!$M368&amp;" h)","")</f>
        <v/>
      </c>
    </row>
    <row r="373">
      <c r="K373" s="3">
        <f>IF(AND(IF($B$3="(todos)",TRUE,'ORDENES'!$O369=$B$3),IF($D$3="(todos)",TRUE,'ORDENES'!$AC369=$D$3),IF($F$3="(todos)",TRUE,'ORDENES'!$V369=$F$3),'ORDENES'!$AA369=TRUE),'ORDENES'!$AN369&amp;" | "&amp;'ORDENES'!$R369&amp;" | "&amp;IF('ORDENES'!$AB369="","(sin técnico)",'ORDENES'!$AB369)&amp;" | "&amp;'ORDENES'!$D369&amp;" ("&amp;'ORDENES'!$M369&amp;" h)","")</f>
        <v/>
      </c>
    </row>
    <row r="374">
      <c r="K374" s="3">
        <f>IF(AND(IF($B$3="(todos)",TRUE,'ORDENES'!$O370=$B$3),IF($D$3="(todos)",TRUE,'ORDENES'!$AC370=$D$3),IF($F$3="(todos)",TRUE,'ORDENES'!$V370=$F$3),'ORDENES'!$AA370=TRUE),'ORDENES'!$AN370&amp;" | "&amp;'ORDENES'!$R370&amp;" | "&amp;IF('ORDENES'!$AB370="","(sin técnico)",'ORDENES'!$AB370)&amp;" | "&amp;'ORDENES'!$D370&amp;" ("&amp;'ORDENES'!$M370&amp;" h)","")</f>
        <v/>
      </c>
    </row>
    <row r="375">
      <c r="K375" s="3">
        <f>IF(AND(IF($B$3="(todos)",TRUE,'ORDENES'!$O371=$B$3),IF($D$3="(todos)",TRUE,'ORDENES'!$AC371=$D$3),IF($F$3="(todos)",TRUE,'ORDENES'!$V371=$F$3),'ORDENES'!$AA371=TRUE),'ORDENES'!$AN371&amp;" | "&amp;'ORDENES'!$R371&amp;" | "&amp;IF('ORDENES'!$AB371="","(sin técnico)",'ORDENES'!$AB371)&amp;" | "&amp;'ORDENES'!$D371&amp;" ("&amp;'ORDENES'!$M371&amp;" h)","")</f>
        <v/>
      </c>
    </row>
    <row r="376">
      <c r="K376" s="3">
        <f>IF(AND(IF($B$3="(todos)",TRUE,'ORDENES'!$O372=$B$3),IF($D$3="(todos)",TRUE,'ORDENES'!$AC372=$D$3),IF($F$3="(todos)",TRUE,'ORDENES'!$V372=$F$3),'ORDENES'!$AA372=TRUE),'ORDENES'!$AN372&amp;" | "&amp;'ORDENES'!$R372&amp;" | "&amp;IF('ORDENES'!$AB372="","(sin técnico)",'ORDENES'!$AB372)&amp;" | "&amp;'ORDENES'!$D372&amp;" ("&amp;'ORDENES'!$M372&amp;" h)","")</f>
        <v/>
      </c>
    </row>
    <row r="377">
      <c r="K377" s="3">
        <f>IF(AND(IF($B$3="(todos)",TRUE,'ORDENES'!$O373=$B$3),IF($D$3="(todos)",TRUE,'ORDENES'!$AC373=$D$3),IF($F$3="(todos)",TRUE,'ORDENES'!$V373=$F$3),'ORDENES'!$AA373=TRUE),'ORDENES'!$AN373&amp;" | "&amp;'ORDENES'!$R373&amp;" | "&amp;IF('ORDENES'!$AB373="","(sin técnico)",'ORDENES'!$AB373)&amp;" | "&amp;'ORDENES'!$D373&amp;" ("&amp;'ORDENES'!$M373&amp;" h)","")</f>
        <v/>
      </c>
    </row>
    <row r="378">
      <c r="K378" s="3">
        <f>IF(AND(IF($B$3="(todos)",TRUE,'ORDENES'!$O374=$B$3),IF($D$3="(todos)",TRUE,'ORDENES'!$AC374=$D$3),IF($F$3="(todos)",TRUE,'ORDENES'!$V374=$F$3),'ORDENES'!$AA374=TRUE),'ORDENES'!$AN374&amp;" | "&amp;'ORDENES'!$R374&amp;" | "&amp;IF('ORDENES'!$AB374="","(sin técnico)",'ORDENES'!$AB374)&amp;" | "&amp;'ORDENES'!$D374&amp;" ("&amp;'ORDENES'!$M374&amp;" h)","")</f>
        <v/>
      </c>
    </row>
    <row r="379">
      <c r="K379" s="3">
        <f>IF(AND(IF($B$3="(todos)",TRUE,'ORDENES'!$O375=$B$3),IF($D$3="(todos)",TRUE,'ORDENES'!$AC375=$D$3),IF($F$3="(todos)",TRUE,'ORDENES'!$V375=$F$3),'ORDENES'!$AA375=TRUE),'ORDENES'!$AN375&amp;" | "&amp;'ORDENES'!$R375&amp;" | "&amp;IF('ORDENES'!$AB375="","(sin técnico)",'ORDENES'!$AB375)&amp;" | "&amp;'ORDENES'!$D375&amp;" ("&amp;'ORDENES'!$M375&amp;" h)","")</f>
        <v/>
      </c>
    </row>
    <row r="380">
      <c r="K380" s="3">
        <f>IF(AND(IF($B$3="(todos)",TRUE,'ORDENES'!$O376=$B$3),IF($D$3="(todos)",TRUE,'ORDENES'!$AC376=$D$3),IF($F$3="(todos)",TRUE,'ORDENES'!$V376=$F$3),'ORDENES'!$AA376=TRUE),'ORDENES'!$AN376&amp;" | "&amp;'ORDENES'!$R376&amp;" | "&amp;IF('ORDENES'!$AB376="","(sin técnico)",'ORDENES'!$AB376)&amp;" | "&amp;'ORDENES'!$D376&amp;" ("&amp;'ORDENES'!$M376&amp;" h)","")</f>
        <v/>
      </c>
    </row>
    <row r="381">
      <c r="K381" s="3">
        <f>IF(AND(IF($B$3="(todos)",TRUE,'ORDENES'!$O377=$B$3),IF($D$3="(todos)",TRUE,'ORDENES'!$AC377=$D$3),IF($F$3="(todos)",TRUE,'ORDENES'!$V377=$F$3),'ORDENES'!$AA377=TRUE),'ORDENES'!$AN377&amp;" | "&amp;'ORDENES'!$R377&amp;" | "&amp;IF('ORDENES'!$AB377="","(sin técnico)",'ORDENES'!$AB377)&amp;" | "&amp;'ORDENES'!$D377&amp;" ("&amp;'ORDENES'!$M377&amp;" h)","")</f>
        <v/>
      </c>
    </row>
    <row r="382">
      <c r="K382" s="3">
        <f>IF(AND(IF($B$3="(todos)",TRUE,'ORDENES'!$O378=$B$3),IF($D$3="(todos)",TRUE,'ORDENES'!$AC378=$D$3),IF($F$3="(todos)",TRUE,'ORDENES'!$V378=$F$3),'ORDENES'!$AA378=TRUE),'ORDENES'!$AN378&amp;" | "&amp;'ORDENES'!$R378&amp;" | "&amp;IF('ORDENES'!$AB378="","(sin técnico)",'ORDENES'!$AB378)&amp;" | "&amp;'ORDENES'!$D378&amp;" ("&amp;'ORDENES'!$M378&amp;" h)","")</f>
        <v/>
      </c>
    </row>
    <row r="383">
      <c r="K383" s="3">
        <f>IF(AND(IF($B$3="(todos)",TRUE,'ORDENES'!$O379=$B$3),IF($D$3="(todos)",TRUE,'ORDENES'!$AC379=$D$3),IF($F$3="(todos)",TRUE,'ORDENES'!$V379=$F$3),'ORDENES'!$AA379=TRUE),'ORDENES'!$AN379&amp;" | "&amp;'ORDENES'!$R379&amp;" | "&amp;IF('ORDENES'!$AB379="","(sin técnico)",'ORDENES'!$AB379)&amp;" | "&amp;'ORDENES'!$D379&amp;" ("&amp;'ORDENES'!$M379&amp;" h)","")</f>
        <v/>
      </c>
    </row>
    <row r="384">
      <c r="K384" s="3">
        <f>IF(AND(IF($B$3="(todos)",TRUE,'ORDENES'!$O380=$B$3),IF($D$3="(todos)",TRUE,'ORDENES'!$AC380=$D$3),IF($F$3="(todos)",TRUE,'ORDENES'!$V380=$F$3),'ORDENES'!$AA380=TRUE),'ORDENES'!$AN380&amp;" | "&amp;'ORDENES'!$R380&amp;" | "&amp;IF('ORDENES'!$AB380="","(sin técnico)",'ORDENES'!$AB380)&amp;" | "&amp;'ORDENES'!$D380&amp;" ("&amp;'ORDENES'!$M380&amp;" h)","")</f>
        <v/>
      </c>
    </row>
    <row r="385">
      <c r="K385" s="3">
        <f>IF(AND(IF($B$3="(todos)",TRUE,'ORDENES'!$O381=$B$3),IF($D$3="(todos)",TRUE,'ORDENES'!$AC381=$D$3),IF($F$3="(todos)",TRUE,'ORDENES'!$V381=$F$3),'ORDENES'!$AA381=TRUE),'ORDENES'!$AN381&amp;" | "&amp;'ORDENES'!$R381&amp;" | "&amp;IF('ORDENES'!$AB381="","(sin técnico)",'ORDENES'!$AB381)&amp;" | "&amp;'ORDENES'!$D381&amp;" ("&amp;'ORDENES'!$M381&amp;" h)","")</f>
        <v/>
      </c>
    </row>
    <row r="386">
      <c r="K386" s="3">
        <f>IF(AND(IF($B$3="(todos)",TRUE,'ORDENES'!$O382=$B$3),IF($D$3="(todos)",TRUE,'ORDENES'!$AC382=$D$3),IF($F$3="(todos)",TRUE,'ORDENES'!$V382=$F$3),'ORDENES'!$AA382=TRUE),'ORDENES'!$AN382&amp;" | "&amp;'ORDENES'!$R382&amp;" | "&amp;IF('ORDENES'!$AB382="","(sin técnico)",'ORDENES'!$AB382)&amp;" | "&amp;'ORDENES'!$D382&amp;" ("&amp;'ORDENES'!$M382&amp;" h)","")</f>
        <v/>
      </c>
    </row>
    <row r="387">
      <c r="K387" s="3">
        <f>IF(AND(IF($B$3="(todos)",TRUE,'ORDENES'!$O383=$B$3),IF($D$3="(todos)",TRUE,'ORDENES'!$AC383=$D$3),IF($F$3="(todos)",TRUE,'ORDENES'!$V383=$F$3),'ORDENES'!$AA383=TRUE),'ORDENES'!$AN383&amp;" | "&amp;'ORDENES'!$R383&amp;" | "&amp;IF('ORDENES'!$AB383="","(sin técnico)",'ORDENES'!$AB383)&amp;" | "&amp;'ORDENES'!$D383&amp;" ("&amp;'ORDENES'!$M383&amp;" h)","")</f>
        <v/>
      </c>
    </row>
    <row r="388">
      <c r="K388" s="3">
        <f>IF(AND(IF($B$3="(todos)",TRUE,'ORDENES'!$O384=$B$3),IF($D$3="(todos)",TRUE,'ORDENES'!$AC384=$D$3),IF($F$3="(todos)",TRUE,'ORDENES'!$V384=$F$3),'ORDENES'!$AA384=TRUE),'ORDENES'!$AN384&amp;" | "&amp;'ORDENES'!$R384&amp;" | "&amp;IF('ORDENES'!$AB384="","(sin técnico)",'ORDENES'!$AB384)&amp;" | "&amp;'ORDENES'!$D384&amp;" ("&amp;'ORDENES'!$M384&amp;" h)","")</f>
        <v/>
      </c>
    </row>
    <row r="389">
      <c r="K389" s="3">
        <f>IF(AND(IF($B$3="(todos)",TRUE,'ORDENES'!$O385=$B$3),IF($D$3="(todos)",TRUE,'ORDENES'!$AC385=$D$3),IF($F$3="(todos)",TRUE,'ORDENES'!$V385=$F$3),'ORDENES'!$AA385=TRUE),'ORDENES'!$AN385&amp;" | "&amp;'ORDENES'!$R385&amp;" | "&amp;IF('ORDENES'!$AB385="","(sin técnico)",'ORDENES'!$AB385)&amp;" | "&amp;'ORDENES'!$D385&amp;" ("&amp;'ORDENES'!$M385&amp;" h)","")</f>
        <v/>
      </c>
    </row>
    <row r="390">
      <c r="K390" s="3">
        <f>IF(AND(IF($B$3="(todos)",TRUE,'ORDENES'!$O386=$B$3),IF($D$3="(todos)",TRUE,'ORDENES'!$AC386=$D$3),IF($F$3="(todos)",TRUE,'ORDENES'!$V386=$F$3),'ORDENES'!$AA386=TRUE),'ORDENES'!$AN386&amp;" | "&amp;'ORDENES'!$R386&amp;" | "&amp;IF('ORDENES'!$AB386="","(sin técnico)",'ORDENES'!$AB386)&amp;" | "&amp;'ORDENES'!$D386&amp;" ("&amp;'ORDENES'!$M386&amp;" h)","")</f>
        <v/>
      </c>
    </row>
    <row r="391">
      <c r="K391" s="3">
        <f>IF(AND(IF($B$3="(todos)",TRUE,'ORDENES'!$O387=$B$3),IF($D$3="(todos)",TRUE,'ORDENES'!$AC387=$D$3),IF($F$3="(todos)",TRUE,'ORDENES'!$V387=$F$3),'ORDENES'!$AA387=TRUE),'ORDENES'!$AN387&amp;" | "&amp;'ORDENES'!$R387&amp;" | "&amp;IF('ORDENES'!$AB387="","(sin técnico)",'ORDENES'!$AB387)&amp;" | "&amp;'ORDENES'!$D387&amp;" ("&amp;'ORDENES'!$M387&amp;" h)","")</f>
        <v/>
      </c>
    </row>
    <row r="392">
      <c r="K392" s="3">
        <f>IF(AND(IF($B$3="(todos)",TRUE,'ORDENES'!$O388=$B$3),IF($D$3="(todos)",TRUE,'ORDENES'!$AC388=$D$3),IF($F$3="(todos)",TRUE,'ORDENES'!$V388=$F$3),'ORDENES'!$AA388=TRUE),'ORDENES'!$AN388&amp;" | "&amp;'ORDENES'!$R388&amp;" | "&amp;IF('ORDENES'!$AB388="","(sin técnico)",'ORDENES'!$AB388)&amp;" | "&amp;'ORDENES'!$D388&amp;" ("&amp;'ORDENES'!$M388&amp;" h)","")</f>
        <v/>
      </c>
    </row>
    <row r="393">
      <c r="K393" s="3">
        <f>IF(AND(IF($B$3="(todos)",TRUE,'ORDENES'!$O389=$B$3),IF($D$3="(todos)",TRUE,'ORDENES'!$AC389=$D$3),IF($F$3="(todos)",TRUE,'ORDENES'!$V389=$F$3),'ORDENES'!$AA389=TRUE),'ORDENES'!$AN389&amp;" | "&amp;'ORDENES'!$R389&amp;" | "&amp;IF('ORDENES'!$AB389="","(sin técnico)",'ORDENES'!$AB389)&amp;" | "&amp;'ORDENES'!$D389&amp;" ("&amp;'ORDENES'!$M389&amp;" h)","")</f>
        <v/>
      </c>
    </row>
    <row r="394">
      <c r="K394" s="3">
        <f>IF(AND(IF($B$3="(todos)",TRUE,'ORDENES'!$O390=$B$3),IF($D$3="(todos)",TRUE,'ORDENES'!$AC390=$D$3),IF($F$3="(todos)",TRUE,'ORDENES'!$V390=$F$3),'ORDENES'!$AA390=TRUE),'ORDENES'!$AN390&amp;" | "&amp;'ORDENES'!$R390&amp;" | "&amp;IF('ORDENES'!$AB390="","(sin técnico)",'ORDENES'!$AB390)&amp;" | "&amp;'ORDENES'!$D390&amp;" ("&amp;'ORDENES'!$M390&amp;" h)","")</f>
        <v/>
      </c>
    </row>
    <row r="395">
      <c r="K395" s="3">
        <f>IF(AND(IF($B$3="(todos)",TRUE,'ORDENES'!$O391=$B$3),IF($D$3="(todos)",TRUE,'ORDENES'!$AC391=$D$3),IF($F$3="(todos)",TRUE,'ORDENES'!$V391=$F$3),'ORDENES'!$AA391=TRUE),'ORDENES'!$AN391&amp;" | "&amp;'ORDENES'!$R391&amp;" | "&amp;IF('ORDENES'!$AB391="","(sin técnico)",'ORDENES'!$AB391)&amp;" | "&amp;'ORDENES'!$D391&amp;" ("&amp;'ORDENES'!$M391&amp;" h)","")</f>
        <v/>
      </c>
    </row>
    <row r="396">
      <c r="K396" s="3">
        <f>IF(AND(IF($B$3="(todos)",TRUE,'ORDENES'!$O392=$B$3),IF($D$3="(todos)",TRUE,'ORDENES'!$AC392=$D$3),IF($F$3="(todos)",TRUE,'ORDENES'!$V392=$F$3),'ORDENES'!$AA392=TRUE),'ORDENES'!$AN392&amp;" | "&amp;'ORDENES'!$R392&amp;" | "&amp;IF('ORDENES'!$AB392="","(sin técnico)",'ORDENES'!$AB392)&amp;" | "&amp;'ORDENES'!$D392&amp;" ("&amp;'ORDENES'!$M392&amp;" h)","")</f>
        <v/>
      </c>
    </row>
    <row r="397">
      <c r="K397" s="3">
        <f>IF(AND(IF($B$3="(todos)",TRUE,'ORDENES'!$O393=$B$3),IF($D$3="(todos)",TRUE,'ORDENES'!$AC393=$D$3),IF($F$3="(todos)",TRUE,'ORDENES'!$V393=$F$3),'ORDENES'!$AA393=TRUE),'ORDENES'!$AN393&amp;" | "&amp;'ORDENES'!$R393&amp;" | "&amp;IF('ORDENES'!$AB393="","(sin técnico)",'ORDENES'!$AB393)&amp;" | "&amp;'ORDENES'!$D393&amp;" ("&amp;'ORDENES'!$M393&amp;" h)","")</f>
        <v/>
      </c>
    </row>
    <row r="398">
      <c r="K398" s="3">
        <f>IF(AND(IF($B$3="(todos)",TRUE,'ORDENES'!$O394=$B$3),IF($D$3="(todos)",TRUE,'ORDENES'!$AC394=$D$3),IF($F$3="(todos)",TRUE,'ORDENES'!$V394=$F$3),'ORDENES'!$AA394=TRUE),'ORDENES'!$AN394&amp;" | "&amp;'ORDENES'!$R394&amp;" | "&amp;IF('ORDENES'!$AB394="","(sin técnico)",'ORDENES'!$AB394)&amp;" | "&amp;'ORDENES'!$D394&amp;" ("&amp;'ORDENES'!$M394&amp;" h)","")</f>
        <v/>
      </c>
    </row>
    <row r="399">
      <c r="K399" s="3">
        <f>IF(AND(IF($B$3="(todos)",TRUE,'ORDENES'!$O395=$B$3),IF($D$3="(todos)",TRUE,'ORDENES'!$AC395=$D$3),IF($F$3="(todos)",TRUE,'ORDENES'!$V395=$F$3),'ORDENES'!$AA395=TRUE),'ORDENES'!$AN395&amp;" | "&amp;'ORDENES'!$R395&amp;" | "&amp;IF('ORDENES'!$AB395="","(sin técnico)",'ORDENES'!$AB395)&amp;" | "&amp;'ORDENES'!$D395&amp;" ("&amp;'ORDENES'!$M395&amp;" h)","")</f>
        <v/>
      </c>
    </row>
    <row r="400">
      <c r="K400" s="3">
        <f>IF(AND(IF($B$3="(todos)",TRUE,'ORDENES'!$O396=$B$3),IF($D$3="(todos)",TRUE,'ORDENES'!$AC396=$D$3),IF($F$3="(todos)",TRUE,'ORDENES'!$V396=$F$3),'ORDENES'!$AA396=TRUE),'ORDENES'!$AN396&amp;" | "&amp;'ORDENES'!$R396&amp;" | "&amp;IF('ORDENES'!$AB396="","(sin técnico)",'ORDENES'!$AB396)&amp;" | "&amp;'ORDENES'!$D396&amp;" ("&amp;'ORDENES'!$M396&amp;" h)","")</f>
        <v/>
      </c>
    </row>
    <row r="401">
      <c r="K401" s="3">
        <f>IF(AND(IF($B$3="(todos)",TRUE,'ORDENES'!$O397=$B$3),IF($D$3="(todos)",TRUE,'ORDENES'!$AC397=$D$3),IF($F$3="(todos)",TRUE,'ORDENES'!$V397=$F$3),'ORDENES'!$AA397=TRUE),'ORDENES'!$AN397&amp;" | "&amp;'ORDENES'!$R397&amp;" | "&amp;IF('ORDENES'!$AB397="","(sin técnico)",'ORDENES'!$AB397)&amp;" | "&amp;'ORDENES'!$D397&amp;" ("&amp;'ORDENES'!$M397&amp;" h)","")</f>
        <v/>
      </c>
    </row>
    <row r="402">
      <c r="K402" s="3">
        <f>IF(AND(IF($B$3="(todos)",TRUE,'ORDENES'!$O398=$B$3),IF($D$3="(todos)",TRUE,'ORDENES'!$AC398=$D$3),IF($F$3="(todos)",TRUE,'ORDENES'!$V398=$F$3),'ORDENES'!$AA398=TRUE),'ORDENES'!$AN398&amp;" | "&amp;'ORDENES'!$R398&amp;" | "&amp;IF('ORDENES'!$AB398="","(sin técnico)",'ORDENES'!$AB398)&amp;" | "&amp;'ORDENES'!$D398&amp;" ("&amp;'ORDENES'!$M398&amp;" h)","")</f>
        <v/>
      </c>
    </row>
    <row r="403">
      <c r="K403" s="3">
        <f>IF(AND(IF($B$3="(todos)",TRUE,'ORDENES'!$O399=$B$3),IF($D$3="(todos)",TRUE,'ORDENES'!$AC399=$D$3),IF($F$3="(todos)",TRUE,'ORDENES'!$V399=$F$3),'ORDENES'!$AA399=TRUE),'ORDENES'!$AN399&amp;" | "&amp;'ORDENES'!$R399&amp;" | "&amp;IF('ORDENES'!$AB399="","(sin técnico)",'ORDENES'!$AB399)&amp;" | "&amp;'ORDENES'!$D399&amp;" ("&amp;'ORDENES'!$M399&amp;" h)","")</f>
        <v/>
      </c>
    </row>
    <row r="404">
      <c r="K404" s="3">
        <f>IF(AND(IF($B$3="(todos)",TRUE,'ORDENES'!$O400=$B$3),IF($D$3="(todos)",TRUE,'ORDENES'!$AC400=$D$3),IF($F$3="(todos)",TRUE,'ORDENES'!$V400=$F$3),'ORDENES'!$AA400=TRUE),'ORDENES'!$AN400&amp;" | "&amp;'ORDENES'!$R400&amp;" | "&amp;IF('ORDENES'!$AB400="","(sin técnico)",'ORDENES'!$AB400)&amp;" | "&amp;'ORDENES'!$D400&amp;" ("&amp;'ORDENES'!$M400&amp;" h)","")</f>
        <v/>
      </c>
    </row>
    <row r="405">
      <c r="K405" s="3">
        <f>IF(AND(IF($B$3="(todos)",TRUE,'ORDENES'!$O401=$B$3),IF($D$3="(todos)",TRUE,'ORDENES'!$AC401=$D$3),IF($F$3="(todos)",TRUE,'ORDENES'!$V401=$F$3),'ORDENES'!$AA401=TRUE),'ORDENES'!$AN401&amp;" | "&amp;'ORDENES'!$R401&amp;" | "&amp;IF('ORDENES'!$AB401="","(sin técnico)",'ORDENES'!$AB401)&amp;" | "&amp;'ORDENES'!$D401&amp;" ("&amp;'ORDENES'!$M401&amp;" h)","")</f>
        <v/>
      </c>
    </row>
    <row r="406">
      <c r="K406" s="3">
        <f>IF(AND(IF($B$3="(todos)",TRUE,'ORDENES'!$O402=$B$3),IF($D$3="(todos)",TRUE,'ORDENES'!$AC402=$D$3),IF($F$3="(todos)",TRUE,'ORDENES'!$V402=$F$3),'ORDENES'!$AA402=TRUE),'ORDENES'!$AN402&amp;" | "&amp;'ORDENES'!$R402&amp;" | "&amp;IF('ORDENES'!$AB402="","(sin técnico)",'ORDENES'!$AB402)&amp;" | "&amp;'ORDENES'!$D402&amp;" ("&amp;'ORDENES'!$M402&amp;" h)","")</f>
        <v/>
      </c>
    </row>
    <row r="407">
      <c r="K407" s="3">
        <f>IF(AND(IF($B$3="(todos)",TRUE,'ORDENES'!$O403=$B$3),IF($D$3="(todos)",TRUE,'ORDENES'!$AC403=$D$3),IF($F$3="(todos)",TRUE,'ORDENES'!$V403=$F$3),'ORDENES'!$AA403=TRUE),'ORDENES'!$AN403&amp;" | "&amp;'ORDENES'!$R403&amp;" | "&amp;IF('ORDENES'!$AB403="","(sin técnico)",'ORDENES'!$AB403)&amp;" | "&amp;'ORDENES'!$D403&amp;" ("&amp;'ORDENES'!$M403&amp;" h)","")</f>
        <v/>
      </c>
    </row>
    <row r="408">
      <c r="K408" s="3">
        <f>IF(AND(IF($B$3="(todos)",TRUE,'ORDENES'!$O404=$B$3),IF($D$3="(todos)",TRUE,'ORDENES'!$AC404=$D$3),IF($F$3="(todos)",TRUE,'ORDENES'!$V404=$F$3),'ORDENES'!$AA404=TRUE),'ORDENES'!$AN404&amp;" | "&amp;'ORDENES'!$R404&amp;" | "&amp;IF('ORDENES'!$AB404="","(sin técnico)",'ORDENES'!$AB404)&amp;" | "&amp;'ORDENES'!$D404&amp;" ("&amp;'ORDENES'!$M404&amp;" h)","")</f>
        <v/>
      </c>
    </row>
    <row r="409">
      <c r="K409" s="3">
        <f>IF(AND(IF($B$3="(todos)",TRUE,'ORDENES'!$O405=$B$3),IF($D$3="(todos)",TRUE,'ORDENES'!$AC405=$D$3),IF($F$3="(todos)",TRUE,'ORDENES'!$V405=$F$3),'ORDENES'!$AA405=TRUE),'ORDENES'!$AN405&amp;" | "&amp;'ORDENES'!$R405&amp;" | "&amp;IF('ORDENES'!$AB405="","(sin técnico)",'ORDENES'!$AB405)&amp;" | "&amp;'ORDENES'!$D405&amp;" ("&amp;'ORDENES'!$M405&amp;" h)","")</f>
        <v/>
      </c>
    </row>
    <row r="410">
      <c r="K410" s="3">
        <f>IF(AND(IF($B$3="(todos)",TRUE,'ORDENES'!$O406=$B$3),IF($D$3="(todos)",TRUE,'ORDENES'!$AC406=$D$3),IF($F$3="(todos)",TRUE,'ORDENES'!$V406=$F$3),'ORDENES'!$AA406=TRUE),'ORDENES'!$AN406&amp;" | "&amp;'ORDENES'!$R406&amp;" | "&amp;IF('ORDENES'!$AB406="","(sin técnico)",'ORDENES'!$AB406)&amp;" | "&amp;'ORDENES'!$D406&amp;" ("&amp;'ORDENES'!$M406&amp;" h)","")</f>
        <v/>
      </c>
    </row>
    <row r="411">
      <c r="K411" s="3">
        <f>IF(AND(IF($B$3="(todos)",TRUE,'ORDENES'!$O407=$B$3),IF($D$3="(todos)",TRUE,'ORDENES'!$AC407=$D$3),IF($F$3="(todos)",TRUE,'ORDENES'!$V407=$F$3),'ORDENES'!$AA407=TRUE),'ORDENES'!$AN407&amp;" | "&amp;'ORDENES'!$R407&amp;" | "&amp;IF('ORDENES'!$AB407="","(sin técnico)",'ORDENES'!$AB407)&amp;" | "&amp;'ORDENES'!$D407&amp;" ("&amp;'ORDENES'!$M407&amp;" h)","")</f>
        <v/>
      </c>
    </row>
    <row r="412">
      <c r="K412" s="3">
        <f>IF(AND(IF($B$3="(todos)",TRUE,'ORDENES'!$O408=$B$3),IF($D$3="(todos)",TRUE,'ORDENES'!$AC408=$D$3),IF($F$3="(todos)",TRUE,'ORDENES'!$V408=$F$3),'ORDENES'!$AA408=TRUE),'ORDENES'!$AN408&amp;" | "&amp;'ORDENES'!$R408&amp;" | "&amp;IF('ORDENES'!$AB408="","(sin técnico)",'ORDENES'!$AB408)&amp;" | "&amp;'ORDENES'!$D408&amp;" ("&amp;'ORDENES'!$M408&amp;" h)","")</f>
        <v/>
      </c>
    </row>
    <row r="413">
      <c r="K413" s="3">
        <f>IF(AND(IF($B$3="(todos)",TRUE,'ORDENES'!$O409=$B$3),IF($D$3="(todos)",TRUE,'ORDENES'!$AC409=$D$3),IF($F$3="(todos)",TRUE,'ORDENES'!$V409=$F$3),'ORDENES'!$AA409=TRUE),'ORDENES'!$AN409&amp;" | "&amp;'ORDENES'!$R409&amp;" | "&amp;IF('ORDENES'!$AB409="","(sin técnico)",'ORDENES'!$AB409)&amp;" | "&amp;'ORDENES'!$D409&amp;" ("&amp;'ORDENES'!$M409&amp;" h)","")</f>
        <v/>
      </c>
    </row>
    <row r="414">
      <c r="K414" s="3">
        <f>IF(AND(IF($B$3="(todos)",TRUE,'ORDENES'!$O410=$B$3),IF($D$3="(todos)",TRUE,'ORDENES'!$AC410=$D$3),IF($F$3="(todos)",TRUE,'ORDENES'!$V410=$F$3),'ORDENES'!$AA410=TRUE),'ORDENES'!$AN410&amp;" | "&amp;'ORDENES'!$R410&amp;" | "&amp;IF('ORDENES'!$AB410="","(sin técnico)",'ORDENES'!$AB410)&amp;" | "&amp;'ORDENES'!$D410&amp;" ("&amp;'ORDENES'!$M410&amp;" h)","")</f>
        <v/>
      </c>
    </row>
    <row r="415">
      <c r="K415" s="3">
        <f>IF(AND(IF($B$3="(todos)",TRUE,'ORDENES'!$O411=$B$3),IF($D$3="(todos)",TRUE,'ORDENES'!$AC411=$D$3),IF($F$3="(todos)",TRUE,'ORDENES'!$V411=$F$3),'ORDENES'!$AA411=TRUE),'ORDENES'!$AN411&amp;" | "&amp;'ORDENES'!$R411&amp;" | "&amp;IF('ORDENES'!$AB411="","(sin técnico)",'ORDENES'!$AB411)&amp;" | "&amp;'ORDENES'!$D411&amp;" ("&amp;'ORDENES'!$M411&amp;" h)","")</f>
        <v/>
      </c>
    </row>
    <row r="416">
      <c r="K416" s="3">
        <f>IF(AND(IF($B$3="(todos)",TRUE,'ORDENES'!$O412=$B$3),IF($D$3="(todos)",TRUE,'ORDENES'!$AC412=$D$3),IF($F$3="(todos)",TRUE,'ORDENES'!$V412=$F$3),'ORDENES'!$AA412=TRUE),'ORDENES'!$AN412&amp;" | "&amp;'ORDENES'!$R412&amp;" | "&amp;IF('ORDENES'!$AB412="","(sin técnico)",'ORDENES'!$AB412)&amp;" | "&amp;'ORDENES'!$D412&amp;" ("&amp;'ORDENES'!$M412&amp;" h)","")</f>
        <v/>
      </c>
    </row>
    <row r="417">
      <c r="K417" s="3">
        <f>IF(AND(IF($B$3="(todos)",TRUE,'ORDENES'!$O413=$B$3),IF($D$3="(todos)",TRUE,'ORDENES'!$AC413=$D$3),IF($F$3="(todos)",TRUE,'ORDENES'!$V413=$F$3),'ORDENES'!$AA413=TRUE),'ORDENES'!$AN413&amp;" | "&amp;'ORDENES'!$R413&amp;" | "&amp;IF('ORDENES'!$AB413="","(sin técnico)",'ORDENES'!$AB413)&amp;" | "&amp;'ORDENES'!$D413&amp;" ("&amp;'ORDENES'!$M413&amp;" h)","")</f>
        <v/>
      </c>
    </row>
    <row r="418">
      <c r="K418" s="3">
        <f>IF(AND(IF($B$3="(todos)",TRUE,'ORDENES'!$O414=$B$3),IF($D$3="(todos)",TRUE,'ORDENES'!$AC414=$D$3),IF($F$3="(todos)",TRUE,'ORDENES'!$V414=$F$3),'ORDENES'!$AA414=TRUE),'ORDENES'!$AN414&amp;" | "&amp;'ORDENES'!$R414&amp;" | "&amp;IF('ORDENES'!$AB414="","(sin técnico)",'ORDENES'!$AB414)&amp;" | "&amp;'ORDENES'!$D414&amp;" ("&amp;'ORDENES'!$M414&amp;" h)","")</f>
        <v/>
      </c>
    </row>
    <row r="419">
      <c r="K419" s="3">
        <f>IF(AND(IF($B$3="(todos)",TRUE,'ORDENES'!$O415=$B$3),IF($D$3="(todos)",TRUE,'ORDENES'!$AC415=$D$3),IF($F$3="(todos)",TRUE,'ORDENES'!$V415=$F$3),'ORDENES'!$AA415=TRUE),'ORDENES'!$AN415&amp;" | "&amp;'ORDENES'!$R415&amp;" | "&amp;IF('ORDENES'!$AB415="","(sin técnico)",'ORDENES'!$AB415)&amp;" | "&amp;'ORDENES'!$D415&amp;" ("&amp;'ORDENES'!$M415&amp;" h)","")</f>
        <v/>
      </c>
    </row>
    <row r="420">
      <c r="K420" s="3">
        <f>IF(AND(IF($B$3="(todos)",TRUE,'ORDENES'!$O416=$B$3),IF($D$3="(todos)",TRUE,'ORDENES'!$AC416=$D$3),IF($F$3="(todos)",TRUE,'ORDENES'!$V416=$F$3),'ORDENES'!$AA416=TRUE),'ORDENES'!$AN416&amp;" | "&amp;'ORDENES'!$R416&amp;" | "&amp;IF('ORDENES'!$AB416="","(sin técnico)",'ORDENES'!$AB416)&amp;" | "&amp;'ORDENES'!$D416&amp;" ("&amp;'ORDENES'!$M416&amp;" h)","")</f>
        <v/>
      </c>
    </row>
    <row r="421">
      <c r="K421" s="3">
        <f>IF(AND(IF($B$3="(todos)",TRUE,'ORDENES'!$O417=$B$3),IF($D$3="(todos)",TRUE,'ORDENES'!$AC417=$D$3),IF($F$3="(todos)",TRUE,'ORDENES'!$V417=$F$3),'ORDENES'!$AA417=TRUE),'ORDENES'!$AN417&amp;" | "&amp;'ORDENES'!$R417&amp;" | "&amp;IF('ORDENES'!$AB417="","(sin técnico)",'ORDENES'!$AB417)&amp;" | "&amp;'ORDENES'!$D417&amp;" ("&amp;'ORDENES'!$M417&amp;" h)","")</f>
        <v/>
      </c>
    </row>
    <row r="422">
      <c r="K422" s="3">
        <f>IF(AND(IF($B$3="(todos)",TRUE,'ORDENES'!$O418=$B$3),IF($D$3="(todos)",TRUE,'ORDENES'!$AC418=$D$3),IF($F$3="(todos)",TRUE,'ORDENES'!$V418=$F$3),'ORDENES'!$AA418=TRUE),'ORDENES'!$AN418&amp;" | "&amp;'ORDENES'!$R418&amp;" | "&amp;IF('ORDENES'!$AB418="","(sin técnico)",'ORDENES'!$AB418)&amp;" | "&amp;'ORDENES'!$D418&amp;" ("&amp;'ORDENES'!$M418&amp;" h)","")</f>
        <v/>
      </c>
    </row>
    <row r="423">
      <c r="K423" s="3">
        <f>IF(AND(IF($B$3="(todos)",TRUE,'ORDENES'!$O419=$B$3),IF($D$3="(todos)",TRUE,'ORDENES'!$AC419=$D$3),IF($F$3="(todos)",TRUE,'ORDENES'!$V419=$F$3),'ORDENES'!$AA419=TRUE),'ORDENES'!$AN419&amp;" | "&amp;'ORDENES'!$R419&amp;" | "&amp;IF('ORDENES'!$AB419="","(sin técnico)",'ORDENES'!$AB419)&amp;" | "&amp;'ORDENES'!$D419&amp;" ("&amp;'ORDENES'!$M419&amp;" h)","")</f>
        <v/>
      </c>
    </row>
    <row r="424">
      <c r="K424" s="3">
        <f>IF(AND(IF($B$3="(todos)",TRUE,'ORDENES'!$O420=$B$3),IF($D$3="(todos)",TRUE,'ORDENES'!$AC420=$D$3),IF($F$3="(todos)",TRUE,'ORDENES'!$V420=$F$3),'ORDENES'!$AA420=TRUE),'ORDENES'!$AN420&amp;" | "&amp;'ORDENES'!$R420&amp;" | "&amp;IF('ORDENES'!$AB420="","(sin técnico)",'ORDENES'!$AB420)&amp;" | "&amp;'ORDENES'!$D420&amp;" ("&amp;'ORDENES'!$M420&amp;" h)","")</f>
        <v/>
      </c>
    </row>
    <row r="425">
      <c r="K425" s="3">
        <f>IF(AND(IF($B$3="(todos)",TRUE,'ORDENES'!$O421=$B$3),IF($D$3="(todos)",TRUE,'ORDENES'!$AC421=$D$3),IF($F$3="(todos)",TRUE,'ORDENES'!$V421=$F$3),'ORDENES'!$AA421=TRUE),'ORDENES'!$AN421&amp;" | "&amp;'ORDENES'!$R421&amp;" | "&amp;IF('ORDENES'!$AB421="","(sin técnico)",'ORDENES'!$AB421)&amp;" | "&amp;'ORDENES'!$D421&amp;" ("&amp;'ORDENES'!$M421&amp;" h)","")</f>
        <v/>
      </c>
    </row>
    <row r="426">
      <c r="K426" s="3">
        <f>IF(AND(IF($B$3="(todos)",TRUE,'ORDENES'!$O422=$B$3),IF($D$3="(todos)",TRUE,'ORDENES'!$AC422=$D$3),IF($F$3="(todos)",TRUE,'ORDENES'!$V422=$F$3),'ORDENES'!$AA422=TRUE),'ORDENES'!$AN422&amp;" | "&amp;'ORDENES'!$R422&amp;" | "&amp;IF('ORDENES'!$AB422="","(sin técnico)",'ORDENES'!$AB422)&amp;" | "&amp;'ORDENES'!$D422&amp;" ("&amp;'ORDENES'!$M422&amp;" h)","")</f>
        <v/>
      </c>
    </row>
    <row r="427">
      <c r="K427" s="3">
        <f>IF(AND(IF($B$3="(todos)",TRUE,'ORDENES'!$O423=$B$3),IF($D$3="(todos)",TRUE,'ORDENES'!$AC423=$D$3),IF($F$3="(todos)",TRUE,'ORDENES'!$V423=$F$3),'ORDENES'!$AA423=TRUE),'ORDENES'!$AN423&amp;" | "&amp;'ORDENES'!$R423&amp;" | "&amp;IF('ORDENES'!$AB423="","(sin técnico)",'ORDENES'!$AB423)&amp;" | "&amp;'ORDENES'!$D423&amp;" ("&amp;'ORDENES'!$M423&amp;" h)","")</f>
        <v/>
      </c>
    </row>
    <row r="428">
      <c r="K428" s="3">
        <f>IF(AND(IF($B$3="(todos)",TRUE,'ORDENES'!$O424=$B$3),IF($D$3="(todos)",TRUE,'ORDENES'!$AC424=$D$3),IF($F$3="(todos)",TRUE,'ORDENES'!$V424=$F$3),'ORDENES'!$AA424=TRUE),'ORDENES'!$AN424&amp;" | "&amp;'ORDENES'!$R424&amp;" | "&amp;IF('ORDENES'!$AB424="","(sin técnico)",'ORDENES'!$AB424)&amp;" | "&amp;'ORDENES'!$D424&amp;" ("&amp;'ORDENES'!$M424&amp;" h)","")</f>
        <v/>
      </c>
    </row>
    <row r="429">
      <c r="K429" s="3">
        <f>IF(AND(IF($B$3="(todos)",TRUE,'ORDENES'!$O425=$B$3),IF($D$3="(todos)",TRUE,'ORDENES'!$AC425=$D$3),IF($F$3="(todos)",TRUE,'ORDENES'!$V425=$F$3),'ORDENES'!$AA425=TRUE),'ORDENES'!$AN425&amp;" | "&amp;'ORDENES'!$R425&amp;" | "&amp;IF('ORDENES'!$AB425="","(sin técnico)",'ORDENES'!$AB425)&amp;" | "&amp;'ORDENES'!$D425&amp;" ("&amp;'ORDENES'!$M425&amp;" h)","")</f>
        <v/>
      </c>
    </row>
    <row r="430">
      <c r="K430" s="3">
        <f>IF(AND(IF($B$3="(todos)",TRUE,'ORDENES'!$O426=$B$3),IF($D$3="(todos)",TRUE,'ORDENES'!$AC426=$D$3),IF($F$3="(todos)",TRUE,'ORDENES'!$V426=$F$3),'ORDENES'!$AA426=TRUE),'ORDENES'!$AN426&amp;" | "&amp;'ORDENES'!$R426&amp;" | "&amp;IF('ORDENES'!$AB426="","(sin técnico)",'ORDENES'!$AB426)&amp;" | "&amp;'ORDENES'!$D426&amp;" ("&amp;'ORDENES'!$M426&amp;" h)","")</f>
        <v/>
      </c>
    </row>
    <row r="431">
      <c r="K431" s="3">
        <f>IF(AND(IF($B$3="(todos)",TRUE,'ORDENES'!$O427=$B$3),IF($D$3="(todos)",TRUE,'ORDENES'!$AC427=$D$3),IF($F$3="(todos)",TRUE,'ORDENES'!$V427=$F$3),'ORDENES'!$AA427=TRUE),'ORDENES'!$AN427&amp;" | "&amp;'ORDENES'!$R427&amp;" | "&amp;IF('ORDENES'!$AB427="","(sin técnico)",'ORDENES'!$AB427)&amp;" | "&amp;'ORDENES'!$D427&amp;" ("&amp;'ORDENES'!$M427&amp;" h)","")</f>
        <v/>
      </c>
    </row>
    <row r="432">
      <c r="K432" s="3">
        <f>IF(AND(IF($B$3="(todos)",TRUE,'ORDENES'!$O428=$B$3),IF($D$3="(todos)",TRUE,'ORDENES'!$AC428=$D$3),IF($F$3="(todos)",TRUE,'ORDENES'!$V428=$F$3),'ORDENES'!$AA428=TRUE),'ORDENES'!$AN428&amp;" | "&amp;'ORDENES'!$R428&amp;" | "&amp;IF('ORDENES'!$AB428="","(sin técnico)",'ORDENES'!$AB428)&amp;" | "&amp;'ORDENES'!$D428&amp;" ("&amp;'ORDENES'!$M428&amp;" h)","")</f>
        <v/>
      </c>
    </row>
    <row r="433">
      <c r="K433" s="3">
        <f>IF(AND(IF($B$3="(todos)",TRUE,'ORDENES'!$O429=$B$3),IF($D$3="(todos)",TRUE,'ORDENES'!$AC429=$D$3),IF($F$3="(todos)",TRUE,'ORDENES'!$V429=$F$3),'ORDENES'!$AA429=TRUE),'ORDENES'!$AN429&amp;" | "&amp;'ORDENES'!$R429&amp;" | "&amp;IF('ORDENES'!$AB429="","(sin técnico)",'ORDENES'!$AB429)&amp;" | "&amp;'ORDENES'!$D429&amp;" ("&amp;'ORDENES'!$M429&amp;" h)","")</f>
        <v/>
      </c>
    </row>
    <row r="434">
      <c r="K434" s="3">
        <f>IF(AND(IF($B$3="(todos)",TRUE,'ORDENES'!$O430=$B$3),IF($D$3="(todos)",TRUE,'ORDENES'!$AC430=$D$3),IF($F$3="(todos)",TRUE,'ORDENES'!$V430=$F$3),'ORDENES'!$AA430=TRUE),'ORDENES'!$AN430&amp;" | "&amp;'ORDENES'!$R430&amp;" | "&amp;IF('ORDENES'!$AB430="","(sin técnico)",'ORDENES'!$AB430)&amp;" | "&amp;'ORDENES'!$D430&amp;" ("&amp;'ORDENES'!$M430&amp;" h)","")</f>
        <v/>
      </c>
    </row>
    <row r="435">
      <c r="K435" s="3">
        <f>IF(AND(IF($B$3="(todos)",TRUE,'ORDENES'!$O431=$B$3),IF($D$3="(todos)",TRUE,'ORDENES'!$AC431=$D$3),IF($F$3="(todos)",TRUE,'ORDENES'!$V431=$F$3),'ORDENES'!$AA431=TRUE),'ORDENES'!$AN431&amp;" | "&amp;'ORDENES'!$R431&amp;" | "&amp;IF('ORDENES'!$AB431="","(sin técnico)",'ORDENES'!$AB431)&amp;" | "&amp;'ORDENES'!$D431&amp;" ("&amp;'ORDENES'!$M431&amp;" h)","")</f>
        <v/>
      </c>
    </row>
    <row r="436">
      <c r="K436" s="3">
        <f>IF(AND(IF($B$3="(todos)",TRUE,'ORDENES'!$O432=$B$3),IF($D$3="(todos)",TRUE,'ORDENES'!$AC432=$D$3),IF($F$3="(todos)",TRUE,'ORDENES'!$V432=$F$3),'ORDENES'!$AA432=TRUE),'ORDENES'!$AN432&amp;" | "&amp;'ORDENES'!$R432&amp;" | "&amp;IF('ORDENES'!$AB432="","(sin técnico)",'ORDENES'!$AB432)&amp;" | "&amp;'ORDENES'!$D432&amp;" ("&amp;'ORDENES'!$M432&amp;" h)","")</f>
        <v/>
      </c>
    </row>
    <row r="437">
      <c r="K437" s="3">
        <f>IF(AND(IF($B$3="(todos)",TRUE,'ORDENES'!$O433=$B$3),IF($D$3="(todos)",TRUE,'ORDENES'!$AC433=$D$3),IF($F$3="(todos)",TRUE,'ORDENES'!$V433=$F$3),'ORDENES'!$AA433=TRUE),'ORDENES'!$AN433&amp;" | "&amp;'ORDENES'!$R433&amp;" | "&amp;IF('ORDENES'!$AB433="","(sin técnico)",'ORDENES'!$AB433)&amp;" | "&amp;'ORDENES'!$D433&amp;" ("&amp;'ORDENES'!$M433&amp;" h)","")</f>
        <v/>
      </c>
    </row>
    <row r="438">
      <c r="K438" s="3">
        <f>IF(AND(IF($B$3="(todos)",TRUE,'ORDENES'!$O434=$B$3),IF($D$3="(todos)",TRUE,'ORDENES'!$AC434=$D$3),IF($F$3="(todos)",TRUE,'ORDENES'!$V434=$F$3),'ORDENES'!$AA434=TRUE),'ORDENES'!$AN434&amp;" | "&amp;'ORDENES'!$R434&amp;" | "&amp;IF('ORDENES'!$AB434="","(sin técnico)",'ORDENES'!$AB434)&amp;" | "&amp;'ORDENES'!$D434&amp;" ("&amp;'ORDENES'!$M434&amp;" h)","")</f>
        <v/>
      </c>
    </row>
    <row r="439">
      <c r="K439" s="3">
        <f>IF(AND(IF($B$3="(todos)",TRUE,'ORDENES'!$O435=$B$3),IF($D$3="(todos)",TRUE,'ORDENES'!$AC435=$D$3),IF($F$3="(todos)",TRUE,'ORDENES'!$V435=$F$3),'ORDENES'!$AA435=TRUE),'ORDENES'!$AN435&amp;" | "&amp;'ORDENES'!$R435&amp;" | "&amp;IF('ORDENES'!$AB435="","(sin técnico)",'ORDENES'!$AB435)&amp;" | "&amp;'ORDENES'!$D435&amp;" ("&amp;'ORDENES'!$M435&amp;" h)","")</f>
        <v/>
      </c>
    </row>
    <row r="440">
      <c r="K440" s="3">
        <f>IF(AND(IF($B$3="(todos)",TRUE,'ORDENES'!$O436=$B$3),IF($D$3="(todos)",TRUE,'ORDENES'!$AC436=$D$3),IF($F$3="(todos)",TRUE,'ORDENES'!$V436=$F$3),'ORDENES'!$AA436=TRUE),'ORDENES'!$AN436&amp;" | "&amp;'ORDENES'!$R436&amp;" | "&amp;IF('ORDENES'!$AB436="","(sin técnico)",'ORDENES'!$AB436)&amp;" | "&amp;'ORDENES'!$D436&amp;" ("&amp;'ORDENES'!$M436&amp;" h)","")</f>
        <v/>
      </c>
    </row>
    <row r="441">
      <c r="K441" s="3">
        <f>IF(AND(IF($B$3="(todos)",TRUE,'ORDENES'!$O437=$B$3),IF($D$3="(todos)",TRUE,'ORDENES'!$AC437=$D$3),IF($F$3="(todos)",TRUE,'ORDENES'!$V437=$F$3),'ORDENES'!$AA437=TRUE),'ORDENES'!$AN437&amp;" | "&amp;'ORDENES'!$R437&amp;" | "&amp;IF('ORDENES'!$AB437="","(sin técnico)",'ORDENES'!$AB437)&amp;" | "&amp;'ORDENES'!$D437&amp;" ("&amp;'ORDENES'!$M437&amp;" h)","")</f>
        <v/>
      </c>
    </row>
    <row r="442">
      <c r="K442" s="3">
        <f>IF(AND(IF($B$3="(todos)",TRUE,'ORDENES'!$O438=$B$3),IF($D$3="(todos)",TRUE,'ORDENES'!$AC438=$D$3),IF($F$3="(todos)",TRUE,'ORDENES'!$V438=$F$3),'ORDENES'!$AA438=TRUE),'ORDENES'!$AN438&amp;" | "&amp;'ORDENES'!$R438&amp;" | "&amp;IF('ORDENES'!$AB438="","(sin técnico)",'ORDENES'!$AB438)&amp;" | "&amp;'ORDENES'!$D438&amp;" ("&amp;'ORDENES'!$M438&amp;" h)","")</f>
        <v/>
      </c>
    </row>
    <row r="443">
      <c r="K443" s="3">
        <f>IF(AND(IF($B$3="(todos)",TRUE,'ORDENES'!$O439=$B$3),IF($D$3="(todos)",TRUE,'ORDENES'!$AC439=$D$3),IF($F$3="(todos)",TRUE,'ORDENES'!$V439=$F$3),'ORDENES'!$AA439=TRUE),'ORDENES'!$AN439&amp;" | "&amp;'ORDENES'!$R439&amp;" | "&amp;IF('ORDENES'!$AB439="","(sin técnico)",'ORDENES'!$AB439)&amp;" | "&amp;'ORDENES'!$D439&amp;" ("&amp;'ORDENES'!$M439&amp;" h)","")</f>
        <v/>
      </c>
    </row>
    <row r="444">
      <c r="K444" s="3">
        <f>IF(AND(IF($B$3="(todos)",TRUE,'ORDENES'!$O440=$B$3),IF($D$3="(todos)",TRUE,'ORDENES'!$AC440=$D$3),IF($F$3="(todos)",TRUE,'ORDENES'!$V440=$F$3),'ORDENES'!$AA440=TRUE),'ORDENES'!$AN440&amp;" | "&amp;'ORDENES'!$R440&amp;" | "&amp;IF('ORDENES'!$AB440="","(sin técnico)",'ORDENES'!$AB440)&amp;" | "&amp;'ORDENES'!$D440&amp;" ("&amp;'ORDENES'!$M440&amp;" h)","")</f>
        <v/>
      </c>
    </row>
    <row r="445">
      <c r="K445" s="3">
        <f>IF(AND(IF($B$3="(todos)",TRUE,'ORDENES'!$O441=$B$3),IF($D$3="(todos)",TRUE,'ORDENES'!$AC441=$D$3),IF($F$3="(todos)",TRUE,'ORDENES'!$V441=$F$3),'ORDENES'!$AA441=TRUE),'ORDENES'!$AN441&amp;" | "&amp;'ORDENES'!$R441&amp;" | "&amp;IF('ORDENES'!$AB441="","(sin técnico)",'ORDENES'!$AB441)&amp;" | "&amp;'ORDENES'!$D441&amp;" ("&amp;'ORDENES'!$M441&amp;" h)","")</f>
        <v/>
      </c>
    </row>
    <row r="446">
      <c r="K446" s="3">
        <f>IF(AND(IF($B$3="(todos)",TRUE,'ORDENES'!$O442=$B$3),IF($D$3="(todos)",TRUE,'ORDENES'!$AC442=$D$3),IF($F$3="(todos)",TRUE,'ORDENES'!$V442=$F$3),'ORDENES'!$AA442=TRUE),'ORDENES'!$AN442&amp;" | "&amp;'ORDENES'!$R442&amp;" | "&amp;IF('ORDENES'!$AB442="","(sin técnico)",'ORDENES'!$AB442)&amp;" | "&amp;'ORDENES'!$D442&amp;" ("&amp;'ORDENES'!$M442&amp;" h)","")</f>
        <v/>
      </c>
    </row>
    <row r="447">
      <c r="K447" s="3">
        <f>IF(AND(IF($B$3="(todos)",TRUE,'ORDENES'!$O443=$B$3),IF($D$3="(todos)",TRUE,'ORDENES'!$AC443=$D$3),IF($F$3="(todos)",TRUE,'ORDENES'!$V443=$F$3),'ORDENES'!$AA443=TRUE),'ORDENES'!$AN443&amp;" | "&amp;'ORDENES'!$R443&amp;" | "&amp;IF('ORDENES'!$AB443="","(sin técnico)",'ORDENES'!$AB443)&amp;" | "&amp;'ORDENES'!$D443&amp;" ("&amp;'ORDENES'!$M443&amp;" h)","")</f>
        <v/>
      </c>
    </row>
    <row r="448">
      <c r="K448" s="3">
        <f>IF(AND(IF($B$3="(todos)",TRUE,'ORDENES'!$O444=$B$3),IF($D$3="(todos)",TRUE,'ORDENES'!$AC444=$D$3),IF($F$3="(todos)",TRUE,'ORDENES'!$V444=$F$3),'ORDENES'!$AA444=TRUE),'ORDENES'!$AN444&amp;" | "&amp;'ORDENES'!$R444&amp;" | "&amp;IF('ORDENES'!$AB444="","(sin técnico)",'ORDENES'!$AB444)&amp;" | "&amp;'ORDENES'!$D444&amp;" ("&amp;'ORDENES'!$M444&amp;" h)","")</f>
        <v/>
      </c>
    </row>
    <row r="449">
      <c r="K449" s="3">
        <f>IF(AND(IF($B$3="(todos)",TRUE,'ORDENES'!$O445=$B$3),IF($D$3="(todos)",TRUE,'ORDENES'!$AC445=$D$3),IF($F$3="(todos)",TRUE,'ORDENES'!$V445=$F$3),'ORDENES'!$AA445=TRUE),'ORDENES'!$AN445&amp;" | "&amp;'ORDENES'!$R445&amp;" | "&amp;IF('ORDENES'!$AB445="","(sin técnico)",'ORDENES'!$AB445)&amp;" | "&amp;'ORDENES'!$D445&amp;" ("&amp;'ORDENES'!$M445&amp;" h)","")</f>
        <v/>
      </c>
    </row>
    <row r="450">
      <c r="K450" s="3">
        <f>IF(AND(IF($B$3="(todos)",TRUE,'ORDENES'!$O446=$B$3),IF($D$3="(todos)",TRUE,'ORDENES'!$AC446=$D$3),IF($F$3="(todos)",TRUE,'ORDENES'!$V446=$F$3),'ORDENES'!$AA446=TRUE),'ORDENES'!$AN446&amp;" | "&amp;'ORDENES'!$R446&amp;" | "&amp;IF('ORDENES'!$AB446="","(sin técnico)",'ORDENES'!$AB446)&amp;" | "&amp;'ORDENES'!$D446&amp;" ("&amp;'ORDENES'!$M446&amp;" h)","")</f>
        <v/>
      </c>
    </row>
    <row r="451">
      <c r="K451" s="3">
        <f>IF(AND(IF($B$3="(todos)",TRUE,'ORDENES'!$O447=$B$3),IF($D$3="(todos)",TRUE,'ORDENES'!$AC447=$D$3),IF($F$3="(todos)",TRUE,'ORDENES'!$V447=$F$3),'ORDENES'!$AA447=TRUE),'ORDENES'!$AN447&amp;" | "&amp;'ORDENES'!$R447&amp;" | "&amp;IF('ORDENES'!$AB447="","(sin técnico)",'ORDENES'!$AB447)&amp;" | "&amp;'ORDENES'!$D447&amp;" ("&amp;'ORDENES'!$M447&amp;" h)","")</f>
        <v/>
      </c>
    </row>
    <row r="452">
      <c r="K452" s="3">
        <f>IF(AND(IF($B$3="(todos)",TRUE,'ORDENES'!$O448=$B$3),IF($D$3="(todos)",TRUE,'ORDENES'!$AC448=$D$3),IF($F$3="(todos)",TRUE,'ORDENES'!$V448=$F$3),'ORDENES'!$AA448=TRUE),'ORDENES'!$AN448&amp;" | "&amp;'ORDENES'!$R448&amp;" | "&amp;IF('ORDENES'!$AB448="","(sin técnico)",'ORDENES'!$AB448)&amp;" | "&amp;'ORDENES'!$D448&amp;" ("&amp;'ORDENES'!$M448&amp;" h)","")</f>
        <v/>
      </c>
    </row>
    <row r="453">
      <c r="K453" s="3">
        <f>IF(AND(IF($B$3="(todos)",TRUE,'ORDENES'!$O449=$B$3),IF($D$3="(todos)",TRUE,'ORDENES'!$AC449=$D$3),IF($F$3="(todos)",TRUE,'ORDENES'!$V449=$F$3),'ORDENES'!$AA449=TRUE),'ORDENES'!$AN449&amp;" | "&amp;'ORDENES'!$R449&amp;" | "&amp;IF('ORDENES'!$AB449="","(sin técnico)",'ORDENES'!$AB449)&amp;" | "&amp;'ORDENES'!$D449&amp;" ("&amp;'ORDENES'!$M449&amp;" h)","")</f>
        <v/>
      </c>
    </row>
    <row r="454">
      <c r="K454" s="3">
        <f>IF(AND(IF($B$3="(todos)",TRUE,'ORDENES'!$O450=$B$3),IF($D$3="(todos)",TRUE,'ORDENES'!$AC450=$D$3),IF($F$3="(todos)",TRUE,'ORDENES'!$V450=$F$3),'ORDENES'!$AA450=TRUE),'ORDENES'!$AN450&amp;" | "&amp;'ORDENES'!$R450&amp;" | "&amp;IF('ORDENES'!$AB450="","(sin técnico)",'ORDENES'!$AB450)&amp;" | "&amp;'ORDENES'!$D450&amp;" ("&amp;'ORDENES'!$M450&amp;" h)","")</f>
        <v/>
      </c>
    </row>
    <row r="455">
      <c r="K455" s="3">
        <f>IF(AND(IF($B$3="(todos)",TRUE,'ORDENES'!$O451=$B$3),IF($D$3="(todos)",TRUE,'ORDENES'!$AC451=$D$3),IF($F$3="(todos)",TRUE,'ORDENES'!$V451=$F$3),'ORDENES'!$AA451=TRUE),'ORDENES'!$AN451&amp;" | "&amp;'ORDENES'!$R451&amp;" | "&amp;IF('ORDENES'!$AB451="","(sin técnico)",'ORDENES'!$AB451)&amp;" | "&amp;'ORDENES'!$D451&amp;" ("&amp;'ORDENES'!$M451&amp;" h)","")</f>
        <v/>
      </c>
    </row>
    <row r="456">
      <c r="K456" s="3">
        <f>IF(AND(IF($B$3="(todos)",TRUE,'ORDENES'!$O452=$B$3),IF($D$3="(todos)",TRUE,'ORDENES'!$AC452=$D$3),IF($F$3="(todos)",TRUE,'ORDENES'!$V452=$F$3),'ORDENES'!$AA452=TRUE),'ORDENES'!$AN452&amp;" | "&amp;'ORDENES'!$R452&amp;" | "&amp;IF('ORDENES'!$AB452="","(sin técnico)",'ORDENES'!$AB452)&amp;" | "&amp;'ORDENES'!$D452&amp;" ("&amp;'ORDENES'!$M452&amp;" h)","")</f>
        <v/>
      </c>
    </row>
    <row r="457">
      <c r="K457" s="3">
        <f>IF(AND(IF($B$3="(todos)",TRUE,'ORDENES'!$O453=$B$3),IF($D$3="(todos)",TRUE,'ORDENES'!$AC453=$D$3),IF($F$3="(todos)",TRUE,'ORDENES'!$V453=$F$3),'ORDENES'!$AA453=TRUE),'ORDENES'!$AN453&amp;" | "&amp;'ORDENES'!$R453&amp;" | "&amp;IF('ORDENES'!$AB453="","(sin técnico)",'ORDENES'!$AB453)&amp;" | "&amp;'ORDENES'!$D453&amp;" ("&amp;'ORDENES'!$M453&amp;" h)","")</f>
        <v/>
      </c>
    </row>
    <row r="458">
      <c r="K458" s="3">
        <f>IF(AND(IF($B$3="(todos)",TRUE,'ORDENES'!$O454=$B$3),IF($D$3="(todos)",TRUE,'ORDENES'!$AC454=$D$3),IF($F$3="(todos)",TRUE,'ORDENES'!$V454=$F$3),'ORDENES'!$AA454=TRUE),'ORDENES'!$AN454&amp;" | "&amp;'ORDENES'!$R454&amp;" | "&amp;IF('ORDENES'!$AB454="","(sin técnico)",'ORDENES'!$AB454)&amp;" | "&amp;'ORDENES'!$D454&amp;" ("&amp;'ORDENES'!$M454&amp;" h)","")</f>
        <v/>
      </c>
    </row>
    <row r="459">
      <c r="K459" s="3">
        <f>IF(AND(IF($B$3="(todos)",TRUE,'ORDENES'!$O455=$B$3),IF($D$3="(todos)",TRUE,'ORDENES'!$AC455=$D$3),IF($F$3="(todos)",TRUE,'ORDENES'!$V455=$F$3),'ORDENES'!$AA455=TRUE),'ORDENES'!$AN455&amp;" | "&amp;'ORDENES'!$R455&amp;" | "&amp;IF('ORDENES'!$AB455="","(sin técnico)",'ORDENES'!$AB455)&amp;" | "&amp;'ORDENES'!$D455&amp;" ("&amp;'ORDENES'!$M455&amp;" h)","")</f>
        <v/>
      </c>
    </row>
    <row r="460">
      <c r="K460" s="3">
        <f>IF(AND(IF($B$3="(todos)",TRUE,'ORDENES'!$O456=$B$3),IF($D$3="(todos)",TRUE,'ORDENES'!$AC456=$D$3),IF($F$3="(todos)",TRUE,'ORDENES'!$V456=$F$3),'ORDENES'!$AA456=TRUE),'ORDENES'!$AN456&amp;" | "&amp;'ORDENES'!$R456&amp;" | "&amp;IF('ORDENES'!$AB456="","(sin técnico)",'ORDENES'!$AB456)&amp;" | "&amp;'ORDENES'!$D456&amp;" ("&amp;'ORDENES'!$M456&amp;" h)","")</f>
        <v/>
      </c>
    </row>
    <row r="461">
      <c r="K461" s="3">
        <f>IF(AND(IF($B$3="(todos)",TRUE,'ORDENES'!$O457=$B$3),IF($D$3="(todos)",TRUE,'ORDENES'!$AC457=$D$3),IF($F$3="(todos)",TRUE,'ORDENES'!$V457=$F$3),'ORDENES'!$AA457=TRUE),'ORDENES'!$AN457&amp;" | "&amp;'ORDENES'!$R457&amp;" | "&amp;IF('ORDENES'!$AB457="","(sin técnico)",'ORDENES'!$AB457)&amp;" | "&amp;'ORDENES'!$D457&amp;" ("&amp;'ORDENES'!$M457&amp;" h)","")</f>
        <v/>
      </c>
    </row>
    <row r="462">
      <c r="K462" s="3">
        <f>IF(AND(IF($B$3="(todos)",TRUE,'ORDENES'!$O458=$B$3),IF($D$3="(todos)",TRUE,'ORDENES'!$AC458=$D$3),IF($F$3="(todos)",TRUE,'ORDENES'!$V458=$F$3),'ORDENES'!$AA458=TRUE),'ORDENES'!$AN458&amp;" | "&amp;'ORDENES'!$R458&amp;" | "&amp;IF('ORDENES'!$AB458="","(sin técnico)",'ORDENES'!$AB458)&amp;" | "&amp;'ORDENES'!$D458&amp;" ("&amp;'ORDENES'!$M458&amp;" h)","")</f>
        <v/>
      </c>
    </row>
    <row r="463">
      <c r="K463" s="3">
        <f>IF(AND(IF($B$3="(todos)",TRUE,'ORDENES'!$O459=$B$3),IF($D$3="(todos)",TRUE,'ORDENES'!$AC459=$D$3),IF($F$3="(todos)",TRUE,'ORDENES'!$V459=$F$3),'ORDENES'!$AA459=TRUE),'ORDENES'!$AN459&amp;" | "&amp;'ORDENES'!$R459&amp;" | "&amp;IF('ORDENES'!$AB459="","(sin técnico)",'ORDENES'!$AB459)&amp;" | "&amp;'ORDENES'!$D459&amp;" ("&amp;'ORDENES'!$M459&amp;" h)","")</f>
        <v/>
      </c>
    </row>
    <row r="464">
      <c r="K464" s="3">
        <f>IF(AND(IF($B$3="(todos)",TRUE,'ORDENES'!$O460=$B$3),IF($D$3="(todos)",TRUE,'ORDENES'!$AC460=$D$3),IF($F$3="(todos)",TRUE,'ORDENES'!$V460=$F$3),'ORDENES'!$AA460=TRUE),'ORDENES'!$AN460&amp;" | "&amp;'ORDENES'!$R460&amp;" | "&amp;IF('ORDENES'!$AB460="","(sin técnico)",'ORDENES'!$AB460)&amp;" | "&amp;'ORDENES'!$D460&amp;" ("&amp;'ORDENES'!$M460&amp;" h)","")</f>
        <v/>
      </c>
    </row>
    <row r="465">
      <c r="K465" s="3">
        <f>IF(AND(IF($B$3="(todos)",TRUE,'ORDENES'!$O461=$B$3),IF($D$3="(todos)",TRUE,'ORDENES'!$AC461=$D$3),IF($F$3="(todos)",TRUE,'ORDENES'!$V461=$F$3),'ORDENES'!$AA461=TRUE),'ORDENES'!$AN461&amp;" | "&amp;'ORDENES'!$R461&amp;" | "&amp;IF('ORDENES'!$AB461="","(sin técnico)",'ORDENES'!$AB461)&amp;" | "&amp;'ORDENES'!$D461&amp;" ("&amp;'ORDENES'!$M461&amp;" h)","")</f>
        <v/>
      </c>
    </row>
    <row r="466">
      <c r="K466" s="3">
        <f>IF(AND(IF($B$3="(todos)",TRUE,'ORDENES'!$O462=$B$3),IF($D$3="(todos)",TRUE,'ORDENES'!$AC462=$D$3),IF($F$3="(todos)",TRUE,'ORDENES'!$V462=$F$3),'ORDENES'!$AA462=TRUE),'ORDENES'!$AN462&amp;" | "&amp;'ORDENES'!$R462&amp;" | "&amp;IF('ORDENES'!$AB462="","(sin técnico)",'ORDENES'!$AB462)&amp;" | "&amp;'ORDENES'!$D462&amp;" ("&amp;'ORDENES'!$M462&amp;" h)","")</f>
        <v/>
      </c>
    </row>
    <row r="467">
      <c r="K467" s="3">
        <f>IF(AND(IF($B$3="(todos)",TRUE,'ORDENES'!$O463=$B$3),IF($D$3="(todos)",TRUE,'ORDENES'!$AC463=$D$3),IF($F$3="(todos)",TRUE,'ORDENES'!$V463=$F$3),'ORDENES'!$AA463=TRUE),'ORDENES'!$AN463&amp;" | "&amp;'ORDENES'!$R463&amp;" | "&amp;IF('ORDENES'!$AB463="","(sin técnico)",'ORDENES'!$AB463)&amp;" | "&amp;'ORDENES'!$D463&amp;" ("&amp;'ORDENES'!$M463&amp;" h)","")</f>
        <v/>
      </c>
    </row>
    <row r="468">
      <c r="K468" s="3">
        <f>IF(AND(IF($B$3="(todos)",TRUE,'ORDENES'!$O464=$B$3),IF($D$3="(todos)",TRUE,'ORDENES'!$AC464=$D$3),IF($F$3="(todos)",TRUE,'ORDENES'!$V464=$F$3),'ORDENES'!$AA464=TRUE),'ORDENES'!$AN464&amp;" | "&amp;'ORDENES'!$R464&amp;" | "&amp;IF('ORDENES'!$AB464="","(sin técnico)",'ORDENES'!$AB464)&amp;" | "&amp;'ORDENES'!$D464&amp;" ("&amp;'ORDENES'!$M464&amp;" h)","")</f>
        <v/>
      </c>
    </row>
    <row r="469">
      <c r="K469" s="3">
        <f>IF(AND(IF($B$3="(todos)",TRUE,'ORDENES'!$O465=$B$3),IF($D$3="(todos)",TRUE,'ORDENES'!$AC465=$D$3),IF($F$3="(todos)",TRUE,'ORDENES'!$V465=$F$3),'ORDENES'!$AA465=TRUE),'ORDENES'!$AN465&amp;" | "&amp;'ORDENES'!$R465&amp;" | "&amp;IF('ORDENES'!$AB465="","(sin técnico)",'ORDENES'!$AB465)&amp;" | "&amp;'ORDENES'!$D465&amp;" ("&amp;'ORDENES'!$M465&amp;" h)","")</f>
        <v/>
      </c>
    </row>
    <row r="470">
      <c r="K470" s="3">
        <f>IF(AND(IF($B$3="(todos)",TRUE,'ORDENES'!$O466=$B$3),IF($D$3="(todos)",TRUE,'ORDENES'!$AC466=$D$3),IF($F$3="(todos)",TRUE,'ORDENES'!$V466=$F$3),'ORDENES'!$AA466=TRUE),'ORDENES'!$AN466&amp;" | "&amp;'ORDENES'!$R466&amp;" | "&amp;IF('ORDENES'!$AB466="","(sin técnico)",'ORDENES'!$AB466)&amp;" | "&amp;'ORDENES'!$D466&amp;" ("&amp;'ORDENES'!$M466&amp;" h)","")</f>
        <v/>
      </c>
    </row>
    <row r="471">
      <c r="K471" s="3">
        <f>IF(AND(IF($B$3="(todos)",TRUE,'ORDENES'!$O467=$B$3),IF($D$3="(todos)",TRUE,'ORDENES'!$AC467=$D$3),IF($F$3="(todos)",TRUE,'ORDENES'!$V467=$F$3),'ORDENES'!$AA467=TRUE),'ORDENES'!$AN467&amp;" | "&amp;'ORDENES'!$R467&amp;" | "&amp;IF('ORDENES'!$AB467="","(sin técnico)",'ORDENES'!$AB467)&amp;" | "&amp;'ORDENES'!$D467&amp;" ("&amp;'ORDENES'!$M467&amp;" h)","")</f>
        <v/>
      </c>
    </row>
    <row r="472">
      <c r="K472" s="3">
        <f>IF(AND(IF($B$3="(todos)",TRUE,'ORDENES'!$O468=$B$3),IF($D$3="(todos)",TRUE,'ORDENES'!$AC468=$D$3),IF($F$3="(todos)",TRUE,'ORDENES'!$V468=$F$3),'ORDENES'!$AA468=TRUE),'ORDENES'!$AN468&amp;" | "&amp;'ORDENES'!$R468&amp;" | "&amp;IF('ORDENES'!$AB468="","(sin técnico)",'ORDENES'!$AB468)&amp;" | "&amp;'ORDENES'!$D468&amp;" ("&amp;'ORDENES'!$M468&amp;" h)","")</f>
        <v/>
      </c>
    </row>
    <row r="473">
      <c r="K473" s="3">
        <f>IF(AND(IF($B$3="(todos)",TRUE,'ORDENES'!$O469=$B$3),IF($D$3="(todos)",TRUE,'ORDENES'!$AC469=$D$3),IF($F$3="(todos)",TRUE,'ORDENES'!$V469=$F$3),'ORDENES'!$AA469=TRUE),'ORDENES'!$AN469&amp;" | "&amp;'ORDENES'!$R469&amp;" | "&amp;IF('ORDENES'!$AB469="","(sin técnico)",'ORDENES'!$AB469)&amp;" | "&amp;'ORDENES'!$D469&amp;" ("&amp;'ORDENES'!$M469&amp;" h)","")</f>
        <v/>
      </c>
    </row>
    <row r="474">
      <c r="K474" s="3">
        <f>IF(AND(IF($B$3="(todos)",TRUE,'ORDENES'!$O470=$B$3),IF($D$3="(todos)",TRUE,'ORDENES'!$AC470=$D$3),IF($F$3="(todos)",TRUE,'ORDENES'!$V470=$F$3),'ORDENES'!$AA470=TRUE),'ORDENES'!$AN470&amp;" | "&amp;'ORDENES'!$R470&amp;" | "&amp;IF('ORDENES'!$AB470="","(sin técnico)",'ORDENES'!$AB470)&amp;" | "&amp;'ORDENES'!$D470&amp;" ("&amp;'ORDENES'!$M470&amp;" h)","")</f>
        <v/>
      </c>
    </row>
    <row r="475">
      <c r="K475" s="3">
        <f>IF(AND(IF($B$3="(todos)",TRUE,'ORDENES'!$O471=$B$3),IF($D$3="(todos)",TRUE,'ORDENES'!$AC471=$D$3),IF($F$3="(todos)",TRUE,'ORDENES'!$V471=$F$3),'ORDENES'!$AA471=TRUE),'ORDENES'!$AN471&amp;" | "&amp;'ORDENES'!$R471&amp;" | "&amp;IF('ORDENES'!$AB471="","(sin técnico)",'ORDENES'!$AB471)&amp;" | "&amp;'ORDENES'!$D471&amp;" ("&amp;'ORDENES'!$M471&amp;" h)","")</f>
        <v/>
      </c>
    </row>
    <row r="476">
      <c r="K476" s="3">
        <f>IF(AND(IF($B$3="(todos)",TRUE,'ORDENES'!$O472=$B$3),IF($D$3="(todos)",TRUE,'ORDENES'!$AC472=$D$3),IF($F$3="(todos)",TRUE,'ORDENES'!$V472=$F$3),'ORDENES'!$AA472=TRUE),'ORDENES'!$AN472&amp;" | "&amp;'ORDENES'!$R472&amp;" | "&amp;IF('ORDENES'!$AB472="","(sin técnico)",'ORDENES'!$AB472)&amp;" | "&amp;'ORDENES'!$D472&amp;" ("&amp;'ORDENES'!$M472&amp;" h)","")</f>
        <v/>
      </c>
    </row>
    <row r="477">
      <c r="K477" s="3">
        <f>IF(AND(IF($B$3="(todos)",TRUE,'ORDENES'!$O473=$B$3),IF($D$3="(todos)",TRUE,'ORDENES'!$AC473=$D$3),IF($F$3="(todos)",TRUE,'ORDENES'!$V473=$F$3),'ORDENES'!$AA473=TRUE),'ORDENES'!$AN473&amp;" | "&amp;'ORDENES'!$R473&amp;" | "&amp;IF('ORDENES'!$AB473="","(sin técnico)",'ORDENES'!$AB473)&amp;" | "&amp;'ORDENES'!$D473&amp;" ("&amp;'ORDENES'!$M473&amp;" h)","")</f>
        <v/>
      </c>
    </row>
    <row r="478">
      <c r="K478" s="3">
        <f>IF(AND(IF($B$3="(todos)",TRUE,'ORDENES'!$O474=$B$3),IF($D$3="(todos)",TRUE,'ORDENES'!$AC474=$D$3),IF($F$3="(todos)",TRUE,'ORDENES'!$V474=$F$3),'ORDENES'!$AA474=TRUE),'ORDENES'!$AN474&amp;" | "&amp;'ORDENES'!$R474&amp;" | "&amp;IF('ORDENES'!$AB474="","(sin técnico)",'ORDENES'!$AB474)&amp;" | "&amp;'ORDENES'!$D474&amp;" ("&amp;'ORDENES'!$M474&amp;" h)","")</f>
        <v/>
      </c>
    </row>
    <row r="479">
      <c r="K479" s="3">
        <f>IF(AND(IF($B$3="(todos)",TRUE,'ORDENES'!$O475=$B$3),IF($D$3="(todos)",TRUE,'ORDENES'!$AC475=$D$3),IF($F$3="(todos)",TRUE,'ORDENES'!$V475=$F$3),'ORDENES'!$AA475=TRUE),'ORDENES'!$AN475&amp;" | "&amp;'ORDENES'!$R475&amp;" | "&amp;IF('ORDENES'!$AB475="","(sin técnico)",'ORDENES'!$AB475)&amp;" | "&amp;'ORDENES'!$D475&amp;" ("&amp;'ORDENES'!$M475&amp;" h)","")</f>
        <v/>
      </c>
    </row>
    <row r="480">
      <c r="K480" s="3">
        <f>IF(AND(IF($B$3="(todos)",TRUE,'ORDENES'!$O476=$B$3),IF($D$3="(todos)",TRUE,'ORDENES'!$AC476=$D$3),IF($F$3="(todos)",TRUE,'ORDENES'!$V476=$F$3),'ORDENES'!$AA476=TRUE),'ORDENES'!$AN476&amp;" | "&amp;'ORDENES'!$R476&amp;" | "&amp;IF('ORDENES'!$AB476="","(sin técnico)",'ORDENES'!$AB476)&amp;" | "&amp;'ORDENES'!$D476&amp;" ("&amp;'ORDENES'!$M476&amp;" h)","")</f>
        <v/>
      </c>
    </row>
    <row r="481">
      <c r="K481" s="3">
        <f>IF(AND(IF($B$3="(todos)",TRUE,'ORDENES'!$O477=$B$3),IF($D$3="(todos)",TRUE,'ORDENES'!$AC477=$D$3),IF($F$3="(todos)",TRUE,'ORDENES'!$V477=$F$3),'ORDENES'!$AA477=TRUE),'ORDENES'!$AN477&amp;" | "&amp;'ORDENES'!$R477&amp;" | "&amp;IF('ORDENES'!$AB477="","(sin técnico)",'ORDENES'!$AB477)&amp;" | "&amp;'ORDENES'!$D477&amp;" ("&amp;'ORDENES'!$M477&amp;" h)","")</f>
        <v/>
      </c>
    </row>
    <row r="482">
      <c r="K482" s="3">
        <f>IF(AND(IF($B$3="(todos)",TRUE,'ORDENES'!$O478=$B$3),IF($D$3="(todos)",TRUE,'ORDENES'!$AC478=$D$3),IF($F$3="(todos)",TRUE,'ORDENES'!$V478=$F$3),'ORDENES'!$AA478=TRUE),'ORDENES'!$AN478&amp;" | "&amp;'ORDENES'!$R478&amp;" | "&amp;IF('ORDENES'!$AB478="","(sin técnico)",'ORDENES'!$AB478)&amp;" | "&amp;'ORDENES'!$D478&amp;" ("&amp;'ORDENES'!$M478&amp;" h)","")</f>
        <v/>
      </c>
    </row>
    <row r="483">
      <c r="K483" s="3">
        <f>IF(AND(IF($B$3="(todos)",TRUE,'ORDENES'!$O479=$B$3),IF($D$3="(todos)",TRUE,'ORDENES'!$AC479=$D$3),IF($F$3="(todos)",TRUE,'ORDENES'!$V479=$F$3),'ORDENES'!$AA479=TRUE),'ORDENES'!$AN479&amp;" | "&amp;'ORDENES'!$R479&amp;" | "&amp;IF('ORDENES'!$AB479="","(sin técnico)",'ORDENES'!$AB479)&amp;" | "&amp;'ORDENES'!$D479&amp;" ("&amp;'ORDENES'!$M479&amp;" h)","")</f>
        <v/>
      </c>
    </row>
    <row r="484">
      <c r="K484" s="3">
        <f>IF(AND(IF($B$3="(todos)",TRUE,'ORDENES'!$O480=$B$3),IF($D$3="(todos)",TRUE,'ORDENES'!$AC480=$D$3),IF($F$3="(todos)",TRUE,'ORDENES'!$V480=$F$3),'ORDENES'!$AA480=TRUE),'ORDENES'!$AN480&amp;" | "&amp;'ORDENES'!$R480&amp;" | "&amp;IF('ORDENES'!$AB480="","(sin técnico)",'ORDENES'!$AB480)&amp;" | "&amp;'ORDENES'!$D480&amp;" ("&amp;'ORDENES'!$M480&amp;" h)","")</f>
        <v/>
      </c>
    </row>
    <row r="485">
      <c r="K485" s="3">
        <f>IF(AND(IF($B$3="(todos)",TRUE,'ORDENES'!$O481=$B$3),IF($D$3="(todos)",TRUE,'ORDENES'!$AC481=$D$3),IF($F$3="(todos)",TRUE,'ORDENES'!$V481=$F$3),'ORDENES'!$AA481=TRUE),'ORDENES'!$AN481&amp;" | "&amp;'ORDENES'!$R481&amp;" | "&amp;IF('ORDENES'!$AB481="","(sin técnico)",'ORDENES'!$AB481)&amp;" | "&amp;'ORDENES'!$D481&amp;" ("&amp;'ORDENES'!$M481&amp;" h)","")</f>
        <v/>
      </c>
    </row>
    <row r="486">
      <c r="K486" s="3">
        <f>IF(AND(IF($B$3="(todos)",TRUE,'ORDENES'!$O482=$B$3),IF($D$3="(todos)",TRUE,'ORDENES'!$AC482=$D$3),IF($F$3="(todos)",TRUE,'ORDENES'!$V482=$F$3),'ORDENES'!$AA482=TRUE),'ORDENES'!$AN482&amp;" | "&amp;'ORDENES'!$R482&amp;" | "&amp;IF('ORDENES'!$AB482="","(sin técnico)",'ORDENES'!$AB482)&amp;" | "&amp;'ORDENES'!$D482&amp;" ("&amp;'ORDENES'!$M482&amp;" h)","")</f>
        <v/>
      </c>
    </row>
    <row r="487">
      <c r="K487" s="3">
        <f>IF(AND(IF($B$3="(todos)",TRUE,'ORDENES'!$O483=$B$3),IF($D$3="(todos)",TRUE,'ORDENES'!$AC483=$D$3),IF($F$3="(todos)",TRUE,'ORDENES'!$V483=$F$3),'ORDENES'!$AA483=TRUE),'ORDENES'!$AN483&amp;" | "&amp;'ORDENES'!$R483&amp;" | "&amp;IF('ORDENES'!$AB483="","(sin técnico)",'ORDENES'!$AB483)&amp;" | "&amp;'ORDENES'!$D483&amp;" ("&amp;'ORDENES'!$M483&amp;" h)","")</f>
        <v/>
      </c>
    </row>
    <row r="488">
      <c r="K488" s="3">
        <f>IF(AND(IF($B$3="(todos)",TRUE,'ORDENES'!$O484=$B$3),IF($D$3="(todos)",TRUE,'ORDENES'!$AC484=$D$3),IF($F$3="(todos)",TRUE,'ORDENES'!$V484=$F$3),'ORDENES'!$AA484=TRUE),'ORDENES'!$AN484&amp;" | "&amp;'ORDENES'!$R484&amp;" | "&amp;IF('ORDENES'!$AB484="","(sin técnico)",'ORDENES'!$AB484)&amp;" | "&amp;'ORDENES'!$D484&amp;" ("&amp;'ORDENES'!$M484&amp;" h)","")</f>
        <v/>
      </c>
    </row>
    <row r="489">
      <c r="K489" s="3">
        <f>IF(AND(IF($B$3="(todos)",TRUE,'ORDENES'!$O485=$B$3),IF($D$3="(todos)",TRUE,'ORDENES'!$AC485=$D$3),IF($F$3="(todos)",TRUE,'ORDENES'!$V485=$F$3),'ORDENES'!$AA485=TRUE),'ORDENES'!$AN485&amp;" | "&amp;'ORDENES'!$R485&amp;" | "&amp;IF('ORDENES'!$AB485="","(sin técnico)",'ORDENES'!$AB485)&amp;" | "&amp;'ORDENES'!$D485&amp;" ("&amp;'ORDENES'!$M485&amp;" h)","")</f>
        <v/>
      </c>
    </row>
    <row r="490">
      <c r="K490" s="3">
        <f>IF(AND(IF($B$3="(todos)",TRUE,'ORDENES'!$O486=$B$3),IF($D$3="(todos)",TRUE,'ORDENES'!$AC486=$D$3),IF($F$3="(todos)",TRUE,'ORDENES'!$V486=$F$3),'ORDENES'!$AA486=TRUE),'ORDENES'!$AN486&amp;" | "&amp;'ORDENES'!$R486&amp;" | "&amp;IF('ORDENES'!$AB486="","(sin técnico)",'ORDENES'!$AB486)&amp;" | "&amp;'ORDENES'!$D486&amp;" ("&amp;'ORDENES'!$M486&amp;" h)","")</f>
        <v/>
      </c>
    </row>
    <row r="491">
      <c r="K491" s="3">
        <f>IF(AND(IF($B$3="(todos)",TRUE,'ORDENES'!$O487=$B$3),IF($D$3="(todos)",TRUE,'ORDENES'!$AC487=$D$3),IF($F$3="(todos)",TRUE,'ORDENES'!$V487=$F$3),'ORDENES'!$AA487=TRUE),'ORDENES'!$AN487&amp;" | "&amp;'ORDENES'!$R487&amp;" | "&amp;IF('ORDENES'!$AB487="","(sin técnico)",'ORDENES'!$AB487)&amp;" | "&amp;'ORDENES'!$D487&amp;" ("&amp;'ORDENES'!$M487&amp;" h)","")</f>
        <v/>
      </c>
    </row>
    <row r="492">
      <c r="K492" s="3">
        <f>IF(AND(IF($B$3="(todos)",TRUE,'ORDENES'!$O488=$B$3),IF($D$3="(todos)",TRUE,'ORDENES'!$AC488=$D$3),IF($F$3="(todos)",TRUE,'ORDENES'!$V488=$F$3),'ORDENES'!$AA488=TRUE),'ORDENES'!$AN488&amp;" | "&amp;'ORDENES'!$R488&amp;" | "&amp;IF('ORDENES'!$AB488="","(sin técnico)",'ORDENES'!$AB488)&amp;" | "&amp;'ORDENES'!$D488&amp;" ("&amp;'ORDENES'!$M488&amp;" h)","")</f>
        <v/>
      </c>
    </row>
    <row r="493">
      <c r="K493" s="3">
        <f>IF(AND(IF($B$3="(todos)",TRUE,'ORDENES'!$O489=$B$3),IF($D$3="(todos)",TRUE,'ORDENES'!$AC489=$D$3),IF($F$3="(todos)",TRUE,'ORDENES'!$V489=$F$3),'ORDENES'!$AA489=TRUE),'ORDENES'!$AN489&amp;" | "&amp;'ORDENES'!$R489&amp;" | "&amp;IF('ORDENES'!$AB489="","(sin técnico)",'ORDENES'!$AB489)&amp;" | "&amp;'ORDENES'!$D489&amp;" ("&amp;'ORDENES'!$M489&amp;" h)","")</f>
        <v/>
      </c>
    </row>
    <row r="494">
      <c r="K494" s="3">
        <f>IF(AND(IF($B$3="(todos)",TRUE,'ORDENES'!$O490=$B$3),IF($D$3="(todos)",TRUE,'ORDENES'!$AC490=$D$3),IF($F$3="(todos)",TRUE,'ORDENES'!$V490=$F$3),'ORDENES'!$AA490=TRUE),'ORDENES'!$AN490&amp;" | "&amp;'ORDENES'!$R490&amp;" | "&amp;IF('ORDENES'!$AB490="","(sin técnico)",'ORDENES'!$AB490)&amp;" | "&amp;'ORDENES'!$D490&amp;" ("&amp;'ORDENES'!$M490&amp;" h)","")</f>
        <v/>
      </c>
    </row>
    <row r="495">
      <c r="K495" s="3">
        <f>IF(AND(IF($B$3="(todos)",TRUE,'ORDENES'!$O491=$B$3),IF($D$3="(todos)",TRUE,'ORDENES'!$AC491=$D$3),IF($F$3="(todos)",TRUE,'ORDENES'!$V491=$F$3),'ORDENES'!$AA491=TRUE),'ORDENES'!$AN491&amp;" | "&amp;'ORDENES'!$R491&amp;" | "&amp;IF('ORDENES'!$AB491="","(sin técnico)",'ORDENES'!$AB491)&amp;" | "&amp;'ORDENES'!$D491&amp;" ("&amp;'ORDENES'!$M491&amp;" h)","")</f>
        <v/>
      </c>
    </row>
    <row r="496">
      <c r="K496" s="3">
        <f>IF(AND(IF($B$3="(todos)",TRUE,'ORDENES'!$O492=$B$3),IF($D$3="(todos)",TRUE,'ORDENES'!$AC492=$D$3),IF($F$3="(todos)",TRUE,'ORDENES'!$V492=$F$3),'ORDENES'!$AA492=TRUE),'ORDENES'!$AN492&amp;" | "&amp;'ORDENES'!$R492&amp;" | "&amp;IF('ORDENES'!$AB492="","(sin técnico)",'ORDENES'!$AB492)&amp;" | "&amp;'ORDENES'!$D492&amp;" ("&amp;'ORDENES'!$M492&amp;" h)","")</f>
        <v/>
      </c>
    </row>
    <row r="497">
      <c r="K497" s="3">
        <f>IF(AND(IF($B$3="(todos)",TRUE,'ORDENES'!$O493=$B$3),IF($D$3="(todos)",TRUE,'ORDENES'!$AC493=$D$3),IF($F$3="(todos)",TRUE,'ORDENES'!$V493=$F$3),'ORDENES'!$AA493=TRUE),'ORDENES'!$AN493&amp;" | "&amp;'ORDENES'!$R493&amp;" | "&amp;IF('ORDENES'!$AB493="","(sin técnico)",'ORDENES'!$AB493)&amp;" | "&amp;'ORDENES'!$D493&amp;" ("&amp;'ORDENES'!$M493&amp;" h)","")</f>
        <v/>
      </c>
    </row>
    <row r="498">
      <c r="K498" s="3">
        <f>IF(AND(IF($B$3="(todos)",TRUE,'ORDENES'!$O494=$B$3),IF($D$3="(todos)",TRUE,'ORDENES'!$AC494=$D$3),IF($F$3="(todos)",TRUE,'ORDENES'!$V494=$F$3),'ORDENES'!$AA494=TRUE),'ORDENES'!$AN494&amp;" | "&amp;'ORDENES'!$R494&amp;" | "&amp;IF('ORDENES'!$AB494="","(sin técnico)",'ORDENES'!$AB494)&amp;" | "&amp;'ORDENES'!$D494&amp;" ("&amp;'ORDENES'!$M494&amp;" h)","")</f>
        <v/>
      </c>
    </row>
    <row r="499">
      <c r="K499" s="3">
        <f>IF(AND(IF($B$3="(todos)",TRUE,'ORDENES'!$O495=$B$3),IF($D$3="(todos)",TRUE,'ORDENES'!$AC495=$D$3),IF($F$3="(todos)",TRUE,'ORDENES'!$V495=$F$3),'ORDENES'!$AA495=TRUE),'ORDENES'!$AN495&amp;" | "&amp;'ORDENES'!$R495&amp;" | "&amp;IF('ORDENES'!$AB495="","(sin técnico)",'ORDENES'!$AB495)&amp;" | "&amp;'ORDENES'!$D495&amp;" ("&amp;'ORDENES'!$M495&amp;" h)","")</f>
        <v/>
      </c>
    </row>
    <row r="500">
      <c r="K500" s="3">
        <f>IF(AND(IF($B$3="(todos)",TRUE,'ORDENES'!$O496=$B$3),IF($D$3="(todos)",TRUE,'ORDENES'!$AC496=$D$3),IF($F$3="(todos)",TRUE,'ORDENES'!$V496=$F$3),'ORDENES'!$AA496=TRUE),'ORDENES'!$AN496&amp;" | "&amp;'ORDENES'!$R496&amp;" | "&amp;IF('ORDENES'!$AB496="","(sin técnico)",'ORDENES'!$AB496)&amp;" | "&amp;'ORDENES'!$D496&amp;" ("&amp;'ORDENES'!$M496&amp;" h)","")</f>
        <v/>
      </c>
    </row>
    <row r="501">
      <c r="K501" s="3">
        <f>IF(AND(IF($B$3="(todos)",TRUE,'ORDENES'!$O497=$B$3),IF($D$3="(todos)",TRUE,'ORDENES'!$AC497=$D$3),IF($F$3="(todos)",TRUE,'ORDENES'!$V497=$F$3),'ORDENES'!$AA497=TRUE),'ORDENES'!$AN497&amp;" | "&amp;'ORDENES'!$R497&amp;" | "&amp;IF('ORDENES'!$AB497="","(sin técnico)",'ORDENES'!$AB497)&amp;" | "&amp;'ORDENES'!$D497&amp;" ("&amp;'ORDENES'!$M497&amp;" h)","")</f>
        <v/>
      </c>
    </row>
    <row r="502">
      <c r="K502" s="3">
        <f>IF(AND(IF($B$3="(todos)",TRUE,'ORDENES'!$O498=$B$3),IF($D$3="(todos)",TRUE,'ORDENES'!$AC498=$D$3),IF($F$3="(todos)",TRUE,'ORDENES'!$V498=$F$3),'ORDENES'!$AA498=TRUE),'ORDENES'!$AN498&amp;" | "&amp;'ORDENES'!$R498&amp;" | "&amp;IF('ORDENES'!$AB498="","(sin técnico)",'ORDENES'!$AB498)&amp;" | "&amp;'ORDENES'!$D498&amp;" ("&amp;'ORDENES'!$M498&amp;" h)","")</f>
        <v/>
      </c>
    </row>
    <row r="503">
      <c r="K503" s="3">
        <f>IF(AND(IF($B$3="(todos)",TRUE,'ORDENES'!$O499=$B$3),IF($D$3="(todos)",TRUE,'ORDENES'!$AC499=$D$3),IF($F$3="(todos)",TRUE,'ORDENES'!$V499=$F$3),'ORDENES'!$AA499=TRUE),'ORDENES'!$AN499&amp;" | "&amp;'ORDENES'!$R499&amp;" | "&amp;IF('ORDENES'!$AB499="","(sin técnico)",'ORDENES'!$AB499)&amp;" | "&amp;'ORDENES'!$D499&amp;" ("&amp;'ORDENES'!$M499&amp;" h)","")</f>
        <v/>
      </c>
    </row>
    <row r="504">
      <c r="K504" s="3">
        <f>IF(AND(IF($B$3="(todos)",TRUE,'ORDENES'!$O500=$B$3),IF($D$3="(todos)",TRUE,'ORDENES'!$AC500=$D$3),IF($F$3="(todos)",TRUE,'ORDENES'!$V500=$F$3),'ORDENES'!$AA500=TRUE),'ORDENES'!$AN500&amp;" | "&amp;'ORDENES'!$R500&amp;" | "&amp;IF('ORDENES'!$AB500="","(sin técnico)",'ORDENES'!$AB500)&amp;" | "&amp;'ORDENES'!$D500&amp;" ("&amp;'ORDENES'!$M500&amp;" h)","")</f>
        <v/>
      </c>
    </row>
    <row r="505">
      <c r="K505" s="3">
        <f>IF(AND(IF($B$3="(todos)",TRUE,'ORDENES'!$O501=$B$3),IF($D$3="(todos)",TRUE,'ORDENES'!$AC501=$D$3),IF($F$3="(todos)",TRUE,'ORDENES'!$V501=$F$3),'ORDENES'!$AA501=TRUE),'ORDENES'!$AN501&amp;" | "&amp;'ORDENES'!$R501&amp;" | "&amp;IF('ORDENES'!$AB501="","(sin técnico)",'ORDENES'!$AB501)&amp;" | "&amp;'ORDENES'!$D501&amp;" ("&amp;'ORDENES'!$M501&amp;" h)","")</f>
        <v/>
      </c>
    </row>
    <row r="506">
      <c r="K506" s="3">
        <f>IF(AND(IF($B$3="(todos)",TRUE,'ORDENES'!$O502=$B$3),IF($D$3="(todos)",TRUE,'ORDENES'!$AC502=$D$3),IF($F$3="(todos)",TRUE,'ORDENES'!$V502=$F$3),'ORDENES'!$AA502=TRUE),'ORDENES'!$AN502&amp;" | "&amp;'ORDENES'!$R502&amp;" | "&amp;IF('ORDENES'!$AB502="","(sin técnico)",'ORDENES'!$AB502)&amp;" | "&amp;'ORDENES'!$D502&amp;" ("&amp;'ORDENES'!$M502&amp;" h)","")</f>
        <v/>
      </c>
    </row>
    <row r="507">
      <c r="K507" s="3">
        <f>IF(AND(IF($B$3="(todos)",TRUE,'ORDENES'!$O503=$B$3),IF($D$3="(todos)",TRUE,'ORDENES'!$AC503=$D$3),IF($F$3="(todos)",TRUE,'ORDENES'!$V503=$F$3),'ORDENES'!$AA503=TRUE),'ORDENES'!$AN503&amp;" | "&amp;'ORDENES'!$R503&amp;" | "&amp;IF('ORDENES'!$AB503="","(sin técnico)",'ORDENES'!$AB503)&amp;" | "&amp;'ORDENES'!$D503&amp;" ("&amp;'ORDENES'!$M503&amp;" h)","")</f>
        <v/>
      </c>
    </row>
    <row r="508">
      <c r="K508" s="3">
        <f>IF(AND(IF($B$3="(todos)",TRUE,'ORDENES'!$O504=$B$3),IF($D$3="(todos)",TRUE,'ORDENES'!$AC504=$D$3),IF($F$3="(todos)",TRUE,'ORDENES'!$V504=$F$3),'ORDENES'!$AA504=TRUE),'ORDENES'!$AN504&amp;" | "&amp;'ORDENES'!$R504&amp;" | "&amp;IF('ORDENES'!$AB504="","(sin técnico)",'ORDENES'!$AB504)&amp;" | "&amp;'ORDENES'!$D504&amp;" ("&amp;'ORDENES'!$M504&amp;" h)","")</f>
        <v/>
      </c>
    </row>
    <row r="509">
      <c r="K509" s="3">
        <f>IF(AND(IF($B$3="(todos)",TRUE,'ORDENES'!$O505=$B$3),IF($D$3="(todos)",TRUE,'ORDENES'!$AC505=$D$3),IF($F$3="(todos)",TRUE,'ORDENES'!$V505=$F$3),'ORDENES'!$AA505=TRUE),'ORDENES'!$AN505&amp;" | "&amp;'ORDENES'!$R505&amp;" | "&amp;IF('ORDENES'!$AB505="","(sin técnico)",'ORDENES'!$AB505)&amp;" | "&amp;'ORDENES'!$D505&amp;" ("&amp;'ORDENES'!$M505&amp;" h)","")</f>
        <v/>
      </c>
    </row>
    <row r="510">
      <c r="K510" s="3">
        <f>IF(AND(IF($B$3="(todos)",TRUE,'ORDENES'!$O506=$B$3),IF($D$3="(todos)",TRUE,'ORDENES'!$AC506=$D$3),IF($F$3="(todos)",TRUE,'ORDENES'!$V506=$F$3),'ORDENES'!$AA506=TRUE),'ORDENES'!$AN506&amp;" | "&amp;'ORDENES'!$R506&amp;" | "&amp;IF('ORDENES'!$AB506="","(sin técnico)",'ORDENES'!$AB506)&amp;" | "&amp;'ORDENES'!$D506&amp;" ("&amp;'ORDENES'!$M506&amp;" h)","")</f>
        <v/>
      </c>
    </row>
    <row r="511">
      <c r="K511" s="3">
        <f>IF(AND(IF($B$3="(todos)",TRUE,'ORDENES'!$O507=$B$3),IF($D$3="(todos)",TRUE,'ORDENES'!$AC507=$D$3),IF($F$3="(todos)",TRUE,'ORDENES'!$V507=$F$3),'ORDENES'!$AA507=TRUE),'ORDENES'!$AN507&amp;" | "&amp;'ORDENES'!$R507&amp;" | "&amp;IF('ORDENES'!$AB507="","(sin técnico)",'ORDENES'!$AB507)&amp;" | "&amp;'ORDENES'!$D507&amp;" ("&amp;'ORDENES'!$M507&amp;" h)","")</f>
        <v/>
      </c>
    </row>
    <row r="512">
      <c r="K512" s="3">
        <f>IF(AND(IF($B$3="(todos)",TRUE,'ORDENES'!$O508=$B$3),IF($D$3="(todos)",TRUE,'ORDENES'!$AC508=$D$3),IF($F$3="(todos)",TRUE,'ORDENES'!$V508=$F$3),'ORDENES'!$AA508=TRUE),'ORDENES'!$AN508&amp;" | "&amp;'ORDENES'!$R508&amp;" | "&amp;IF('ORDENES'!$AB508="","(sin técnico)",'ORDENES'!$AB508)&amp;" | "&amp;'ORDENES'!$D508&amp;" ("&amp;'ORDENES'!$M508&amp;" h)","")</f>
        <v/>
      </c>
    </row>
    <row r="513">
      <c r="K513" s="3">
        <f>IF(AND(IF($B$3="(todos)",TRUE,'ORDENES'!$O509=$B$3),IF($D$3="(todos)",TRUE,'ORDENES'!$AC509=$D$3),IF($F$3="(todos)",TRUE,'ORDENES'!$V509=$F$3),'ORDENES'!$AA509=TRUE),'ORDENES'!$AN509&amp;" | "&amp;'ORDENES'!$R509&amp;" | "&amp;IF('ORDENES'!$AB509="","(sin técnico)",'ORDENES'!$AB509)&amp;" | "&amp;'ORDENES'!$D509&amp;" ("&amp;'ORDENES'!$M509&amp;" h)","")</f>
        <v/>
      </c>
    </row>
    <row r="514">
      <c r="K514" s="3">
        <f>IF(AND(IF($B$3="(todos)",TRUE,'ORDENES'!$O510=$B$3),IF($D$3="(todos)",TRUE,'ORDENES'!$AC510=$D$3),IF($F$3="(todos)",TRUE,'ORDENES'!$V510=$F$3),'ORDENES'!$AA510=TRUE),'ORDENES'!$AN510&amp;" | "&amp;'ORDENES'!$R510&amp;" | "&amp;IF('ORDENES'!$AB510="","(sin técnico)",'ORDENES'!$AB510)&amp;" | "&amp;'ORDENES'!$D510&amp;" ("&amp;'ORDENES'!$M510&amp;" h)","")</f>
        <v/>
      </c>
    </row>
    <row r="515">
      <c r="K515" s="3">
        <f>IF(AND(IF($B$3="(todos)",TRUE,'ORDENES'!$O511=$B$3),IF($D$3="(todos)",TRUE,'ORDENES'!$AC511=$D$3),IF($F$3="(todos)",TRUE,'ORDENES'!$V511=$F$3),'ORDENES'!$AA511=TRUE),'ORDENES'!$AN511&amp;" | "&amp;'ORDENES'!$R511&amp;" | "&amp;IF('ORDENES'!$AB511="","(sin técnico)",'ORDENES'!$AB511)&amp;" | "&amp;'ORDENES'!$D511&amp;" ("&amp;'ORDENES'!$M511&amp;" h)","")</f>
        <v/>
      </c>
    </row>
    <row r="516">
      <c r="K516" s="3">
        <f>IF(AND(IF($B$3="(todos)",TRUE,'ORDENES'!$O512=$B$3),IF($D$3="(todos)",TRUE,'ORDENES'!$AC512=$D$3),IF($F$3="(todos)",TRUE,'ORDENES'!$V512=$F$3),'ORDENES'!$AA512=TRUE),'ORDENES'!$AN512&amp;" | "&amp;'ORDENES'!$R512&amp;" | "&amp;IF('ORDENES'!$AB512="","(sin técnico)",'ORDENES'!$AB512)&amp;" | "&amp;'ORDENES'!$D512&amp;" ("&amp;'ORDENES'!$M512&amp;" h)","")</f>
        <v/>
      </c>
    </row>
    <row r="517">
      <c r="K517" s="3">
        <f>IF(AND(IF($B$3="(todos)",TRUE,'ORDENES'!$O513=$B$3),IF($D$3="(todos)",TRUE,'ORDENES'!$AC513=$D$3),IF($F$3="(todos)",TRUE,'ORDENES'!$V513=$F$3),'ORDENES'!$AA513=TRUE),'ORDENES'!$AN513&amp;" | "&amp;'ORDENES'!$R513&amp;" | "&amp;IF('ORDENES'!$AB513="","(sin técnico)",'ORDENES'!$AB513)&amp;" | "&amp;'ORDENES'!$D513&amp;" ("&amp;'ORDENES'!$M513&amp;" h)","")</f>
        <v/>
      </c>
    </row>
    <row r="518">
      <c r="K518" s="3">
        <f>IF(AND(IF($B$3="(todos)",TRUE,'ORDENES'!$O514=$B$3),IF($D$3="(todos)",TRUE,'ORDENES'!$AC514=$D$3),IF($F$3="(todos)",TRUE,'ORDENES'!$V514=$F$3),'ORDENES'!$AA514=TRUE),'ORDENES'!$AN514&amp;" | "&amp;'ORDENES'!$R514&amp;" | "&amp;IF('ORDENES'!$AB514="","(sin técnico)",'ORDENES'!$AB514)&amp;" | "&amp;'ORDENES'!$D514&amp;" ("&amp;'ORDENES'!$M514&amp;" h)","")</f>
        <v/>
      </c>
    </row>
    <row r="519">
      <c r="K519" s="3">
        <f>IF(AND(IF($B$3="(todos)",TRUE,'ORDENES'!$O515=$B$3),IF($D$3="(todos)",TRUE,'ORDENES'!$AC515=$D$3),IF($F$3="(todos)",TRUE,'ORDENES'!$V515=$F$3),'ORDENES'!$AA515=TRUE),'ORDENES'!$AN515&amp;" | "&amp;'ORDENES'!$R515&amp;" | "&amp;IF('ORDENES'!$AB515="","(sin técnico)",'ORDENES'!$AB515)&amp;" | "&amp;'ORDENES'!$D515&amp;" ("&amp;'ORDENES'!$M515&amp;" h)","")</f>
        <v/>
      </c>
    </row>
    <row r="520">
      <c r="K520" s="3">
        <f>IF(AND(IF($B$3="(todos)",TRUE,'ORDENES'!$O516=$B$3),IF($D$3="(todos)",TRUE,'ORDENES'!$AC516=$D$3),IF($F$3="(todos)",TRUE,'ORDENES'!$V516=$F$3),'ORDENES'!$AA516=TRUE),'ORDENES'!$AN516&amp;" | "&amp;'ORDENES'!$R516&amp;" | "&amp;IF('ORDENES'!$AB516="","(sin técnico)",'ORDENES'!$AB516)&amp;" | "&amp;'ORDENES'!$D516&amp;" ("&amp;'ORDENES'!$M516&amp;" h)","")</f>
        <v/>
      </c>
    </row>
    <row r="521">
      <c r="K521" s="3">
        <f>IF(AND(IF($B$3="(todos)",TRUE,'ORDENES'!$O517=$B$3),IF($D$3="(todos)",TRUE,'ORDENES'!$AC517=$D$3),IF($F$3="(todos)",TRUE,'ORDENES'!$V517=$F$3),'ORDENES'!$AA517=TRUE),'ORDENES'!$AN517&amp;" | "&amp;'ORDENES'!$R517&amp;" | "&amp;IF('ORDENES'!$AB517="","(sin técnico)",'ORDENES'!$AB517)&amp;" | "&amp;'ORDENES'!$D517&amp;" ("&amp;'ORDENES'!$M517&amp;" h)","")</f>
        <v/>
      </c>
    </row>
    <row r="522">
      <c r="K522" s="3">
        <f>IF(AND(IF($B$3="(todos)",TRUE,'ORDENES'!$O518=$B$3),IF($D$3="(todos)",TRUE,'ORDENES'!$AC518=$D$3),IF($F$3="(todos)",TRUE,'ORDENES'!$V518=$F$3),'ORDENES'!$AA518=TRUE),'ORDENES'!$AN518&amp;" | "&amp;'ORDENES'!$R518&amp;" | "&amp;IF('ORDENES'!$AB518="","(sin técnico)",'ORDENES'!$AB518)&amp;" | "&amp;'ORDENES'!$D518&amp;" ("&amp;'ORDENES'!$M518&amp;" h)","")</f>
        <v/>
      </c>
    </row>
    <row r="523">
      <c r="K523" s="3">
        <f>IF(AND(IF($B$3="(todos)",TRUE,'ORDENES'!$O519=$B$3),IF($D$3="(todos)",TRUE,'ORDENES'!$AC519=$D$3),IF($F$3="(todos)",TRUE,'ORDENES'!$V519=$F$3),'ORDENES'!$AA519=TRUE),'ORDENES'!$AN519&amp;" | "&amp;'ORDENES'!$R519&amp;" | "&amp;IF('ORDENES'!$AB519="","(sin técnico)",'ORDENES'!$AB519)&amp;" | "&amp;'ORDENES'!$D519&amp;" ("&amp;'ORDENES'!$M519&amp;" h)","")</f>
        <v/>
      </c>
    </row>
    <row r="524">
      <c r="K524" s="3">
        <f>IF(AND(IF($B$3="(todos)",TRUE,'ORDENES'!$O520=$B$3),IF($D$3="(todos)",TRUE,'ORDENES'!$AC520=$D$3),IF($F$3="(todos)",TRUE,'ORDENES'!$V520=$F$3),'ORDENES'!$AA520=TRUE),'ORDENES'!$AN520&amp;" | "&amp;'ORDENES'!$R520&amp;" | "&amp;IF('ORDENES'!$AB520="","(sin técnico)",'ORDENES'!$AB520)&amp;" | "&amp;'ORDENES'!$D520&amp;" ("&amp;'ORDENES'!$M520&amp;" h)","")</f>
        <v/>
      </c>
    </row>
    <row r="525">
      <c r="K525" s="3">
        <f>IF(AND(IF($B$3="(todos)",TRUE,'ORDENES'!$O521=$B$3),IF($D$3="(todos)",TRUE,'ORDENES'!$AC521=$D$3),IF($F$3="(todos)",TRUE,'ORDENES'!$V521=$F$3),'ORDENES'!$AA521=TRUE),'ORDENES'!$AN521&amp;" | "&amp;'ORDENES'!$R521&amp;" | "&amp;IF('ORDENES'!$AB521="","(sin técnico)",'ORDENES'!$AB521)&amp;" | "&amp;'ORDENES'!$D521&amp;" ("&amp;'ORDENES'!$M521&amp;" h)","")</f>
        <v/>
      </c>
    </row>
    <row r="526">
      <c r="K526" s="3">
        <f>IF(AND(IF($B$3="(todos)",TRUE,'ORDENES'!$O522=$B$3),IF($D$3="(todos)",TRUE,'ORDENES'!$AC522=$D$3),IF($F$3="(todos)",TRUE,'ORDENES'!$V522=$F$3),'ORDENES'!$AA522=TRUE),'ORDENES'!$AN522&amp;" | "&amp;'ORDENES'!$R522&amp;" | "&amp;IF('ORDENES'!$AB522="","(sin técnico)",'ORDENES'!$AB522)&amp;" | "&amp;'ORDENES'!$D522&amp;" ("&amp;'ORDENES'!$M522&amp;" h)","")</f>
        <v/>
      </c>
    </row>
    <row r="527">
      <c r="K527" s="3">
        <f>IF(AND(IF($B$3="(todos)",TRUE,'ORDENES'!$O523=$B$3),IF($D$3="(todos)",TRUE,'ORDENES'!$AC523=$D$3),IF($F$3="(todos)",TRUE,'ORDENES'!$V523=$F$3),'ORDENES'!$AA523=TRUE),'ORDENES'!$AN523&amp;" | "&amp;'ORDENES'!$R523&amp;" | "&amp;IF('ORDENES'!$AB523="","(sin técnico)",'ORDENES'!$AB523)&amp;" | "&amp;'ORDENES'!$D523&amp;" ("&amp;'ORDENES'!$M523&amp;" h)","")</f>
        <v/>
      </c>
    </row>
    <row r="528">
      <c r="K528" s="3">
        <f>IF(AND(IF($B$3="(todos)",TRUE,'ORDENES'!$O524=$B$3),IF($D$3="(todos)",TRUE,'ORDENES'!$AC524=$D$3),IF($F$3="(todos)",TRUE,'ORDENES'!$V524=$F$3),'ORDENES'!$AA524=TRUE),'ORDENES'!$AN524&amp;" | "&amp;'ORDENES'!$R524&amp;" | "&amp;IF('ORDENES'!$AB524="","(sin técnico)",'ORDENES'!$AB524)&amp;" | "&amp;'ORDENES'!$D524&amp;" ("&amp;'ORDENES'!$M524&amp;" h)","")</f>
        <v/>
      </c>
    </row>
    <row r="529">
      <c r="K529" s="3">
        <f>IF(AND(IF($B$3="(todos)",TRUE,'ORDENES'!$O525=$B$3),IF($D$3="(todos)",TRUE,'ORDENES'!$AC525=$D$3),IF($F$3="(todos)",TRUE,'ORDENES'!$V525=$F$3),'ORDENES'!$AA525=TRUE),'ORDENES'!$AN525&amp;" | "&amp;'ORDENES'!$R525&amp;" | "&amp;IF('ORDENES'!$AB525="","(sin técnico)",'ORDENES'!$AB525)&amp;" | "&amp;'ORDENES'!$D525&amp;" ("&amp;'ORDENES'!$M525&amp;" h)","")</f>
        <v/>
      </c>
    </row>
    <row r="530">
      <c r="K530" s="3">
        <f>IF(AND(IF($B$3="(todos)",TRUE,'ORDENES'!$O526=$B$3),IF($D$3="(todos)",TRUE,'ORDENES'!$AC526=$D$3),IF($F$3="(todos)",TRUE,'ORDENES'!$V526=$F$3),'ORDENES'!$AA526=TRUE),'ORDENES'!$AN526&amp;" | "&amp;'ORDENES'!$R526&amp;" | "&amp;IF('ORDENES'!$AB526="","(sin técnico)",'ORDENES'!$AB526)&amp;" | "&amp;'ORDENES'!$D526&amp;" ("&amp;'ORDENES'!$M526&amp;" h)","")</f>
        <v/>
      </c>
    </row>
    <row r="531">
      <c r="K531" s="3">
        <f>IF(AND(IF($B$3="(todos)",TRUE,'ORDENES'!$O527=$B$3),IF($D$3="(todos)",TRUE,'ORDENES'!$AC527=$D$3),IF($F$3="(todos)",TRUE,'ORDENES'!$V527=$F$3),'ORDENES'!$AA527=TRUE),'ORDENES'!$AN527&amp;" | "&amp;'ORDENES'!$R527&amp;" | "&amp;IF('ORDENES'!$AB527="","(sin técnico)",'ORDENES'!$AB527)&amp;" | "&amp;'ORDENES'!$D527&amp;" ("&amp;'ORDENES'!$M527&amp;" h)","")</f>
        <v/>
      </c>
    </row>
    <row r="532">
      <c r="K532" s="3">
        <f>IF(AND(IF($B$3="(todos)",TRUE,'ORDENES'!$O528=$B$3),IF($D$3="(todos)",TRUE,'ORDENES'!$AC528=$D$3),IF($F$3="(todos)",TRUE,'ORDENES'!$V528=$F$3),'ORDENES'!$AA528=TRUE),'ORDENES'!$AN528&amp;" | "&amp;'ORDENES'!$R528&amp;" | "&amp;IF('ORDENES'!$AB528="","(sin técnico)",'ORDENES'!$AB528)&amp;" | "&amp;'ORDENES'!$D528&amp;" ("&amp;'ORDENES'!$M528&amp;" h)","")</f>
        <v/>
      </c>
    </row>
    <row r="533">
      <c r="K533" s="3">
        <f>IF(AND(IF($B$3="(todos)",TRUE,'ORDENES'!$O529=$B$3),IF($D$3="(todos)",TRUE,'ORDENES'!$AC529=$D$3),IF($F$3="(todos)",TRUE,'ORDENES'!$V529=$F$3),'ORDENES'!$AA529=TRUE),'ORDENES'!$AN529&amp;" | "&amp;'ORDENES'!$R529&amp;" | "&amp;IF('ORDENES'!$AB529="","(sin técnico)",'ORDENES'!$AB529)&amp;" | "&amp;'ORDENES'!$D529&amp;" ("&amp;'ORDENES'!$M529&amp;" h)","")</f>
        <v/>
      </c>
    </row>
    <row r="534">
      <c r="K534" s="3">
        <f>IF(AND(IF($B$3="(todos)",TRUE,'ORDENES'!$O530=$B$3),IF($D$3="(todos)",TRUE,'ORDENES'!$AC530=$D$3),IF($F$3="(todos)",TRUE,'ORDENES'!$V530=$F$3),'ORDENES'!$AA530=TRUE),'ORDENES'!$AN530&amp;" | "&amp;'ORDENES'!$R530&amp;" | "&amp;IF('ORDENES'!$AB530="","(sin técnico)",'ORDENES'!$AB530)&amp;" | "&amp;'ORDENES'!$D530&amp;" ("&amp;'ORDENES'!$M530&amp;" h)","")</f>
        <v/>
      </c>
    </row>
    <row r="535">
      <c r="K535" s="3">
        <f>IF(AND(IF($B$3="(todos)",TRUE,'ORDENES'!$O531=$B$3),IF($D$3="(todos)",TRUE,'ORDENES'!$AC531=$D$3),IF($F$3="(todos)",TRUE,'ORDENES'!$V531=$F$3),'ORDENES'!$AA531=TRUE),'ORDENES'!$AN531&amp;" | "&amp;'ORDENES'!$R531&amp;" | "&amp;IF('ORDENES'!$AB531="","(sin técnico)",'ORDENES'!$AB531)&amp;" | "&amp;'ORDENES'!$D531&amp;" ("&amp;'ORDENES'!$M531&amp;" h)","")</f>
        <v/>
      </c>
    </row>
    <row r="536">
      <c r="K536" s="3">
        <f>IF(AND(IF($B$3="(todos)",TRUE,'ORDENES'!$O532=$B$3),IF($D$3="(todos)",TRUE,'ORDENES'!$AC532=$D$3),IF($F$3="(todos)",TRUE,'ORDENES'!$V532=$F$3),'ORDENES'!$AA532=TRUE),'ORDENES'!$AN532&amp;" | "&amp;'ORDENES'!$R532&amp;" | "&amp;IF('ORDENES'!$AB532="","(sin técnico)",'ORDENES'!$AB532)&amp;" | "&amp;'ORDENES'!$D532&amp;" ("&amp;'ORDENES'!$M532&amp;" h)","")</f>
        <v/>
      </c>
    </row>
    <row r="537">
      <c r="K537" s="3">
        <f>IF(AND(IF($B$3="(todos)",TRUE,'ORDENES'!$O533=$B$3),IF($D$3="(todos)",TRUE,'ORDENES'!$AC533=$D$3),IF($F$3="(todos)",TRUE,'ORDENES'!$V533=$F$3),'ORDENES'!$AA533=TRUE),'ORDENES'!$AN533&amp;" | "&amp;'ORDENES'!$R533&amp;" | "&amp;IF('ORDENES'!$AB533="","(sin técnico)",'ORDENES'!$AB533)&amp;" | "&amp;'ORDENES'!$D533&amp;" ("&amp;'ORDENES'!$M533&amp;" h)","")</f>
        <v/>
      </c>
    </row>
    <row r="538">
      <c r="K538" s="3">
        <f>IF(AND(IF($B$3="(todos)",TRUE,'ORDENES'!$O534=$B$3),IF($D$3="(todos)",TRUE,'ORDENES'!$AC534=$D$3),IF($F$3="(todos)",TRUE,'ORDENES'!$V534=$F$3),'ORDENES'!$AA534=TRUE),'ORDENES'!$AN534&amp;" | "&amp;'ORDENES'!$R534&amp;" | "&amp;IF('ORDENES'!$AB534="","(sin técnico)",'ORDENES'!$AB534)&amp;" | "&amp;'ORDENES'!$D534&amp;" ("&amp;'ORDENES'!$M534&amp;" h)","")</f>
        <v/>
      </c>
    </row>
    <row r="539">
      <c r="K539" s="3">
        <f>IF(AND(IF($B$3="(todos)",TRUE,'ORDENES'!$O535=$B$3),IF($D$3="(todos)",TRUE,'ORDENES'!$AC535=$D$3),IF($F$3="(todos)",TRUE,'ORDENES'!$V535=$F$3),'ORDENES'!$AA535=TRUE),'ORDENES'!$AN535&amp;" | "&amp;'ORDENES'!$R535&amp;" | "&amp;IF('ORDENES'!$AB535="","(sin técnico)",'ORDENES'!$AB535)&amp;" | "&amp;'ORDENES'!$D535&amp;" ("&amp;'ORDENES'!$M535&amp;" h)","")</f>
        <v/>
      </c>
    </row>
    <row r="540">
      <c r="K540" s="3">
        <f>IF(AND(IF($B$3="(todos)",TRUE,'ORDENES'!$O536=$B$3),IF($D$3="(todos)",TRUE,'ORDENES'!$AC536=$D$3),IF($F$3="(todos)",TRUE,'ORDENES'!$V536=$F$3),'ORDENES'!$AA536=TRUE),'ORDENES'!$AN536&amp;" | "&amp;'ORDENES'!$R536&amp;" | "&amp;IF('ORDENES'!$AB536="","(sin técnico)",'ORDENES'!$AB536)&amp;" | "&amp;'ORDENES'!$D536&amp;" ("&amp;'ORDENES'!$M536&amp;" h)","")</f>
        <v/>
      </c>
    </row>
    <row r="541">
      <c r="K541" s="3">
        <f>IF(AND(IF($B$3="(todos)",TRUE,'ORDENES'!$O537=$B$3),IF($D$3="(todos)",TRUE,'ORDENES'!$AC537=$D$3),IF($F$3="(todos)",TRUE,'ORDENES'!$V537=$F$3),'ORDENES'!$AA537=TRUE),'ORDENES'!$AN537&amp;" | "&amp;'ORDENES'!$R537&amp;" | "&amp;IF('ORDENES'!$AB537="","(sin técnico)",'ORDENES'!$AB537)&amp;" | "&amp;'ORDENES'!$D537&amp;" ("&amp;'ORDENES'!$M537&amp;" h)","")</f>
        <v/>
      </c>
    </row>
    <row r="542">
      <c r="K542" s="3">
        <f>IF(AND(IF($B$3="(todos)",TRUE,'ORDENES'!$O538=$B$3),IF($D$3="(todos)",TRUE,'ORDENES'!$AC538=$D$3),IF($F$3="(todos)",TRUE,'ORDENES'!$V538=$F$3),'ORDENES'!$AA538=TRUE),'ORDENES'!$AN538&amp;" | "&amp;'ORDENES'!$R538&amp;" | "&amp;IF('ORDENES'!$AB538="","(sin técnico)",'ORDENES'!$AB538)&amp;" | "&amp;'ORDENES'!$D538&amp;" ("&amp;'ORDENES'!$M538&amp;" h)","")</f>
        <v/>
      </c>
    </row>
    <row r="543">
      <c r="K543" s="3">
        <f>IF(AND(IF($B$3="(todos)",TRUE,'ORDENES'!$O539=$B$3),IF($D$3="(todos)",TRUE,'ORDENES'!$AC539=$D$3),IF($F$3="(todos)",TRUE,'ORDENES'!$V539=$F$3),'ORDENES'!$AA539=TRUE),'ORDENES'!$AN539&amp;" | "&amp;'ORDENES'!$R539&amp;" | "&amp;IF('ORDENES'!$AB539="","(sin técnico)",'ORDENES'!$AB539)&amp;" | "&amp;'ORDENES'!$D539&amp;" ("&amp;'ORDENES'!$M539&amp;" h)","")</f>
        <v/>
      </c>
    </row>
    <row r="544">
      <c r="K544" s="3">
        <f>IF(AND(IF($B$3="(todos)",TRUE,'ORDENES'!$O540=$B$3),IF($D$3="(todos)",TRUE,'ORDENES'!$AC540=$D$3),IF($F$3="(todos)",TRUE,'ORDENES'!$V540=$F$3),'ORDENES'!$AA540=TRUE),'ORDENES'!$AN540&amp;" | "&amp;'ORDENES'!$R540&amp;" | "&amp;IF('ORDENES'!$AB540="","(sin técnico)",'ORDENES'!$AB540)&amp;" | "&amp;'ORDENES'!$D540&amp;" ("&amp;'ORDENES'!$M540&amp;" h)","")</f>
        <v/>
      </c>
    </row>
    <row r="545">
      <c r="K545" s="3">
        <f>IF(AND(IF($B$3="(todos)",TRUE,'ORDENES'!$O541=$B$3),IF($D$3="(todos)",TRUE,'ORDENES'!$AC541=$D$3),IF($F$3="(todos)",TRUE,'ORDENES'!$V541=$F$3),'ORDENES'!$AA541=TRUE),'ORDENES'!$AN541&amp;" | "&amp;'ORDENES'!$R541&amp;" | "&amp;IF('ORDENES'!$AB541="","(sin técnico)",'ORDENES'!$AB541)&amp;" | "&amp;'ORDENES'!$D541&amp;" ("&amp;'ORDENES'!$M541&amp;" h)","")</f>
        <v/>
      </c>
    </row>
    <row r="546">
      <c r="K546" s="3">
        <f>IF(AND(IF($B$3="(todos)",TRUE,'ORDENES'!$O542=$B$3),IF($D$3="(todos)",TRUE,'ORDENES'!$AC542=$D$3),IF($F$3="(todos)",TRUE,'ORDENES'!$V542=$F$3),'ORDENES'!$AA542=TRUE),'ORDENES'!$AN542&amp;" | "&amp;'ORDENES'!$R542&amp;" | "&amp;IF('ORDENES'!$AB542="","(sin técnico)",'ORDENES'!$AB542)&amp;" | "&amp;'ORDENES'!$D542&amp;" ("&amp;'ORDENES'!$M542&amp;" h)","")</f>
        <v/>
      </c>
    </row>
    <row r="547">
      <c r="K547" s="3">
        <f>IF(AND(IF($B$3="(todos)",TRUE,'ORDENES'!$O543=$B$3),IF($D$3="(todos)",TRUE,'ORDENES'!$AC543=$D$3),IF($F$3="(todos)",TRUE,'ORDENES'!$V543=$F$3),'ORDENES'!$AA543=TRUE),'ORDENES'!$AN543&amp;" | "&amp;'ORDENES'!$R543&amp;" | "&amp;IF('ORDENES'!$AB543="","(sin técnico)",'ORDENES'!$AB543)&amp;" | "&amp;'ORDENES'!$D543&amp;" ("&amp;'ORDENES'!$M543&amp;" h)","")</f>
        <v/>
      </c>
    </row>
    <row r="548">
      <c r="K548" s="3">
        <f>IF(AND(IF($B$3="(todos)",TRUE,'ORDENES'!$O544=$B$3),IF($D$3="(todos)",TRUE,'ORDENES'!$AC544=$D$3),IF($F$3="(todos)",TRUE,'ORDENES'!$V544=$F$3),'ORDENES'!$AA544=TRUE),'ORDENES'!$AN544&amp;" | "&amp;'ORDENES'!$R544&amp;" | "&amp;IF('ORDENES'!$AB544="","(sin técnico)",'ORDENES'!$AB544)&amp;" | "&amp;'ORDENES'!$D544&amp;" ("&amp;'ORDENES'!$M544&amp;" h)","")</f>
        <v/>
      </c>
    </row>
    <row r="549">
      <c r="K549" s="3">
        <f>IF(AND(IF($B$3="(todos)",TRUE,'ORDENES'!$O545=$B$3),IF($D$3="(todos)",TRUE,'ORDENES'!$AC545=$D$3),IF($F$3="(todos)",TRUE,'ORDENES'!$V545=$F$3),'ORDENES'!$AA545=TRUE),'ORDENES'!$AN545&amp;" | "&amp;'ORDENES'!$R545&amp;" | "&amp;IF('ORDENES'!$AB545="","(sin técnico)",'ORDENES'!$AB545)&amp;" | "&amp;'ORDENES'!$D545&amp;" ("&amp;'ORDENES'!$M545&amp;" h)","")</f>
        <v/>
      </c>
    </row>
    <row r="550">
      <c r="K550" s="3">
        <f>IF(AND(IF($B$3="(todos)",TRUE,'ORDENES'!$O546=$B$3),IF($D$3="(todos)",TRUE,'ORDENES'!$AC546=$D$3),IF($F$3="(todos)",TRUE,'ORDENES'!$V546=$F$3),'ORDENES'!$AA546=TRUE),'ORDENES'!$AN546&amp;" | "&amp;'ORDENES'!$R546&amp;" | "&amp;IF('ORDENES'!$AB546="","(sin técnico)",'ORDENES'!$AB546)&amp;" | "&amp;'ORDENES'!$D546&amp;" ("&amp;'ORDENES'!$M546&amp;" h)","")</f>
        <v/>
      </c>
    </row>
    <row r="551">
      <c r="K551" s="3">
        <f>IF(AND(IF($B$3="(todos)",TRUE,'ORDENES'!$O547=$B$3),IF($D$3="(todos)",TRUE,'ORDENES'!$AC547=$D$3),IF($F$3="(todos)",TRUE,'ORDENES'!$V547=$F$3),'ORDENES'!$AA547=TRUE),'ORDENES'!$AN547&amp;" | "&amp;'ORDENES'!$R547&amp;" | "&amp;IF('ORDENES'!$AB547="","(sin técnico)",'ORDENES'!$AB547)&amp;" | "&amp;'ORDENES'!$D547&amp;" ("&amp;'ORDENES'!$M547&amp;" h)","")</f>
        <v/>
      </c>
    </row>
    <row r="552">
      <c r="K552" s="3">
        <f>IF(AND(IF($B$3="(todos)",TRUE,'ORDENES'!$O548=$B$3),IF($D$3="(todos)",TRUE,'ORDENES'!$AC548=$D$3),IF($F$3="(todos)",TRUE,'ORDENES'!$V548=$F$3),'ORDENES'!$AA548=TRUE),'ORDENES'!$AN548&amp;" | "&amp;'ORDENES'!$R548&amp;" | "&amp;IF('ORDENES'!$AB548="","(sin técnico)",'ORDENES'!$AB548)&amp;" | "&amp;'ORDENES'!$D548&amp;" ("&amp;'ORDENES'!$M548&amp;" h)","")</f>
        <v/>
      </c>
    </row>
    <row r="553">
      <c r="K553" s="3">
        <f>IF(AND(IF($B$3="(todos)",TRUE,'ORDENES'!$O549=$B$3),IF($D$3="(todos)",TRUE,'ORDENES'!$AC549=$D$3),IF($F$3="(todos)",TRUE,'ORDENES'!$V549=$F$3),'ORDENES'!$AA549=TRUE),'ORDENES'!$AN549&amp;" | "&amp;'ORDENES'!$R549&amp;" | "&amp;IF('ORDENES'!$AB549="","(sin técnico)",'ORDENES'!$AB549)&amp;" | "&amp;'ORDENES'!$D549&amp;" ("&amp;'ORDENES'!$M549&amp;" h)","")</f>
        <v/>
      </c>
    </row>
    <row r="554">
      <c r="K554" s="3">
        <f>IF(AND(IF($B$3="(todos)",TRUE,'ORDENES'!$O550=$B$3),IF($D$3="(todos)",TRUE,'ORDENES'!$AC550=$D$3),IF($F$3="(todos)",TRUE,'ORDENES'!$V550=$F$3),'ORDENES'!$AA550=TRUE),'ORDENES'!$AN550&amp;" | "&amp;'ORDENES'!$R550&amp;" | "&amp;IF('ORDENES'!$AB550="","(sin técnico)",'ORDENES'!$AB550)&amp;" | "&amp;'ORDENES'!$D550&amp;" ("&amp;'ORDENES'!$M550&amp;" h)","")</f>
        <v/>
      </c>
    </row>
    <row r="555">
      <c r="K555" s="3">
        <f>IF(AND(IF($B$3="(todos)",TRUE,'ORDENES'!$O551=$B$3),IF($D$3="(todos)",TRUE,'ORDENES'!$AC551=$D$3),IF($F$3="(todos)",TRUE,'ORDENES'!$V551=$F$3),'ORDENES'!$AA551=TRUE),'ORDENES'!$AN551&amp;" | "&amp;'ORDENES'!$R551&amp;" | "&amp;IF('ORDENES'!$AB551="","(sin técnico)",'ORDENES'!$AB551)&amp;" | "&amp;'ORDENES'!$D551&amp;" ("&amp;'ORDENES'!$M551&amp;" h)","")</f>
        <v/>
      </c>
    </row>
    <row r="556">
      <c r="K556" s="3">
        <f>IF(AND(IF($B$3="(todos)",TRUE,'ORDENES'!$O552=$B$3),IF($D$3="(todos)",TRUE,'ORDENES'!$AC552=$D$3),IF($F$3="(todos)",TRUE,'ORDENES'!$V552=$F$3),'ORDENES'!$AA552=TRUE),'ORDENES'!$AN552&amp;" | "&amp;'ORDENES'!$R552&amp;" | "&amp;IF('ORDENES'!$AB552="","(sin técnico)",'ORDENES'!$AB552)&amp;" | "&amp;'ORDENES'!$D552&amp;" ("&amp;'ORDENES'!$M552&amp;" h)","")</f>
        <v/>
      </c>
    </row>
    <row r="557">
      <c r="K557" s="3">
        <f>IF(AND(IF($B$3="(todos)",TRUE,'ORDENES'!$O553=$B$3),IF($D$3="(todos)",TRUE,'ORDENES'!$AC553=$D$3),IF($F$3="(todos)",TRUE,'ORDENES'!$V553=$F$3),'ORDENES'!$AA553=TRUE),'ORDENES'!$AN553&amp;" | "&amp;'ORDENES'!$R553&amp;" | "&amp;IF('ORDENES'!$AB553="","(sin técnico)",'ORDENES'!$AB553)&amp;" | "&amp;'ORDENES'!$D553&amp;" ("&amp;'ORDENES'!$M553&amp;" h)","")</f>
        <v/>
      </c>
    </row>
    <row r="558">
      <c r="K558" s="3">
        <f>IF(AND(IF($B$3="(todos)",TRUE,'ORDENES'!$O554=$B$3),IF($D$3="(todos)",TRUE,'ORDENES'!$AC554=$D$3),IF($F$3="(todos)",TRUE,'ORDENES'!$V554=$F$3),'ORDENES'!$AA554=TRUE),'ORDENES'!$AN554&amp;" | "&amp;'ORDENES'!$R554&amp;" | "&amp;IF('ORDENES'!$AB554="","(sin técnico)",'ORDENES'!$AB554)&amp;" | "&amp;'ORDENES'!$D554&amp;" ("&amp;'ORDENES'!$M554&amp;" h)","")</f>
        <v/>
      </c>
    </row>
    <row r="559">
      <c r="K559" s="3">
        <f>IF(AND(IF($B$3="(todos)",TRUE,'ORDENES'!$O555=$B$3),IF($D$3="(todos)",TRUE,'ORDENES'!$AC555=$D$3),IF($F$3="(todos)",TRUE,'ORDENES'!$V555=$F$3),'ORDENES'!$AA555=TRUE),'ORDENES'!$AN555&amp;" | "&amp;'ORDENES'!$R555&amp;" | "&amp;IF('ORDENES'!$AB555="","(sin técnico)",'ORDENES'!$AB555)&amp;" | "&amp;'ORDENES'!$D555&amp;" ("&amp;'ORDENES'!$M555&amp;" h)","")</f>
        <v/>
      </c>
    </row>
    <row r="560">
      <c r="K560" s="3">
        <f>IF(AND(IF($B$3="(todos)",TRUE,'ORDENES'!$O556=$B$3),IF($D$3="(todos)",TRUE,'ORDENES'!$AC556=$D$3),IF($F$3="(todos)",TRUE,'ORDENES'!$V556=$F$3),'ORDENES'!$AA556=TRUE),'ORDENES'!$AN556&amp;" | "&amp;'ORDENES'!$R556&amp;" | "&amp;IF('ORDENES'!$AB556="","(sin técnico)",'ORDENES'!$AB556)&amp;" | "&amp;'ORDENES'!$D556&amp;" ("&amp;'ORDENES'!$M556&amp;" h)","")</f>
        <v/>
      </c>
    </row>
    <row r="561">
      <c r="K561" s="3">
        <f>IF(AND(IF($B$3="(todos)",TRUE,'ORDENES'!$O557=$B$3),IF($D$3="(todos)",TRUE,'ORDENES'!$AC557=$D$3),IF($F$3="(todos)",TRUE,'ORDENES'!$V557=$F$3),'ORDENES'!$AA557=TRUE),'ORDENES'!$AN557&amp;" | "&amp;'ORDENES'!$R557&amp;" | "&amp;IF('ORDENES'!$AB557="","(sin técnico)",'ORDENES'!$AB557)&amp;" | "&amp;'ORDENES'!$D557&amp;" ("&amp;'ORDENES'!$M557&amp;" h)","")</f>
        <v/>
      </c>
    </row>
    <row r="562">
      <c r="K562" s="3">
        <f>IF(AND(IF($B$3="(todos)",TRUE,'ORDENES'!$O558=$B$3),IF($D$3="(todos)",TRUE,'ORDENES'!$AC558=$D$3),IF($F$3="(todos)",TRUE,'ORDENES'!$V558=$F$3),'ORDENES'!$AA558=TRUE),'ORDENES'!$AN558&amp;" | "&amp;'ORDENES'!$R558&amp;" | "&amp;IF('ORDENES'!$AB558="","(sin técnico)",'ORDENES'!$AB558)&amp;" | "&amp;'ORDENES'!$D558&amp;" ("&amp;'ORDENES'!$M558&amp;" h)","")</f>
        <v/>
      </c>
    </row>
    <row r="563">
      <c r="K563" s="3">
        <f>IF(AND(IF($B$3="(todos)",TRUE,'ORDENES'!$O559=$B$3),IF($D$3="(todos)",TRUE,'ORDENES'!$AC559=$D$3),IF($F$3="(todos)",TRUE,'ORDENES'!$V559=$F$3),'ORDENES'!$AA559=TRUE),'ORDENES'!$AN559&amp;" | "&amp;'ORDENES'!$R559&amp;" | "&amp;IF('ORDENES'!$AB559="","(sin técnico)",'ORDENES'!$AB559)&amp;" | "&amp;'ORDENES'!$D559&amp;" ("&amp;'ORDENES'!$M559&amp;" h)","")</f>
        <v/>
      </c>
    </row>
    <row r="564">
      <c r="K564" s="3">
        <f>IF(AND(IF($B$3="(todos)",TRUE,'ORDENES'!$O560=$B$3),IF($D$3="(todos)",TRUE,'ORDENES'!$AC560=$D$3),IF($F$3="(todos)",TRUE,'ORDENES'!$V560=$F$3),'ORDENES'!$AA560=TRUE),'ORDENES'!$AN560&amp;" | "&amp;'ORDENES'!$R560&amp;" | "&amp;IF('ORDENES'!$AB560="","(sin técnico)",'ORDENES'!$AB560)&amp;" | "&amp;'ORDENES'!$D560&amp;" ("&amp;'ORDENES'!$M560&amp;" h)","")</f>
        <v/>
      </c>
    </row>
    <row r="565">
      <c r="K565" s="3">
        <f>IF(AND(IF($B$3="(todos)",TRUE,'ORDENES'!$O561=$B$3),IF($D$3="(todos)",TRUE,'ORDENES'!$AC561=$D$3),IF($F$3="(todos)",TRUE,'ORDENES'!$V561=$F$3),'ORDENES'!$AA561=TRUE),'ORDENES'!$AN561&amp;" | "&amp;'ORDENES'!$R561&amp;" | "&amp;IF('ORDENES'!$AB561="","(sin técnico)",'ORDENES'!$AB561)&amp;" | "&amp;'ORDENES'!$D561&amp;" ("&amp;'ORDENES'!$M561&amp;" h)","")</f>
        <v/>
      </c>
    </row>
    <row r="566">
      <c r="K566" s="3">
        <f>IF(AND(IF($B$3="(todos)",TRUE,'ORDENES'!$O562=$B$3),IF($D$3="(todos)",TRUE,'ORDENES'!$AC562=$D$3),IF($F$3="(todos)",TRUE,'ORDENES'!$V562=$F$3),'ORDENES'!$AA562=TRUE),'ORDENES'!$AN562&amp;" | "&amp;'ORDENES'!$R562&amp;" | "&amp;IF('ORDENES'!$AB562="","(sin técnico)",'ORDENES'!$AB562)&amp;" | "&amp;'ORDENES'!$D562&amp;" ("&amp;'ORDENES'!$M562&amp;" h)","")</f>
        <v/>
      </c>
    </row>
    <row r="567">
      <c r="K567" s="3">
        <f>IF(AND(IF($B$3="(todos)",TRUE,'ORDENES'!$O563=$B$3),IF($D$3="(todos)",TRUE,'ORDENES'!$AC563=$D$3),IF($F$3="(todos)",TRUE,'ORDENES'!$V563=$F$3),'ORDENES'!$AA563=TRUE),'ORDENES'!$AN563&amp;" | "&amp;'ORDENES'!$R563&amp;" | "&amp;IF('ORDENES'!$AB563="","(sin técnico)",'ORDENES'!$AB563)&amp;" | "&amp;'ORDENES'!$D563&amp;" ("&amp;'ORDENES'!$M563&amp;" h)","")</f>
        <v/>
      </c>
    </row>
    <row r="568">
      <c r="K568" s="3">
        <f>IF(AND(IF($B$3="(todos)",TRUE,'ORDENES'!$O564=$B$3),IF($D$3="(todos)",TRUE,'ORDENES'!$AC564=$D$3),IF($F$3="(todos)",TRUE,'ORDENES'!$V564=$F$3),'ORDENES'!$AA564=TRUE),'ORDENES'!$AN564&amp;" | "&amp;'ORDENES'!$R564&amp;" | "&amp;IF('ORDENES'!$AB564="","(sin técnico)",'ORDENES'!$AB564)&amp;" | "&amp;'ORDENES'!$D564&amp;" ("&amp;'ORDENES'!$M564&amp;" h)","")</f>
        <v/>
      </c>
    </row>
    <row r="569">
      <c r="K569" s="3">
        <f>IF(AND(IF($B$3="(todos)",TRUE,'ORDENES'!$O565=$B$3),IF($D$3="(todos)",TRUE,'ORDENES'!$AC565=$D$3),IF($F$3="(todos)",TRUE,'ORDENES'!$V565=$F$3),'ORDENES'!$AA565=TRUE),'ORDENES'!$AN565&amp;" | "&amp;'ORDENES'!$R565&amp;" | "&amp;IF('ORDENES'!$AB565="","(sin técnico)",'ORDENES'!$AB565)&amp;" | "&amp;'ORDENES'!$D565&amp;" ("&amp;'ORDENES'!$M565&amp;" h)","")</f>
        <v/>
      </c>
    </row>
    <row r="570">
      <c r="K570" s="3">
        <f>IF(AND(IF($B$3="(todos)",TRUE,'ORDENES'!$O566=$B$3),IF($D$3="(todos)",TRUE,'ORDENES'!$AC566=$D$3),IF($F$3="(todos)",TRUE,'ORDENES'!$V566=$F$3),'ORDENES'!$AA566=TRUE),'ORDENES'!$AN566&amp;" | "&amp;'ORDENES'!$R566&amp;" | "&amp;IF('ORDENES'!$AB566="","(sin técnico)",'ORDENES'!$AB566)&amp;" | "&amp;'ORDENES'!$D566&amp;" ("&amp;'ORDENES'!$M566&amp;" h)","")</f>
        <v/>
      </c>
    </row>
    <row r="571">
      <c r="K571" s="3">
        <f>IF(AND(IF($B$3="(todos)",TRUE,'ORDENES'!$O567=$B$3),IF($D$3="(todos)",TRUE,'ORDENES'!$AC567=$D$3),IF($F$3="(todos)",TRUE,'ORDENES'!$V567=$F$3),'ORDENES'!$AA567=TRUE),'ORDENES'!$AN567&amp;" | "&amp;'ORDENES'!$R567&amp;" | "&amp;IF('ORDENES'!$AB567="","(sin técnico)",'ORDENES'!$AB567)&amp;" | "&amp;'ORDENES'!$D567&amp;" ("&amp;'ORDENES'!$M567&amp;" h)","")</f>
        <v/>
      </c>
    </row>
    <row r="572">
      <c r="K572" s="3">
        <f>IF(AND(IF($B$3="(todos)",TRUE,'ORDENES'!$O568=$B$3),IF($D$3="(todos)",TRUE,'ORDENES'!$AC568=$D$3),IF($F$3="(todos)",TRUE,'ORDENES'!$V568=$F$3),'ORDENES'!$AA568=TRUE),'ORDENES'!$AN568&amp;" | "&amp;'ORDENES'!$R568&amp;" | "&amp;IF('ORDENES'!$AB568="","(sin técnico)",'ORDENES'!$AB568)&amp;" | "&amp;'ORDENES'!$D568&amp;" ("&amp;'ORDENES'!$M568&amp;" h)","")</f>
        <v/>
      </c>
    </row>
    <row r="573">
      <c r="K573" s="3">
        <f>IF(AND(IF($B$3="(todos)",TRUE,'ORDENES'!$O569=$B$3),IF($D$3="(todos)",TRUE,'ORDENES'!$AC569=$D$3),IF($F$3="(todos)",TRUE,'ORDENES'!$V569=$F$3),'ORDENES'!$AA569=TRUE),'ORDENES'!$AN569&amp;" | "&amp;'ORDENES'!$R569&amp;" | "&amp;IF('ORDENES'!$AB569="","(sin técnico)",'ORDENES'!$AB569)&amp;" | "&amp;'ORDENES'!$D569&amp;" ("&amp;'ORDENES'!$M569&amp;" h)","")</f>
        <v/>
      </c>
    </row>
    <row r="574">
      <c r="K574" s="3">
        <f>IF(AND(IF($B$3="(todos)",TRUE,'ORDENES'!$O570=$B$3),IF($D$3="(todos)",TRUE,'ORDENES'!$AC570=$D$3),IF($F$3="(todos)",TRUE,'ORDENES'!$V570=$F$3),'ORDENES'!$AA570=TRUE),'ORDENES'!$AN570&amp;" | "&amp;'ORDENES'!$R570&amp;" | "&amp;IF('ORDENES'!$AB570="","(sin técnico)",'ORDENES'!$AB570)&amp;" | "&amp;'ORDENES'!$D570&amp;" ("&amp;'ORDENES'!$M570&amp;" h)","")</f>
        <v/>
      </c>
    </row>
    <row r="575">
      <c r="K575" s="3">
        <f>IF(AND(IF($B$3="(todos)",TRUE,'ORDENES'!$O571=$B$3),IF($D$3="(todos)",TRUE,'ORDENES'!$AC571=$D$3),IF($F$3="(todos)",TRUE,'ORDENES'!$V571=$F$3),'ORDENES'!$AA571=TRUE),'ORDENES'!$AN571&amp;" | "&amp;'ORDENES'!$R571&amp;" | "&amp;IF('ORDENES'!$AB571="","(sin técnico)",'ORDENES'!$AB571)&amp;" | "&amp;'ORDENES'!$D571&amp;" ("&amp;'ORDENES'!$M571&amp;" h)","")</f>
        <v/>
      </c>
    </row>
    <row r="576">
      <c r="K576" s="3">
        <f>IF(AND(IF($B$3="(todos)",TRUE,'ORDENES'!$O572=$B$3),IF($D$3="(todos)",TRUE,'ORDENES'!$AC572=$D$3),IF($F$3="(todos)",TRUE,'ORDENES'!$V572=$F$3),'ORDENES'!$AA572=TRUE),'ORDENES'!$AN572&amp;" | "&amp;'ORDENES'!$R572&amp;" | "&amp;IF('ORDENES'!$AB572="","(sin técnico)",'ORDENES'!$AB572)&amp;" | "&amp;'ORDENES'!$D572&amp;" ("&amp;'ORDENES'!$M572&amp;" h)","")</f>
        <v/>
      </c>
    </row>
    <row r="577">
      <c r="K577" s="3">
        <f>IF(AND(IF($B$3="(todos)",TRUE,'ORDENES'!$O573=$B$3),IF($D$3="(todos)",TRUE,'ORDENES'!$AC573=$D$3),IF($F$3="(todos)",TRUE,'ORDENES'!$V573=$F$3),'ORDENES'!$AA573=TRUE),'ORDENES'!$AN573&amp;" | "&amp;'ORDENES'!$R573&amp;" | "&amp;IF('ORDENES'!$AB573="","(sin técnico)",'ORDENES'!$AB573)&amp;" | "&amp;'ORDENES'!$D573&amp;" ("&amp;'ORDENES'!$M573&amp;" h)","")</f>
        <v/>
      </c>
    </row>
    <row r="578">
      <c r="K578" s="3">
        <f>IF(AND(IF($B$3="(todos)",TRUE,'ORDENES'!$O574=$B$3),IF($D$3="(todos)",TRUE,'ORDENES'!$AC574=$D$3),IF($F$3="(todos)",TRUE,'ORDENES'!$V574=$F$3),'ORDENES'!$AA574=TRUE),'ORDENES'!$AN574&amp;" | "&amp;'ORDENES'!$R574&amp;" | "&amp;IF('ORDENES'!$AB574="","(sin técnico)",'ORDENES'!$AB574)&amp;" | "&amp;'ORDENES'!$D574&amp;" ("&amp;'ORDENES'!$M574&amp;" h)","")</f>
        <v/>
      </c>
    </row>
    <row r="579">
      <c r="K579" s="3">
        <f>IF(AND(IF($B$3="(todos)",TRUE,'ORDENES'!$O575=$B$3),IF($D$3="(todos)",TRUE,'ORDENES'!$AC575=$D$3),IF($F$3="(todos)",TRUE,'ORDENES'!$V575=$F$3),'ORDENES'!$AA575=TRUE),'ORDENES'!$AN575&amp;" | "&amp;'ORDENES'!$R575&amp;" | "&amp;IF('ORDENES'!$AB575="","(sin técnico)",'ORDENES'!$AB575)&amp;" | "&amp;'ORDENES'!$D575&amp;" ("&amp;'ORDENES'!$M575&amp;" h)","")</f>
        <v/>
      </c>
    </row>
    <row r="580">
      <c r="K580" s="3">
        <f>IF(AND(IF($B$3="(todos)",TRUE,'ORDENES'!$O576=$B$3),IF($D$3="(todos)",TRUE,'ORDENES'!$AC576=$D$3),IF($F$3="(todos)",TRUE,'ORDENES'!$V576=$F$3),'ORDENES'!$AA576=TRUE),'ORDENES'!$AN576&amp;" | "&amp;'ORDENES'!$R576&amp;" | "&amp;IF('ORDENES'!$AB576="","(sin técnico)",'ORDENES'!$AB576)&amp;" | "&amp;'ORDENES'!$D576&amp;" ("&amp;'ORDENES'!$M576&amp;" h)","")</f>
        <v/>
      </c>
    </row>
    <row r="581">
      <c r="K581" s="3">
        <f>IF(AND(IF($B$3="(todos)",TRUE,'ORDENES'!$O577=$B$3),IF($D$3="(todos)",TRUE,'ORDENES'!$AC577=$D$3),IF($F$3="(todos)",TRUE,'ORDENES'!$V577=$F$3),'ORDENES'!$AA577=TRUE),'ORDENES'!$AN577&amp;" | "&amp;'ORDENES'!$R577&amp;" | "&amp;IF('ORDENES'!$AB577="","(sin técnico)",'ORDENES'!$AB577)&amp;" | "&amp;'ORDENES'!$D577&amp;" ("&amp;'ORDENES'!$M577&amp;" h)","")</f>
        <v/>
      </c>
    </row>
    <row r="582">
      <c r="K582" s="3">
        <f>IF(AND(IF($B$3="(todos)",TRUE,'ORDENES'!$O578=$B$3),IF($D$3="(todos)",TRUE,'ORDENES'!$AC578=$D$3),IF($F$3="(todos)",TRUE,'ORDENES'!$V578=$F$3),'ORDENES'!$AA578=TRUE),'ORDENES'!$AN578&amp;" | "&amp;'ORDENES'!$R578&amp;" | "&amp;IF('ORDENES'!$AB578="","(sin técnico)",'ORDENES'!$AB578)&amp;" | "&amp;'ORDENES'!$D578&amp;" ("&amp;'ORDENES'!$M578&amp;" h)","")</f>
        <v/>
      </c>
    </row>
    <row r="583">
      <c r="K583" s="3">
        <f>IF(AND(IF($B$3="(todos)",TRUE,'ORDENES'!$O579=$B$3),IF($D$3="(todos)",TRUE,'ORDENES'!$AC579=$D$3),IF($F$3="(todos)",TRUE,'ORDENES'!$V579=$F$3),'ORDENES'!$AA579=TRUE),'ORDENES'!$AN579&amp;" | "&amp;'ORDENES'!$R579&amp;" | "&amp;IF('ORDENES'!$AB579="","(sin técnico)",'ORDENES'!$AB579)&amp;" | "&amp;'ORDENES'!$D579&amp;" ("&amp;'ORDENES'!$M579&amp;" h)","")</f>
        <v/>
      </c>
    </row>
    <row r="584">
      <c r="K584" s="3">
        <f>IF(AND(IF($B$3="(todos)",TRUE,'ORDENES'!$O580=$B$3),IF($D$3="(todos)",TRUE,'ORDENES'!$AC580=$D$3),IF($F$3="(todos)",TRUE,'ORDENES'!$V580=$F$3),'ORDENES'!$AA580=TRUE),'ORDENES'!$AN580&amp;" | "&amp;'ORDENES'!$R580&amp;" | "&amp;IF('ORDENES'!$AB580="","(sin técnico)",'ORDENES'!$AB580)&amp;" | "&amp;'ORDENES'!$D580&amp;" ("&amp;'ORDENES'!$M580&amp;" h)","")</f>
        <v/>
      </c>
    </row>
    <row r="585">
      <c r="K585" s="3">
        <f>IF(AND(IF($B$3="(todos)",TRUE,'ORDENES'!$O581=$B$3),IF($D$3="(todos)",TRUE,'ORDENES'!$AC581=$D$3),IF($F$3="(todos)",TRUE,'ORDENES'!$V581=$F$3),'ORDENES'!$AA581=TRUE),'ORDENES'!$AN581&amp;" | "&amp;'ORDENES'!$R581&amp;" | "&amp;IF('ORDENES'!$AB581="","(sin técnico)",'ORDENES'!$AB581)&amp;" | "&amp;'ORDENES'!$D581&amp;" ("&amp;'ORDENES'!$M581&amp;" h)","")</f>
        <v/>
      </c>
    </row>
    <row r="586">
      <c r="K586" s="3">
        <f>IF(AND(IF($B$3="(todos)",TRUE,'ORDENES'!$O582=$B$3),IF($D$3="(todos)",TRUE,'ORDENES'!$AC582=$D$3),IF($F$3="(todos)",TRUE,'ORDENES'!$V582=$F$3),'ORDENES'!$AA582=TRUE),'ORDENES'!$AN582&amp;" | "&amp;'ORDENES'!$R582&amp;" | "&amp;IF('ORDENES'!$AB582="","(sin técnico)",'ORDENES'!$AB582)&amp;" | "&amp;'ORDENES'!$D582&amp;" ("&amp;'ORDENES'!$M582&amp;" h)","")</f>
        <v/>
      </c>
    </row>
    <row r="587">
      <c r="K587" s="3">
        <f>IF(AND(IF($B$3="(todos)",TRUE,'ORDENES'!$O583=$B$3),IF($D$3="(todos)",TRUE,'ORDENES'!$AC583=$D$3),IF($F$3="(todos)",TRUE,'ORDENES'!$V583=$F$3),'ORDENES'!$AA583=TRUE),'ORDENES'!$AN583&amp;" | "&amp;'ORDENES'!$R583&amp;" | "&amp;IF('ORDENES'!$AB583="","(sin técnico)",'ORDENES'!$AB583)&amp;" | "&amp;'ORDENES'!$D583&amp;" ("&amp;'ORDENES'!$M583&amp;" h)","")</f>
        <v/>
      </c>
    </row>
    <row r="588">
      <c r="K588" s="3">
        <f>IF(AND(IF($B$3="(todos)",TRUE,'ORDENES'!$O584=$B$3),IF($D$3="(todos)",TRUE,'ORDENES'!$AC584=$D$3),IF($F$3="(todos)",TRUE,'ORDENES'!$V584=$F$3),'ORDENES'!$AA584=TRUE),'ORDENES'!$AN584&amp;" | "&amp;'ORDENES'!$R584&amp;" | "&amp;IF('ORDENES'!$AB584="","(sin técnico)",'ORDENES'!$AB584)&amp;" | "&amp;'ORDENES'!$D584&amp;" ("&amp;'ORDENES'!$M584&amp;" h)","")</f>
        <v/>
      </c>
    </row>
    <row r="589">
      <c r="K589" s="3">
        <f>IF(AND(IF($B$3="(todos)",TRUE,'ORDENES'!$O585=$B$3),IF($D$3="(todos)",TRUE,'ORDENES'!$AC585=$D$3),IF($F$3="(todos)",TRUE,'ORDENES'!$V585=$F$3),'ORDENES'!$AA585=TRUE),'ORDENES'!$AN585&amp;" | "&amp;'ORDENES'!$R585&amp;" | "&amp;IF('ORDENES'!$AB585="","(sin técnico)",'ORDENES'!$AB585)&amp;" | "&amp;'ORDENES'!$D585&amp;" ("&amp;'ORDENES'!$M585&amp;" h)","")</f>
        <v/>
      </c>
    </row>
    <row r="590">
      <c r="K590" s="3">
        <f>IF(AND(IF($B$3="(todos)",TRUE,'ORDENES'!$O586=$B$3),IF($D$3="(todos)",TRUE,'ORDENES'!$AC586=$D$3),IF($F$3="(todos)",TRUE,'ORDENES'!$V586=$F$3),'ORDENES'!$AA586=TRUE),'ORDENES'!$AN586&amp;" | "&amp;'ORDENES'!$R586&amp;" | "&amp;IF('ORDENES'!$AB586="","(sin técnico)",'ORDENES'!$AB586)&amp;" | "&amp;'ORDENES'!$D586&amp;" ("&amp;'ORDENES'!$M586&amp;" h)","")</f>
        <v/>
      </c>
    </row>
    <row r="591">
      <c r="K591" s="3">
        <f>IF(AND(IF($B$3="(todos)",TRUE,'ORDENES'!$O587=$B$3),IF($D$3="(todos)",TRUE,'ORDENES'!$AC587=$D$3),IF($F$3="(todos)",TRUE,'ORDENES'!$V587=$F$3),'ORDENES'!$AA587=TRUE),'ORDENES'!$AN587&amp;" | "&amp;'ORDENES'!$R587&amp;" | "&amp;IF('ORDENES'!$AB587="","(sin técnico)",'ORDENES'!$AB587)&amp;" | "&amp;'ORDENES'!$D587&amp;" ("&amp;'ORDENES'!$M587&amp;" h)","")</f>
        <v/>
      </c>
    </row>
    <row r="592">
      <c r="K592" s="3">
        <f>IF(AND(IF($B$3="(todos)",TRUE,'ORDENES'!$O588=$B$3),IF($D$3="(todos)",TRUE,'ORDENES'!$AC588=$D$3),IF($F$3="(todos)",TRUE,'ORDENES'!$V588=$F$3),'ORDENES'!$AA588=TRUE),'ORDENES'!$AN588&amp;" | "&amp;'ORDENES'!$R588&amp;" | "&amp;IF('ORDENES'!$AB588="","(sin técnico)",'ORDENES'!$AB588)&amp;" | "&amp;'ORDENES'!$D588&amp;" ("&amp;'ORDENES'!$M588&amp;" h)","")</f>
        <v/>
      </c>
    </row>
    <row r="593">
      <c r="K593" s="3">
        <f>IF(AND(IF($B$3="(todos)",TRUE,'ORDENES'!$O589=$B$3),IF($D$3="(todos)",TRUE,'ORDENES'!$AC589=$D$3),IF($F$3="(todos)",TRUE,'ORDENES'!$V589=$F$3),'ORDENES'!$AA589=TRUE),'ORDENES'!$AN589&amp;" | "&amp;'ORDENES'!$R589&amp;" | "&amp;IF('ORDENES'!$AB589="","(sin técnico)",'ORDENES'!$AB589)&amp;" | "&amp;'ORDENES'!$D589&amp;" ("&amp;'ORDENES'!$M589&amp;" h)","")</f>
        <v/>
      </c>
    </row>
    <row r="594">
      <c r="K594" s="3">
        <f>IF(AND(IF($B$3="(todos)",TRUE,'ORDENES'!$O590=$B$3),IF($D$3="(todos)",TRUE,'ORDENES'!$AC590=$D$3),IF($F$3="(todos)",TRUE,'ORDENES'!$V590=$F$3),'ORDENES'!$AA590=TRUE),'ORDENES'!$AN590&amp;" | "&amp;'ORDENES'!$R590&amp;" | "&amp;IF('ORDENES'!$AB590="","(sin técnico)",'ORDENES'!$AB590)&amp;" | "&amp;'ORDENES'!$D590&amp;" ("&amp;'ORDENES'!$M590&amp;" h)","")</f>
        <v/>
      </c>
    </row>
    <row r="595">
      <c r="K595" s="3">
        <f>IF(AND(IF($B$3="(todos)",TRUE,'ORDENES'!$O591=$B$3),IF($D$3="(todos)",TRUE,'ORDENES'!$AC591=$D$3),IF($F$3="(todos)",TRUE,'ORDENES'!$V591=$F$3),'ORDENES'!$AA591=TRUE),'ORDENES'!$AN591&amp;" | "&amp;'ORDENES'!$R591&amp;" | "&amp;IF('ORDENES'!$AB591="","(sin técnico)",'ORDENES'!$AB591)&amp;" | "&amp;'ORDENES'!$D591&amp;" ("&amp;'ORDENES'!$M591&amp;" h)","")</f>
        <v/>
      </c>
    </row>
    <row r="596">
      <c r="K596" s="3">
        <f>IF(AND(IF($B$3="(todos)",TRUE,'ORDENES'!$O592=$B$3),IF($D$3="(todos)",TRUE,'ORDENES'!$AC592=$D$3),IF($F$3="(todos)",TRUE,'ORDENES'!$V592=$F$3),'ORDENES'!$AA592=TRUE),'ORDENES'!$AN592&amp;" | "&amp;'ORDENES'!$R592&amp;" | "&amp;IF('ORDENES'!$AB592="","(sin técnico)",'ORDENES'!$AB592)&amp;" | "&amp;'ORDENES'!$D592&amp;" ("&amp;'ORDENES'!$M592&amp;" h)","")</f>
        <v/>
      </c>
    </row>
    <row r="597">
      <c r="K597" s="3">
        <f>IF(AND(IF($B$3="(todos)",TRUE,'ORDENES'!$O593=$B$3),IF($D$3="(todos)",TRUE,'ORDENES'!$AC593=$D$3),IF($F$3="(todos)",TRUE,'ORDENES'!$V593=$F$3),'ORDENES'!$AA593=TRUE),'ORDENES'!$AN593&amp;" | "&amp;'ORDENES'!$R593&amp;" | "&amp;IF('ORDENES'!$AB593="","(sin técnico)",'ORDENES'!$AB593)&amp;" | "&amp;'ORDENES'!$D593&amp;" ("&amp;'ORDENES'!$M593&amp;" h)","")</f>
        <v/>
      </c>
    </row>
    <row r="598">
      <c r="K598" s="3">
        <f>IF(AND(IF($B$3="(todos)",TRUE,'ORDENES'!$O594=$B$3),IF($D$3="(todos)",TRUE,'ORDENES'!$AC594=$D$3),IF($F$3="(todos)",TRUE,'ORDENES'!$V594=$F$3),'ORDENES'!$AA594=TRUE),'ORDENES'!$AN594&amp;" | "&amp;'ORDENES'!$R594&amp;" | "&amp;IF('ORDENES'!$AB594="","(sin técnico)",'ORDENES'!$AB594)&amp;" | "&amp;'ORDENES'!$D594&amp;" ("&amp;'ORDENES'!$M594&amp;" h)","")</f>
        <v/>
      </c>
    </row>
    <row r="599">
      <c r="K599" s="3">
        <f>IF(AND(IF($B$3="(todos)",TRUE,'ORDENES'!$O595=$B$3),IF($D$3="(todos)",TRUE,'ORDENES'!$AC595=$D$3),IF($F$3="(todos)",TRUE,'ORDENES'!$V595=$F$3),'ORDENES'!$AA595=TRUE),'ORDENES'!$AN595&amp;" | "&amp;'ORDENES'!$R595&amp;" | "&amp;IF('ORDENES'!$AB595="","(sin técnico)",'ORDENES'!$AB595)&amp;" | "&amp;'ORDENES'!$D595&amp;" ("&amp;'ORDENES'!$M595&amp;" h)","")</f>
        <v/>
      </c>
    </row>
    <row r="600">
      <c r="K600" s="3">
        <f>IF(AND(IF($B$3="(todos)",TRUE,'ORDENES'!$O596=$B$3),IF($D$3="(todos)",TRUE,'ORDENES'!$AC596=$D$3),IF($F$3="(todos)",TRUE,'ORDENES'!$V596=$F$3),'ORDENES'!$AA596=TRUE),'ORDENES'!$AN596&amp;" | "&amp;'ORDENES'!$R596&amp;" | "&amp;IF('ORDENES'!$AB596="","(sin técnico)",'ORDENES'!$AB596)&amp;" | "&amp;'ORDENES'!$D596&amp;" ("&amp;'ORDENES'!$M596&amp;" h)","")</f>
        <v/>
      </c>
    </row>
    <row r="601">
      <c r="K601" s="3">
        <f>IF(AND(IF($B$3="(todos)",TRUE,'ORDENES'!$O597=$B$3),IF($D$3="(todos)",TRUE,'ORDENES'!$AC597=$D$3),IF($F$3="(todos)",TRUE,'ORDENES'!$V597=$F$3),'ORDENES'!$AA597=TRUE),'ORDENES'!$AN597&amp;" | "&amp;'ORDENES'!$R597&amp;" | "&amp;IF('ORDENES'!$AB597="","(sin técnico)",'ORDENES'!$AB597)&amp;" | "&amp;'ORDENES'!$D597&amp;" ("&amp;'ORDENES'!$M597&amp;" h)","")</f>
        <v/>
      </c>
    </row>
    <row r="602">
      <c r="K602" s="3">
        <f>IF(AND(IF($B$3="(todos)",TRUE,'ORDENES'!$O598=$B$3),IF($D$3="(todos)",TRUE,'ORDENES'!$AC598=$D$3),IF($F$3="(todos)",TRUE,'ORDENES'!$V598=$F$3),'ORDENES'!$AA598=TRUE),'ORDENES'!$AN598&amp;" | "&amp;'ORDENES'!$R598&amp;" | "&amp;IF('ORDENES'!$AB598="","(sin técnico)",'ORDENES'!$AB598)&amp;" | "&amp;'ORDENES'!$D598&amp;" ("&amp;'ORDENES'!$M598&amp;" h)","")</f>
        <v/>
      </c>
    </row>
    <row r="603">
      <c r="K603" s="3">
        <f>IF(AND(IF($B$3="(todos)",TRUE,'ORDENES'!$O599=$B$3),IF($D$3="(todos)",TRUE,'ORDENES'!$AC599=$D$3),IF($F$3="(todos)",TRUE,'ORDENES'!$V599=$F$3),'ORDENES'!$AA599=TRUE),'ORDENES'!$AN599&amp;" | "&amp;'ORDENES'!$R599&amp;" | "&amp;IF('ORDENES'!$AB599="","(sin técnico)",'ORDENES'!$AB599)&amp;" | "&amp;'ORDENES'!$D599&amp;" ("&amp;'ORDENES'!$M599&amp;" h)","")</f>
        <v/>
      </c>
    </row>
    <row r="604">
      <c r="K604" s="3">
        <f>IF(AND(IF($B$3="(todos)",TRUE,'ORDENES'!$O600=$B$3),IF($D$3="(todos)",TRUE,'ORDENES'!$AC600=$D$3),IF($F$3="(todos)",TRUE,'ORDENES'!$V600=$F$3),'ORDENES'!$AA600=TRUE),'ORDENES'!$AN600&amp;" | "&amp;'ORDENES'!$R600&amp;" | "&amp;IF('ORDENES'!$AB600="","(sin técnico)",'ORDENES'!$AB600)&amp;" | "&amp;'ORDENES'!$D600&amp;" ("&amp;'ORDENES'!$M600&amp;" h)","")</f>
        <v/>
      </c>
    </row>
    <row r="605">
      <c r="K605" s="3">
        <f>IF(AND(IF($B$3="(todos)",TRUE,'ORDENES'!$O601=$B$3),IF($D$3="(todos)",TRUE,'ORDENES'!$AC601=$D$3),IF($F$3="(todos)",TRUE,'ORDENES'!$V601=$F$3),'ORDENES'!$AA601=TRUE),'ORDENES'!$AN601&amp;" | "&amp;'ORDENES'!$R601&amp;" | "&amp;IF('ORDENES'!$AB601="","(sin técnico)",'ORDENES'!$AB601)&amp;" | "&amp;'ORDENES'!$D601&amp;" ("&amp;'ORDENES'!$M601&amp;" h)","")</f>
        <v/>
      </c>
    </row>
    <row r="606">
      <c r="K606" s="3">
        <f>IF(AND(IF($B$3="(todos)",TRUE,'ORDENES'!$O602=$B$3),IF($D$3="(todos)",TRUE,'ORDENES'!$AC602=$D$3),IF($F$3="(todos)",TRUE,'ORDENES'!$V602=$F$3),'ORDENES'!$AA602=TRUE),'ORDENES'!$AN602&amp;" | "&amp;'ORDENES'!$R602&amp;" | "&amp;IF('ORDENES'!$AB602="","(sin técnico)",'ORDENES'!$AB602)&amp;" | "&amp;'ORDENES'!$D602&amp;" ("&amp;'ORDENES'!$M602&amp;" h)","")</f>
        <v/>
      </c>
    </row>
    <row r="607">
      <c r="K607" s="3">
        <f>IF(AND(IF($B$3="(todos)",TRUE,'ORDENES'!$O603=$B$3),IF($D$3="(todos)",TRUE,'ORDENES'!$AC603=$D$3),IF($F$3="(todos)",TRUE,'ORDENES'!$V603=$F$3),'ORDENES'!$AA603=TRUE),'ORDENES'!$AN603&amp;" | "&amp;'ORDENES'!$R603&amp;" | "&amp;IF('ORDENES'!$AB603="","(sin técnico)",'ORDENES'!$AB603)&amp;" | "&amp;'ORDENES'!$D603&amp;" ("&amp;'ORDENES'!$M603&amp;" h)","")</f>
        <v/>
      </c>
    </row>
    <row r="608">
      <c r="K608" s="3">
        <f>IF(AND(IF($B$3="(todos)",TRUE,'ORDENES'!$O604=$B$3),IF($D$3="(todos)",TRUE,'ORDENES'!$AC604=$D$3),IF($F$3="(todos)",TRUE,'ORDENES'!$V604=$F$3),'ORDENES'!$AA604=TRUE),'ORDENES'!$AN604&amp;" | "&amp;'ORDENES'!$R604&amp;" | "&amp;IF('ORDENES'!$AB604="","(sin técnico)",'ORDENES'!$AB604)&amp;" | "&amp;'ORDENES'!$D604&amp;" ("&amp;'ORDENES'!$M604&amp;" h)","")</f>
        <v/>
      </c>
    </row>
    <row r="609">
      <c r="K609" s="3">
        <f>IF(AND(IF($B$3="(todos)",TRUE,'ORDENES'!$O605=$B$3),IF($D$3="(todos)",TRUE,'ORDENES'!$AC605=$D$3),IF($F$3="(todos)",TRUE,'ORDENES'!$V605=$F$3),'ORDENES'!$AA605=TRUE),'ORDENES'!$AN605&amp;" | "&amp;'ORDENES'!$R605&amp;" | "&amp;IF('ORDENES'!$AB605="","(sin técnico)",'ORDENES'!$AB605)&amp;" | "&amp;'ORDENES'!$D605&amp;" ("&amp;'ORDENES'!$M605&amp;" h)","")</f>
        <v/>
      </c>
    </row>
    <row r="610">
      <c r="K610" s="3">
        <f>IF(AND(IF($B$3="(todos)",TRUE,'ORDENES'!$O606=$B$3),IF($D$3="(todos)",TRUE,'ORDENES'!$AC606=$D$3),IF($F$3="(todos)",TRUE,'ORDENES'!$V606=$F$3),'ORDENES'!$AA606=TRUE),'ORDENES'!$AN606&amp;" | "&amp;'ORDENES'!$R606&amp;" | "&amp;IF('ORDENES'!$AB606="","(sin técnico)",'ORDENES'!$AB606)&amp;" | "&amp;'ORDENES'!$D606&amp;" ("&amp;'ORDENES'!$M606&amp;" h)","")</f>
        <v/>
      </c>
    </row>
    <row r="611">
      <c r="K611" s="3">
        <f>IF(AND(IF($B$3="(todos)",TRUE,'ORDENES'!$O607=$B$3),IF($D$3="(todos)",TRUE,'ORDENES'!$AC607=$D$3),IF($F$3="(todos)",TRUE,'ORDENES'!$V607=$F$3),'ORDENES'!$AA607=TRUE),'ORDENES'!$AN607&amp;" | "&amp;'ORDENES'!$R607&amp;" | "&amp;IF('ORDENES'!$AB607="","(sin técnico)",'ORDENES'!$AB607)&amp;" | "&amp;'ORDENES'!$D607&amp;" ("&amp;'ORDENES'!$M607&amp;" h)","")</f>
        <v/>
      </c>
    </row>
    <row r="612">
      <c r="K612" s="3">
        <f>IF(AND(IF($B$3="(todos)",TRUE,'ORDENES'!$O608=$B$3),IF($D$3="(todos)",TRUE,'ORDENES'!$AC608=$D$3),IF($F$3="(todos)",TRUE,'ORDENES'!$V608=$F$3),'ORDENES'!$AA608=TRUE),'ORDENES'!$AN608&amp;" | "&amp;'ORDENES'!$R608&amp;" | "&amp;IF('ORDENES'!$AB608="","(sin técnico)",'ORDENES'!$AB608)&amp;" | "&amp;'ORDENES'!$D608&amp;" ("&amp;'ORDENES'!$M608&amp;" h)","")</f>
        <v/>
      </c>
    </row>
    <row r="613">
      <c r="K613" s="3">
        <f>IF(AND(IF($B$3="(todos)",TRUE,'ORDENES'!$O609=$B$3),IF($D$3="(todos)",TRUE,'ORDENES'!$AC609=$D$3),IF($F$3="(todos)",TRUE,'ORDENES'!$V609=$F$3),'ORDENES'!$AA609=TRUE),'ORDENES'!$AN609&amp;" | "&amp;'ORDENES'!$R609&amp;" | "&amp;IF('ORDENES'!$AB609="","(sin técnico)",'ORDENES'!$AB609)&amp;" | "&amp;'ORDENES'!$D609&amp;" ("&amp;'ORDENES'!$M609&amp;" h)","")</f>
        <v/>
      </c>
    </row>
    <row r="614">
      <c r="K614" s="3">
        <f>IF(AND(IF($B$3="(todos)",TRUE,'ORDENES'!$O610=$B$3),IF($D$3="(todos)",TRUE,'ORDENES'!$AC610=$D$3),IF($F$3="(todos)",TRUE,'ORDENES'!$V610=$F$3),'ORDENES'!$AA610=TRUE),'ORDENES'!$AN610&amp;" | "&amp;'ORDENES'!$R610&amp;" | "&amp;IF('ORDENES'!$AB610="","(sin técnico)",'ORDENES'!$AB610)&amp;" | "&amp;'ORDENES'!$D610&amp;" ("&amp;'ORDENES'!$M610&amp;" h)","")</f>
        <v/>
      </c>
    </row>
    <row r="615">
      <c r="K615" s="3">
        <f>IF(AND(IF($B$3="(todos)",TRUE,'ORDENES'!$O611=$B$3),IF($D$3="(todos)",TRUE,'ORDENES'!$AC611=$D$3),IF($F$3="(todos)",TRUE,'ORDENES'!$V611=$F$3),'ORDENES'!$AA611=TRUE),'ORDENES'!$AN611&amp;" | "&amp;'ORDENES'!$R611&amp;" | "&amp;IF('ORDENES'!$AB611="","(sin técnico)",'ORDENES'!$AB611)&amp;" | "&amp;'ORDENES'!$D611&amp;" ("&amp;'ORDENES'!$M611&amp;" h)","")</f>
        <v/>
      </c>
    </row>
    <row r="616">
      <c r="K616" s="3">
        <f>IF(AND(IF($B$3="(todos)",TRUE,'ORDENES'!$O612=$B$3),IF($D$3="(todos)",TRUE,'ORDENES'!$AC612=$D$3),IF($F$3="(todos)",TRUE,'ORDENES'!$V612=$F$3),'ORDENES'!$AA612=TRUE),'ORDENES'!$AN612&amp;" | "&amp;'ORDENES'!$R612&amp;" | "&amp;IF('ORDENES'!$AB612="","(sin técnico)",'ORDENES'!$AB612)&amp;" | "&amp;'ORDENES'!$D612&amp;" ("&amp;'ORDENES'!$M612&amp;" h)","")</f>
        <v/>
      </c>
    </row>
    <row r="617">
      <c r="K617" s="3">
        <f>IF(AND(IF($B$3="(todos)",TRUE,'ORDENES'!$O613=$B$3),IF($D$3="(todos)",TRUE,'ORDENES'!$AC613=$D$3),IF($F$3="(todos)",TRUE,'ORDENES'!$V613=$F$3),'ORDENES'!$AA613=TRUE),'ORDENES'!$AN613&amp;" | "&amp;'ORDENES'!$R613&amp;" | "&amp;IF('ORDENES'!$AB613="","(sin técnico)",'ORDENES'!$AB613)&amp;" | "&amp;'ORDENES'!$D613&amp;" ("&amp;'ORDENES'!$M613&amp;" h)","")</f>
        <v/>
      </c>
    </row>
    <row r="618">
      <c r="K618" s="3">
        <f>IF(AND(IF($B$3="(todos)",TRUE,'ORDENES'!$O614=$B$3),IF($D$3="(todos)",TRUE,'ORDENES'!$AC614=$D$3),IF($F$3="(todos)",TRUE,'ORDENES'!$V614=$F$3),'ORDENES'!$AA614=TRUE),'ORDENES'!$AN614&amp;" | "&amp;'ORDENES'!$R614&amp;" | "&amp;IF('ORDENES'!$AB614="","(sin técnico)",'ORDENES'!$AB614)&amp;" | "&amp;'ORDENES'!$D614&amp;" ("&amp;'ORDENES'!$M614&amp;" h)","")</f>
        <v/>
      </c>
    </row>
    <row r="619">
      <c r="K619" s="3">
        <f>IF(AND(IF($B$3="(todos)",TRUE,'ORDENES'!$O615=$B$3),IF($D$3="(todos)",TRUE,'ORDENES'!$AC615=$D$3),IF($F$3="(todos)",TRUE,'ORDENES'!$V615=$F$3),'ORDENES'!$AA615=TRUE),'ORDENES'!$AN615&amp;" | "&amp;'ORDENES'!$R615&amp;" | "&amp;IF('ORDENES'!$AB615="","(sin técnico)",'ORDENES'!$AB615)&amp;" | "&amp;'ORDENES'!$D615&amp;" ("&amp;'ORDENES'!$M615&amp;" h)","")</f>
        <v/>
      </c>
    </row>
    <row r="620">
      <c r="K620" s="3">
        <f>IF(AND(IF($B$3="(todos)",TRUE,'ORDENES'!$O616=$B$3),IF($D$3="(todos)",TRUE,'ORDENES'!$AC616=$D$3),IF($F$3="(todos)",TRUE,'ORDENES'!$V616=$F$3),'ORDENES'!$AA616=TRUE),'ORDENES'!$AN616&amp;" | "&amp;'ORDENES'!$R616&amp;" | "&amp;IF('ORDENES'!$AB616="","(sin técnico)",'ORDENES'!$AB616)&amp;" | "&amp;'ORDENES'!$D616&amp;" ("&amp;'ORDENES'!$M616&amp;" h)","")</f>
        <v/>
      </c>
    </row>
    <row r="621">
      <c r="K621" s="3">
        <f>IF(AND(IF($B$3="(todos)",TRUE,'ORDENES'!$O617=$B$3),IF($D$3="(todos)",TRUE,'ORDENES'!$AC617=$D$3),IF($F$3="(todos)",TRUE,'ORDENES'!$V617=$F$3),'ORDENES'!$AA617=TRUE),'ORDENES'!$AN617&amp;" | "&amp;'ORDENES'!$R617&amp;" | "&amp;IF('ORDENES'!$AB617="","(sin técnico)",'ORDENES'!$AB617)&amp;" | "&amp;'ORDENES'!$D617&amp;" ("&amp;'ORDENES'!$M617&amp;" h)","")</f>
        <v/>
      </c>
    </row>
    <row r="622">
      <c r="K622" s="3">
        <f>IF(AND(IF($B$3="(todos)",TRUE,'ORDENES'!$O618=$B$3),IF($D$3="(todos)",TRUE,'ORDENES'!$AC618=$D$3),IF($F$3="(todos)",TRUE,'ORDENES'!$V618=$F$3),'ORDENES'!$AA618=TRUE),'ORDENES'!$AN618&amp;" | "&amp;'ORDENES'!$R618&amp;" | "&amp;IF('ORDENES'!$AB618="","(sin técnico)",'ORDENES'!$AB618)&amp;" | "&amp;'ORDENES'!$D618&amp;" ("&amp;'ORDENES'!$M618&amp;" h)","")</f>
        <v/>
      </c>
    </row>
    <row r="623">
      <c r="K623" s="3">
        <f>IF(AND(IF($B$3="(todos)",TRUE,'ORDENES'!$O619=$B$3),IF($D$3="(todos)",TRUE,'ORDENES'!$AC619=$D$3),IF($F$3="(todos)",TRUE,'ORDENES'!$V619=$F$3),'ORDENES'!$AA619=TRUE),'ORDENES'!$AN619&amp;" | "&amp;'ORDENES'!$R619&amp;" | "&amp;IF('ORDENES'!$AB619="","(sin técnico)",'ORDENES'!$AB619)&amp;" | "&amp;'ORDENES'!$D619&amp;" ("&amp;'ORDENES'!$M619&amp;" h)","")</f>
        <v/>
      </c>
    </row>
    <row r="624">
      <c r="K624" s="3">
        <f>IF(AND(IF($B$3="(todos)",TRUE,'ORDENES'!$O620=$B$3),IF($D$3="(todos)",TRUE,'ORDENES'!$AC620=$D$3),IF($F$3="(todos)",TRUE,'ORDENES'!$V620=$F$3),'ORDENES'!$AA620=TRUE),'ORDENES'!$AN620&amp;" | "&amp;'ORDENES'!$R620&amp;" | "&amp;IF('ORDENES'!$AB620="","(sin técnico)",'ORDENES'!$AB620)&amp;" | "&amp;'ORDENES'!$D620&amp;" ("&amp;'ORDENES'!$M620&amp;" h)","")</f>
        <v/>
      </c>
    </row>
    <row r="625">
      <c r="K625" s="3">
        <f>IF(AND(IF($B$3="(todos)",TRUE,'ORDENES'!$O621=$B$3),IF($D$3="(todos)",TRUE,'ORDENES'!$AC621=$D$3),IF($F$3="(todos)",TRUE,'ORDENES'!$V621=$F$3),'ORDENES'!$AA621=TRUE),'ORDENES'!$AN621&amp;" | "&amp;'ORDENES'!$R621&amp;" | "&amp;IF('ORDENES'!$AB621="","(sin técnico)",'ORDENES'!$AB621)&amp;" | "&amp;'ORDENES'!$D621&amp;" ("&amp;'ORDENES'!$M621&amp;" h)","")</f>
        <v/>
      </c>
    </row>
    <row r="626">
      <c r="K626" s="3">
        <f>IF(AND(IF($B$3="(todos)",TRUE,'ORDENES'!$O622=$B$3),IF($D$3="(todos)",TRUE,'ORDENES'!$AC622=$D$3),IF($F$3="(todos)",TRUE,'ORDENES'!$V622=$F$3),'ORDENES'!$AA622=TRUE),'ORDENES'!$AN622&amp;" | "&amp;'ORDENES'!$R622&amp;" | "&amp;IF('ORDENES'!$AB622="","(sin técnico)",'ORDENES'!$AB622)&amp;" | "&amp;'ORDENES'!$D622&amp;" ("&amp;'ORDENES'!$M622&amp;" h)","")</f>
        <v/>
      </c>
    </row>
    <row r="627">
      <c r="K627" s="3">
        <f>IF(AND(IF($B$3="(todos)",TRUE,'ORDENES'!$O623=$B$3),IF($D$3="(todos)",TRUE,'ORDENES'!$AC623=$D$3),IF($F$3="(todos)",TRUE,'ORDENES'!$V623=$F$3),'ORDENES'!$AA623=TRUE),'ORDENES'!$AN623&amp;" | "&amp;'ORDENES'!$R623&amp;" | "&amp;IF('ORDENES'!$AB623="","(sin técnico)",'ORDENES'!$AB623)&amp;" | "&amp;'ORDENES'!$D623&amp;" ("&amp;'ORDENES'!$M623&amp;" h)","")</f>
        <v/>
      </c>
    </row>
    <row r="628">
      <c r="K628" s="3">
        <f>IF(AND(IF($B$3="(todos)",TRUE,'ORDENES'!$O624=$B$3),IF($D$3="(todos)",TRUE,'ORDENES'!$AC624=$D$3),IF($F$3="(todos)",TRUE,'ORDENES'!$V624=$F$3),'ORDENES'!$AA624=TRUE),'ORDENES'!$AN624&amp;" | "&amp;'ORDENES'!$R624&amp;" | "&amp;IF('ORDENES'!$AB624="","(sin técnico)",'ORDENES'!$AB624)&amp;" | "&amp;'ORDENES'!$D624&amp;" ("&amp;'ORDENES'!$M624&amp;" h)","")</f>
        <v/>
      </c>
    </row>
    <row r="629">
      <c r="K629" s="3">
        <f>IF(AND(IF($B$3="(todos)",TRUE,'ORDENES'!$O625=$B$3),IF($D$3="(todos)",TRUE,'ORDENES'!$AC625=$D$3),IF($F$3="(todos)",TRUE,'ORDENES'!$V625=$F$3),'ORDENES'!$AA625=TRUE),'ORDENES'!$AN625&amp;" | "&amp;'ORDENES'!$R625&amp;" | "&amp;IF('ORDENES'!$AB625="","(sin técnico)",'ORDENES'!$AB625)&amp;" | "&amp;'ORDENES'!$D625&amp;" ("&amp;'ORDENES'!$M625&amp;" h)","")</f>
        <v/>
      </c>
    </row>
    <row r="630">
      <c r="K630" s="3">
        <f>IF(AND(IF($B$3="(todos)",TRUE,'ORDENES'!$O626=$B$3),IF($D$3="(todos)",TRUE,'ORDENES'!$AC626=$D$3),IF($F$3="(todos)",TRUE,'ORDENES'!$V626=$F$3),'ORDENES'!$AA626=TRUE),'ORDENES'!$AN626&amp;" | "&amp;'ORDENES'!$R626&amp;" | "&amp;IF('ORDENES'!$AB626="","(sin técnico)",'ORDENES'!$AB626)&amp;" | "&amp;'ORDENES'!$D626&amp;" ("&amp;'ORDENES'!$M626&amp;" h)","")</f>
        <v/>
      </c>
    </row>
    <row r="631">
      <c r="K631" s="3">
        <f>IF(AND(IF($B$3="(todos)",TRUE,'ORDENES'!$O627=$B$3),IF($D$3="(todos)",TRUE,'ORDENES'!$AC627=$D$3),IF($F$3="(todos)",TRUE,'ORDENES'!$V627=$F$3),'ORDENES'!$AA627=TRUE),'ORDENES'!$AN627&amp;" | "&amp;'ORDENES'!$R627&amp;" | "&amp;IF('ORDENES'!$AB627="","(sin técnico)",'ORDENES'!$AB627)&amp;" | "&amp;'ORDENES'!$D627&amp;" ("&amp;'ORDENES'!$M627&amp;" h)","")</f>
        <v/>
      </c>
    </row>
    <row r="632">
      <c r="K632" s="3">
        <f>IF(AND(IF($B$3="(todos)",TRUE,'ORDENES'!$O628=$B$3),IF($D$3="(todos)",TRUE,'ORDENES'!$AC628=$D$3),IF($F$3="(todos)",TRUE,'ORDENES'!$V628=$F$3),'ORDENES'!$AA628=TRUE),'ORDENES'!$AN628&amp;" | "&amp;'ORDENES'!$R628&amp;" | "&amp;IF('ORDENES'!$AB628="","(sin técnico)",'ORDENES'!$AB628)&amp;" | "&amp;'ORDENES'!$D628&amp;" ("&amp;'ORDENES'!$M628&amp;" h)","")</f>
        <v/>
      </c>
    </row>
    <row r="633">
      <c r="K633" s="3">
        <f>IF(AND(IF($B$3="(todos)",TRUE,'ORDENES'!$O629=$B$3),IF($D$3="(todos)",TRUE,'ORDENES'!$AC629=$D$3),IF($F$3="(todos)",TRUE,'ORDENES'!$V629=$F$3),'ORDENES'!$AA629=TRUE),'ORDENES'!$AN629&amp;" | "&amp;'ORDENES'!$R629&amp;" | "&amp;IF('ORDENES'!$AB629="","(sin técnico)",'ORDENES'!$AB629)&amp;" | "&amp;'ORDENES'!$D629&amp;" ("&amp;'ORDENES'!$M629&amp;" h)","")</f>
        <v/>
      </c>
    </row>
    <row r="634">
      <c r="K634" s="3">
        <f>IF(AND(IF($B$3="(todos)",TRUE,'ORDENES'!$O630=$B$3),IF($D$3="(todos)",TRUE,'ORDENES'!$AC630=$D$3),IF($F$3="(todos)",TRUE,'ORDENES'!$V630=$F$3),'ORDENES'!$AA630=TRUE),'ORDENES'!$AN630&amp;" | "&amp;'ORDENES'!$R630&amp;" | "&amp;IF('ORDENES'!$AB630="","(sin técnico)",'ORDENES'!$AB630)&amp;" | "&amp;'ORDENES'!$D630&amp;" ("&amp;'ORDENES'!$M630&amp;" h)","")</f>
        <v/>
      </c>
    </row>
    <row r="635">
      <c r="K635" s="3">
        <f>IF(AND(IF($B$3="(todos)",TRUE,'ORDENES'!$O631=$B$3),IF($D$3="(todos)",TRUE,'ORDENES'!$AC631=$D$3),IF($F$3="(todos)",TRUE,'ORDENES'!$V631=$F$3),'ORDENES'!$AA631=TRUE),'ORDENES'!$AN631&amp;" | "&amp;'ORDENES'!$R631&amp;" | "&amp;IF('ORDENES'!$AB631="","(sin técnico)",'ORDENES'!$AB631)&amp;" | "&amp;'ORDENES'!$D631&amp;" ("&amp;'ORDENES'!$M631&amp;" h)","")</f>
        <v/>
      </c>
    </row>
    <row r="636">
      <c r="K636" s="3">
        <f>IF(AND(IF($B$3="(todos)",TRUE,'ORDENES'!$O632=$B$3),IF($D$3="(todos)",TRUE,'ORDENES'!$AC632=$D$3),IF($F$3="(todos)",TRUE,'ORDENES'!$V632=$F$3),'ORDENES'!$AA632=TRUE),'ORDENES'!$AN632&amp;" | "&amp;'ORDENES'!$R632&amp;" | "&amp;IF('ORDENES'!$AB632="","(sin técnico)",'ORDENES'!$AB632)&amp;" | "&amp;'ORDENES'!$D632&amp;" ("&amp;'ORDENES'!$M632&amp;" h)","")</f>
        <v/>
      </c>
    </row>
    <row r="637">
      <c r="K637" s="3">
        <f>IF(AND(IF($B$3="(todos)",TRUE,'ORDENES'!$O633=$B$3),IF($D$3="(todos)",TRUE,'ORDENES'!$AC633=$D$3),IF($F$3="(todos)",TRUE,'ORDENES'!$V633=$F$3),'ORDENES'!$AA633=TRUE),'ORDENES'!$AN633&amp;" | "&amp;'ORDENES'!$R633&amp;" | "&amp;IF('ORDENES'!$AB633="","(sin técnico)",'ORDENES'!$AB633)&amp;" | "&amp;'ORDENES'!$D633&amp;" ("&amp;'ORDENES'!$M633&amp;" h)","")</f>
        <v/>
      </c>
    </row>
    <row r="638">
      <c r="K638" s="3">
        <f>IF(AND(IF($B$3="(todos)",TRUE,'ORDENES'!$O634=$B$3),IF($D$3="(todos)",TRUE,'ORDENES'!$AC634=$D$3),IF($F$3="(todos)",TRUE,'ORDENES'!$V634=$F$3),'ORDENES'!$AA634=TRUE),'ORDENES'!$AN634&amp;" | "&amp;'ORDENES'!$R634&amp;" | "&amp;IF('ORDENES'!$AB634="","(sin técnico)",'ORDENES'!$AB634)&amp;" | "&amp;'ORDENES'!$D634&amp;" ("&amp;'ORDENES'!$M634&amp;" h)","")</f>
        <v/>
      </c>
    </row>
    <row r="639">
      <c r="K639" s="3">
        <f>IF(AND(IF($B$3="(todos)",TRUE,'ORDENES'!$O635=$B$3),IF($D$3="(todos)",TRUE,'ORDENES'!$AC635=$D$3),IF($F$3="(todos)",TRUE,'ORDENES'!$V635=$F$3),'ORDENES'!$AA635=TRUE),'ORDENES'!$AN635&amp;" | "&amp;'ORDENES'!$R635&amp;" | "&amp;IF('ORDENES'!$AB635="","(sin técnico)",'ORDENES'!$AB635)&amp;" | "&amp;'ORDENES'!$D635&amp;" ("&amp;'ORDENES'!$M635&amp;" h)","")</f>
        <v/>
      </c>
    </row>
    <row r="640">
      <c r="K640" s="3">
        <f>IF(AND(IF($B$3="(todos)",TRUE,'ORDENES'!$O636=$B$3),IF($D$3="(todos)",TRUE,'ORDENES'!$AC636=$D$3),IF($F$3="(todos)",TRUE,'ORDENES'!$V636=$F$3),'ORDENES'!$AA636=TRUE),'ORDENES'!$AN636&amp;" | "&amp;'ORDENES'!$R636&amp;" | "&amp;IF('ORDENES'!$AB636="","(sin técnico)",'ORDENES'!$AB636)&amp;" | "&amp;'ORDENES'!$D636&amp;" ("&amp;'ORDENES'!$M636&amp;" h)","")</f>
        <v/>
      </c>
    </row>
    <row r="641">
      <c r="K641" s="3">
        <f>IF(AND(IF($B$3="(todos)",TRUE,'ORDENES'!$O637=$B$3),IF($D$3="(todos)",TRUE,'ORDENES'!$AC637=$D$3),IF($F$3="(todos)",TRUE,'ORDENES'!$V637=$F$3),'ORDENES'!$AA637=TRUE),'ORDENES'!$AN637&amp;" | "&amp;'ORDENES'!$R637&amp;" | "&amp;IF('ORDENES'!$AB637="","(sin técnico)",'ORDENES'!$AB637)&amp;" | "&amp;'ORDENES'!$D637&amp;" ("&amp;'ORDENES'!$M637&amp;" h)","")</f>
        <v/>
      </c>
    </row>
    <row r="642">
      <c r="K642" s="3">
        <f>IF(AND(IF($B$3="(todos)",TRUE,'ORDENES'!$O638=$B$3),IF($D$3="(todos)",TRUE,'ORDENES'!$AC638=$D$3),IF($F$3="(todos)",TRUE,'ORDENES'!$V638=$F$3),'ORDENES'!$AA638=TRUE),'ORDENES'!$AN638&amp;" | "&amp;'ORDENES'!$R638&amp;" | "&amp;IF('ORDENES'!$AB638="","(sin técnico)",'ORDENES'!$AB638)&amp;" | "&amp;'ORDENES'!$D638&amp;" ("&amp;'ORDENES'!$M638&amp;" h)","")</f>
        <v/>
      </c>
    </row>
    <row r="643">
      <c r="K643" s="3">
        <f>IF(AND(IF($B$3="(todos)",TRUE,'ORDENES'!$O639=$B$3),IF($D$3="(todos)",TRUE,'ORDENES'!$AC639=$D$3),IF($F$3="(todos)",TRUE,'ORDENES'!$V639=$F$3),'ORDENES'!$AA639=TRUE),'ORDENES'!$AN639&amp;" | "&amp;'ORDENES'!$R639&amp;" | "&amp;IF('ORDENES'!$AB639="","(sin técnico)",'ORDENES'!$AB639)&amp;" | "&amp;'ORDENES'!$D639&amp;" ("&amp;'ORDENES'!$M639&amp;" h)","")</f>
        <v/>
      </c>
    </row>
    <row r="644">
      <c r="K644" s="3">
        <f>IF(AND(IF($B$3="(todos)",TRUE,'ORDENES'!$O640=$B$3),IF($D$3="(todos)",TRUE,'ORDENES'!$AC640=$D$3),IF($F$3="(todos)",TRUE,'ORDENES'!$V640=$F$3),'ORDENES'!$AA640=TRUE),'ORDENES'!$AN640&amp;" | "&amp;'ORDENES'!$R640&amp;" | "&amp;IF('ORDENES'!$AB640="","(sin técnico)",'ORDENES'!$AB640)&amp;" | "&amp;'ORDENES'!$D640&amp;" ("&amp;'ORDENES'!$M640&amp;" h)","")</f>
        <v/>
      </c>
    </row>
    <row r="645">
      <c r="K645" s="3">
        <f>IF(AND(IF($B$3="(todos)",TRUE,'ORDENES'!$O641=$B$3),IF($D$3="(todos)",TRUE,'ORDENES'!$AC641=$D$3),IF($F$3="(todos)",TRUE,'ORDENES'!$V641=$F$3),'ORDENES'!$AA641=TRUE),'ORDENES'!$AN641&amp;" | "&amp;'ORDENES'!$R641&amp;" | "&amp;IF('ORDENES'!$AB641="","(sin técnico)",'ORDENES'!$AB641)&amp;" | "&amp;'ORDENES'!$D641&amp;" ("&amp;'ORDENES'!$M641&amp;" h)","")</f>
        <v/>
      </c>
    </row>
    <row r="646">
      <c r="K646" s="3">
        <f>IF(AND(IF($B$3="(todos)",TRUE,'ORDENES'!$O642=$B$3),IF($D$3="(todos)",TRUE,'ORDENES'!$AC642=$D$3),IF($F$3="(todos)",TRUE,'ORDENES'!$V642=$F$3),'ORDENES'!$AA642=TRUE),'ORDENES'!$AN642&amp;" | "&amp;'ORDENES'!$R642&amp;" | "&amp;IF('ORDENES'!$AB642="","(sin técnico)",'ORDENES'!$AB642)&amp;" | "&amp;'ORDENES'!$D642&amp;" ("&amp;'ORDENES'!$M642&amp;" h)","")</f>
        <v/>
      </c>
    </row>
    <row r="647">
      <c r="K647" s="3">
        <f>IF(AND(IF($B$3="(todos)",TRUE,'ORDENES'!$O643=$B$3),IF($D$3="(todos)",TRUE,'ORDENES'!$AC643=$D$3),IF($F$3="(todos)",TRUE,'ORDENES'!$V643=$F$3),'ORDENES'!$AA643=TRUE),'ORDENES'!$AN643&amp;" | "&amp;'ORDENES'!$R643&amp;" | "&amp;IF('ORDENES'!$AB643="","(sin técnico)",'ORDENES'!$AB643)&amp;" | "&amp;'ORDENES'!$D643&amp;" ("&amp;'ORDENES'!$M643&amp;" h)","")</f>
        <v/>
      </c>
    </row>
    <row r="648">
      <c r="K648" s="3">
        <f>IF(AND(IF($B$3="(todos)",TRUE,'ORDENES'!$O644=$B$3),IF($D$3="(todos)",TRUE,'ORDENES'!$AC644=$D$3),IF($F$3="(todos)",TRUE,'ORDENES'!$V644=$F$3),'ORDENES'!$AA644=TRUE),'ORDENES'!$AN644&amp;" | "&amp;'ORDENES'!$R644&amp;" | "&amp;IF('ORDENES'!$AB644="","(sin técnico)",'ORDENES'!$AB644)&amp;" | "&amp;'ORDENES'!$D644&amp;" ("&amp;'ORDENES'!$M644&amp;" h)","")</f>
        <v/>
      </c>
    </row>
    <row r="649">
      <c r="K649" s="3">
        <f>IF(AND(IF($B$3="(todos)",TRUE,'ORDENES'!$O645=$B$3),IF($D$3="(todos)",TRUE,'ORDENES'!$AC645=$D$3),IF($F$3="(todos)",TRUE,'ORDENES'!$V645=$F$3),'ORDENES'!$AA645=TRUE),'ORDENES'!$AN645&amp;" | "&amp;'ORDENES'!$R645&amp;" | "&amp;IF('ORDENES'!$AB645="","(sin técnico)",'ORDENES'!$AB645)&amp;" | "&amp;'ORDENES'!$D645&amp;" ("&amp;'ORDENES'!$M645&amp;" h)","")</f>
        <v/>
      </c>
    </row>
    <row r="650">
      <c r="K650" s="3">
        <f>IF(AND(IF($B$3="(todos)",TRUE,'ORDENES'!$O646=$B$3),IF($D$3="(todos)",TRUE,'ORDENES'!$AC646=$D$3),IF($F$3="(todos)",TRUE,'ORDENES'!$V646=$F$3),'ORDENES'!$AA646=TRUE),'ORDENES'!$AN646&amp;" | "&amp;'ORDENES'!$R646&amp;" | "&amp;IF('ORDENES'!$AB646="","(sin técnico)",'ORDENES'!$AB646)&amp;" | "&amp;'ORDENES'!$D646&amp;" ("&amp;'ORDENES'!$M646&amp;" h)","")</f>
        <v/>
      </c>
    </row>
    <row r="651">
      <c r="K651" s="3">
        <f>IF(AND(IF($B$3="(todos)",TRUE,'ORDENES'!$O647=$B$3),IF($D$3="(todos)",TRUE,'ORDENES'!$AC647=$D$3),IF($F$3="(todos)",TRUE,'ORDENES'!$V647=$F$3),'ORDENES'!$AA647=TRUE),'ORDENES'!$AN647&amp;" | "&amp;'ORDENES'!$R647&amp;" | "&amp;IF('ORDENES'!$AB647="","(sin técnico)",'ORDENES'!$AB647)&amp;" | "&amp;'ORDENES'!$D647&amp;" ("&amp;'ORDENES'!$M647&amp;" h)","")</f>
        <v/>
      </c>
    </row>
    <row r="652">
      <c r="K652" s="3">
        <f>IF(AND(IF($B$3="(todos)",TRUE,'ORDENES'!$O648=$B$3),IF($D$3="(todos)",TRUE,'ORDENES'!$AC648=$D$3),IF($F$3="(todos)",TRUE,'ORDENES'!$V648=$F$3),'ORDENES'!$AA648=TRUE),'ORDENES'!$AN648&amp;" | "&amp;'ORDENES'!$R648&amp;" | "&amp;IF('ORDENES'!$AB648="","(sin técnico)",'ORDENES'!$AB648)&amp;" | "&amp;'ORDENES'!$D648&amp;" ("&amp;'ORDENES'!$M648&amp;" h)","")</f>
        <v/>
      </c>
    </row>
    <row r="653">
      <c r="K653" s="3">
        <f>IF(AND(IF($B$3="(todos)",TRUE,'ORDENES'!$O649=$B$3),IF($D$3="(todos)",TRUE,'ORDENES'!$AC649=$D$3),IF($F$3="(todos)",TRUE,'ORDENES'!$V649=$F$3),'ORDENES'!$AA649=TRUE),'ORDENES'!$AN649&amp;" | "&amp;'ORDENES'!$R649&amp;" | "&amp;IF('ORDENES'!$AB649="","(sin técnico)",'ORDENES'!$AB649)&amp;" | "&amp;'ORDENES'!$D649&amp;" ("&amp;'ORDENES'!$M649&amp;" h)","")</f>
        <v/>
      </c>
    </row>
    <row r="654">
      <c r="K654" s="3">
        <f>IF(AND(IF($B$3="(todos)",TRUE,'ORDENES'!$O650=$B$3),IF($D$3="(todos)",TRUE,'ORDENES'!$AC650=$D$3),IF($F$3="(todos)",TRUE,'ORDENES'!$V650=$F$3),'ORDENES'!$AA650=TRUE),'ORDENES'!$AN650&amp;" | "&amp;'ORDENES'!$R650&amp;" | "&amp;IF('ORDENES'!$AB650="","(sin técnico)",'ORDENES'!$AB650)&amp;" | "&amp;'ORDENES'!$D650&amp;" ("&amp;'ORDENES'!$M650&amp;" h)","")</f>
        <v/>
      </c>
    </row>
    <row r="655">
      <c r="K655" s="3">
        <f>IF(AND(IF($B$3="(todos)",TRUE,'ORDENES'!$O651=$B$3),IF($D$3="(todos)",TRUE,'ORDENES'!$AC651=$D$3),IF($F$3="(todos)",TRUE,'ORDENES'!$V651=$F$3),'ORDENES'!$AA651=TRUE),'ORDENES'!$AN651&amp;" | "&amp;'ORDENES'!$R651&amp;" | "&amp;IF('ORDENES'!$AB651="","(sin técnico)",'ORDENES'!$AB651)&amp;" | "&amp;'ORDENES'!$D651&amp;" ("&amp;'ORDENES'!$M651&amp;" h)","")</f>
        <v/>
      </c>
    </row>
    <row r="656">
      <c r="K656" s="3">
        <f>IF(AND(IF($B$3="(todos)",TRUE,'ORDENES'!$O652=$B$3),IF($D$3="(todos)",TRUE,'ORDENES'!$AC652=$D$3),IF($F$3="(todos)",TRUE,'ORDENES'!$V652=$F$3),'ORDENES'!$AA652=TRUE),'ORDENES'!$AN652&amp;" | "&amp;'ORDENES'!$R652&amp;" | "&amp;IF('ORDENES'!$AB652="","(sin técnico)",'ORDENES'!$AB652)&amp;" | "&amp;'ORDENES'!$D652&amp;" ("&amp;'ORDENES'!$M652&amp;" h)","")</f>
        <v/>
      </c>
    </row>
    <row r="657">
      <c r="K657" s="3">
        <f>IF(AND(IF($B$3="(todos)",TRUE,'ORDENES'!$O653=$B$3),IF($D$3="(todos)",TRUE,'ORDENES'!$AC653=$D$3),IF($F$3="(todos)",TRUE,'ORDENES'!$V653=$F$3),'ORDENES'!$AA653=TRUE),'ORDENES'!$AN653&amp;" | "&amp;'ORDENES'!$R653&amp;" | "&amp;IF('ORDENES'!$AB653="","(sin técnico)",'ORDENES'!$AB653)&amp;" | "&amp;'ORDENES'!$D653&amp;" ("&amp;'ORDENES'!$M653&amp;" h)","")</f>
        <v/>
      </c>
    </row>
    <row r="658">
      <c r="K658" s="3">
        <f>IF(AND(IF($B$3="(todos)",TRUE,'ORDENES'!$O654=$B$3),IF($D$3="(todos)",TRUE,'ORDENES'!$AC654=$D$3),IF($F$3="(todos)",TRUE,'ORDENES'!$V654=$F$3),'ORDENES'!$AA654=TRUE),'ORDENES'!$AN654&amp;" | "&amp;'ORDENES'!$R654&amp;" | "&amp;IF('ORDENES'!$AB654="","(sin técnico)",'ORDENES'!$AB654)&amp;" | "&amp;'ORDENES'!$D654&amp;" ("&amp;'ORDENES'!$M654&amp;" h)","")</f>
        <v/>
      </c>
    </row>
    <row r="659">
      <c r="K659" s="3">
        <f>IF(AND(IF($B$3="(todos)",TRUE,'ORDENES'!$O655=$B$3),IF($D$3="(todos)",TRUE,'ORDENES'!$AC655=$D$3),IF($F$3="(todos)",TRUE,'ORDENES'!$V655=$F$3),'ORDENES'!$AA655=TRUE),'ORDENES'!$AN655&amp;" | "&amp;'ORDENES'!$R655&amp;" | "&amp;IF('ORDENES'!$AB655="","(sin técnico)",'ORDENES'!$AB655)&amp;" | "&amp;'ORDENES'!$D655&amp;" ("&amp;'ORDENES'!$M655&amp;" h)","")</f>
        <v/>
      </c>
    </row>
    <row r="660">
      <c r="K660" s="3">
        <f>IF(AND(IF($B$3="(todos)",TRUE,'ORDENES'!$O656=$B$3),IF($D$3="(todos)",TRUE,'ORDENES'!$AC656=$D$3),IF($F$3="(todos)",TRUE,'ORDENES'!$V656=$F$3),'ORDENES'!$AA656=TRUE),'ORDENES'!$AN656&amp;" | "&amp;'ORDENES'!$R656&amp;" | "&amp;IF('ORDENES'!$AB656="","(sin técnico)",'ORDENES'!$AB656)&amp;" | "&amp;'ORDENES'!$D656&amp;" ("&amp;'ORDENES'!$M656&amp;" h)","")</f>
        <v/>
      </c>
    </row>
    <row r="661">
      <c r="K661" s="3">
        <f>IF(AND(IF($B$3="(todos)",TRUE,'ORDENES'!$O657=$B$3),IF($D$3="(todos)",TRUE,'ORDENES'!$AC657=$D$3),IF($F$3="(todos)",TRUE,'ORDENES'!$V657=$F$3),'ORDENES'!$AA657=TRUE),'ORDENES'!$AN657&amp;" | "&amp;'ORDENES'!$R657&amp;" | "&amp;IF('ORDENES'!$AB657="","(sin técnico)",'ORDENES'!$AB657)&amp;" | "&amp;'ORDENES'!$D657&amp;" ("&amp;'ORDENES'!$M657&amp;" h)","")</f>
        <v/>
      </c>
    </row>
    <row r="662">
      <c r="K662" s="3">
        <f>IF(AND(IF($B$3="(todos)",TRUE,'ORDENES'!$O658=$B$3),IF($D$3="(todos)",TRUE,'ORDENES'!$AC658=$D$3),IF($F$3="(todos)",TRUE,'ORDENES'!$V658=$F$3),'ORDENES'!$AA658=TRUE),'ORDENES'!$AN658&amp;" | "&amp;'ORDENES'!$R658&amp;" | "&amp;IF('ORDENES'!$AB658="","(sin técnico)",'ORDENES'!$AB658)&amp;" | "&amp;'ORDENES'!$D658&amp;" ("&amp;'ORDENES'!$M658&amp;" h)","")</f>
        <v/>
      </c>
    </row>
    <row r="663">
      <c r="K663" s="3">
        <f>IF(AND(IF($B$3="(todos)",TRUE,'ORDENES'!$O659=$B$3),IF($D$3="(todos)",TRUE,'ORDENES'!$AC659=$D$3),IF($F$3="(todos)",TRUE,'ORDENES'!$V659=$F$3),'ORDENES'!$AA659=TRUE),'ORDENES'!$AN659&amp;" | "&amp;'ORDENES'!$R659&amp;" | "&amp;IF('ORDENES'!$AB659="","(sin técnico)",'ORDENES'!$AB659)&amp;" | "&amp;'ORDENES'!$D659&amp;" ("&amp;'ORDENES'!$M659&amp;" h)","")</f>
        <v/>
      </c>
    </row>
    <row r="664">
      <c r="K664" s="3">
        <f>IF(AND(IF($B$3="(todos)",TRUE,'ORDENES'!$O660=$B$3),IF($D$3="(todos)",TRUE,'ORDENES'!$AC660=$D$3),IF($F$3="(todos)",TRUE,'ORDENES'!$V660=$F$3),'ORDENES'!$AA660=TRUE),'ORDENES'!$AN660&amp;" | "&amp;'ORDENES'!$R660&amp;" | "&amp;IF('ORDENES'!$AB660="","(sin técnico)",'ORDENES'!$AB660)&amp;" | "&amp;'ORDENES'!$D660&amp;" ("&amp;'ORDENES'!$M660&amp;" h)","")</f>
        <v/>
      </c>
    </row>
    <row r="665">
      <c r="K665" s="3">
        <f>IF(AND(IF($B$3="(todos)",TRUE,'ORDENES'!$O661=$B$3),IF($D$3="(todos)",TRUE,'ORDENES'!$AC661=$D$3),IF($F$3="(todos)",TRUE,'ORDENES'!$V661=$F$3),'ORDENES'!$AA661=TRUE),'ORDENES'!$AN661&amp;" | "&amp;'ORDENES'!$R661&amp;" | "&amp;IF('ORDENES'!$AB661="","(sin técnico)",'ORDENES'!$AB661)&amp;" | "&amp;'ORDENES'!$D661&amp;" ("&amp;'ORDENES'!$M661&amp;" h)","")</f>
        <v/>
      </c>
    </row>
    <row r="666">
      <c r="K666" s="3">
        <f>IF(AND(IF($B$3="(todos)",TRUE,'ORDENES'!$O662=$B$3),IF($D$3="(todos)",TRUE,'ORDENES'!$AC662=$D$3),IF($F$3="(todos)",TRUE,'ORDENES'!$V662=$F$3),'ORDENES'!$AA662=TRUE),'ORDENES'!$AN662&amp;" | "&amp;'ORDENES'!$R662&amp;" | "&amp;IF('ORDENES'!$AB662="","(sin técnico)",'ORDENES'!$AB662)&amp;" | "&amp;'ORDENES'!$D662&amp;" ("&amp;'ORDENES'!$M662&amp;" h)","")</f>
        <v/>
      </c>
    </row>
    <row r="667">
      <c r="K667" s="3">
        <f>IF(AND(IF($B$3="(todos)",TRUE,'ORDENES'!$O663=$B$3),IF($D$3="(todos)",TRUE,'ORDENES'!$AC663=$D$3),IF($F$3="(todos)",TRUE,'ORDENES'!$V663=$F$3),'ORDENES'!$AA663=TRUE),'ORDENES'!$AN663&amp;" | "&amp;'ORDENES'!$R663&amp;" | "&amp;IF('ORDENES'!$AB663="","(sin técnico)",'ORDENES'!$AB663)&amp;" | "&amp;'ORDENES'!$D663&amp;" ("&amp;'ORDENES'!$M663&amp;" h)","")</f>
        <v/>
      </c>
    </row>
    <row r="668">
      <c r="K668" s="3">
        <f>IF(AND(IF($B$3="(todos)",TRUE,'ORDENES'!$O664=$B$3),IF($D$3="(todos)",TRUE,'ORDENES'!$AC664=$D$3),IF($F$3="(todos)",TRUE,'ORDENES'!$V664=$F$3),'ORDENES'!$AA664=TRUE),'ORDENES'!$AN664&amp;" | "&amp;'ORDENES'!$R664&amp;" | "&amp;IF('ORDENES'!$AB664="","(sin técnico)",'ORDENES'!$AB664)&amp;" | "&amp;'ORDENES'!$D664&amp;" ("&amp;'ORDENES'!$M664&amp;" h)","")</f>
        <v/>
      </c>
    </row>
    <row r="669">
      <c r="K669" s="3">
        <f>IF(AND(IF($B$3="(todos)",TRUE,'ORDENES'!$O665=$B$3),IF($D$3="(todos)",TRUE,'ORDENES'!$AC665=$D$3),IF($F$3="(todos)",TRUE,'ORDENES'!$V665=$F$3),'ORDENES'!$AA665=TRUE),'ORDENES'!$AN665&amp;" | "&amp;'ORDENES'!$R665&amp;" | "&amp;IF('ORDENES'!$AB665="","(sin técnico)",'ORDENES'!$AB665)&amp;" | "&amp;'ORDENES'!$D665&amp;" ("&amp;'ORDENES'!$M665&amp;" h)","")</f>
        <v/>
      </c>
    </row>
    <row r="670">
      <c r="K670" s="3">
        <f>IF(AND(IF($B$3="(todos)",TRUE,'ORDENES'!$O666=$B$3),IF($D$3="(todos)",TRUE,'ORDENES'!$AC666=$D$3),IF($F$3="(todos)",TRUE,'ORDENES'!$V666=$F$3),'ORDENES'!$AA666=TRUE),'ORDENES'!$AN666&amp;" | "&amp;'ORDENES'!$R666&amp;" | "&amp;IF('ORDENES'!$AB666="","(sin técnico)",'ORDENES'!$AB666)&amp;" | "&amp;'ORDENES'!$D666&amp;" ("&amp;'ORDENES'!$M666&amp;" h)","")</f>
        <v/>
      </c>
    </row>
    <row r="671">
      <c r="K671" s="3">
        <f>IF(AND(IF($B$3="(todos)",TRUE,'ORDENES'!$O667=$B$3),IF($D$3="(todos)",TRUE,'ORDENES'!$AC667=$D$3),IF($F$3="(todos)",TRUE,'ORDENES'!$V667=$F$3),'ORDENES'!$AA667=TRUE),'ORDENES'!$AN667&amp;" | "&amp;'ORDENES'!$R667&amp;" | "&amp;IF('ORDENES'!$AB667="","(sin técnico)",'ORDENES'!$AB667)&amp;" | "&amp;'ORDENES'!$D667&amp;" ("&amp;'ORDENES'!$M667&amp;" h)","")</f>
        <v/>
      </c>
    </row>
    <row r="672">
      <c r="K672" s="3">
        <f>IF(AND(IF($B$3="(todos)",TRUE,'ORDENES'!$O668=$B$3),IF($D$3="(todos)",TRUE,'ORDENES'!$AC668=$D$3),IF($F$3="(todos)",TRUE,'ORDENES'!$V668=$F$3),'ORDENES'!$AA668=TRUE),'ORDENES'!$AN668&amp;" | "&amp;'ORDENES'!$R668&amp;" | "&amp;IF('ORDENES'!$AB668="","(sin técnico)",'ORDENES'!$AB668)&amp;" | "&amp;'ORDENES'!$D668&amp;" ("&amp;'ORDENES'!$M668&amp;" h)","")</f>
        <v/>
      </c>
    </row>
    <row r="673">
      <c r="K673" s="3">
        <f>IF(AND(IF($B$3="(todos)",TRUE,'ORDENES'!$O669=$B$3),IF($D$3="(todos)",TRUE,'ORDENES'!$AC669=$D$3),IF($F$3="(todos)",TRUE,'ORDENES'!$V669=$F$3),'ORDENES'!$AA669=TRUE),'ORDENES'!$AN669&amp;" | "&amp;'ORDENES'!$R669&amp;" | "&amp;IF('ORDENES'!$AB669="","(sin técnico)",'ORDENES'!$AB669)&amp;" | "&amp;'ORDENES'!$D669&amp;" ("&amp;'ORDENES'!$M669&amp;" h)","")</f>
        <v/>
      </c>
    </row>
    <row r="674">
      <c r="K674" s="3">
        <f>IF(AND(IF($B$3="(todos)",TRUE,'ORDENES'!$O670=$B$3),IF($D$3="(todos)",TRUE,'ORDENES'!$AC670=$D$3),IF($F$3="(todos)",TRUE,'ORDENES'!$V670=$F$3),'ORDENES'!$AA670=TRUE),'ORDENES'!$AN670&amp;" | "&amp;'ORDENES'!$R670&amp;" | "&amp;IF('ORDENES'!$AB670="","(sin técnico)",'ORDENES'!$AB670)&amp;" | "&amp;'ORDENES'!$D670&amp;" ("&amp;'ORDENES'!$M670&amp;" h)","")</f>
        <v/>
      </c>
    </row>
    <row r="675">
      <c r="K675" s="3">
        <f>IF(AND(IF($B$3="(todos)",TRUE,'ORDENES'!$O671=$B$3),IF($D$3="(todos)",TRUE,'ORDENES'!$AC671=$D$3),IF($F$3="(todos)",TRUE,'ORDENES'!$V671=$F$3),'ORDENES'!$AA671=TRUE),'ORDENES'!$AN671&amp;" | "&amp;'ORDENES'!$R671&amp;" | "&amp;IF('ORDENES'!$AB671="","(sin técnico)",'ORDENES'!$AB671)&amp;" | "&amp;'ORDENES'!$D671&amp;" ("&amp;'ORDENES'!$M671&amp;" h)","")</f>
        <v/>
      </c>
    </row>
    <row r="676">
      <c r="K676" s="3">
        <f>IF(AND(IF($B$3="(todos)",TRUE,'ORDENES'!$O672=$B$3),IF($D$3="(todos)",TRUE,'ORDENES'!$AC672=$D$3),IF($F$3="(todos)",TRUE,'ORDENES'!$V672=$F$3),'ORDENES'!$AA672=TRUE),'ORDENES'!$AN672&amp;" | "&amp;'ORDENES'!$R672&amp;" | "&amp;IF('ORDENES'!$AB672="","(sin técnico)",'ORDENES'!$AB672)&amp;" | "&amp;'ORDENES'!$D672&amp;" ("&amp;'ORDENES'!$M672&amp;" h)","")</f>
        <v/>
      </c>
    </row>
    <row r="677">
      <c r="K677" s="3">
        <f>IF(AND(IF($B$3="(todos)",TRUE,'ORDENES'!$O673=$B$3),IF($D$3="(todos)",TRUE,'ORDENES'!$AC673=$D$3),IF($F$3="(todos)",TRUE,'ORDENES'!$V673=$F$3),'ORDENES'!$AA673=TRUE),'ORDENES'!$AN673&amp;" | "&amp;'ORDENES'!$R673&amp;" | "&amp;IF('ORDENES'!$AB673="","(sin técnico)",'ORDENES'!$AB673)&amp;" | "&amp;'ORDENES'!$D673&amp;" ("&amp;'ORDENES'!$M673&amp;" h)","")</f>
        <v/>
      </c>
    </row>
    <row r="678">
      <c r="K678" s="3">
        <f>IF(AND(IF($B$3="(todos)",TRUE,'ORDENES'!$O674=$B$3),IF($D$3="(todos)",TRUE,'ORDENES'!$AC674=$D$3),IF($F$3="(todos)",TRUE,'ORDENES'!$V674=$F$3),'ORDENES'!$AA674=TRUE),'ORDENES'!$AN674&amp;" | "&amp;'ORDENES'!$R674&amp;" | "&amp;IF('ORDENES'!$AB674="","(sin técnico)",'ORDENES'!$AB674)&amp;" | "&amp;'ORDENES'!$D674&amp;" ("&amp;'ORDENES'!$M674&amp;" h)","")</f>
        <v/>
      </c>
    </row>
    <row r="679">
      <c r="K679" s="3">
        <f>IF(AND(IF($B$3="(todos)",TRUE,'ORDENES'!$O675=$B$3),IF($D$3="(todos)",TRUE,'ORDENES'!$AC675=$D$3),IF($F$3="(todos)",TRUE,'ORDENES'!$V675=$F$3),'ORDENES'!$AA675=TRUE),'ORDENES'!$AN675&amp;" | "&amp;'ORDENES'!$R675&amp;" | "&amp;IF('ORDENES'!$AB675="","(sin técnico)",'ORDENES'!$AB675)&amp;" | "&amp;'ORDENES'!$D675&amp;" ("&amp;'ORDENES'!$M675&amp;" h)","")</f>
        <v/>
      </c>
    </row>
    <row r="680">
      <c r="K680" s="3">
        <f>IF(AND(IF($B$3="(todos)",TRUE,'ORDENES'!$O676=$B$3),IF($D$3="(todos)",TRUE,'ORDENES'!$AC676=$D$3),IF($F$3="(todos)",TRUE,'ORDENES'!$V676=$F$3),'ORDENES'!$AA676=TRUE),'ORDENES'!$AN676&amp;" | "&amp;'ORDENES'!$R676&amp;" | "&amp;IF('ORDENES'!$AB676="","(sin técnico)",'ORDENES'!$AB676)&amp;" | "&amp;'ORDENES'!$D676&amp;" ("&amp;'ORDENES'!$M676&amp;" h)","")</f>
        <v/>
      </c>
    </row>
    <row r="681">
      <c r="K681" s="3">
        <f>IF(AND(IF($B$3="(todos)",TRUE,'ORDENES'!$O677=$B$3),IF($D$3="(todos)",TRUE,'ORDENES'!$AC677=$D$3),IF($F$3="(todos)",TRUE,'ORDENES'!$V677=$F$3),'ORDENES'!$AA677=TRUE),'ORDENES'!$AN677&amp;" | "&amp;'ORDENES'!$R677&amp;" | "&amp;IF('ORDENES'!$AB677="","(sin técnico)",'ORDENES'!$AB677)&amp;" | "&amp;'ORDENES'!$D677&amp;" ("&amp;'ORDENES'!$M677&amp;" h)","")</f>
        <v/>
      </c>
    </row>
    <row r="682">
      <c r="K682" s="3">
        <f>IF(AND(IF($B$3="(todos)",TRUE,'ORDENES'!$O678=$B$3),IF($D$3="(todos)",TRUE,'ORDENES'!$AC678=$D$3),IF($F$3="(todos)",TRUE,'ORDENES'!$V678=$F$3),'ORDENES'!$AA678=TRUE),'ORDENES'!$AN678&amp;" | "&amp;'ORDENES'!$R678&amp;" | "&amp;IF('ORDENES'!$AB678="","(sin técnico)",'ORDENES'!$AB678)&amp;" | "&amp;'ORDENES'!$D678&amp;" ("&amp;'ORDENES'!$M678&amp;" h)","")</f>
        <v/>
      </c>
    </row>
    <row r="683">
      <c r="K683" s="3">
        <f>IF(AND(IF($B$3="(todos)",TRUE,'ORDENES'!$O679=$B$3),IF($D$3="(todos)",TRUE,'ORDENES'!$AC679=$D$3),IF($F$3="(todos)",TRUE,'ORDENES'!$V679=$F$3),'ORDENES'!$AA679=TRUE),'ORDENES'!$AN679&amp;" | "&amp;'ORDENES'!$R679&amp;" | "&amp;IF('ORDENES'!$AB679="","(sin técnico)",'ORDENES'!$AB679)&amp;" | "&amp;'ORDENES'!$D679&amp;" ("&amp;'ORDENES'!$M679&amp;" h)","")</f>
        <v/>
      </c>
    </row>
    <row r="684">
      <c r="K684" s="3">
        <f>IF(AND(IF($B$3="(todos)",TRUE,'ORDENES'!$O680=$B$3),IF($D$3="(todos)",TRUE,'ORDENES'!$AC680=$D$3),IF($F$3="(todos)",TRUE,'ORDENES'!$V680=$F$3),'ORDENES'!$AA680=TRUE),'ORDENES'!$AN680&amp;" | "&amp;'ORDENES'!$R680&amp;" | "&amp;IF('ORDENES'!$AB680="","(sin técnico)",'ORDENES'!$AB680)&amp;" | "&amp;'ORDENES'!$D680&amp;" ("&amp;'ORDENES'!$M680&amp;" h)","")</f>
        <v/>
      </c>
    </row>
    <row r="685">
      <c r="K685" s="3">
        <f>IF(AND(IF($B$3="(todos)",TRUE,'ORDENES'!$O681=$B$3),IF($D$3="(todos)",TRUE,'ORDENES'!$AC681=$D$3),IF($F$3="(todos)",TRUE,'ORDENES'!$V681=$F$3),'ORDENES'!$AA681=TRUE),'ORDENES'!$AN681&amp;" | "&amp;'ORDENES'!$R681&amp;" | "&amp;IF('ORDENES'!$AB681="","(sin técnico)",'ORDENES'!$AB681)&amp;" | "&amp;'ORDENES'!$D681&amp;" ("&amp;'ORDENES'!$M681&amp;" h)","")</f>
        <v/>
      </c>
    </row>
    <row r="686">
      <c r="K686" s="3">
        <f>IF(AND(IF($B$3="(todos)",TRUE,'ORDENES'!$O682=$B$3),IF($D$3="(todos)",TRUE,'ORDENES'!$AC682=$D$3),IF($F$3="(todos)",TRUE,'ORDENES'!$V682=$F$3),'ORDENES'!$AA682=TRUE),'ORDENES'!$AN682&amp;" | "&amp;'ORDENES'!$R682&amp;" | "&amp;IF('ORDENES'!$AB682="","(sin técnico)",'ORDENES'!$AB682)&amp;" | "&amp;'ORDENES'!$D682&amp;" ("&amp;'ORDENES'!$M682&amp;" h)","")</f>
        <v/>
      </c>
    </row>
    <row r="687">
      <c r="K687" s="3">
        <f>IF(AND(IF($B$3="(todos)",TRUE,'ORDENES'!$O683=$B$3),IF($D$3="(todos)",TRUE,'ORDENES'!$AC683=$D$3),IF($F$3="(todos)",TRUE,'ORDENES'!$V683=$F$3),'ORDENES'!$AA683=TRUE),'ORDENES'!$AN683&amp;" | "&amp;'ORDENES'!$R683&amp;" | "&amp;IF('ORDENES'!$AB683="","(sin técnico)",'ORDENES'!$AB683)&amp;" | "&amp;'ORDENES'!$D683&amp;" ("&amp;'ORDENES'!$M683&amp;" h)","")</f>
        <v/>
      </c>
    </row>
    <row r="688">
      <c r="K688" s="3">
        <f>IF(AND(IF($B$3="(todos)",TRUE,'ORDENES'!$O684=$B$3),IF($D$3="(todos)",TRUE,'ORDENES'!$AC684=$D$3),IF($F$3="(todos)",TRUE,'ORDENES'!$V684=$F$3),'ORDENES'!$AA684=TRUE),'ORDENES'!$AN684&amp;" | "&amp;'ORDENES'!$R684&amp;" | "&amp;IF('ORDENES'!$AB684="","(sin técnico)",'ORDENES'!$AB684)&amp;" | "&amp;'ORDENES'!$D684&amp;" ("&amp;'ORDENES'!$M684&amp;" h)","")</f>
        <v/>
      </c>
    </row>
    <row r="689">
      <c r="K689" s="3">
        <f>IF(AND(IF($B$3="(todos)",TRUE,'ORDENES'!$O685=$B$3),IF($D$3="(todos)",TRUE,'ORDENES'!$AC685=$D$3),IF($F$3="(todos)",TRUE,'ORDENES'!$V685=$F$3),'ORDENES'!$AA685=TRUE),'ORDENES'!$AN685&amp;" | "&amp;'ORDENES'!$R685&amp;" | "&amp;IF('ORDENES'!$AB685="","(sin técnico)",'ORDENES'!$AB685)&amp;" | "&amp;'ORDENES'!$D685&amp;" ("&amp;'ORDENES'!$M685&amp;" h)","")</f>
        <v/>
      </c>
    </row>
    <row r="690">
      <c r="K690" s="3">
        <f>IF(AND(IF($B$3="(todos)",TRUE,'ORDENES'!$O686=$B$3),IF($D$3="(todos)",TRUE,'ORDENES'!$AC686=$D$3),IF($F$3="(todos)",TRUE,'ORDENES'!$V686=$F$3),'ORDENES'!$AA686=TRUE),'ORDENES'!$AN686&amp;" | "&amp;'ORDENES'!$R686&amp;" | "&amp;IF('ORDENES'!$AB686="","(sin técnico)",'ORDENES'!$AB686)&amp;" | "&amp;'ORDENES'!$D686&amp;" ("&amp;'ORDENES'!$M686&amp;" h)","")</f>
        <v/>
      </c>
    </row>
    <row r="691">
      <c r="K691" s="3">
        <f>IF(AND(IF($B$3="(todos)",TRUE,'ORDENES'!$O687=$B$3),IF($D$3="(todos)",TRUE,'ORDENES'!$AC687=$D$3),IF($F$3="(todos)",TRUE,'ORDENES'!$V687=$F$3),'ORDENES'!$AA687=TRUE),'ORDENES'!$AN687&amp;" | "&amp;'ORDENES'!$R687&amp;" | "&amp;IF('ORDENES'!$AB687="","(sin técnico)",'ORDENES'!$AB687)&amp;" | "&amp;'ORDENES'!$D687&amp;" ("&amp;'ORDENES'!$M687&amp;" h)","")</f>
        <v/>
      </c>
    </row>
    <row r="692">
      <c r="K692" s="3">
        <f>IF(AND(IF($B$3="(todos)",TRUE,'ORDENES'!$O688=$B$3),IF($D$3="(todos)",TRUE,'ORDENES'!$AC688=$D$3),IF($F$3="(todos)",TRUE,'ORDENES'!$V688=$F$3),'ORDENES'!$AA688=TRUE),'ORDENES'!$AN688&amp;" | "&amp;'ORDENES'!$R688&amp;" | "&amp;IF('ORDENES'!$AB688="","(sin técnico)",'ORDENES'!$AB688)&amp;" | "&amp;'ORDENES'!$D688&amp;" ("&amp;'ORDENES'!$M688&amp;" h)","")</f>
        <v/>
      </c>
    </row>
    <row r="693">
      <c r="K693" s="3">
        <f>IF(AND(IF($B$3="(todos)",TRUE,'ORDENES'!$O689=$B$3),IF($D$3="(todos)",TRUE,'ORDENES'!$AC689=$D$3),IF($F$3="(todos)",TRUE,'ORDENES'!$V689=$F$3),'ORDENES'!$AA689=TRUE),'ORDENES'!$AN689&amp;" | "&amp;'ORDENES'!$R689&amp;" | "&amp;IF('ORDENES'!$AB689="","(sin técnico)",'ORDENES'!$AB689)&amp;" | "&amp;'ORDENES'!$D689&amp;" ("&amp;'ORDENES'!$M689&amp;" h)","")</f>
        <v/>
      </c>
    </row>
    <row r="694">
      <c r="K694" s="3">
        <f>IF(AND(IF($B$3="(todos)",TRUE,'ORDENES'!$O690=$B$3),IF($D$3="(todos)",TRUE,'ORDENES'!$AC690=$D$3),IF($F$3="(todos)",TRUE,'ORDENES'!$V690=$F$3),'ORDENES'!$AA690=TRUE),'ORDENES'!$AN690&amp;" | "&amp;'ORDENES'!$R690&amp;" | "&amp;IF('ORDENES'!$AB690="","(sin técnico)",'ORDENES'!$AB690)&amp;" | "&amp;'ORDENES'!$D690&amp;" ("&amp;'ORDENES'!$M690&amp;" h)","")</f>
        <v/>
      </c>
    </row>
    <row r="695">
      <c r="K695" s="3">
        <f>IF(AND(IF($B$3="(todos)",TRUE,'ORDENES'!$O691=$B$3),IF($D$3="(todos)",TRUE,'ORDENES'!$AC691=$D$3),IF($F$3="(todos)",TRUE,'ORDENES'!$V691=$F$3),'ORDENES'!$AA691=TRUE),'ORDENES'!$AN691&amp;" | "&amp;'ORDENES'!$R691&amp;" | "&amp;IF('ORDENES'!$AB691="","(sin técnico)",'ORDENES'!$AB691)&amp;" | "&amp;'ORDENES'!$D691&amp;" ("&amp;'ORDENES'!$M691&amp;" h)","")</f>
        <v/>
      </c>
    </row>
    <row r="696">
      <c r="K696" s="3">
        <f>IF(AND(IF($B$3="(todos)",TRUE,'ORDENES'!$O692=$B$3),IF($D$3="(todos)",TRUE,'ORDENES'!$AC692=$D$3),IF($F$3="(todos)",TRUE,'ORDENES'!$V692=$F$3),'ORDENES'!$AA692=TRUE),'ORDENES'!$AN692&amp;" | "&amp;'ORDENES'!$R692&amp;" | "&amp;IF('ORDENES'!$AB692="","(sin técnico)",'ORDENES'!$AB692)&amp;" | "&amp;'ORDENES'!$D692&amp;" ("&amp;'ORDENES'!$M692&amp;" h)","")</f>
        <v/>
      </c>
    </row>
    <row r="697">
      <c r="K697" s="3">
        <f>IF(AND(IF($B$3="(todos)",TRUE,'ORDENES'!$O693=$B$3),IF($D$3="(todos)",TRUE,'ORDENES'!$AC693=$D$3),IF($F$3="(todos)",TRUE,'ORDENES'!$V693=$F$3),'ORDENES'!$AA693=TRUE),'ORDENES'!$AN693&amp;" | "&amp;'ORDENES'!$R693&amp;" | "&amp;IF('ORDENES'!$AB693="","(sin técnico)",'ORDENES'!$AB693)&amp;" | "&amp;'ORDENES'!$D693&amp;" ("&amp;'ORDENES'!$M693&amp;" h)","")</f>
        <v/>
      </c>
    </row>
    <row r="698">
      <c r="K698" s="3">
        <f>IF(AND(IF($B$3="(todos)",TRUE,'ORDENES'!$O694=$B$3),IF($D$3="(todos)",TRUE,'ORDENES'!$AC694=$D$3),IF($F$3="(todos)",TRUE,'ORDENES'!$V694=$F$3),'ORDENES'!$AA694=TRUE),'ORDENES'!$AN694&amp;" | "&amp;'ORDENES'!$R694&amp;" | "&amp;IF('ORDENES'!$AB694="","(sin técnico)",'ORDENES'!$AB694)&amp;" | "&amp;'ORDENES'!$D694&amp;" ("&amp;'ORDENES'!$M694&amp;" h)","")</f>
        <v/>
      </c>
    </row>
    <row r="699">
      <c r="K699" s="3">
        <f>IF(AND(IF($B$3="(todos)",TRUE,'ORDENES'!$O695=$B$3),IF($D$3="(todos)",TRUE,'ORDENES'!$AC695=$D$3),IF($F$3="(todos)",TRUE,'ORDENES'!$V695=$F$3),'ORDENES'!$AA695=TRUE),'ORDENES'!$AN695&amp;" | "&amp;'ORDENES'!$R695&amp;" | "&amp;IF('ORDENES'!$AB695="","(sin técnico)",'ORDENES'!$AB695)&amp;" | "&amp;'ORDENES'!$D695&amp;" ("&amp;'ORDENES'!$M695&amp;" h)","")</f>
        <v/>
      </c>
    </row>
    <row r="700">
      <c r="K700" s="3">
        <f>IF(AND(IF($B$3="(todos)",TRUE,'ORDENES'!$O696=$B$3),IF($D$3="(todos)",TRUE,'ORDENES'!$AC696=$D$3),IF($F$3="(todos)",TRUE,'ORDENES'!$V696=$F$3),'ORDENES'!$AA696=TRUE),'ORDENES'!$AN696&amp;" | "&amp;'ORDENES'!$R696&amp;" | "&amp;IF('ORDENES'!$AB696="","(sin técnico)",'ORDENES'!$AB696)&amp;" | "&amp;'ORDENES'!$D696&amp;" ("&amp;'ORDENES'!$M696&amp;" h)","")</f>
        <v/>
      </c>
    </row>
    <row r="701">
      <c r="K701" s="3">
        <f>IF(AND(IF($B$3="(todos)",TRUE,'ORDENES'!$O697=$B$3),IF($D$3="(todos)",TRUE,'ORDENES'!$AC697=$D$3),IF($F$3="(todos)",TRUE,'ORDENES'!$V697=$F$3),'ORDENES'!$AA697=TRUE),'ORDENES'!$AN697&amp;" | "&amp;'ORDENES'!$R697&amp;" | "&amp;IF('ORDENES'!$AB697="","(sin técnico)",'ORDENES'!$AB697)&amp;" | "&amp;'ORDENES'!$D697&amp;" ("&amp;'ORDENES'!$M697&amp;" h)","")</f>
        <v/>
      </c>
    </row>
    <row r="702">
      <c r="K702" s="3">
        <f>IF(AND(IF($B$3="(todos)",TRUE,'ORDENES'!$O698=$B$3),IF($D$3="(todos)",TRUE,'ORDENES'!$AC698=$D$3),IF($F$3="(todos)",TRUE,'ORDENES'!$V698=$F$3),'ORDENES'!$AA698=TRUE),'ORDENES'!$AN698&amp;" | "&amp;'ORDENES'!$R698&amp;" | "&amp;IF('ORDENES'!$AB698="","(sin técnico)",'ORDENES'!$AB698)&amp;" | "&amp;'ORDENES'!$D698&amp;" ("&amp;'ORDENES'!$M698&amp;" h)","")</f>
        <v/>
      </c>
    </row>
    <row r="703">
      <c r="K703" s="3">
        <f>IF(AND(IF($B$3="(todos)",TRUE,'ORDENES'!$O699=$B$3),IF($D$3="(todos)",TRUE,'ORDENES'!$AC699=$D$3),IF($F$3="(todos)",TRUE,'ORDENES'!$V699=$F$3),'ORDENES'!$AA699=TRUE),'ORDENES'!$AN699&amp;" | "&amp;'ORDENES'!$R699&amp;" | "&amp;IF('ORDENES'!$AB699="","(sin técnico)",'ORDENES'!$AB699)&amp;" | "&amp;'ORDENES'!$D699&amp;" ("&amp;'ORDENES'!$M699&amp;" h)","")</f>
        <v/>
      </c>
    </row>
    <row r="704">
      <c r="K704" s="3">
        <f>IF(AND(IF($B$3="(todos)",TRUE,'ORDENES'!$O700=$B$3),IF($D$3="(todos)",TRUE,'ORDENES'!$AC700=$D$3),IF($F$3="(todos)",TRUE,'ORDENES'!$V700=$F$3),'ORDENES'!$AA700=TRUE),'ORDENES'!$AN700&amp;" | "&amp;'ORDENES'!$R700&amp;" | "&amp;IF('ORDENES'!$AB700="","(sin técnico)",'ORDENES'!$AB700)&amp;" | "&amp;'ORDENES'!$D700&amp;" ("&amp;'ORDENES'!$M700&amp;" h)","")</f>
        <v/>
      </c>
    </row>
    <row r="705">
      <c r="K705" s="3">
        <f>IF(AND(IF($B$3="(todos)",TRUE,'ORDENES'!$O701=$B$3),IF($D$3="(todos)",TRUE,'ORDENES'!$AC701=$D$3),IF($F$3="(todos)",TRUE,'ORDENES'!$V701=$F$3),'ORDENES'!$AA701=TRUE),'ORDENES'!$AN701&amp;" | "&amp;'ORDENES'!$R701&amp;" | "&amp;IF('ORDENES'!$AB701="","(sin técnico)",'ORDENES'!$AB701)&amp;" | "&amp;'ORDENES'!$D701&amp;" ("&amp;'ORDENES'!$M701&amp;" h)","")</f>
        <v/>
      </c>
    </row>
    <row r="706">
      <c r="K706" s="3">
        <f>IF(AND(IF($B$3="(todos)",TRUE,'ORDENES'!$O702=$B$3),IF($D$3="(todos)",TRUE,'ORDENES'!$AC702=$D$3),IF($F$3="(todos)",TRUE,'ORDENES'!$V702=$F$3),'ORDENES'!$AA702=TRUE),'ORDENES'!$AN702&amp;" | "&amp;'ORDENES'!$R702&amp;" | "&amp;IF('ORDENES'!$AB702="","(sin técnico)",'ORDENES'!$AB702)&amp;" | "&amp;'ORDENES'!$D702&amp;" ("&amp;'ORDENES'!$M702&amp;" h)","")</f>
        <v/>
      </c>
    </row>
    <row r="707">
      <c r="K707" s="3">
        <f>IF(AND(IF($B$3="(todos)",TRUE,'ORDENES'!$O703=$B$3),IF($D$3="(todos)",TRUE,'ORDENES'!$AC703=$D$3),IF($F$3="(todos)",TRUE,'ORDENES'!$V703=$F$3),'ORDENES'!$AA703=TRUE),'ORDENES'!$AN703&amp;" | "&amp;'ORDENES'!$R703&amp;" | "&amp;IF('ORDENES'!$AB703="","(sin técnico)",'ORDENES'!$AB703)&amp;" | "&amp;'ORDENES'!$D703&amp;" ("&amp;'ORDENES'!$M703&amp;" h)","")</f>
        <v/>
      </c>
    </row>
    <row r="708">
      <c r="K708" s="3">
        <f>IF(AND(IF($B$3="(todos)",TRUE,'ORDENES'!$O704=$B$3),IF($D$3="(todos)",TRUE,'ORDENES'!$AC704=$D$3),IF($F$3="(todos)",TRUE,'ORDENES'!$V704=$F$3),'ORDENES'!$AA704=TRUE),'ORDENES'!$AN704&amp;" | "&amp;'ORDENES'!$R704&amp;" | "&amp;IF('ORDENES'!$AB704="","(sin técnico)",'ORDENES'!$AB704)&amp;" | "&amp;'ORDENES'!$D704&amp;" ("&amp;'ORDENES'!$M704&amp;" h)","")</f>
        <v/>
      </c>
    </row>
    <row r="709">
      <c r="K709" s="3">
        <f>IF(AND(IF($B$3="(todos)",TRUE,'ORDENES'!$O705=$B$3),IF($D$3="(todos)",TRUE,'ORDENES'!$AC705=$D$3),IF($F$3="(todos)",TRUE,'ORDENES'!$V705=$F$3),'ORDENES'!$AA705=TRUE),'ORDENES'!$AN705&amp;" | "&amp;'ORDENES'!$R705&amp;" | "&amp;IF('ORDENES'!$AB705="","(sin técnico)",'ORDENES'!$AB705)&amp;" | "&amp;'ORDENES'!$D705&amp;" ("&amp;'ORDENES'!$M705&amp;" h)","")</f>
        <v/>
      </c>
    </row>
    <row r="710">
      <c r="K710" s="3">
        <f>IF(AND(IF($B$3="(todos)",TRUE,'ORDENES'!$O706=$B$3),IF($D$3="(todos)",TRUE,'ORDENES'!$AC706=$D$3),IF($F$3="(todos)",TRUE,'ORDENES'!$V706=$F$3),'ORDENES'!$AA706=TRUE),'ORDENES'!$AN706&amp;" | "&amp;'ORDENES'!$R706&amp;" | "&amp;IF('ORDENES'!$AB706="","(sin técnico)",'ORDENES'!$AB706)&amp;" | "&amp;'ORDENES'!$D706&amp;" ("&amp;'ORDENES'!$M706&amp;" h)","")</f>
        <v/>
      </c>
    </row>
    <row r="711">
      <c r="K711" s="3">
        <f>IF(AND(IF($B$3="(todos)",TRUE,'ORDENES'!$O707=$B$3),IF($D$3="(todos)",TRUE,'ORDENES'!$AC707=$D$3),IF($F$3="(todos)",TRUE,'ORDENES'!$V707=$F$3),'ORDENES'!$AA707=TRUE),'ORDENES'!$AN707&amp;" | "&amp;'ORDENES'!$R707&amp;" | "&amp;IF('ORDENES'!$AB707="","(sin técnico)",'ORDENES'!$AB707)&amp;" | "&amp;'ORDENES'!$D707&amp;" ("&amp;'ORDENES'!$M707&amp;" h)","")</f>
        <v/>
      </c>
    </row>
    <row r="712">
      <c r="K712" s="3">
        <f>IF(AND(IF($B$3="(todos)",TRUE,'ORDENES'!$O708=$B$3),IF($D$3="(todos)",TRUE,'ORDENES'!$AC708=$D$3),IF($F$3="(todos)",TRUE,'ORDENES'!$V708=$F$3),'ORDENES'!$AA708=TRUE),'ORDENES'!$AN708&amp;" | "&amp;'ORDENES'!$R708&amp;" | "&amp;IF('ORDENES'!$AB708="","(sin técnico)",'ORDENES'!$AB708)&amp;" | "&amp;'ORDENES'!$D708&amp;" ("&amp;'ORDENES'!$M708&amp;" h)","")</f>
        <v/>
      </c>
    </row>
    <row r="713">
      <c r="K713" s="3">
        <f>IF(AND(IF($B$3="(todos)",TRUE,'ORDENES'!$O709=$B$3),IF($D$3="(todos)",TRUE,'ORDENES'!$AC709=$D$3),IF($F$3="(todos)",TRUE,'ORDENES'!$V709=$F$3),'ORDENES'!$AA709=TRUE),'ORDENES'!$AN709&amp;" | "&amp;'ORDENES'!$R709&amp;" | "&amp;IF('ORDENES'!$AB709="","(sin técnico)",'ORDENES'!$AB709)&amp;" | "&amp;'ORDENES'!$D709&amp;" ("&amp;'ORDENES'!$M709&amp;" h)","")</f>
        <v/>
      </c>
    </row>
    <row r="714">
      <c r="K714" s="3">
        <f>IF(AND(IF($B$3="(todos)",TRUE,'ORDENES'!$O710=$B$3),IF($D$3="(todos)",TRUE,'ORDENES'!$AC710=$D$3),IF($F$3="(todos)",TRUE,'ORDENES'!$V710=$F$3),'ORDENES'!$AA710=TRUE),'ORDENES'!$AN710&amp;" | "&amp;'ORDENES'!$R710&amp;" | "&amp;IF('ORDENES'!$AB710="","(sin técnico)",'ORDENES'!$AB710)&amp;" | "&amp;'ORDENES'!$D710&amp;" ("&amp;'ORDENES'!$M710&amp;" h)","")</f>
        <v/>
      </c>
    </row>
    <row r="715">
      <c r="K715" s="3">
        <f>IF(AND(IF($B$3="(todos)",TRUE,'ORDENES'!$O711=$B$3),IF($D$3="(todos)",TRUE,'ORDENES'!$AC711=$D$3),IF($F$3="(todos)",TRUE,'ORDENES'!$V711=$F$3),'ORDENES'!$AA711=TRUE),'ORDENES'!$AN711&amp;" | "&amp;'ORDENES'!$R711&amp;" | "&amp;IF('ORDENES'!$AB711="","(sin técnico)",'ORDENES'!$AB711)&amp;" | "&amp;'ORDENES'!$D711&amp;" ("&amp;'ORDENES'!$M711&amp;" h)","")</f>
        <v/>
      </c>
    </row>
    <row r="716">
      <c r="K716" s="3">
        <f>IF(AND(IF($B$3="(todos)",TRUE,'ORDENES'!$O712=$B$3),IF($D$3="(todos)",TRUE,'ORDENES'!$AC712=$D$3),IF($F$3="(todos)",TRUE,'ORDENES'!$V712=$F$3),'ORDENES'!$AA712=TRUE),'ORDENES'!$AN712&amp;" | "&amp;'ORDENES'!$R712&amp;" | "&amp;IF('ORDENES'!$AB712="","(sin técnico)",'ORDENES'!$AB712)&amp;" | "&amp;'ORDENES'!$D712&amp;" ("&amp;'ORDENES'!$M712&amp;" h)","")</f>
        <v/>
      </c>
    </row>
    <row r="717">
      <c r="K717" s="3">
        <f>IF(AND(IF($B$3="(todos)",TRUE,'ORDENES'!$O713=$B$3),IF($D$3="(todos)",TRUE,'ORDENES'!$AC713=$D$3),IF($F$3="(todos)",TRUE,'ORDENES'!$V713=$F$3),'ORDENES'!$AA713=TRUE),'ORDENES'!$AN713&amp;" | "&amp;'ORDENES'!$R713&amp;" | "&amp;IF('ORDENES'!$AB713="","(sin técnico)",'ORDENES'!$AB713)&amp;" | "&amp;'ORDENES'!$D713&amp;" ("&amp;'ORDENES'!$M713&amp;" h)","")</f>
        <v/>
      </c>
    </row>
    <row r="718">
      <c r="K718" s="3">
        <f>IF(AND(IF($B$3="(todos)",TRUE,'ORDENES'!$O714=$B$3),IF($D$3="(todos)",TRUE,'ORDENES'!$AC714=$D$3),IF($F$3="(todos)",TRUE,'ORDENES'!$V714=$F$3),'ORDENES'!$AA714=TRUE),'ORDENES'!$AN714&amp;" | "&amp;'ORDENES'!$R714&amp;" | "&amp;IF('ORDENES'!$AB714="","(sin técnico)",'ORDENES'!$AB714)&amp;" | "&amp;'ORDENES'!$D714&amp;" ("&amp;'ORDENES'!$M714&amp;" h)","")</f>
        <v/>
      </c>
    </row>
    <row r="719">
      <c r="K719" s="3">
        <f>IF(AND(IF($B$3="(todos)",TRUE,'ORDENES'!$O715=$B$3),IF($D$3="(todos)",TRUE,'ORDENES'!$AC715=$D$3),IF($F$3="(todos)",TRUE,'ORDENES'!$V715=$F$3),'ORDENES'!$AA715=TRUE),'ORDENES'!$AN715&amp;" | "&amp;'ORDENES'!$R715&amp;" | "&amp;IF('ORDENES'!$AB715="","(sin técnico)",'ORDENES'!$AB715)&amp;" | "&amp;'ORDENES'!$D715&amp;" ("&amp;'ORDENES'!$M715&amp;" h)","")</f>
        <v/>
      </c>
    </row>
    <row r="720">
      <c r="K720" s="3">
        <f>IF(AND(IF($B$3="(todos)",TRUE,'ORDENES'!$O716=$B$3),IF($D$3="(todos)",TRUE,'ORDENES'!$AC716=$D$3),IF($F$3="(todos)",TRUE,'ORDENES'!$V716=$F$3),'ORDENES'!$AA716=TRUE),'ORDENES'!$AN716&amp;" | "&amp;'ORDENES'!$R716&amp;" | "&amp;IF('ORDENES'!$AB716="","(sin técnico)",'ORDENES'!$AB716)&amp;" | "&amp;'ORDENES'!$D716&amp;" ("&amp;'ORDENES'!$M716&amp;" h)","")</f>
        <v/>
      </c>
    </row>
    <row r="721">
      <c r="K721" s="3">
        <f>IF(AND(IF($B$3="(todos)",TRUE,'ORDENES'!$O717=$B$3),IF($D$3="(todos)",TRUE,'ORDENES'!$AC717=$D$3),IF($F$3="(todos)",TRUE,'ORDENES'!$V717=$F$3),'ORDENES'!$AA717=TRUE),'ORDENES'!$AN717&amp;" | "&amp;'ORDENES'!$R717&amp;" | "&amp;IF('ORDENES'!$AB717="","(sin técnico)",'ORDENES'!$AB717)&amp;" | "&amp;'ORDENES'!$D717&amp;" ("&amp;'ORDENES'!$M717&amp;" h)","")</f>
        <v/>
      </c>
    </row>
    <row r="722">
      <c r="K722" s="3">
        <f>IF(AND(IF($B$3="(todos)",TRUE,'ORDENES'!$O718=$B$3),IF($D$3="(todos)",TRUE,'ORDENES'!$AC718=$D$3),IF($F$3="(todos)",TRUE,'ORDENES'!$V718=$F$3),'ORDENES'!$AA718=TRUE),'ORDENES'!$AN718&amp;" | "&amp;'ORDENES'!$R718&amp;" | "&amp;IF('ORDENES'!$AB718="","(sin técnico)",'ORDENES'!$AB718)&amp;" | "&amp;'ORDENES'!$D718&amp;" ("&amp;'ORDENES'!$M718&amp;" h)","")</f>
        <v/>
      </c>
    </row>
    <row r="723">
      <c r="K723" s="3">
        <f>IF(AND(IF($B$3="(todos)",TRUE,'ORDENES'!$O719=$B$3),IF($D$3="(todos)",TRUE,'ORDENES'!$AC719=$D$3),IF($F$3="(todos)",TRUE,'ORDENES'!$V719=$F$3),'ORDENES'!$AA719=TRUE),'ORDENES'!$AN719&amp;" | "&amp;'ORDENES'!$R719&amp;" | "&amp;IF('ORDENES'!$AB719="","(sin técnico)",'ORDENES'!$AB719)&amp;" | "&amp;'ORDENES'!$D719&amp;" ("&amp;'ORDENES'!$M719&amp;" h)","")</f>
        <v/>
      </c>
    </row>
    <row r="724">
      <c r="K724" s="3">
        <f>IF(AND(IF($B$3="(todos)",TRUE,'ORDENES'!$O720=$B$3),IF($D$3="(todos)",TRUE,'ORDENES'!$AC720=$D$3),IF($F$3="(todos)",TRUE,'ORDENES'!$V720=$F$3),'ORDENES'!$AA720=TRUE),'ORDENES'!$AN720&amp;" | "&amp;'ORDENES'!$R720&amp;" | "&amp;IF('ORDENES'!$AB720="","(sin técnico)",'ORDENES'!$AB720)&amp;" | "&amp;'ORDENES'!$D720&amp;" ("&amp;'ORDENES'!$M720&amp;" h)","")</f>
        <v/>
      </c>
    </row>
    <row r="725">
      <c r="K725" s="3">
        <f>IF(AND(IF($B$3="(todos)",TRUE,'ORDENES'!$O721=$B$3),IF($D$3="(todos)",TRUE,'ORDENES'!$AC721=$D$3),IF($F$3="(todos)",TRUE,'ORDENES'!$V721=$F$3),'ORDENES'!$AA721=TRUE),'ORDENES'!$AN721&amp;" | "&amp;'ORDENES'!$R721&amp;" | "&amp;IF('ORDENES'!$AB721="","(sin técnico)",'ORDENES'!$AB721)&amp;" | "&amp;'ORDENES'!$D721&amp;" ("&amp;'ORDENES'!$M721&amp;" h)","")</f>
        <v/>
      </c>
    </row>
    <row r="726">
      <c r="K726" s="3">
        <f>IF(AND(IF($B$3="(todos)",TRUE,'ORDENES'!$O722=$B$3),IF($D$3="(todos)",TRUE,'ORDENES'!$AC722=$D$3),IF($F$3="(todos)",TRUE,'ORDENES'!$V722=$F$3),'ORDENES'!$AA722=TRUE),'ORDENES'!$AN722&amp;" | "&amp;'ORDENES'!$R722&amp;" | "&amp;IF('ORDENES'!$AB722="","(sin técnico)",'ORDENES'!$AB722)&amp;" | "&amp;'ORDENES'!$D722&amp;" ("&amp;'ORDENES'!$M722&amp;" h)","")</f>
        <v/>
      </c>
    </row>
    <row r="727">
      <c r="K727" s="3">
        <f>IF(AND(IF($B$3="(todos)",TRUE,'ORDENES'!$O723=$B$3),IF($D$3="(todos)",TRUE,'ORDENES'!$AC723=$D$3),IF($F$3="(todos)",TRUE,'ORDENES'!$V723=$F$3),'ORDENES'!$AA723=TRUE),'ORDENES'!$AN723&amp;" | "&amp;'ORDENES'!$R723&amp;" | "&amp;IF('ORDENES'!$AB723="","(sin técnico)",'ORDENES'!$AB723)&amp;" | "&amp;'ORDENES'!$D723&amp;" ("&amp;'ORDENES'!$M723&amp;" h)","")</f>
        <v/>
      </c>
    </row>
    <row r="728">
      <c r="K728" s="3">
        <f>IF(AND(IF($B$3="(todos)",TRUE,'ORDENES'!$O724=$B$3),IF($D$3="(todos)",TRUE,'ORDENES'!$AC724=$D$3),IF($F$3="(todos)",TRUE,'ORDENES'!$V724=$F$3),'ORDENES'!$AA724=TRUE),'ORDENES'!$AN724&amp;" | "&amp;'ORDENES'!$R724&amp;" | "&amp;IF('ORDENES'!$AB724="","(sin técnico)",'ORDENES'!$AB724)&amp;" | "&amp;'ORDENES'!$D724&amp;" ("&amp;'ORDENES'!$M724&amp;" h)","")</f>
        <v/>
      </c>
    </row>
    <row r="729">
      <c r="K729" s="3">
        <f>IF(AND(IF($B$3="(todos)",TRUE,'ORDENES'!$O725=$B$3),IF($D$3="(todos)",TRUE,'ORDENES'!$AC725=$D$3),IF($F$3="(todos)",TRUE,'ORDENES'!$V725=$F$3),'ORDENES'!$AA725=TRUE),'ORDENES'!$AN725&amp;" | "&amp;'ORDENES'!$R725&amp;" | "&amp;IF('ORDENES'!$AB725="","(sin técnico)",'ORDENES'!$AB725)&amp;" | "&amp;'ORDENES'!$D725&amp;" ("&amp;'ORDENES'!$M725&amp;" h)","")</f>
        <v/>
      </c>
    </row>
    <row r="730">
      <c r="K730" s="3">
        <f>IF(AND(IF($B$3="(todos)",TRUE,'ORDENES'!$O726=$B$3),IF($D$3="(todos)",TRUE,'ORDENES'!$AC726=$D$3),IF($F$3="(todos)",TRUE,'ORDENES'!$V726=$F$3),'ORDENES'!$AA726=TRUE),'ORDENES'!$AN726&amp;" | "&amp;'ORDENES'!$R726&amp;" | "&amp;IF('ORDENES'!$AB726="","(sin técnico)",'ORDENES'!$AB726)&amp;" | "&amp;'ORDENES'!$D726&amp;" ("&amp;'ORDENES'!$M726&amp;" h)","")</f>
        <v/>
      </c>
    </row>
    <row r="731">
      <c r="K731" s="3">
        <f>IF(AND(IF($B$3="(todos)",TRUE,'ORDENES'!$O727=$B$3),IF($D$3="(todos)",TRUE,'ORDENES'!$AC727=$D$3),IF($F$3="(todos)",TRUE,'ORDENES'!$V727=$F$3),'ORDENES'!$AA727=TRUE),'ORDENES'!$AN727&amp;" | "&amp;'ORDENES'!$R727&amp;" | "&amp;IF('ORDENES'!$AB727="","(sin técnico)",'ORDENES'!$AB727)&amp;" | "&amp;'ORDENES'!$D727&amp;" ("&amp;'ORDENES'!$M727&amp;" h)","")</f>
        <v/>
      </c>
    </row>
    <row r="732">
      <c r="K732" s="3">
        <f>IF(AND(IF($B$3="(todos)",TRUE,'ORDENES'!$O728=$B$3),IF($D$3="(todos)",TRUE,'ORDENES'!$AC728=$D$3),IF($F$3="(todos)",TRUE,'ORDENES'!$V728=$F$3),'ORDENES'!$AA728=TRUE),'ORDENES'!$AN728&amp;" | "&amp;'ORDENES'!$R728&amp;" | "&amp;IF('ORDENES'!$AB728="","(sin técnico)",'ORDENES'!$AB728)&amp;" | "&amp;'ORDENES'!$D728&amp;" ("&amp;'ORDENES'!$M728&amp;" h)","")</f>
        <v/>
      </c>
    </row>
    <row r="733">
      <c r="K733" s="3">
        <f>IF(AND(IF($B$3="(todos)",TRUE,'ORDENES'!$O729=$B$3),IF($D$3="(todos)",TRUE,'ORDENES'!$AC729=$D$3),IF($F$3="(todos)",TRUE,'ORDENES'!$V729=$F$3),'ORDENES'!$AA729=TRUE),'ORDENES'!$AN729&amp;" | "&amp;'ORDENES'!$R729&amp;" | "&amp;IF('ORDENES'!$AB729="","(sin técnico)",'ORDENES'!$AB729)&amp;" | "&amp;'ORDENES'!$D729&amp;" ("&amp;'ORDENES'!$M729&amp;" h)","")</f>
        <v/>
      </c>
    </row>
    <row r="734">
      <c r="K734" s="3">
        <f>IF(AND(IF($B$3="(todos)",TRUE,'ORDENES'!$O730=$B$3),IF($D$3="(todos)",TRUE,'ORDENES'!$AC730=$D$3),IF($F$3="(todos)",TRUE,'ORDENES'!$V730=$F$3),'ORDENES'!$AA730=TRUE),'ORDENES'!$AN730&amp;" | "&amp;'ORDENES'!$R730&amp;" | "&amp;IF('ORDENES'!$AB730="","(sin técnico)",'ORDENES'!$AB730)&amp;" | "&amp;'ORDENES'!$D730&amp;" ("&amp;'ORDENES'!$M730&amp;" h)","")</f>
        <v/>
      </c>
    </row>
    <row r="735">
      <c r="K735" s="3">
        <f>IF(AND(IF($B$3="(todos)",TRUE,'ORDENES'!$O731=$B$3),IF($D$3="(todos)",TRUE,'ORDENES'!$AC731=$D$3),IF($F$3="(todos)",TRUE,'ORDENES'!$V731=$F$3),'ORDENES'!$AA731=TRUE),'ORDENES'!$AN731&amp;" | "&amp;'ORDENES'!$R731&amp;" | "&amp;IF('ORDENES'!$AB731="","(sin técnico)",'ORDENES'!$AB731)&amp;" | "&amp;'ORDENES'!$D731&amp;" ("&amp;'ORDENES'!$M731&amp;" h)","")</f>
        <v/>
      </c>
    </row>
    <row r="736">
      <c r="K736" s="3">
        <f>IF(AND(IF($B$3="(todos)",TRUE,'ORDENES'!$O732=$B$3),IF($D$3="(todos)",TRUE,'ORDENES'!$AC732=$D$3),IF($F$3="(todos)",TRUE,'ORDENES'!$V732=$F$3),'ORDENES'!$AA732=TRUE),'ORDENES'!$AN732&amp;" | "&amp;'ORDENES'!$R732&amp;" | "&amp;IF('ORDENES'!$AB732="","(sin técnico)",'ORDENES'!$AB732)&amp;" | "&amp;'ORDENES'!$D732&amp;" ("&amp;'ORDENES'!$M732&amp;" h)","")</f>
        <v/>
      </c>
    </row>
    <row r="737">
      <c r="K737" s="3">
        <f>IF(AND(IF($B$3="(todos)",TRUE,'ORDENES'!$O733=$B$3),IF($D$3="(todos)",TRUE,'ORDENES'!$AC733=$D$3),IF($F$3="(todos)",TRUE,'ORDENES'!$V733=$F$3),'ORDENES'!$AA733=TRUE),'ORDENES'!$AN733&amp;" | "&amp;'ORDENES'!$R733&amp;" | "&amp;IF('ORDENES'!$AB733="","(sin técnico)",'ORDENES'!$AB733)&amp;" | "&amp;'ORDENES'!$D733&amp;" ("&amp;'ORDENES'!$M733&amp;" h)","")</f>
        <v/>
      </c>
    </row>
    <row r="738">
      <c r="K738" s="3">
        <f>IF(AND(IF($B$3="(todos)",TRUE,'ORDENES'!$O734=$B$3),IF($D$3="(todos)",TRUE,'ORDENES'!$AC734=$D$3),IF($F$3="(todos)",TRUE,'ORDENES'!$V734=$F$3),'ORDENES'!$AA734=TRUE),'ORDENES'!$AN734&amp;" | "&amp;'ORDENES'!$R734&amp;" | "&amp;IF('ORDENES'!$AB734="","(sin técnico)",'ORDENES'!$AB734)&amp;" | "&amp;'ORDENES'!$D734&amp;" ("&amp;'ORDENES'!$M734&amp;" h)","")</f>
        <v/>
      </c>
    </row>
    <row r="739">
      <c r="K739" s="3">
        <f>IF(AND(IF($B$3="(todos)",TRUE,'ORDENES'!$O735=$B$3),IF($D$3="(todos)",TRUE,'ORDENES'!$AC735=$D$3),IF($F$3="(todos)",TRUE,'ORDENES'!$V735=$F$3),'ORDENES'!$AA735=TRUE),'ORDENES'!$AN735&amp;" | "&amp;'ORDENES'!$R735&amp;" | "&amp;IF('ORDENES'!$AB735="","(sin técnico)",'ORDENES'!$AB735)&amp;" | "&amp;'ORDENES'!$D735&amp;" ("&amp;'ORDENES'!$M735&amp;" h)","")</f>
        <v/>
      </c>
    </row>
    <row r="740">
      <c r="K740" s="3">
        <f>IF(AND(IF($B$3="(todos)",TRUE,'ORDENES'!$O736=$B$3),IF($D$3="(todos)",TRUE,'ORDENES'!$AC736=$D$3),IF($F$3="(todos)",TRUE,'ORDENES'!$V736=$F$3),'ORDENES'!$AA736=TRUE),'ORDENES'!$AN736&amp;" | "&amp;'ORDENES'!$R736&amp;" | "&amp;IF('ORDENES'!$AB736="","(sin técnico)",'ORDENES'!$AB736)&amp;" | "&amp;'ORDENES'!$D736&amp;" ("&amp;'ORDENES'!$M736&amp;" h)","")</f>
        <v/>
      </c>
    </row>
    <row r="741">
      <c r="K741" s="3">
        <f>IF(AND(IF($B$3="(todos)",TRUE,'ORDENES'!$O737=$B$3),IF($D$3="(todos)",TRUE,'ORDENES'!$AC737=$D$3),IF($F$3="(todos)",TRUE,'ORDENES'!$V737=$F$3),'ORDENES'!$AA737=TRUE),'ORDENES'!$AN737&amp;" | "&amp;'ORDENES'!$R737&amp;" | "&amp;IF('ORDENES'!$AB737="","(sin técnico)",'ORDENES'!$AB737)&amp;" | "&amp;'ORDENES'!$D737&amp;" ("&amp;'ORDENES'!$M737&amp;" h)","")</f>
        <v/>
      </c>
    </row>
    <row r="742">
      <c r="K742" s="3">
        <f>IF(AND(IF($B$3="(todos)",TRUE,'ORDENES'!$O738=$B$3),IF($D$3="(todos)",TRUE,'ORDENES'!$AC738=$D$3),IF($F$3="(todos)",TRUE,'ORDENES'!$V738=$F$3),'ORDENES'!$AA738=TRUE),'ORDENES'!$AN738&amp;" | "&amp;'ORDENES'!$R738&amp;" | "&amp;IF('ORDENES'!$AB738="","(sin técnico)",'ORDENES'!$AB738)&amp;" | "&amp;'ORDENES'!$D738&amp;" ("&amp;'ORDENES'!$M738&amp;" h)","")</f>
        <v/>
      </c>
    </row>
    <row r="743">
      <c r="K743" s="3">
        <f>IF(AND(IF($B$3="(todos)",TRUE,'ORDENES'!$O739=$B$3),IF($D$3="(todos)",TRUE,'ORDENES'!$AC739=$D$3),IF($F$3="(todos)",TRUE,'ORDENES'!$V739=$F$3),'ORDENES'!$AA739=TRUE),'ORDENES'!$AN739&amp;" | "&amp;'ORDENES'!$R739&amp;" | "&amp;IF('ORDENES'!$AB739="","(sin técnico)",'ORDENES'!$AB739)&amp;" | "&amp;'ORDENES'!$D739&amp;" ("&amp;'ORDENES'!$M739&amp;" h)","")</f>
        <v/>
      </c>
    </row>
    <row r="744">
      <c r="K744" s="3">
        <f>IF(AND(IF($B$3="(todos)",TRUE,'ORDENES'!$O740=$B$3),IF($D$3="(todos)",TRUE,'ORDENES'!$AC740=$D$3),IF($F$3="(todos)",TRUE,'ORDENES'!$V740=$F$3),'ORDENES'!$AA740=TRUE),'ORDENES'!$AN740&amp;" | "&amp;'ORDENES'!$R740&amp;" | "&amp;IF('ORDENES'!$AB740="","(sin técnico)",'ORDENES'!$AB740)&amp;" | "&amp;'ORDENES'!$D740&amp;" ("&amp;'ORDENES'!$M740&amp;" h)","")</f>
        <v/>
      </c>
    </row>
    <row r="745">
      <c r="K745" s="3">
        <f>IF(AND(IF($B$3="(todos)",TRUE,'ORDENES'!$O741=$B$3),IF($D$3="(todos)",TRUE,'ORDENES'!$AC741=$D$3),IF($F$3="(todos)",TRUE,'ORDENES'!$V741=$F$3),'ORDENES'!$AA741=TRUE),'ORDENES'!$AN741&amp;" | "&amp;'ORDENES'!$R741&amp;" | "&amp;IF('ORDENES'!$AB741="","(sin técnico)",'ORDENES'!$AB741)&amp;" | "&amp;'ORDENES'!$D741&amp;" ("&amp;'ORDENES'!$M741&amp;" h)","")</f>
        <v/>
      </c>
    </row>
    <row r="746">
      <c r="K746" s="3">
        <f>IF(AND(IF($B$3="(todos)",TRUE,'ORDENES'!$O742=$B$3),IF($D$3="(todos)",TRUE,'ORDENES'!$AC742=$D$3),IF($F$3="(todos)",TRUE,'ORDENES'!$V742=$F$3),'ORDENES'!$AA742=TRUE),'ORDENES'!$AN742&amp;" | "&amp;'ORDENES'!$R742&amp;" | "&amp;IF('ORDENES'!$AB742="","(sin técnico)",'ORDENES'!$AB742)&amp;" | "&amp;'ORDENES'!$D742&amp;" ("&amp;'ORDENES'!$M742&amp;" h)","")</f>
        <v/>
      </c>
    </row>
    <row r="747">
      <c r="K747" s="3">
        <f>IF(AND(IF($B$3="(todos)",TRUE,'ORDENES'!$O743=$B$3),IF($D$3="(todos)",TRUE,'ORDENES'!$AC743=$D$3),IF($F$3="(todos)",TRUE,'ORDENES'!$V743=$F$3),'ORDENES'!$AA743=TRUE),'ORDENES'!$AN743&amp;" | "&amp;'ORDENES'!$R743&amp;" | "&amp;IF('ORDENES'!$AB743="","(sin técnico)",'ORDENES'!$AB743)&amp;" | "&amp;'ORDENES'!$D743&amp;" ("&amp;'ORDENES'!$M743&amp;" h)","")</f>
        <v/>
      </c>
    </row>
    <row r="748">
      <c r="K748" s="3">
        <f>IF(AND(IF($B$3="(todos)",TRUE,'ORDENES'!$O744=$B$3),IF($D$3="(todos)",TRUE,'ORDENES'!$AC744=$D$3),IF($F$3="(todos)",TRUE,'ORDENES'!$V744=$F$3),'ORDENES'!$AA744=TRUE),'ORDENES'!$AN744&amp;" | "&amp;'ORDENES'!$R744&amp;" | "&amp;IF('ORDENES'!$AB744="","(sin técnico)",'ORDENES'!$AB744)&amp;" | "&amp;'ORDENES'!$D744&amp;" ("&amp;'ORDENES'!$M744&amp;" h)","")</f>
        <v/>
      </c>
    </row>
    <row r="749">
      <c r="K749" s="3">
        <f>IF(AND(IF($B$3="(todos)",TRUE,'ORDENES'!$O745=$B$3),IF($D$3="(todos)",TRUE,'ORDENES'!$AC745=$D$3),IF($F$3="(todos)",TRUE,'ORDENES'!$V745=$F$3),'ORDENES'!$AA745=TRUE),'ORDENES'!$AN745&amp;" | "&amp;'ORDENES'!$R745&amp;" | "&amp;IF('ORDENES'!$AB745="","(sin técnico)",'ORDENES'!$AB745)&amp;" | "&amp;'ORDENES'!$D745&amp;" ("&amp;'ORDENES'!$M745&amp;" h)","")</f>
        <v/>
      </c>
    </row>
    <row r="750">
      <c r="K750" s="3">
        <f>IF(AND(IF($B$3="(todos)",TRUE,'ORDENES'!$O746=$B$3),IF($D$3="(todos)",TRUE,'ORDENES'!$AC746=$D$3),IF($F$3="(todos)",TRUE,'ORDENES'!$V746=$F$3),'ORDENES'!$AA746=TRUE),'ORDENES'!$AN746&amp;" | "&amp;'ORDENES'!$R746&amp;" | "&amp;IF('ORDENES'!$AB746="","(sin técnico)",'ORDENES'!$AB746)&amp;" | "&amp;'ORDENES'!$D746&amp;" ("&amp;'ORDENES'!$M746&amp;" h)","")</f>
        <v/>
      </c>
    </row>
    <row r="751">
      <c r="K751" s="3">
        <f>IF(AND(IF($B$3="(todos)",TRUE,'ORDENES'!$O747=$B$3),IF($D$3="(todos)",TRUE,'ORDENES'!$AC747=$D$3),IF($F$3="(todos)",TRUE,'ORDENES'!$V747=$F$3),'ORDENES'!$AA747=TRUE),'ORDENES'!$AN747&amp;" | "&amp;'ORDENES'!$R747&amp;" | "&amp;IF('ORDENES'!$AB747="","(sin técnico)",'ORDENES'!$AB747)&amp;" | "&amp;'ORDENES'!$D747&amp;" ("&amp;'ORDENES'!$M747&amp;" h)","")</f>
        <v/>
      </c>
    </row>
    <row r="752">
      <c r="K752" s="3">
        <f>IF(AND(IF($B$3="(todos)",TRUE,'ORDENES'!$O748=$B$3),IF($D$3="(todos)",TRUE,'ORDENES'!$AC748=$D$3),IF($F$3="(todos)",TRUE,'ORDENES'!$V748=$F$3),'ORDENES'!$AA748=TRUE),'ORDENES'!$AN748&amp;" | "&amp;'ORDENES'!$R748&amp;" | "&amp;IF('ORDENES'!$AB748="","(sin técnico)",'ORDENES'!$AB748)&amp;" | "&amp;'ORDENES'!$D748&amp;" ("&amp;'ORDENES'!$M748&amp;" h)","")</f>
        <v/>
      </c>
    </row>
    <row r="753">
      <c r="K753" s="3">
        <f>IF(AND(IF($B$3="(todos)",TRUE,'ORDENES'!$O749=$B$3),IF($D$3="(todos)",TRUE,'ORDENES'!$AC749=$D$3),IF($F$3="(todos)",TRUE,'ORDENES'!$V749=$F$3),'ORDENES'!$AA749=TRUE),'ORDENES'!$AN749&amp;" | "&amp;'ORDENES'!$R749&amp;" | "&amp;IF('ORDENES'!$AB749="","(sin técnico)",'ORDENES'!$AB749)&amp;" | "&amp;'ORDENES'!$D749&amp;" ("&amp;'ORDENES'!$M749&amp;" h)","")</f>
        <v/>
      </c>
    </row>
    <row r="754">
      <c r="K754" s="3">
        <f>IF(AND(IF($B$3="(todos)",TRUE,'ORDENES'!$O750=$B$3),IF($D$3="(todos)",TRUE,'ORDENES'!$AC750=$D$3),IF($F$3="(todos)",TRUE,'ORDENES'!$V750=$F$3),'ORDENES'!$AA750=TRUE),'ORDENES'!$AN750&amp;" | "&amp;'ORDENES'!$R750&amp;" | "&amp;IF('ORDENES'!$AB750="","(sin técnico)",'ORDENES'!$AB750)&amp;" | "&amp;'ORDENES'!$D750&amp;" ("&amp;'ORDENES'!$M750&amp;" h)","")</f>
        <v/>
      </c>
    </row>
    <row r="755">
      <c r="K755" s="3">
        <f>IF(AND(IF($B$3="(todos)",TRUE,'ORDENES'!$O751=$B$3),IF($D$3="(todos)",TRUE,'ORDENES'!$AC751=$D$3),IF($F$3="(todos)",TRUE,'ORDENES'!$V751=$F$3),'ORDENES'!$AA751=TRUE),'ORDENES'!$AN751&amp;" | "&amp;'ORDENES'!$R751&amp;" | "&amp;IF('ORDENES'!$AB751="","(sin técnico)",'ORDENES'!$AB751)&amp;" | "&amp;'ORDENES'!$D751&amp;" ("&amp;'ORDENES'!$M751&amp;" h)","")</f>
        <v/>
      </c>
    </row>
    <row r="756">
      <c r="K756" s="3">
        <f>IF(AND(IF($B$3="(todos)",TRUE,'ORDENES'!$O752=$B$3),IF($D$3="(todos)",TRUE,'ORDENES'!$AC752=$D$3),IF($F$3="(todos)",TRUE,'ORDENES'!$V752=$F$3),'ORDENES'!$AA752=TRUE),'ORDENES'!$AN752&amp;" | "&amp;'ORDENES'!$R752&amp;" | "&amp;IF('ORDENES'!$AB752="","(sin técnico)",'ORDENES'!$AB752)&amp;" | "&amp;'ORDENES'!$D752&amp;" ("&amp;'ORDENES'!$M752&amp;" h)","")</f>
        <v/>
      </c>
    </row>
    <row r="757">
      <c r="K757" s="3">
        <f>IF(AND(IF($B$3="(todos)",TRUE,'ORDENES'!$O753=$B$3),IF($D$3="(todos)",TRUE,'ORDENES'!$AC753=$D$3),IF($F$3="(todos)",TRUE,'ORDENES'!$V753=$F$3),'ORDENES'!$AA753=TRUE),'ORDENES'!$AN753&amp;" | "&amp;'ORDENES'!$R753&amp;" | "&amp;IF('ORDENES'!$AB753="","(sin técnico)",'ORDENES'!$AB753)&amp;" | "&amp;'ORDENES'!$D753&amp;" ("&amp;'ORDENES'!$M753&amp;" h)","")</f>
        <v/>
      </c>
    </row>
    <row r="758">
      <c r="K758" s="3">
        <f>IF(AND(IF($B$3="(todos)",TRUE,'ORDENES'!$O754=$B$3),IF($D$3="(todos)",TRUE,'ORDENES'!$AC754=$D$3),IF($F$3="(todos)",TRUE,'ORDENES'!$V754=$F$3),'ORDENES'!$AA754=TRUE),'ORDENES'!$AN754&amp;" | "&amp;'ORDENES'!$R754&amp;" | "&amp;IF('ORDENES'!$AB754="","(sin técnico)",'ORDENES'!$AB754)&amp;" | "&amp;'ORDENES'!$D754&amp;" ("&amp;'ORDENES'!$M754&amp;" h)","")</f>
        <v/>
      </c>
    </row>
    <row r="759">
      <c r="K759" s="3">
        <f>IF(AND(IF($B$3="(todos)",TRUE,'ORDENES'!$O755=$B$3),IF($D$3="(todos)",TRUE,'ORDENES'!$AC755=$D$3),IF($F$3="(todos)",TRUE,'ORDENES'!$V755=$F$3),'ORDENES'!$AA755=TRUE),'ORDENES'!$AN755&amp;" | "&amp;'ORDENES'!$R755&amp;" | "&amp;IF('ORDENES'!$AB755="","(sin técnico)",'ORDENES'!$AB755)&amp;" | "&amp;'ORDENES'!$D755&amp;" ("&amp;'ORDENES'!$M755&amp;" h)","")</f>
        <v/>
      </c>
    </row>
    <row r="760">
      <c r="K760" s="3">
        <f>IF(AND(IF($B$3="(todos)",TRUE,'ORDENES'!$O756=$B$3),IF($D$3="(todos)",TRUE,'ORDENES'!$AC756=$D$3),IF($F$3="(todos)",TRUE,'ORDENES'!$V756=$F$3),'ORDENES'!$AA756=TRUE),'ORDENES'!$AN756&amp;" | "&amp;'ORDENES'!$R756&amp;" | "&amp;IF('ORDENES'!$AB756="","(sin técnico)",'ORDENES'!$AB756)&amp;" | "&amp;'ORDENES'!$D756&amp;" ("&amp;'ORDENES'!$M756&amp;" h)","")</f>
        <v/>
      </c>
    </row>
    <row r="761">
      <c r="K761" s="3">
        <f>IF(AND(IF($B$3="(todos)",TRUE,'ORDENES'!$O757=$B$3),IF($D$3="(todos)",TRUE,'ORDENES'!$AC757=$D$3),IF($F$3="(todos)",TRUE,'ORDENES'!$V757=$F$3),'ORDENES'!$AA757=TRUE),'ORDENES'!$AN757&amp;" | "&amp;'ORDENES'!$R757&amp;" | "&amp;IF('ORDENES'!$AB757="","(sin técnico)",'ORDENES'!$AB757)&amp;" | "&amp;'ORDENES'!$D757&amp;" ("&amp;'ORDENES'!$M757&amp;" h)","")</f>
        <v/>
      </c>
    </row>
    <row r="762">
      <c r="K762" s="3">
        <f>IF(AND(IF($B$3="(todos)",TRUE,'ORDENES'!$O758=$B$3),IF($D$3="(todos)",TRUE,'ORDENES'!$AC758=$D$3),IF($F$3="(todos)",TRUE,'ORDENES'!$V758=$F$3),'ORDENES'!$AA758=TRUE),'ORDENES'!$AN758&amp;" | "&amp;'ORDENES'!$R758&amp;" | "&amp;IF('ORDENES'!$AB758="","(sin técnico)",'ORDENES'!$AB758)&amp;" | "&amp;'ORDENES'!$D758&amp;" ("&amp;'ORDENES'!$M758&amp;" h)","")</f>
        <v/>
      </c>
    </row>
    <row r="763">
      <c r="K763" s="3">
        <f>IF(AND(IF($B$3="(todos)",TRUE,'ORDENES'!$O759=$B$3),IF($D$3="(todos)",TRUE,'ORDENES'!$AC759=$D$3),IF($F$3="(todos)",TRUE,'ORDENES'!$V759=$F$3),'ORDENES'!$AA759=TRUE),'ORDENES'!$AN759&amp;" | "&amp;'ORDENES'!$R759&amp;" | "&amp;IF('ORDENES'!$AB759="","(sin técnico)",'ORDENES'!$AB759)&amp;" | "&amp;'ORDENES'!$D759&amp;" ("&amp;'ORDENES'!$M759&amp;" h)","")</f>
        <v/>
      </c>
    </row>
    <row r="764">
      <c r="K764" s="3">
        <f>IF(AND(IF($B$3="(todos)",TRUE,'ORDENES'!$O760=$B$3),IF($D$3="(todos)",TRUE,'ORDENES'!$AC760=$D$3),IF($F$3="(todos)",TRUE,'ORDENES'!$V760=$F$3),'ORDENES'!$AA760=TRUE),'ORDENES'!$AN760&amp;" | "&amp;'ORDENES'!$R760&amp;" | "&amp;IF('ORDENES'!$AB760="","(sin técnico)",'ORDENES'!$AB760)&amp;" | "&amp;'ORDENES'!$D760&amp;" ("&amp;'ORDENES'!$M760&amp;" h)","")</f>
        <v/>
      </c>
    </row>
    <row r="765">
      <c r="K765" s="3">
        <f>IF(AND(IF($B$3="(todos)",TRUE,'ORDENES'!$O761=$B$3),IF($D$3="(todos)",TRUE,'ORDENES'!$AC761=$D$3),IF($F$3="(todos)",TRUE,'ORDENES'!$V761=$F$3),'ORDENES'!$AA761=TRUE),'ORDENES'!$AN761&amp;" | "&amp;'ORDENES'!$R761&amp;" | "&amp;IF('ORDENES'!$AB761="","(sin técnico)",'ORDENES'!$AB761)&amp;" | "&amp;'ORDENES'!$D761&amp;" ("&amp;'ORDENES'!$M761&amp;" h)","")</f>
        <v/>
      </c>
    </row>
    <row r="766">
      <c r="K766" s="3">
        <f>IF(AND(IF($B$3="(todos)",TRUE,'ORDENES'!$O762=$B$3),IF($D$3="(todos)",TRUE,'ORDENES'!$AC762=$D$3),IF($F$3="(todos)",TRUE,'ORDENES'!$V762=$F$3),'ORDENES'!$AA762=TRUE),'ORDENES'!$AN762&amp;" | "&amp;'ORDENES'!$R762&amp;" | "&amp;IF('ORDENES'!$AB762="","(sin técnico)",'ORDENES'!$AB762)&amp;" | "&amp;'ORDENES'!$D762&amp;" ("&amp;'ORDENES'!$M762&amp;" h)","")</f>
        <v/>
      </c>
    </row>
    <row r="767">
      <c r="K767" s="3">
        <f>IF(AND(IF($B$3="(todos)",TRUE,'ORDENES'!$O763=$B$3),IF($D$3="(todos)",TRUE,'ORDENES'!$AC763=$D$3),IF($F$3="(todos)",TRUE,'ORDENES'!$V763=$F$3),'ORDENES'!$AA763=TRUE),'ORDENES'!$AN763&amp;" | "&amp;'ORDENES'!$R763&amp;" | "&amp;IF('ORDENES'!$AB763="","(sin técnico)",'ORDENES'!$AB763)&amp;" | "&amp;'ORDENES'!$D763&amp;" ("&amp;'ORDENES'!$M763&amp;" h)","")</f>
        <v/>
      </c>
    </row>
    <row r="768">
      <c r="K768" s="3">
        <f>IF(AND(IF($B$3="(todos)",TRUE,'ORDENES'!$O764=$B$3),IF($D$3="(todos)",TRUE,'ORDENES'!$AC764=$D$3),IF($F$3="(todos)",TRUE,'ORDENES'!$V764=$F$3),'ORDENES'!$AA764=TRUE),'ORDENES'!$AN764&amp;" | "&amp;'ORDENES'!$R764&amp;" | "&amp;IF('ORDENES'!$AB764="","(sin técnico)",'ORDENES'!$AB764)&amp;" | "&amp;'ORDENES'!$D764&amp;" ("&amp;'ORDENES'!$M764&amp;" h)","")</f>
        <v/>
      </c>
    </row>
    <row r="769">
      <c r="K769" s="3">
        <f>IF(AND(IF($B$3="(todos)",TRUE,'ORDENES'!$O765=$B$3),IF($D$3="(todos)",TRUE,'ORDENES'!$AC765=$D$3),IF($F$3="(todos)",TRUE,'ORDENES'!$V765=$F$3),'ORDENES'!$AA765=TRUE),'ORDENES'!$AN765&amp;" | "&amp;'ORDENES'!$R765&amp;" | "&amp;IF('ORDENES'!$AB765="","(sin técnico)",'ORDENES'!$AB765)&amp;" | "&amp;'ORDENES'!$D765&amp;" ("&amp;'ORDENES'!$M765&amp;" h)","")</f>
        <v/>
      </c>
    </row>
    <row r="770">
      <c r="K770" s="3">
        <f>IF(AND(IF($B$3="(todos)",TRUE,'ORDENES'!$O766=$B$3),IF($D$3="(todos)",TRUE,'ORDENES'!$AC766=$D$3),IF($F$3="(todos)",TRUE,'ORDENES'!$V766=$F$3),'ORDENES'!$AA766=TRUE),'ORDENES'!$AN766&amp;" | "&amp;'ORDENES'!$R766&amp;" | "&amp;IF('ORDENES'!$AB766="","(sin técnico)",'ORDENES'!$AB766)&amp;" | "&amp;'ORDENES'!$D766&amp;" ("&amp;'ORDENES'!$M766&amp;" h)","")</f>
        <v/>
      </c>
    </row>
    <row r="771">
      <c r="K771" s="3">
        <f>IF(AND(IF($B$3="(todos)",TRUE,'ORDENES'!$O767=$B$3),IF($D$3="(todos)",TRUE,'ORDENES'!$AC767=$D$3),IF($F$3="(todos)",TRUE,'ORDENES'!$V767=$F$3),'ORDENES'!$AA767=TRUE),'ORDENES'!$AN767&amp;" | "&amp;'ORDENES'!$R767&amp;" | "&amp;IF('ORDENES'!$AB767="","(sin técnico)",'ORDENES'!$AB767)&amp;" | "&amp;'ORDENES'!$D767&amp;" ("&amp;'ORDENES'!$M767&amp;" h)","")</f>
        <v/>
      </c>
    </row>
    <row r="772">
      <c r="K772" s="3">
        <f>IF(AND(IF($B$3="(todos)",TRUE,'ORDENES'!$O768=$B$3),IF($D$3="(todos)",TRUE,'ORDENES'!$AC768=$D$3),IF($F$3="(todos)",TRUE,'ORDENES'!$V768=$F$3),'ORDENES'!$AA768=TRUE),'ORDENES'!$AN768&amp;" | "&amp;'ORDENES'!$R768&amp;" | "&amp;IF('ORDENES'!$AB768="","(sin técnico)",'ORDENES'!$AB768)&amp;" | "&amp;'ORDENES'!$D768&amp;" ("&amp;'ORDENES'!$M768&amp;" h)","")</f>
        <v/>
      </c>
    </row>
    <row r="773">
      <c r="K773" s="3">
        <f>IF(AND(IF($B$3="(todos)",TRUE,'ORDENES'!$O769=$B$3),IF($D$3="(todos)",TRUE,'ORDENES'!$AC769=$D$3),IF($F$3="(todos)",TRUE,'ORDENES'!$V769=$F$3),'ORDENES'!$AA769=TRUE),'ORDENES'!$AN769&amp;" | "&amp;'ORDENES'!$R769&amp;" | "&amp;IF('ORDENES'!$AB769="","(sin técnico)",'ORDENES'!$AB769)&amp;" | "&amp;'ORDENES'!$D769&amp;" ("&amp;'ORDENES'!$M769&amp;" h)","")</f>
        <v/>
      </c>
    </row>
    <row r="774">
      <c r="K774" s="3">
        <f>IF(AND(IF($B$3="(todos)",TRUE,'ORDENES'!$O770=$B$3),IF($D$3="(todos)",TRUE,'ORDENES'!$AC770=$D$3),IF($F$3="(todos)",TRUE,'ORDENES'!$V770=$F$3),'ORDENES'!$AA770=TRUE),'ORDENES'!$AN770&amp;" | "&amp;'ORDENES'!$R770&amp;" | "&amp;IF('ORDENES'!$AB770="","(sin técnico)",'ORDENES'!$AB770)&amp;" | "&amp;'ORDENES'!$D770&amp;" ("&amp;'ORDENES'!$M770&amp;" h)","")</f>
        <v/>
      </c>
    </row>
    <row r="775">
      <c r="K775" s="3">
        <f>IF(AND(IF($B$3="(todos)",TRUE,'ORDENES'!$O771=$B$3),IF($D$3="(todos)",TRUE,'ORDENES'!$AC771=$D$3),IF($F$3="(todos)",TRUE,'ORDENES'!$V771=$F$3),'ORDENES'!$AA771=TRUE),'ORDENES'!$AN771&amp;" | "&amp;'ORDENES'!$R771&amp;" | "&amp;IF('ORDENES'!$AB771="","(sin técnico)",'ORDENES'!$AB771)&amp;" | "&amp;'ORDENES'!$D771&amp;" ("&amp;'ORDENES'!$M771&amp;" h)","")</f>
        <v/>
      </c>
    </row>
    <row r="776">
      <c r="K776" s="3">
        <f>IF(AND(IF($B$3="(todos)",TRUE,'ORDENES'!$O772=$B$3),IF($D$3="(todos)",TRUE,'ORDENES'!$AC772=$D$3),IF($F$3="(todos)",TRUE,'ORDENES'!$V772=$F$3),'ORDENES'!$AA772=TRUE),'ORDENES'!$AN772&amp;" | "&amp;'ORDENES'!$R772&amp;" | "&amp;IF('ORDENES'!$AB772="","(sin técnico)",'ORDENES'!$AB772)&amp;" | "&amp;'ORDENES'!$D772&amp;" ("&amp;'ORDENES'!$M772&amp;" h)","")</f>
        <v/>
      </c>
    </row>
    <row r="777">
      <c r="K777" s="3">
        <f>IF(AND(IF($B$3="(todos)",TRUE,'ORDENES'!$O773=$B$3),IF($D$3="(todos)",TRUE,'ORDENES'!$AC773=$D$3),IF($F$3="(todos)",TRUE,'ORDENES'!$V773=$F$3),'ORDENES'!$AA773=TRUE),'ORDENES'!$AN773&amp;" | "&amp;'ORDENES'!$R773&amp;" | "&amp;IF('ORDENES'!$AB773="","(sin técnico)",'ORDENES'!$AB773)&amp;" | "&amp;'ORDENES'!$D773&amp;" ("&amp;'ORDENES'!$M773&amp;" h)","")</f>
        <v/>
      </c>
    </row>
    <row r="778">
      <c r="K778" s="3">
        <f>IF(AND(IF($B$3="(todos)",TRUE,'ORDENES'!$O774=$B$3),IF($D$3="(todos)",TRUE,'ORDENES'!$AC774=$D$3),IF($F$3="(todos)",TRUE,'ORDENES'!$V774=$F$3),'ORDENES'!$AA774=TRUE),'ORDENES'!$AN774&amp;" | "&amp;'ORDENES'!$R774&amp;" | "&amp;IF('ORDENES'!$AB774="","(sin técnico)",'ORDENES'!$AB774)&amp;" | "&amp;'ORDENES'!$D774&amp;" ("&amp;'ORDENES'!$M774&amp;" h)","")</f>
        <v/>
      </c>
    </row>
    <row r="779">
      <c r="K779" s="3">
        <f>IF(AND(IF($B$3="(todos)",TRUE,'ORDENES'!$O775=$B$3),IF($D$3="(todos)",TRUE,'ORDENES'!$AC775=$D$3),IF($F$3="(todos)",TRUE,'ORDENES'!$V775=$F$3),'ORDENES'!$AA775=TRUE),'ORDENES'!$AN775&amp;" | "&amp;'ORDENES'!$R775&amp;" | "&amp;IF('ORDENES'!$AB775="","(sin técnico)",'ORDENES'!$AB775)&amp;" | "&amp;'ORDENES'!$D775&amp;" ("&amp;'ORDENES'!$M775&amp;" h)","")</f>
        <v/>
      </c>
    </row>
    <row r="780">
      <c r="K780" s="3">
        <f>IF(AND(IF($B$3="(todos)",TRUE,'ORDENES'!$O776=$B$3),IF($D$3="(todos)",TRUE,'ORDENES'!$AC776=$D$3),IF($F$3="(todos)",TRUE,'ORDENES'!$V776=$F$3),'ORDENES'!$AA776=TRUE),'ORDENES'!$AN776&amp;" | "&amp;'ORDENES'!$R776&amp;" | "&amp;IF('ORDENES'!$AB776="","(sin técnico)",'ORDENES'!$AB776)&amp;" | "&amp;'ORDENES'!$D776&amp;" ("&amp;'ORDENES'!$M776&amp;" h)","")</f>
        <v/>
      </c>
    </row>
    <row r="781">
      <c r="K781" s="3">
        <f>IF(AND(IF($B$3="(todos)",TRUE,'ORDENES'!$O777=$B$3),IF($D$3="(todos)",TRUE,'ORDENES'!$AC777=$D$3),IF($F$3="(todos)",TRUE,'ORDENES'!$V777=$F$3),'ORDENES'!$AA777=TRUE),'ORDENES'!$AN777&amp;" | "&amp;'ORDENES'!$R777&amp;" | "&amp;IF('ORDENES'!$AB777="","(sin técnico)",'ORDENES'!$AB777)&amp;" | "&amp;'ORDENES'!$D777&amp;" ("&amp;'ORDENES'!$M777&amp;" h)","")</f>
        <v/>
      </c>
    </row>
    <row r="782">
      <c r="K782" s="3">
        <f>IF(AND(IF($B$3="(todos)",TRUE,'ORDENES'!$O778=$B$3),IF($D$3="(todos)",TRUE,'ORDENES'!$AC778=$D$3),IF($F$3="(todos)",TRUE,'ORDENES'!$V778=$F$3),'ORDENES'!$AA778=TRUE),'ORDENES'!$AN778&amp;" | "&amp;'ORDENES'!$R778&amp;" | "&amp;IF('ORDENES'!$AB778="","(sin técnico)",'ORDENES'!$AB778)&amp;" | "&amp;'ORDENES'!$D778&amp;" ("&amp;'ORDENES'!$M778&amp;" h)","")</f>
        <v/>
      </c>
    </row>
    <row r="783">
      <c r="K783" s="3">
        <f>IF(AND(IF($B$3="(todos)",TRUE,'ORDENES'!$O779=$B$3),IF($D$3="(todos)",TRUE,'ORDENES'!$AC779=$D$3),IF($F$3="(todos)",TRUE,'ORDENES'!$V779=$F$3),'ORDENES'!$AA779=TRUE),'ORDENES'!$AN779&amp;" | "&amp;'ORDENES'!$R779&amp;" | "&amp;IF('ORDENES'!$AB779="","(sin técnico)",'ORDENES'!$AB779)&amp;" | "&amp;'ORDENES'!$D779&amp;" ("&amp;'ORDENES'!$M779&amp;" h)","")</f>
        <v/>
      </c>
    </row>
    <row r="784">
      <c r="K784" s="3">
        <f>IF(AND(IF($B$3="(todos)",TRUE,'ORDENES'!$O780=$B$3),IF($D$3="(todos)",TRUE,'ORDENES'!$AC780=$D$3),IF($F$3="(todos)",TRUE,'ORDENES'!$V780=$F$3),'ORDENES'!$AA780=TRUE),'ORDENES'!$AN780&amp;" | "&amp;'ORDENES'!$R780&amp;" | "&amp;IF('ORDENES'!$AB780="","(sin técnico)",'ORDENES'!$AB780)&amp;" | "&amp;'ORDENES'!$D780&amp;" ("&amp;'ORDENES'!$M780&amp;" h)","")</f>
        <v/>
      </c>
    </row>
    <row r="785">
      <c r="K785" s="3">
        <f>IF(AND(IF($B$3="(todos)",TRUE,'ORDENES'!$O781=$B$3),IF($D$3="(todos)",TRUE,'ORDENES'!$AC781=$D$3),IF($F$3="(todos)",TRUE,'ORDENES'!$V781=$F$3),'ORDENES'!$AA781=TRUE),'ORDENES'!$AN781&amp;" | "&amp;'ORDENES'!$R781&amp;" | "&amp;IF('ORDENES'!$AB781="","(sin técnico)",'ORDENES'!$AB781)&amp;" | "&amp;'ORDENES'!$D781&amp;" ("&amp;'ORDENES'!$M781&amp;" h)","")</f>
        <v/>
      </c>
    </row>
    <row r="786">
      <c r="K786" s="3">
        <f>IF(AND(IF($B$3="(todos)",TRUE,'ORDENES'!$O782=$B$3),IF($D$3="(todos)",TRUE,'ORDENES'!$AC782=$D$3),IF($F$3="(todos)",TRUE,'ORDENES'!$V782=$F$3),'ORDENES'!$AA782=TRUE),'ORDENES'!$AN782&amp;" | "&amp;'ORDENES'!$R782&amp;" | "&amp;IF('ORDENES'!$AB782="","(sin técnico)",'ORDENES'!$AB782)&amp;" | "&amp;'ORDENES'!$D782&amp;" ("&amp;'ORDENES'!$M782&amp;" h)","")</f>
        <v/>
      </c>
    </row>
    <row r="787">
      <c r="K787" s="3">
        <f>IF(AND(IF($B$3="(todos)",TRUE,'ORDENES'!$O783=$B$3),IF($D$3="(todos)",TRUE,'ORDENES'!$AC783=$D$3),IF($F$3="(todos)",TRUE,'ORDENES'!$V783=$F$3),'ORDENES'!$AA783=TRUE),'ORDENES'!$AN783&amp;" | "&amp;'ORDENES'!$R783&amp;" | "&amp;IF('ORDENES'!$AB783="","(sin técnico)",'ORDENES'!$AB783)&amp;" | "&amp;'ORDENES'!$D783&amp;" ("&amp;'ORDENES'!$M783&amp;" h)","")</f>
        <v/>
      </c>
    </row>
    <row r="788">
      <c r="K788" s="3">
        <f>IF(AND(IF($B$3="(todos)",TRUE,'ORDENES'!$O784=$B$3),IF($D$3="(todos)",TRUE,'ORDENES'!$AC784=$D$3),IF($F$3="(todos)",TRUE,'ORDENES'!$V784=$F$3),'ORDENES'!$AA784=TRUE),'ORDENES'!$AN784&amp;" | "&amp;'ORDENES'!$R784&amp;" | "&amp;IF('ORDENES'!$AB784="","(sin técnico)",'ORDENES'!$AB784)&amp;" | "&amp;'ORDENES'!$D784&amp;" ("&amp;'ORDENES'!$M784&amp;" h)","")</f>
        <v/>
      </c>
    </row>
    <row r="789">
      <c r="K789" s="3">
        <f>IF(AND(IF($B$3="(todos)",TRUE,'ORDENES'!$O785=$B$3),IF($D$3="(todos)",TRUE,'ORDENES'!$AC785=$D$3),IF($F$3="(todos)",TRUE,'ORDENES'!$V785=$F$3),'ORDENES'!$AA785=TRUE),'ORDENES'!$AN785&amp;" | "&amp;'ORDENES'!$R785&amp;" | "&amp;IF('ORDENES'!$AB785="","(sin técnico)",'ORDENES'!$AB785)&amp;" | "&amp;'ORDENES'!$D785&amp;" ("&amp;'ORDENES'!$M785&amp;" h)","")</f>
        <v/>
      </c>
    </row>
    <row r="790">
      <c r="K790" s="3">
        <f>IF(AND(IF($B$3="(todos)",TRUE,'ORDENES'!$O786=$B$3),IF($D$3="(todos)",TRUE,'ORDENES'!$AC786=$D$3),IF($F$3="(todos)",TRUE,'ORDENES'!$V786=$F$3),'ORDENES'!$AA786=TRUE),'ORDENES'!$AN786&amp;" | "&amp;'ORDENES'!$R786&amp;" | "&amp;IF('ORDENES'!$AB786="","(sin técnico)",'ORDENES'!$AB786)&amp;" | "&amp;'ORDENES'!$D786&amp;" ("&amp;'ORDENES'!$M786&amp;" h)","")</f>
        <v/>
      </c>
    </row>
    <row r="791">
      <c r="K791" s="3">
        <f>IF(AND(IF($B$3="(todos)",TRUE,'ORDENES'!$O787=$B$3),IF($D$3="(todos)",TRUE,'ORDENES'!$AC787=$D$3),IF($F$3="(todos)",TRUE,'ORDENES'!$V787=$F$3),'ORDENES'!$AA787=TRUE),'ORDENES'!$AN787&amp;" | "&amp;'ORDENES'!$R787&amp;" | "&amp;IF('ORDENES'!$AB787="","(sin técnico)",'ORDENES'!$AB787)&amp;" | "&amp;'ORDENES'!$D787&amp;" ("&amp;'ORDENES'!$M787&amp;" h)","")</f>
        <v/>
      </c>
    </row>
    <row r="792">
      <c r="K792" s="3">
        <f>IF(AND(IF($B$3="(todos)",TRUE,'ORDENES'!$O788=$B$3),IF($D$3="(todos)",TRUE,'ORDENES'!$AC788=$D$3),IF($F$3="(todos)",TRUE,'ORDENES'!$V788=$F$3),'ORDENES'!$AA788=TRUE),'ORDENES'!$AN788&amp;" | "&amp;'ORDENES'!$R788&amp;" | "&amp;IF('ORDENES'!$AB788="","(sin técnico)",'ORDENES'!$AB788)&amp;" | "&amp;'ORDENES'!$D788&amp;" ("&amp;'ORDENES'!$M788&amp;" h)","")</f>
        <v/>
      </c>
    </row>
    <row r="793">
      <c r="K793" s="3">
        <f>IF(AND(IF($B$3="(todos)",TRUE,'ORDENES'!$O789=$B$3),IF($D$3="(todos)",TRUE,'ORDENES'!$AC789=$D$3),IF($F$3="(todos)",TRUE,'ORDENES'!$V789=$F$3),'ORDENES'!$AA789=TRUE),'ORDENES'!$AN789&amp;" | "&amp;'ORDENES'!$R789&amp;" | "&amp;IF('ORDENES'!$AB789="","(sin técnico)",'ORDENES'!$AB789)&amp;" | "&amp;'ORDENES'!$D789&amp;" ("&amp;'ORDENES'!$M789&amp;" h)","")</f>
        <v/>
      </c>
    </row>
    <row r="794">
      <c r="K794" s="3">
        <f>IF(AND(IF($B$3="(todos)",TRUE,'ORDENES'!$O790=$B$3),IF($D$3="(todos)",TRUE,'ORDENES'!$AC790=$D$3),IF($F$3="(todos)",TRUE,'ORDENES'!$V790=$F$3),'ORDENES'!$AA790=TRUE),'ORDENES'!$AN790&amp;" | "&amp;'ORDENES'!$R790&amp;" | "&amp;IF('ORDENES'!$AB790="","(sin técnico)",'ORDENES'!$AB790)&amp;" | "&amp;'ORDENES'!$D790&amp;" ("&amp;'ORDENES'!$M790&amp;" h)","")</f>
        <v/>
      </c>
    </row>
    <row r="795">
      <c r="K795" s="3">
        <f>IF(AND(IF($B$3="(todos)",TRUE,'ORDENES'!$O791=$B$3),IF($D$3="(todos)",TRUE,'ORDENES'!$AC791=$D$3),IF($F$3="(todos)",TRUE,'ORDENES'!$V791=$F$3),'ORDENES'!$AA791=TRUE),'ORDENES'!$AN791&amp;" | "&amp;'ORDENES'!$R791&amp;" | "&amp;IF('ORDENES'!$AB791="","(sin técnico)",'ORDENES'!$AB791)&amp;" | "&amp;'ORDENES'!$D791&amp;" ("&amp;'ORDENES'!$M791&amp;" h)","")</f>
        <v/>
      </c>
    </row>
    <row r="796">
      <c r="K796" s="3">
        <f>IF(AND(IF($B$3="(todos)",TRUE,'ORDENES'!$O792=$B$3),IF($D$3="(todos)",TRUE,'ORDENES'!$AC792=$D$3),IF($F$3="(todos)",TRUE,'ORDENES'!$V792=$F$3),'ORDENES'!$AA792=TRUE),'ORDENES'!$AN792&amp;" | "&amp;'ORDENES'!$R792&amp;" | "&amp;IF('ORDENES'!$AB792="","(sin técnico)",'ORDENES'!$AB792)&amp;" | "&amp;'ORDENES'!$D792&amp;" ("&amp;'ORDENES'!$M792&amp;" h)","")</f>
        <v/>
      </c>
    </row>
    <row r="797">
      <c r="K797" s="3">
        <f>IF(AND(IF($B$3="(todos)",TRUE,'ORDENES'!$O793=$B$3),IF($D$3="(todos)",TRUE,'ORDENES'!$AC793=$D$3),IF($F$3="(todos)",TRUE,'ORDENES'!$V793=$F$3),'ORDENES'!$AA793=TRUE),'ORDENES'!$AN793&amp;" | "&amp;'ORDENES'!$R793&amp;" | "&amp;IF('ORDENES'!$AB793="","(sin técnico)",'ORDENES'!$AB793)&amp;" | "&amp;'ORDENES'!$D793&amp;" ("&amp;'ORDENES'!$M793&amp;" h)","")</f>
        <v/>
      </c>
    </row>
    <row r="798">
      <c r="K798" s="3">
        <f>IF(AND(IF($B$3="(todos)",TRUE,'ORDENES'!$O794=$B$3),IF($D$3="(todos)",TRUE,'ORDENES'!$AC794=$D$3),IF($F$3="(todos)",TRUE,'ORDENES'!$V794=$F$3),'ORDENES'!$AA794=TRUE),'ORDENES'!$AN794&amp;" | "&amp;'ORDENES'!$R794&amp;" | "&amp;IF('ORDENES'!$AB794="","(sin técnico)",'ORDENES'!$AB794)&amp;" | "&amp;'ORDENES'!$D794&amp;" ("&amp;'ORDENES'!$M794&amp;" h)","")</f>
        <v/>
      </c>
    </row>
    <row r="799">
      <c r="K799" s="3">
        <f>IF(AND(IF($B$3="(todos)",TRUE,'ORDENES'!$O795=$B$3),IF($D$3="(todos)",TRUE,'ORDENES'!$AC795=$D$3),IF($F$3="(todos)",TRUE,'ORDENES'!$V795=$F$3),'ORDENES'!$AA795=TRUE),'ORDENES'!$AN795&amp;" | "&amp;'ORDENES'!$R795&amp;" | "&amp;IF('ORDENES'!$AB795="","(sin técnico)",'ORDENES'!$AB795)&amp;" | "&amp;'ORDENES'!$D795&amp;" ("&amp;'ORDENES'!$M795&amp;" h)","")</f>
        <v/>
      </c>
    </row>
    <row r="800">
      <c r="K800" s="3">
        <f>IF(AND(IF($B$3="(todos)",TRUE,'ORDENES'!$O796=$B$3),IF($D$3="(todos)",TRUE,'ORDENES'!$AC796=$D$3),IF($F$3="(todos)",TRUE,'ORDENES'!$V796=$F$3),'ORDENES'!$AA796=TRUE),'ORDENES'!$AN796&amp;" | "&amp;'ORDENES'!$R796&amp;" | "&amp;IF('ORDENES'!$AB796="","(sin técnico)",'ORDENES'!$AB796)&amp;" | "&amp;'ORDENES'!$D796&amp;" ("&amp;'ORDENES'!$M796&amp;" h)","")</f>
        <v/>
      </c>
    </row>
    <row r="801">
      <c r="K801" s="3">
        <f>IF(AND(IF($B$3="(todos)",TRUE,'ORDENES'!$O797=$B$3),IF($D$3="(todos)",TRUE,'ORDENES'!$AC797=$D$3),IF($F$3="(todos)",TRUE,'ORDENES'!$V797=$F$3),'ORDENES'!$AA797=TRUE),'ORDENES'!$AN797&amp;" | "&amp;'ORDENES'!$R797&amp;" | "&amp;IF('ORDENES'!$AB797="","(sin técnico)",'ORDENES'!$AB797)&amp;" | "&amp;'ORDENES'!$D797&amp;" ("&amp;'ORDENES'!$M797&amp;" h)","")</f>
        <v/>
      </c>
    </row>
    <row r="802">
      <c r="K802" s="3">
        <f>IF(AND(IF($B$3="(todos)",TRUE,'ORDENES'!$O798=$B$3),IF($D$3="(todos)",TRUE,'ORDENES'!$AC798=$D$3),IF($F$3="(todos)",TRUE,'ORDENES'!$V798=$F$3),'ORDENES'!$AA798=TRUE),'ORDENES'!$AN798&amp;" | "&amp;'ORDENES'!$R798&amp;" | "&amp;IF('ORDENES'!$AB798="","(sin técnico)",'ORDENES'!$AB798)&amp;" | "&amp;'ORDENES'!$D798&amp;" ("&amp;'ORDENES'!$M798&amp;" h)","")</f>
        <v/>
      </c>
    </row>
    <row r="803">
      <c r="K803" s="3">
        <f>IF(AND(IF($B$3="(todos)",TRUE,'ORDENES'!$O799=$B$3),IF($D$3="(todos)",TRUE,'ORDENES'!$AC799=$D$3),IF($F$3="(todos)",TRUE,'ORDENES'!$V799=$F$3),'ORDENES'!$AA799=TRUE),'ORDENES'!$AN799&amp;" | "&amp;'ORDENES'!$R799&amp;" | "&amp;IF('ORDENES'!$AB799="","(sin técnico)",'ORDENES'!$AB799)&amp;" | "&amp;'ORDENES'!$D799&amp;" ("&amp;'ORDENES'!$M799&amp;" h)","")</f>
        <v/>
      </c>
    </row>
    <row r="804">
      <c r="K804" s="3">
        <f>IF(AND(IF($B$3="(todos)",TRUE,'ORDENES'!$O800=$B$3),IF($D$3="(todos)",TRUE,'ORDENES'!$AC800=$D$3),IF($F$3="(todos)",TRUE,'ORDENES'!$V800=$F$3),'ORDENES'!$AA800=TRUE),'ORDENES'!$AN800&amp;" | "&amp;'ORDENES'!$R800&amp;" | "&amp;IF('ORDENES'!$AB800="","(sin técnico)",'ORDENES'!$AB800)&amp;" | "&amp;'ORDENES'!$D800&amp;" ("&amp;'ORDENES'!$M800&amp;" h)","")</f>
        <v/>
      </c>
    </row>
    <row r="805">
      <c r="K805" s="3">
        <f>IF(AND(IF($B$3="(todos)",TRUE,'ORDENES'!$O801=$B$3),IF($D$3="(todos)",TRUE,'ORDENES'!$AC801=$D$3),IF($F$3="(todos)",TRUE,'ORDENES'!$V801=$F$3),'ORDENES'!$AA801=TRUE),'ORDENES'!$AN801&amp;" | "&amp;'ORDENES'!$R801&amp;" | "&amp;IF('ORDENES'!$AB801="","(sin técnico)",'ORDENES'!$AB801)&amp;" | "&amp;'ORDENES'!$D801&amp;" ("&amp;'ORDENES'!$M801&amp;" h)","")</f>
        <v/>
      </c>
    </row>
    <row r="806">
      <c r="K806" s="3">
        <f>IF(AND(IF($B$3="(todos)",TRUE,'ORDENES'!$O802=$B$3),IF($D$3="(todos)",TRUE,'ORDENES'!$AC802=$D$3),IF($F$3="(todos)",TRUE,'ORDENES'!$V802=$F$3),'ORDENES'!$AA802=TRUE),'ORDENES'!$AN802&amp;" | "&amp;'ORDENES'!$R802&amp;" | "&amp;IF('ORDENES'!$AB802="","(sin técnico)",'ORDENES'!$AB802)&amp;" | "&amp;'ORDENES'!$D802&amp;" ("&amp;'ORDENES'!$M802&amp;" h)","")</f>
        <v/>
      </c>
    </row>
    <row r="807">
      <c r="K807" s="3">
        <f>IF(AND(IF($B$3="(todos)",TRUE,'ORDENES'!$O803=$B$3),IF($D$3="(todos)",TRUE,'ORDENES'!$AC803=$D$3),IF($F$3="(todos)",TRUE,'ORDENES'!$V803=$F$3),'ORDENES'!$AA803=TRUE),'ORDENES'!$AN803&amp;" | "&amp;'ORDENES'!$R803&amp;" | "&amp;IF('ORDENES'!$AB803="","(sin técnico)",'ORDENES'!$AB803)&amp;" | "&amp;'ORDENES'!$D803&amp;" ("&amp;'ORDENES'!$M803&amp;" h)","")</f>
        <v/>
      </c>
    </row>
    <row r="808">
      <c r="K808" s="3">
        <f>IF(AND(IF($B$3="(todos)",TRUE,'ORDENES'!$O804=$B$3),IF($D$3="(todos)",TRUE,'ORDENES'!$AC804=$D$3),IF($F$3="(todos)",TRUE,'ORDENES'!$V804=$F$3),'ORDENES'!$AA804=TRUE),'ORDENES'!$AN804&amp;" | "&amp;'ORDENES'!$R804&amp;" | "&amp;IF('ORDENES'!$AB804="","(sin técnico)",'ORDENES'!$AB804)&amp;" | "&amp;'ORDENES'!$D804&amp;" ("&amp;'ORDENES'!$M804&amp;" h)","")</f>
        <v/>
      </c>
    </row>
    <row r="809">
      <c r="K809" s="3">
        <f>IF(AND(IF($B$3="(todos)",TRUE,'ORDENES'!$O805=$B$3),IF($D$3="(todos)",TRUE,'ORDENES'!$AC805=$D$3),IF($F$3="(todos)",TRUE,'ORDENES'!$V805=$F$3),'ORDENES'!$AA805=TRUE),'ORDENES'!$AN805&amp;" | "&amp;'ORDENES'!$R805&amp;" | "&amp;IF('ORDENES'!$AB805="","(sin técnico)",'ORDENES'!$AB805)&amp;" | "&amp;'ORDENES'!$D805&amp;" ("&amp;'ORDENES'!$M805&amp;" h)","")</f>
        <v/>
      </c>
    </row>
    <row r="810">
      <c r="K810" s="3">
        <f>IF(AND(IF($B$3="(todos)",TRUE,'ORDENES'!$O806=$B$3),IF($D$3="(todos)",TRUE,'ORDENES'!$AC806=$D$3),IF($F$3="(todos)",TRUE,'ORDENES'!$V806=$F$3),'ORDENES'!$AA806=TRUE),'ORDENES'!$AN806&amp;" | "&amp;'ORDENES'!$R806&amp;" | "&amp;IF('ORDENES'!$AB806="","(sin técnico)",'ORDENES'!$AB806)&amp;" | "&amp;'ORDENES'!$D806&amp;" ("&amp;'ORDENES'!$M806&amp;" h)","")</f>
        <v/>
      </c>
    </row>
    <row r="811">
      <c r="K811" s="3">
        <f>IF(AND(IF($B$3="(todos)",TRUE,'ORDENES'!$O807=$B$3),IF($D$3="(todos)",TRUE,'ORDENES'!$AC807=$D$3),IF($F$3="(todos)",TRUE,'ORDENES'!$V807=$F$3),'ORDENES'!$AA807=TRUE),'ORDENES'!$AN807&amp;" | "&amp;'ORDENES'!$R807&amp;" | "&amp;IF('ORDENES'!$AB807="","(sin técnico)",'ORDENES'!$AB807)&amp;" | "&amp;'ORDENES'!$D807&amp;" ("&amp;'ORDENES'!$M807&amp;" h)","")</f>
        <v/>
      </c>
    </row>
    <row r="812">
      <c r="K812" s="3">
        <f>IF(AND(IF($B$3="(todos)",TRUE,'ORDENES'!$O808=$B$3),IF($D$3="(todos)",TRUE,'ORDENES'!$AC808=$D$3),IF($F$3="(todos)",TRUE,'ORDENES'!$V808=$F$3),'ORDENES'!$AA808=TRUE),'ORDENES'!$AN808&amp;" | "&amp;'ORDENES'!$R808&amp;" | "&amp;IF('ORDENES'!$AB808="","(sin técnico)",'ORDENES'!$AB808)&amp;" | "&amp;'ORDENES'!$D808&amp;" ("&amp;'ORDENES'!$M808&amp;" h)","")</f>
        <v/>
      </c>
    </row>
    <row r="813">
      <c r="K813" s="3">
        <f>IF(AND(IF($B$3="(todos)",TRUE,'ORDENES'!$O809=$B$3),IF($D$3="(todos)",TRUE,'ORDENES'!$AC809=$D$3),IF($F$3="(todos)",TRUE,'ORDENES'!$V809=$F$3),'ORDENES'!$AA809=TRUE),'ORDENES'!$AN809&amp;" | "&amp;'ORDENES'!$R809&amp;" | "&amp;IF('ORDENES'!$AB809="","(sin técnico)",'ORDENES'!$AB809)&amp;" | "&amp;'ORDENES'!$D809&amp;" ("&amp;'ORDENES'!$M809&amp;" h)","")</f>
        <v/>
      </c>
    </row>
    <row r="814">
      <c r="K814" s="3">
        <f>IF(AND(IF($B$3="(todos)",TRUE,'ORDENES'!$O810=$B$3),IF($D$3="(todos)",TRUE,'ORDENES'!$AC810=$D$3),IF($F$3="(todos)",TRUE,'ORDENES'!$V810=$F$3),'ORDENES'!$AA810=TRUE),'ORDENES'!$AN810&amp;" | "&amp;'ORDENES'!$R810&amp;" | "&amp;IF('ORDENES'!$AB810="","(sin técnico)",'ORDENES'!$AB810)&amp;" | "&amp;'ORDENES'!$D810&amp;" ("&amp;'ORDENES'!$M810&amp;" h)","")</f>
        <v/>
      </c>
    </row>
    <row r="815">
      <c r="K815" s="3">
        <f>IF(AND(IF($B$3="(todos)",TRUE,'ORDENES'!$O811=$B$3),IF($D$3="(todos)",TRUE,'ORDENES'!$AC811=$D$3),IF($F$3="(todos)",TRUE,'ORDENES'!$V811=$F$3),'ORDENES'!$AA811=TRUE),'ORDENES'!$AN811&amp;" | "&amp;'ORDENES'!$R811&amp;" | "&amp;IF('ORDENES'!$AB811="","(sin técnico)",'ORDENES'!$AB811)&amp;" | "&amp;'ORDENES'!$D811&amp;" ("&amp;'ORDENES'!$M811&amp;" h)","")</f>
        <v/>
      </c>
    </row>
    <row r="816">
      <c r="K816" s="3">
        <f>IF(AND(IF($B$3="(todos)",TRUE,'ORDENES'!$O812=$B$3),IF($D$3="(todos)",TRUE,'ORDENES'!$AC812=$D$3),IF($F$3="(todos)",TRUE,'ORDENES'!$V812=$F$3),'ORDENES'!$AA812=TRUE),'ORDENES'!$AN812&amp;" | "&amp;'ORDENES'!$R812&amp;" | "&amp;IF('ORDENES'!$AB812="","(sin técnico)",'ORDENES'!$AB812)&amp;" | "&amp;'ORDENES'!$D812&amp;" ("&amp;'ORDENES'!$M812&amp;" h)","")</f>
        <v/>
      </c>
    </row>
    <row r="817">
      <c r="K817" s="3">
        <f>IF(AND(IF($B$3="(todos)",TRUE,'ORDENES'!$O813=$B$3),IF($D$3="(todos)",TRUE,'ORDENES'!$AC813=$D$3),IF($F$3="(todos)",TRUE,'ORDENES'!$V813=$F$3),'ORDENES'!$AA813=TRUE),'ORDENES'!$AN813&amp;" | "&amp;'ORDENES'!$R813&amp;" | "&amp;IF('ORDENES'!$AB813="","(sin técnico)",'ORDENES'!$AB813)&amp;" | "&amp;'ORDENES'!$D813&amp;" ("&amp;'ORDENES'!$M813&amp;" h)","")</f>
        <v/>
      </c>
    </row>
    <row r="818">
      <c r="K818" s="3">
        <f>IF(AND(IF($B$3="(todos)",TRUE,'ORDENES'!$O814=$B$3),IF($D$3="(todos)",TRUE,'ORDENES'!$AC814=$D$3),IF($F$3="(todos)",TRUE,'ORDENES'!$V814=$F$3),'ORDENES'!$AA814=TRUE),'ORDENES'!$AN814&amp;" | "&amp;'ORDENES'!$R814&amp;" | "&amp;IF('ORDENES'!$AB814="","(sin técnico)",'ORDENES'!$AB814)&amp;" | "&amp;'ORDENES'!$D814&amp;" ("&amp;'ORDENES'!$M814&amp;" h)","")</f>
        <v/>
      </c>
    </row>
    <row r="819">
      <c r="K819" s="3">
        <f>IF(AND(IF($B$3="(todos)",TRUE,'ORDENES'!$O815=$B$3),IF($D$3="(todos)",TRUE,'ORDENES'!$AC815=$D$3),IF($F$3="(todos)",TRUE,'ORDENES'!$V815=$F$3),'ORDENES'!$AA815=TRUE),'ORDENES'!$AN815&amp;" | "&amp;'ORDENES'!$R815&amp;" | "&amp;IF('ORDENES'!$AB815="","(sin técnico)",'ORDENES'!$AB815)&amp;" | "&amp;'ORDENES'!$D815&amp;" ("&amp;'ORDENES'!$M815&amp;" h)","")</f>
        <v/>
      </c>
    </row>
    <row r="820">
      <c r="K820" s="3">
        <f>IF(AND(IF($B$3="(todos)",TRUE,'ORDENES'!$O816=$B$3),IF($D$3="(todos)",TRUE,'ORDENES'!$AC816=$D$3),IF($F$3="(todos)",TRUE,'ORDENES'!$V816=$F$3),'ORDENES'!$AA816=TRUE),'ORDENES'!$AN816&amp;" | "&amp;'ORDENES'!$R816&amp;" | "&amp;IF('ORDENES'!$AB816="","(sin técnico)",'ORDENES'!$AB816)&amp;" | "&amp;'ORDENES'!$D816&amp;" ("&amp;'ORDENES'!$M816&amp;" h)","")</f>
        <v/>
      </c>
    </row>
    <row r="821">
      <c r="K821" s="3">
        <f>IF(AND(IF($B$3="(todos)",TRUE,'ORDENES'!$O817=$B$3),IF($D$3="(todos)",TRUE,'ORDENES'!$AC817=$D$3),IF($F$3="(todos)",TRUE,'ORDENES'!$V817=$F$3),'ORDENES'!$AA817=TRUE),'ORDENES'!$AN817&amp;" | "&amp;'ORDENES'!$R817&amp;" | "&amp;IF('ORDENES'!$AB817="","(sin técnico)",'ORDENES'!$AB817)&amp;" | "&amp;'ORDENES'!$D817&amp;" ("&amp;'ORDENES'!$M817&amp;" h)","")</f>
        <v/>
      </c>
    </row>
    <row r="822">
      <c r="K822" s="3">
        <f>IF(AND(IF($B$3="(todos)",TRUE,'ORDENES'!$O818=$B$3),IF($D$3="(todos)",TRUE,'ORDENES'!$AC818=$D$3),IF($F$3="(todos)",TRUE,'ORDENES'!$V818=$F$3),'ORDENES'!$AA818=TRUE),'ORDENES'!$AN818&amp;" | "&amp;'ORDENES'!$R818&amp;" | "&amp;IF('ORDENES'!$AB818="","(sin técnico)",'ORDENES'!$AB818)&amp;" | "&amp;'ORDENES'!$D818&amp;" ("&amp;'ORDENES'!$M818&amp;" h)","")</f>
        <v/>
      </c>
    </row>
    <row r="823">
      <c r="K823" s="3">
        <f>IF(AND(IF($B$3="(todos)",TRUE,'ORDENES'!$O819=$B$3),IF($D$3="(todos)",TRUE,'ORDENES'!$AC819=$D$3),IF($F$3="(todos)",TRUE,'ORDENES'!$V819=$F$3),'ORDENES'!$AA819=TRUE),'ORDENES'!$AN819&amp;" | "&amp;'ORDENES'!$R819&amp;" | "&amp;IF('ORDENES'!$AB819="","(sin técnico)",'ORDENES'!$AB819)&amp;" | "&amp;'ORDENES'!$D819&amp;" ("&amp;'ORDENES'!$M819&amp;" h)","")</f>
        <v/>
      </c>
    </row>
    <row r="824">
      <c r="K824" s="3">
        <f>IF(AND(IF($B$3="(todos)",TRUE,'ORDENES'!$O820=$B$3),IF($D$3="(todos)",TRUE,'ORDENES'!$AC820=$D$3),IF($F$3="(todos)",TRUE,'ORDENES'!$V820=$F$3),'ORDENES'!$AA820=TRUE),'ORDENES'!$AN820&amp;" | "&amp;'ORDENES'!$R820&amp;" | "&amp;IF('ORDENES'!$AB820="","(sin técnico)",'ORDENES'!$AB820)&amp;" | "&amp;'ORDENES'!$D820&amp;" ("&amp;'ORDENES'!$M820&amp;" h)","")</f>
        <v/>
      </c>
    </row>
    <row r="825">
      <c r="K825" s="3">
        <f>IF(AND(IF($B$3="(todos)",TRUE,'ORDENES'!$O821=$B$3),IF($D$3="(todos)",TRUE,'ORDENES'!$AC821=$D$3),IF($F$3="(todos)",TRUE,'ORDENES'!$V821=$F$3),'ORDENES'!$AA821=TRUE),'ORDENES'!$AN821&amp;" | "&amp;'ORDENES'!$R821&amp;" | "&amp;IF('ORDENES'!$AB821="","(sin técnico)",'ORDENES'!$AB821)&amp;" | "&amp;'ORDENES'!$D821&amp;" ("&amp;'ORDENES'!$M821&amp;" h)","")</f>
        <v/>
      </c>
    </row>
    <row r="826">
      <c r="K826" s="3">
        <f>IF(AND(IF($B$3="(todos)",TRUE,'ORDENES'!$O822=$B$3),IF($D$3="(todos)",TRUE,'ORDENES'!$AC822=$D$3),IF($F$3="(todos)",TRUE,'ORDENES'!$V822=$F$3),'ORDENES'!$AA822=TRUE),'ORDENES'!$AN822&amp;" | "&amp;'ORDENES'!$R822&amp;" | "&amp;IF('ORDENES'!$AB822="","(sin técnico)",'ORDENES'!$AB822)&amp;" | "&amp;'ORDENES'!$D822&amp;" ("&amp;'ORDENES'!$M822&amp;" h)","")</f>
        <v/>
      </c>
    </row>
    <row r="827">
      <c r="K827" s="3">
        <f>IF(AND(IF($B$3="(todos)",TRUE,'ORDENES'!$O823=$B$3),IF($D$3="(todos)",TRUE,'ORDENES'!$AC823=$D$3),IF($F$3="(todos)",TRUE,'ORDENES'!$V823=$F$3),'ORDENES'!$AA823=TRUE),'ORDENES'!$AN823&amp;" | "&amp;'ORDENES'!$R823&amp;" | "&amp;IF('ORDENES'!$AB823="","(sin técnico)",'ORDENES'!$AB823)&amp;" | "&amp;'ORDENES'!$D823&amp;" ("&amp;'ORDENES'!$M823&amp;" h)","")</f>
        <v/>
      </c>
    </row>
    <row r="828">
      <c r="K828" s="3">
        <f>IF(AND(IF($B$3="(todos)",TRUE,'ORDENES'!$O824=$B$3),IF($D$3="(todos)",TRUE,'ORDENES'!$AC824=$D$3),IF($F$3="(todos)",TRUE,'ORDENES'!$V824=$F$3),'ORDENES'!$AA824=TRUE),'ORDENES'!$AN824&amp;" | "&amp;'ORDENES'!$R824&amp;" | "&amp;IF('ORDENES'!$AB824="","(sin técnico)",'ORDENES'!$AB824)&amp;" | "&amp;'ORDENES'!$D824&amp;" ("&amp;'ORDENES'!$M824&amp;" h)","")</f>
        <v/>
      </c>
    </row>
    <row r="829">
      <c r="K829" s="3">
        <f>IF(AND(IF($B$3="(todos)",TRUE,'ORDENES'!$O825=$B$3),IF($D$3="(todos)",TRUE,'ORDENES'!$AC825=$D$3),IF($F$3="(todos)",TRUE,'ORDENES'!$V825=$F$3),'ORDENES'!$AA825=TRUE),'ORDENES'!$AN825&amp;" | "&amp;'ORDENES'!$R825&amp;" | "&amp;IF('ORDENES'!$AB825="","(sin técnico)",'ORDENES'!$AB825)&amp;" | "&amp;'ORDENES'!$D825&amp;" ("&amp;'ORDENES'!$M825&amp;" h)","")</f>
        <v/>
      </c>
    </row>
    <row r="830">
      <c r="K830" s="3">
        <f>IF(AND(IF($B$3="(todos)",TRUE,'ORDENES'!$O826=$B$3),IF($D$3="(todos)",TRUE,'ORDENES'!$AC826=$D$3),IF($F$3="(todos)",TRUE,'ORDENES'!$V826=$F$3),'ORDENES'!$AA826=TRUE),'ORDENES'!$AN826&amp;" | "&amp;'ORDENES'!$R826&amp;" | "&amp;IF('ORDENES'!$AB826="","(sin técnico)",'ORDENES'!$AB826)&amp;" | "&amp;'ORDENES'!$D826&amp;" ("&amp;'ORDENES'!$M826&amp;" h)","")</f>
        <v/>
      </c>
    </row>
    <row r="831">
      <c r="K831" s="3">
        <f>IF(AND(IF($B$3="(todos)",TRUE,'ORDENES'!$O827=$B$3),IF($D$3="(todos)",TRUE,'ORDENES'!$AC827=$D$3),IF($F$3="(todos)",TRUE,'ORDENES'!$V827=$F$3),'ORDENES'!$AA827=TRUE),'ORDENES'!$AN827&amp;" | "&amp;'ORDENES'!$R827&amp;" | "&amp;IF('ORDENES'!$AB827="","(sin técnico)",'ORDENES'!$AB827)&amp;" | "&amp;'ORDENES'!$D827&amp;" ("&amp;'ORDENES'!$M827&amp;" h)","")</f>
        <v/>
      </c>
    </row>
    <row r="832">
      <c r="K832" s="3">
        <f>IF(AND(IF($B$3="(todos)",TRUE,'ORDENES'!$O828=$B$3),IF($D$3="(todos)",TRUE,'ORDENES'!$AC828=$D$3),IF($F$3="(todos)",TRUE,'ORDENES'!$V828=$F$3),'ORDENES'!$AA828=TRUE),'ORDENES'!$AN828&amp;" | "&amp;'ORDENES'!$R828&amp;" | "&amp;IF('ORDENES'!$AB828="","(sin técnico)",'ORDENES'!$AB828)&amp;" | "&amp;'ORDENES'!$D828&amp;" ("&amp;'ORDENES'!$M828&amp;" h)","")</f>
        <v/>
      </c>
    </row>
    <row r="833">
      <c r="K833" s="3">
        <f>IF(AND(IF($B$3="(todos)",TRUE,'ORDENES'!$O829=$B$3),IF($D$3="(todos)",TRUE,'ORDENES'!$AC829=$D$3),IF($F$3="(todos)",TRUE,'ORDENES'!$V829=$F$3),'ORDENES'!$AA829=TRUE),'ORDENES'!$AN829&amp;" | "&amp;'ORDENES'!$R829&amp;" | "&amp;IF('ORDENES'!$AB829="","(sin técnico)",'ORDENES'!$AB829)&amp;" | "&amp;'ORDENES'!$D829&amp;" ("&amp;'ORDENES'!$M829&amp;" h)","")</f>
        <v/>
      </c>
    </row>
    <row r="834">
      <c r="K834" s="3">
        <f>IF(AND(IF($B$3="(todos)",TRUE,'ORDENES'!$O830=$B$3),IF($D$3="(todos)",TRUE,'ORDENES'!$AC830=$D$3),IF($F$3="(todos)",TRUE,'ORDENES'!$V830=$F$3),'ORDENES'!$AA830=TRUE),'ORDENES'!$AN830&amp;" | "&amp;'ORDENES'!$R830&amp;" | "&amp;IF('ORDENES'!$AB830="","(sin técnico)",'ORDENES'!$AB830)&amp;" | "&amp;'ORDENES'!$D830&amp;" ("&amp;'ORDENES'!$M830&amp;" h)","")</f>
        <v/>
      </c>
    </row>
    <row r="835">
      <c r="K835" s="3">
        <f>IF(AND(IF($B$3="(todos)",TRUE,'ORDENES'!$O831=$B$3),IF($D$3="(todos)",TRUE,'ORDENES'!$AC831=$D$3),IF($F$3="(todos)",TRUE,'ORDENES'!$V831=$F$3),'ORDENES'!$AA831=TRUE),'ORDENES'!$AN831&amp;" | "&amp;'ORDENES'!$R831&amp;" | "&amp;IF('ORDENES'!$AB831="","(sin técnico)",'ORDENES'!$AB831)&amp;" | "&amp;'ORDENES'!$D831&amp;" ("&amp;'ORDENES'!$M831&amp;" h)","")</f>
        <v/>
      </c>
    </row>
    <row r="836">
      <c r="K836" s="3">
        <f>IF(AND(IF($B$3="(todos)",TRUE,'ORDENES'!$O832=$B$3),IF($D$3="(todos)",TRUE,'ORDENES'!$AC832=$D$3),IF($F$3="(todos)",TRUE,'ORDENES'!$V832=$F$3),'ORDENES'!$AA832=TRUE),'ORDENES'!$AN832&amp;" | "&amp;'ORDENES'!$R832&amp;" | "&amp;IF('ORDENES'!$AB832="","(sin técnico)",'ORDENES'!$AB832)&amp;" | "&amp;'ORDENES'!$D832&amp;" ("&amp;'ORDENES'!$M832&amp;" h)","")</f>
        <v/>
      </c>
    </row>
    <row r="837">
      <c r="K837" s="3">
        <f>IF(AND(IF($B$3="(todos)",TRUE,'ORDENES'!$O833=$B$3),IF($D$3="(todos)",TRUE,'ORDENES'!$AC833=$D$3),IF($F$3="(todos)",TRUE,'ORDENES'!$V833=$F$3),'ORDENES'!$AA833=TRUE),'ORDENES'!$AN833&amp;" | "&amp;'ORDENES'!$R833&amp;" | "&amp;IF('ORDENES'!$AB833="","(sin técnico)",'ORDENES'!$AB833)&amp;" | "&amp;'ORDENES'!$D833&amp;" ("&amp;'ORDENES'!$M833&amp;" h)","")</f>
        <v/>
      </c>
    </row>
    <row r="838">
      <c r="K838" s="3">
        <f>IF(AND(IF($B$3="(todos)",TRUE,'ORDENES'!$O834=$B$3),IF($D$3="(todos)",TRUE,'ORDENES'!$AC834=$D$3),IF($F$3="(todos)",TRUE,'ORDENES'!$V834=$F$3),'ORDENES'!$AA834=TRUE),'ORDENES'!$AN834&amp;" | "&amp;'ORDENES'!$R834&amp;" | "&amp;IF('ORDENES'!$AB834="","(sin técnico)",'ORDENES'!$AB834)&amp;" | "&amp;'ORDENES'!$D834&amp;" ("&amp;'ORDENES'!$M834&amp;" h)","")</f>
        <v/>
      </c>
    </row>
    <row r="839">
      <c r="K839" s="3">
        <f>IF(AND(IF($B$3="(todos)",TRUE,'ORDENES'!$O835=$B$3),IF($D$3="(todos)",TRUE,'ORDENES'!$AC835=$D$3),IF($F$3="(todos)",TRUE,'ORDENES'!$V835=$F$3),'ORDENES'!$AA835=TRUE),'ORDENES'!$AN835&amp;" | "&amp;'ORDENES'!$R835&amp;" | "&amp;IF('ORDENES'!$AB835="","(sin técnico)",'ORDENES'!$AB835)&amp;" | "&amp;'ORDENES'!$D835&amp;" ("&amp;'ORDENES'!$M835&amp;" h)","")</f>
        <v/>
      </c>
    </row>
    <row r="840">
      <c r="K840" s="3">
        <f>IF(AND(IF($B$3="(todos)",TRUE,'ORDENES'!$O836=$B$3),IF($D$3="(todos)",TRUE,'ORDENES'!$AC836=$D$3),IF($F$3="(todos)",TRUE,'ORDENES'!$V836=$F$3),'ORDENES'!$AA836=TRUE),'ORDENES'!$AN836&amp;" | "&amp;'ORDENES'!$R836&amp;" | "&amp;IF('ORDENES'!$AB836="","(sin técnico)",'ORDENES'!$AB836)&amp;" | "&amp;'ORDENES'!$D836&amp;" ("&amp;'ORDENES'!$M836&amp;" h)","")</f>
        <v/>
      </c>
    </row>
    <row r="841">
      <c r="K841" s="3">
        <f>IF(AND(IF($B$3="(todos)",TRUE,'ORDENES'!$O837=$B$3),IF($D$3="(todos)",TRUE,'ORDENES'!$AC837=$D$3),IF($F$3="(todos)",TRUE,'ORDENES'!$V837=$F$3),'ORDENES'!$AA837=TRUE),'ORDENES'!$AN837&amp;" | "&amp;'ORDENES'!$R837&amp;" | "&amp;IF('ORDENES'!$AB837="","(sin técnico)",'ORDENES'!$AB837)&amp;" | "&amp;'ORDENES'!$D837&amp;" ("&amp;'ORDENES'!$M837&amp;" h)","")</f>
        <v/>
      </c>
    </row>
    <row r="842">
      <c r="K842" s="3">
        <f>IF(AND(IF($B$3="(todos)",TRUE,'ORDENES'!$O838=$B$3),IF($D$3="(todos)",TRUE,'ORDENES'!$AC838=$D$3),IF($F$3="(todos)",TRUE,'ORDENES'!$V838=$F$3),'ORDENES'!$AA838=TRUE),'ORDENES'!$AN838&amp;" | "&amp;'ORDENES'!$R838&amp;" | "&amp;IF('ORDENES'!$AB838="","(sin técnico)",'ORDENES'!$AB838)&amp;" | "&amp;'ORDENES'!$D838&amp;" ("&amp;'ORDENES'!$M838&amp;" h)","")</f>
        <v/>
      </c>
    </row>
    <row r="843">
      <c r="K843" s="3">
        <f>IF(AND(IF($B$3="(todos)",TRUE,'ORDENES'!$O839=$B$3),IF($D$3="(todos)",TRUE,'ORDENES'!$AC839=$D$3),IF($F$3="(todos)",TRUE,'ORDENES'!$V839=$F$3),'ORDENES'!$AA839=TRUE),'ORDENES'!$AN839&amp;" | "&amp;'ORDENES'!$R839&amp;" | "&amp;IF('ORDENES'!$AB839="","(sin técnico)",'ORDENES'!$AB839)&amp;" | "&amp;'ORDENES'!$D839&amp;" ("&amp;'ORDENES'!$M839&amp;" h)","")</f>
        <v/>
      </c>
    </row>
    <row r="844">
      <c r="K844" s="3">
        <f>IF(AND(IF($B$3="(todos)",TRUE,'ORDENES'!$O840=$B$3),IF($D$3="(todos)",TRUE,'ORDENES'!$AC840=$D$3),IF($F$3="(todos)",TRUE,'ORDENES'!$V840=$F$3),'ORDENES'!$AA840=TRUE),'ORDENES'!$AN840&amp;" | "&amp;'ORDENES'!$R840&amp;" | "&amp;IF('ORDENES'!$AB840="","(sin técnico)",'ORDENES'!$AB840)&amp;" | "&amp;'ORDENES'!$D840&amp;" ("&amp;'ORDENES'!$M840&amp;" h)","")</f>
        <v/>
      </c>
    </row>
    <row r="845">
      <c r="K845" s="3">
        <f>IF(AND(IF($B$3="(todos)",TRUE,'ORDENES'!$O841=$B$3),IF($D$3="(todos)",TRUE,'ORDENES'!$AC841=$D$3),IF($F$3="(todos)",TRUE,'ORDENES'!$V841=$F$3),'ORDENES'!$AA841=TRUE),'ORDENES'!$AN841&amp;" | "&amp;'ORDENES'!$R841&amp;" | "&amp;IF('ORDENES'!$AB841="","(sin técnico)",'ORDENES'!$AB841)&amp;" | "&amp;'ORDENES'!$D841&amp;" ("&amp;'ORDENES'!$M841&amp;" h)","")</f>
        <v/>
      </c>
    </row>
    <row r="846">
      <c r="K846" s="3">
        <f>IF(AND(IF($B$3="(todos)",TRUE,'ORDENES'!$O842=$B$3),IF($D$3="(todos)",TRUE,'ORDENES'!$AC842=$D$3),IF($F$3="(todos)",TRUE,'ORDENES'!$V842=$F$3),'ORDENES'!$AA842=TRUE),'ORDENES'!$AN842&amp;" | "&amp;'ORDENES'!$R842&amp;" | "&amp;IF('ORDENES'!$AB842="","(sin técnico)",'ORDENES'!$AB842)&amp;" | "&amp;'ORDENES'!$D842&amp;" ("&amp;'ORDENES'!$M842&amp;" h)","")</f>
        <v/>
      </c>
    </row>
    <row r="847">
      <c r="K847" s="3">
        <f>IF(AND(IF($B$3="(todos)",TRUE,'ORDENES'!$O843=$B$3),IF($D$3="(todos)",TRUE,'ORDENES'!$AC843=$D$3),IF($F$3="(todos)",TRUE,'ORDENES'!$V843=$F$3),'ORDENES'!$AA843=TRUE),'ORDENES'!$AN843&amp;" | "&amp;'ORDENES'!$R843&amp;" | "&amp;IF('ORDENES'!$AB843="","(sin técnico)",'ORDENES'!$AB843)&amp;" | "&amp;'ORDENES'!$D843&amp;" ("&amp;'ORDENES'!$M843&amp;" h)","")</f>
        <v/>
      </c>
    </row>
    <row r="848">
      <c r="K848" s="3">
        <f>IF(AND(IF($B$3="(todos)",TRUE,'ORDENES'!$O844=$B$3),IF($D$3="(todos)",TRUE,'ORDENES'!$AC844=$D$3),IF($F$3="(todos)",TRUE,'ORDENES'!$V844=$F$3),'ORDENES'!$AA844=TRUE),'ORDENES'!$AN844&amp;" | "&amp;'ORDENES'!$R844&amp;" | "&amp;IF('ORDENES'!$AB844="","(sin técnico)",'ORDENES'!$AB844)&amp;" | "&amp;'ORDENES'!$D844&amp;" ("&amp;'ORDENES'!$M844&amp;" h)","")</f>
        <v/>
      </c>
    </row>
    <row r="849">
      <c r="K849" s="3">
        <f>IF(AND(IF($B$3="(todos)",TRUE,'ORDENES'!$O845=$B$3),IF($D$3="(todos)",TRUE,'ORDENES'!$AC845=$D$3),IF($F$3="(todos)",TRUE,'ORDENES'!$V845=$F$3),'ORDENES'!$AA845=TRUE),'ORDENES'!$AN845&amp;" | "&amp;'ORDENES'!$R845&amp;" | "&amp;IF('ORDENES'!$AB845="","(sin técnico)",'ORDENES'!$AB845)&amp;" | "&amp;'ORDENES'!$D845&amp;" ("&amp;'ORDENES'!$M845&amp;" h)","")</f>
        <v/>
      </c>
    </row>
    <row r="850">
      <c r="K850" s="3">
        <f>IF(AND(IF($B$3="(todos)",TRUE,'ORDENES'!$O846=$B$3),IF($D$3="(todos)",TRUE,'ORDENES'!$AC846=$D$3),IF($F$3="(todos)",TRUE,'ORDENES'!$V846=$F$3),'ORDENES'!$AA846=TRUE),'ORDENES'!$AN846&amp;" | "&amp;'ORDENES'!$R846&amp;" | "&amp;IF('ORDENES'!$AB846="","(sin técnico)",'ORDENES'!$AB846)&amp;" | "&amp;'ORDENES'!$D846&amp;" ("&amp;'ORDENES'!$M846&amp;" h)","")</f>
        <v/>
      </c>
    </row>
    <row r="851">
      <c r="K851" s="3">
        <f>IF(AND(IF($B$3="(todos)",TRUE,'ORDENES'!$O847=$B$3),IF($D$3="(todos)",TRUE,'ORDENES'!$AC847=$D$3),IF($F$3="(todos)",TRUE,'ORDENES'!$V847=$F$3),'ORDENES'!$AA847=TRUE),'ORDENES'!$AN847&amp;" | "&amp;'ORDENES'!$R847&amp;" | "&amp;IF('ORDENES'!$AB847="","(sin técnico)",'ORDENES'!$AB847)&amp;" | "&amp;'ORDENES'!$D847&amp;" ("&amp;'ORDENES'!$M847&amp;" h)","")</f>
        <v/>
      </c>
    </row>
    <row r="852">
      <c r="K852" s="3">
        <f>IF(AND(IF($B$3="(todos)",TRUE,'ORDENES'!$O848=$B$3),IF($D$3="(todos)",TRUE,'ORDENES'!$AC848=$D$3),IF($F$3="(todos)",TRUE,'ORDENES'!$V848=$F$3),'ORDENES'!$AA848=TRUE),'ORDENES'!$AN848&amp;" | "&amp;'ORDENES'!$R848&amp;" | "&amp;IF('ORDENES'!$AB848="","(sin técnico)",'ORDENES'!$AB848)&amp;" | "&amp;'ORDENES'!$D848&amp;" ("&amp;'ORDENES'!$M848&amp;" h)","")</f>
        <v/>
      </c>
    </row>
    <row r="853">
      <c r="K853" s="3">
        <f>IF(AND(IF($B$3="(todos)",TRUE,'ORDENES'!$O849=$B$3),IF($D$3="(todos)",TRUE,'ORDENES'!$AC849=$D$3),IF($F$3="(todos)",TRUE,'ORDENES'!$V849=$F$3),'ORDENES'!$AA849=TRUE),'ORDENES'!$AN849&amp;" | "&amp;'ORDENES'!$R849&amp;" | "&amp;IF('ORDENES'!$AB849="","(sin técnico)",'ORDENES'!$AB849)&amp;" | "&amp;'ORDENES'!$D849&amp;" ("&amp;'ORDENES'!$M849&amp;" h)","")</f>
        <v/>
      </c>
    </row>
    <row r="854">
      <c r="K854" s="3">
        <f>IF(AND(IF($B$3="(todos)",TRUE,'ORDENES'!$O850=$B$3),IF($D$3="(todos)",TRUE,'ORDENES'!$AC850=$D$3),IF($F$3="(todos)",TRUE,'ORDENES'!$V850=$F$3),'ORDENES'!$AA850=TRUE),'ORDENES'!$AN850&amp;" | "&amp;'ORDENES'!$R850&amp;" | "&amp;IF('ORDENES'!$AB850="","(sin técnico)",'ORDENES'!$AB850)&amp;" | "&amp;'ORDENES'!$D850&amp;" ("&amp;'ORDENES'!$M850&amp;" h)","")</f>
        <v/>
      </c>
    </row>
    <row r="855">
      <c r="K855" s="3">
        <f>IF(AND(IF($B$3="(todos)",TRUE,'ORDENES'!$O851=$B$3),IF($D$3="(todos)",TRUE,'ORDENES'!$AC851=$D$3),IF($F$3="(todos)",TRUE,'ORDENES'!$V851=$F$3),'ORDENES'!$AA851=TRUE),'ORDENES'!$AN851&amp;" | "&amp;'ORDENES'!$R851&amp;" | "&amp;IF('ORDENES'!$AB851="","(sin técnico)",'ORDENES'!$AB851)&amp;" | "&amp;'ORDENES'!$D851&amp;" ("&amp;'ORDENES'!$M851&amp;" h)","")</f>
        <v/>
      </c>
    </row>
    <row r="856">
      <c r="K856" s="3">
        <f>IF(AND(IF($B$3="(todos)",TRUE,'ORDENES'!$O852=$B$3),IF($D$3="(todos)",TRUE,'ORDENES'!$AC852=$D$3),IF($F$3="(todos)",TRUE,'ORDENES'!$V852=$F$3),'ORDENES'!$AA852=TRUE),'ORDENES'!$AN852&amp;" | "&amp;'ORDENES'!$R852&amp;" | "&amp;IF('ORDENES'!$AB852="","(sin técnico)",'ORDENES'!$AB852)&amp;" | "&amp;'ORDENES'!$D852&amp;" ("&amp;'ORDENES'!$M852&amp;" h)","")</f>
        <v/>
      </c>
    </row>
    <row r="857">
      <c r="K857" s="3">
        <f>IF(AND(IF($B$3="(todos)",TRUE,'ORDENES'!$O853=$B$3),IF($D$3="(todos)",TRUE,'ORDENES'!$AC853=$D$3),IF($F$3="(todos)",TRUE,'ORDENES'!$V853=$F$3),'ORDENES'!$AA853=TRUE),'ORDENES'!$AN853&amp;" | "&amp;'ORDENES'!$R853&amp;" | "&amp;IF('ORDENES'!$AB853="","(sin técnico)",'ORDENES'!$AB853)&amp;" | "&amp;'ORDENES'!$D853&amp;" ("&amp;'ORDENES'!$M853&amp;" h)","")</f>
        <v/>
      </c>
    </row>
    <row r="858">
      <c r="K858" s="3">
        <f>IF(AND(IF($B$3="(todos)",TRUE,'ORDENES'!$O854=$B$3),IF($D$3="(todos)",TRUE,'ORDENES'!$AC854=$D$3),IF($F$3="(todos)",TRUE,'ORDENES'!$V854=$F$3),'ORDENES'!$AA854=TRUE),'ORDENES'!$AN854&amp;" | "&amp;'ORDENES'!$R854&amp;" | "&amp;IF('ORDENES'!$AB854="","(sin técnico)",'ORDENES'!$AB854)&amp;" | "&amp;'ORDENES'!$D854&amp;" ("&amp;'ORDENES'!$M854&amp;" h)","")</f>
        <v/>
      </c>
    </row>
    <row r="859">
      <c r="K859" s="3">
        <f>IF(AND(IF($B$3="(todos)",TRUE,'ORDENES'!$O855=$B$3),IF($D$3="(todos)",TRUE,'ORDENES'!$AC855=$D$3),IF($F$3="(todos)",TRUE,'ORDENES'!$V855=$F$3),'ORDENES'!$AA855=TRUE),'ORDENES'!$AN855&amp;" | "&amp;'ORDENES'!$R855&amp;" | "&amp;IF('ORDENES'!$AB855="","(sin técnico)",'ORDENES'!$AB855)&amp;" | "&amp;'ORDENES'!$D855&amp;" ("&amp;'ORDENES'!$M855&amp;" h)","")</f>
        <v/>
      </c>
    </row>
    <row r="860">
      <c r="K860" s="3">
        <f>IF(AND(IF($B$3="(todos)",TRUE,'ORDENES'!$O856=$B$3),IF($D$3="(todos)",TRUE,'ORDENES'!$AC856=$D$3),IF($F$3="(todos)",TRUE,'ORDENES'!$V856=$F$3),'ORDENES'!$AA856=TRUE),'ORDENES'!$AN856&amp;" | "&amp;'ORDENES'!$R856&amp;" | "&amp;IF('ORDENES'!$AB856="","(sin técnico)",'ORDENES'!$AB856)&amp;" | "&amp;'ORDENES'!$D856&amp;" ("&amp;'ORDENES'!$M856&amp;" h)","")</f>
        <v/>
      </c>
    </row>
    <row r="861">
      <c r="K861" s="3">
        <f>IF(AND(IF($B$3="(todos)",TRUE,'ORDENES'!$O857=$B$3),IF($D$3="(todos)",TRUE,'ORDENES'!$AC857=$D$3),IF($F$3="(todos)",TRUE,'ORDENES'!$V857=$F$3),'ORDENES'!$AA857=TRUE),'ORDENES'!$AN857&amp;" | "&amp;'ORDENES'!$R857&amp;" | "&amp;IF('ORDENES'!$AB857="","(sin técnico)",'ORDENES'!$AB857)&amp;" | "&amp;'ORDENES'!$D857&amp;" ("&amp;'ORDENES'!$M857&amp;" h)","")</f>
        <v/>
      </c>
    </row>
    <row r="862">
      <c r="K862" s="3">
        <f>IF(AND(IF($B$3="(todos)",TRUE,'ORDENES'!$O858=$B$3),IF($D$3="(todos)",TRUE,'ORDENES'!$AC858=$D$3),IF($F$3="(todos)",TRUE,'ORDENES'!$V858=$F$3),'ORDENES'!$AA858=TRUE),'ORDENES'!$AN858&amp;" | "&amp;'ORDENES'!$R858&amp;" | "&amp;IF('ORDENES'!$AB858="","(sin técnico)",'ORDENES'!$AB858)&amp;" | "&amp;'ORDENES'!$D858&amp;" ("&amp;'ORDENES'!$M858&amp;" h)","")</f>
        <v/>
      </c>
    </row>
    <row r="863">
      <c r="K863" s="3">
        <f>IF(AND(IF($B$3="(todos)",TRUE,'ORDENES'!$O859=$B$3),IF($D$3="(todos)",TRUE,'ORDENES'!$AC859=$D$3),IF($F$3="(todos)",TRUE,'ORDENES'!$V859=$F$3),'ORDENES'!$AA859=TRUE),'ORDENES'!$AN859&amp;" | "&amp;'ORDENES'!$R859&amp;" | "&amp;IF('ORDENES'!$AB859="","(sin técnico)",'ORDENES'!$AB859)&amp;" | "&amp;'ORDENES'!$D859&amp;" ("&amp;'ORDENES'!$M859&amp;" h)","")</f>
        <v/>
      </c>
    </row>
    <row r="864">
      <c r="K864" s="3">
        <f>IF(AND(IF($B$3="(todos)",TRUE,'ORDENES'!$O860=$B$3),IF($D$3="(todos)",TRUE,'ORDENES'!$AC860=$D$3),IF($F$3="(todos)",TRUE,'ORDENES'!$V860=$F$3),'ORDENES'!$AA860=TRUE),'ORDENES'!$AN860&amp;" | "&amp;'ORDENES'!$R860&amp;" | "&amp;IF('ORDENES'!$AB860="","(sin técnico)",'ORDENES'!$AB860)&amp;" | "&amp;'ORDENES'!$D860&amp;" ("&amp;'ORDENES'!$M860&amp;" h)","")</f>
        <v/>
      </c>
    </row>
    <row r="865">
      <c r="K865" s="3">
        <f>IF(AND(IF($B$3="(todos)",TRUE,'ORDENES'!$O861=$B$3),IF($D$3="(todos)",TRUE,'ORDENES'!$AC861=$D$3),IF($F$3="(todos)",TRUE,'ORDENES'!$V861=$F$3),'ORDENES'!$AA861=TRUE),'ORDENES'!$AN861&amp;" | "&amp;'ORDENES'!$R861&amp;" | "&amp;IF('ORDENES'!$AB861="","(sin técnico)",'ORDENES'!$AB861)&amp;" | "&amp;'ORDENES'!$D861&amp;" ("&amp;'ORDENES'!$M861&amp;" h)","")</f>
        <v/>
      </c>
    </row>
    <row r="866">
      <c r="K866" s="3">
        <f>IF(AND(IF($B$3="(todos)",TRUE,'ORDENES'!$O862=$B$3),IF($D$3="(todos)",TRUE,'ORDENES'!$AC862=$D$3),IF($F$3="(todos)",TRUE,'ORDENES'!$V862=$F$3),'ORDENES'!$AA862=TRUE),'ORDENES'!$AN862&amp;" | "&amp;'ORDENES'!$R862&amp;" | "&amp;IF('ORDENES'!$AB862="","(sin técnico)",'ORDENES'!$AB862)&amp;" | "&amp;'ORDENES'!$D862&amp;" ("&amp;'ORDENES'!$M862&amp;" h)","")</f>
        <v/>
      </c>
    </row>
    <row r="867">
      <c r="K867" s="3">
        <f>IF(AND(IF($B$3="(todos)",TRUE,'ORDENES'!$O863=$B$3),IF($D$3="(todos)",TRUE,'ORDENES'!$AC863=$D$3),IF($F$3="(todos)",TRUE,'ORDENES'!$V863=$F$3),'ORDENES'!$AA863=TRUE),'ORDENES'!$AN863&amp;" | "&amp;'ORDENES'!$R863&amp;" | "&amp;IF('ORDENES'!$AB863="","(sin técnico)",'ORDENES'!$AB863)&amp;" | "&amp;'ORDENES'!$D863&amp;" ("&amp;'ORDENES'!$M863&amp;" h)","")</f>
        <v/>
      </c>
    </row>
    <row r="868">
      <c r="K868" s="3">
        <f>IF(AND(IF($B$3="(todos)",TRUE,'ORDENES'!$O864=$B$3),IF($D$3="(todos)",TRUE,'ORDENES'!$AC864=$D$3),IF($F$3="(todos)",TRUE,'ORDENES'!$V864=$F$3),'ORDENES'!$AA864=TRUE),'ORDENES'!$AN864&amp;" | "&amp;'ORDENES'!$R864&amp;" | "&amp;IF('ORDENES'!$AB864="","(sin técnico)",'ORDENES'!$AB864)&amp;" | "&amp;'ORDENES'!$D864&amp;" ("&amp;'ORDENES'!$M864&amp;" h)","")</f>
        <v/>
      </c>
    </row>
    <row r="869">
      <c r="K869" s="3">
        <f>IF(AND(IF($B$3="(todos)",TRUE,'ORDENES'!$O865=$B$3),IF($D$3="(todos)",TRUE,'ORDENES'!$AC865=$D$3),IF($F$3="(todos)",TRUE,'ORDENES'!$V865=$F$3),'ORDENES'!$AA865=TRUE),'ORDENES'!$AN865&amp;" | "&amp;'ORDENES'!$R865&amp;" | "&amp;IF('ORDENES'!$AB865="","(sin técnico)",'ORDENES'!$AB865)&amp;" | "&amp;'ORDENES'!$D865&amp;" ("&amp;'ORDENES'!$M865&amp;" h)","")</f>
        <v/>
      </c>
    </row>
    <row r="870">
      <c r="K870" s="3">
        <f>IF(AND(IF($B$3="(todos)",TRUE,'ORDENES'!$O866=$B$3),IF($D$3="(todos)",TRUE,'ORDENES'!$AC866=$D$3),IF($F$3="(todos)",TRUE,'ORDENES'!$V866=$F$3),'ORDENES'!$AA866=TRUE),'ORDENES'!$AN866&amp;" | "&amp;'ORDENES'!$R866&amp;" | "&amp;IF('ORDENES'!$AB866="","(sin técnico)",'ORDENES'!$AB866)&amp;" | "&amp;'ORDENES'!$D866&amp;" ("&amp;'ORDENES'!$M866&amp;" h)","")</f>
        <v/>
      </c>
    </row>
    <row r="871">
      <c r="K871" s="3">
        <f>IF(AND(IF($B$3="(todos)",TRUE,'ORDENES'!$O867=$B$3),IF($D$3="(todos)",TRUE,'ORDENES'!$AC867=$D$3),IF($F$3="(todos)",TRUE,'ORDENES'!$V867=$F$3),'ORDENES'!$AA867=TRUE),'ORDENES'!$AN867&amp;" | "&amp;'ORDENES'!$R867&amp;" | "&amp;IF('ORDENES'!$AB867="","(sin técnico)",'ORDENES'!$AB867)&amp;" | "&amp;'ORDENES'!$D867&amp;" ("&amp;'ORDENES'!$M867&amp;" h)","")</f>
        <v/>
      </c>
    </row>
    <row r="872">
      <c r="K872" s="3">
        <f>IF(AND(IF($B$3="(todos)",TRUE,'ORDENES'!$O868=$B$3),IF($D$3="(todos)",TRUE,'ORDENES'!$AC868=$D$3),IF($F$3="(todos)",TRUE,'ORDENES'!$V868=$F$3),'ORDENES'!$AA868=TRUE),'ORDENES'!$AN868&amp;" | "&amp;'ORDENES'!$R868&amp;" | "&amp;IF('ORDENES'!$AB868="","(sin técnico)",'ORDENES'!$AB868)&amp;" | "&amp;'ORDENES'!$D868&amp;" ("&amp;'ORDENES'!$M868&amp;" h)","")</f>
        <v/>
      </c>
    </row>
    <row r="873">
      <c r="K873" s="3">
        <f>IF(AND(IF($B$3="(todos)",TRUE,'ORDENES'!$O869=$B$3),IF($D$3="(todos)",TRUE,'ORDENES'!$AC869=$D$3),IF($F$3="(todos)",TRUE,'ORDENES'!$V869=$F$3),'ORDENES'!$AA869=TRUE),'ORDENES'!$AN869&amp;" | "&amp;'ORDENES'!$R869&amp;" | "&amp;IF('ORDENES'!$AB869="","(sin técnico)",'ORDENES'!$AB869)&amp;" | "&amp;'ORDENES'!$D869&amp;" ("&amp;'ORDENES'!$M869&amp;" h)","")</f>
        <v/>
      </c>
    </row>
    <row r="874">
      <c r="K874" s="3">
        <f>IF(AND(IF($B$3="(todos)",TRUE,'ORDENES'!$O870=$B$3),IF($D$3="(todos)",TRUE,'ORDENES'!$AC870=$D$3),IF($F$3="(todos)",TRUE,'ORDENES'!$V870=$F$3),'ORDENES'!$AA870=TRUE),'ORDENES'!$AN870&amp;" | "&amp;'ORDENES'!$R870&amp;" | "&amp;IF('ORDENES'!$AB870="","(sin técnico)",'ORDENES'!$AB870)&amp;" | "&amp;'ORDENES'!$D870&amp;" ("&amp;'ORDENES'!$M870&amp;" h)","")</f>
        <v/>
      </c>
    </row>
    <row r="875">
      <c r="K875" s="3">
        <f>IF(AND(IF($B$3="(todos)",TRUE,'ORDENES'!$O871=$B$3),IF($D$3="(todos)",TRUE,'ORDENES'!$AC871=$D$3),IF($F$3="(todos)",TRUE,'ORDENES'!$V871=$F$3),'ORDENES'!$AA871=TRUE),'ORDENES'!$AN871&amp;" | "&amp;'ORDENES'!$R871&amp;" | "&amp;IF('ORDENES'!$AB871="","(sin técnico)",'ORDENES'!$AB871)&amp;" | "&amp;'ORDENES'!$D871&amp;" ("&amp;'ORDENES'!$M871&amp;" h)","")</f>
        <v/>
      </c>
    </row>
    <row r="876">
      <c r="K876" s="3">
        <f>IF(AND(IF($B$3="(todos)",TRUE,'ORDENES'!$O872=$B$3),IF($D$3="(todos)",TRUE,'ORDENES'!$AC872=$D$3),IF($F$3="(todos)",TRUE,'ORDENES'!$V872=$F$3),'ORDENES'!$AA872=TRUE),'ORDENES'!$AN872&amp;" | "&amp;'ORDENES'!$R872&amp;" | "&amp;IF('ORDENES'!$AB872="","(sin técnico)",'ORDENES'!$AB872)&amp;" | "&amp;'ORDENES'!$D872&amp;" ("&amp;'ORDENES'!$M872&amp;" h)","")</f>
        <v/>
      </c>
    </row>
    <row r="877">
      <c r="K877" s="3">
        <f>IF(AND(IF($B$3="(todos)",TRUE,'ORDENES'!$O873=$B$3),IF($D$3="(todos)",TRUE,'ORDENES'!$AC873=$D$3),IF($F$3="(todos)",TRUE,'ORDENES'!$V873=$F$3),'ORDENES'!$AA873=TRUE),'ORDENES'!$AN873&amp;" | "&amp;'ORDENES'!$R873&amp;" | "&amp;IF('ORDENES'!$AB873="","(sin técnico)",'ORDENES'!$AB873)&amp;" | "&amp;'ORDENES'!$D873&amp;" ("&amp;'ORDENES'!$M873&amp;" h)","")</f>
        <v/>
      </c>
    </row>
    <row r="878">
      <c r="K878" s="3">
        <f>IF(AND(IF($B$3="(todos)",TRUE,'ORDENES'!$O874=$B$3),IF($D$3="(todos)",TRUE,'ORDENES'!$AC874=$D$3),IF($F$3="(todos)",TRUE,'ORDENES'!$V874=$F$3),'ORDENES'!$AA874=TRUE),'ORDENES'!$AN874&amp;" | "&amp;'ORDENES'!$R874&amp;" | "&amp;IF('ORDENES'!$AB874="","(sin técnico)",'ORDENES'!$AB874)&amp;" | "&amp;'ORDENES'!$D874&amp;" ("&amp;'ORDENES'!$M874&amp;" h)","")</f>
        <v/>
      </c>
    </row>
    <row r="879">
      <c r="K879" s="3">
        <f>IF(AND(IF($B$3="(todos)",TRUE,'ORDENES'!$O875=$B$3),IF($D$3="(todos)",TRUE,'ORDENES'!$AC875=$D$3),IF($F$3="(todos)",TRUE,'ORDENES'!$V875=$F$3),'ORDENES'!$AA875=TRUE),'ORDENES'!$AN875&amp;" | "&amp;'ORDENES'!$R875&amp;" | "&amp;IF('ORDENES'!$AB875="","(sin técnico)",'ORDENES'!$AB875)&amp;" | "&amp;'ORDENES'!$D875&amp;" ("&amp;'ORDENES'!$M875&amp;" h)","")</f>
        <v/>
      </c>
    </row>
    <row r="880">
      <c r="K880" s="3">
        <f>IF(AND(IF($B$3="(todos)",TRUE,'ORDENES'!$O876=$B$3),IF($D$3="(todos)",TRUE,'ORDENES'!$AC876=$D$3),IF($F$3="(todos)",TRUE,'ORDENES'!$V876=$F$3),'ORDENES'!$AA876=TRUE),'ORDENES'!$AN876&amp;" | "&amp;'ORDENES'!$R876&amp;" | "&amp;IF('ORDENES'!$AB876="","(sin técnico)",'ORDENES'!$AB876)&amp;" | "&amp;'ORDENES'!$D876&amp;" ("&amp;'ORDENES'!$M876&amp;" h)","")</f>
        <v/>
      </c>
    </row>
    <row r="881">
      <c r="K881" s="3">
        <f>IF(AND(IF($B$3="(todos)",TRUE,'ORDENES'!$O877=$B$3),IF($D$3="(todos)",TRUE,'ORDENES'!$AC877=$D$3),IF($F$3="(todos)",TRUE,'ORDENES'!$V877=$F$3),'ORDENES'!$AA877=TRUE),'ORDENES'!$AN877&amp;" | "&amp;'ORDENES'!$R877&amp;" | "&amp;IF('ORDENES'!$AB877="","(sin técnico)",'ORDENES'!$AB877)&amp;" | "&amp;'ORDENES'!$D877&amp;" ("&amp;'ORDENES'!$M877&amp;" h)","")</f>
        <v/>
      </c>
    </row>
    <row r="882">
      <c r="K882" s="3">
        <f>IF(AND(IF($B$3="(todos)",TRUE,'ORDENES'!$O878=$B$3),IF($D$3="(todos)",TRUE,'ORDENES'!$AC878=$D$3),IF($F$3="(todos)",TRUE,'ORDENES'!$V878=$F$3),'ORDENES'!$AA878=TRUE),'ORDENES'!$AN878&amp;" | "&amp;'ORDENES'!$R878&amp;" | "&amp;IF('ORDENES'!$AB878="","(sin técnico)",'ORDENES'!$AB878)&amp;" | "&amp;'ORDENES'!$D878&amp;" ("&amp;'ORDENES'!$M878&amp;" h)","")</f>
        <v/>
      </c>
    </row>
    <row r="883">
      <c r="K883" s="3">
        <f>IF(AND(IF($B$3="(todos)",TRUE,'ORDENES'!$O879=$B$3),IF($D$3="(todos)",TRUE,'ORDENES'!$AC879=$D$3),IF($F$3="(todos)",TRUE,'ORDENES'!$V879=$F$3),'ORDENES'!$AA879=TRUE),'ORDENES'!$AN879&amp;" | "&amp;'ORDENES'!$R879&amp;" | "&amp;IF('ORDENES'!$AB879="","(sin técnico)",'ORDENES'!$AB879)&amp;" | "&amp;'ORDENES'!$D879&amp;" ("&amp;'ORDENES'!$M879&amp;" h)","")</f>
        <v/>
      </c>
    </row>
    <row r="884">
      <c r="K884" s="3">
        <f>IF(AND(IF($B$3="(todos)",TRUE,'ORDENES'!$O880=$B$3),IF($D$3="(todos)",TRUE,'ORDENES'!$AC880=$D$3),IF($F$3="(todos)",TRUE,'ORDENES'!$V880=$F$3),'ORDENES'!$AA880=TRUE),'ORDENES'!$AN880&amp;" | "&amp;'ORDENES'!$R880&amp;" | "&amp;IF('ORDENES'!$AB880="","(sin técnico)",'ORDENES'!$AB880)&amp;" | "&amp;'ORDENES'!$D880&amp;" ("&amp;'ORDENES'!$M880&amp;" h)","")</f>
        <v/>
      </c>
    </row>
    <row r="885">
      <c r="K885" s="3">
        <f>IF(AND(IF($B$3="(todos)",TRUE,'ORDENES'!$O881=$B$3),IF($D$3="(todos)",TRUE,'ORDENES'!$AC881=$D$3),IF($F$3="(todos)",TRUE,'ORDENES'!$V881=$F$3),'ORDENES'!$AA881=TRUE),'ORDENES'!$AN881&amp;" | "&amp;'ORDENES'!$R881&amp;" | "&amp;IF('ORDENES'!$AB881="","(sin técnico)",'ORDENES'!$AB881)&amp;" | "&amp;'ORDENES'!$D881&amp;" ("&amp;'ORDENES'!$M881&amp;" h)","")</f>
        <v/>
      </c>
    </row>
    <row r="886">
      <c r="K886" s="3">
        <f>IF(AND(IF($B$3="(todos)",TRUE,'ORDENES'!$O882=$B$3),IF($D$3="(todos)",TRUE,'ORDENES'!$AC882=$D$3),IF($F$3="(todos)",TRUE,'ORDENES'!$V882=$F$3),'ORDENES'!$AA882=TRUE),'ORDENES'!$AN882&amp;" | "&amp;'ORDENES'!$R882&amp;" | "&amp;IF('ORDENES'!$AB882="","(sin técnico)",'ORDENES'!$AB882)&amp;" | "&amp;'ORDENES'!$D882&amp;" ("&amp;'ORDENES'!$M882&amp;" h)","")</f>
        <v/>
      </c>
    </row>
    <row r="887">
      <c r="K887" s="3">
        <f>IF(AND(IF($B$3="(todos)",TRUE,'ORDENES'!$O883=$B$3),IF($D$3="(todos)",TRUE,'ORDENES'!$AC883=$D$3),IF($F$3="(todos)",TRUE,'ORDENES'!$V883=$F$3),'ORDENES'!$AA883=TRUE),'ORDENES'!$AN883&amp;" | "&amp;'ORDENES'!$R883&amp;" | "&amp;IF('ORDENES'!$AB883="","(sin técnico)",'ORDENES'!$AB883)&amp;" | "&amp;'ORDENES'!$D883&amp;" ("&amp;'ORDENES'!$M883&amp;" h)","")</f>
        <v/>
      </c>
    </row>
    <row r="888">
      <c r="K888" s="3">
        <f>IF(AND(IF($B$3="(todos)",TRUE,'ORDENES'!$O884=$B$3),IF($D$3="(todos)",TRUE,'ORDENES'!$AC884=$D$3),IF($F$3="(todos)",TRUE,'ORDENES'!$V884=$F$3),'ORDENES'!$AA884=TRUE),'ORDENES'!$AN884&amp;" | "&amp;'ORDENES'!$R884&amp;" | "&amp;IF('ORDENES'!$AB884="","(sin técnico)",'ORDENES'!$AB884)&amp;" | "&amp;'ORDENES'!$D884&amp;" ("&amp;'ORDENES'!$M884&amp;" h)","")</f>
        <v/>
      </c>
    </row>
    <row r="889">
      <c r="K889" s="3">
        <f>IF(AND(IF($B$3="(todos)",TRUE,'ORDENES'!$O885=$B$3),IF($D$3="(todos)",TRUE,'ORDENES'!$AC885=$D$3),IF($F$3="(todos)",TRUE,'ORDENES'!$V885=$F$3),'ORDENES'!$AA885=TRUE),'ORDENES'!$AN885&amp;" | "&amp;'ORDENES'!$R885&amp;" | "&amp;IF('ORDENES'!$AB885="","(sin técnico)",'ORDENES'!$AB885)&amp;" | "&amp;'ORDENES'!$D885&amp;" ("&amp;'ORDENES'!$M885&amp;" h)","")</f>
        <v/>
      </c>
    </row>
    <row r="890">
      <c r="K890" s="3">
        <f>IF(AND(IF($B$3="(todos)",TRUE,'ORDENES'!$O886=$B$3),IF($D$3="(todos)",TRUE,'ORDENES'!$AC886=$D$3),IF($F$3="(todos)",TRUE,'ORDENES'!$V886=$F$3),'ORDENES'!$AA886=TRUE),'ORDENES'!$AN886&amp;" | "&amp;'ORDENES'!$R886&amp;" | "&amp;IF('ORDENES'!$AB886="","(sin técnico)",'ORDENES'!$AB886)&amp;" | "&amp;'ORDENES'!$D886&amp;" ("&amp;'ORDENES'!$M886&amp;" h)","")</f>
        <v/>
      </c>
    </row>
    <row r="891">
      <c r="K891" s="3">
        <f>IF(AND(IF($B$3="(todos)",TRUE,'ORDENES'!$O887=$B$3),IF($D$3="(todos)",TRUE,'ORDENES'!$AC887=$D$3),IF($F$3="(todos)",TRUE,'ORDENES'!$V887=$F$3),'ORDENES'!$AA887=TRUE),'ORDENES'!$AN887&amp;" | "&amp;'ORDENES'!$R887&amp;" | "&amp;IF('ORDENES'!$AB887="","(sin técnico)",'ORDENES'!$AB887)&amp;" | "&amp;'ORDENES'!$D887&amp;" ("&amp;'ORDENES'!$M887&amp;" h)","")</f>
        <v/>
      </c>
    </row>
    <row r="892">
      <c r="K892" s="3">
        <f>IF(AND(IF($B$3="(todos)",TRUE,'ORDENES'!$O888=$B$3),IF($D$3="(todos)",TRUE,'ORDENES'!$AC888=$D$3),IF($F$3="(todos)",TRUE,'ORDENES'!$V888=$F$3),'ORDENES'!$AA888=TRUE),'ORDENES'!$AN888&amp;" | "&amp;'ORDENES'!$R888&amp;" | "&amp;IF('ORDENES'!$AB888="","(sin técnico)",'ORDENES'!$AB888)&amp;" | "&amp;'ORDENES'!$D888&amp;" ("&amp;'ORDENES'!$M888&amp;" h)","")</f>
        <v/>
      </c>
    </row>
    <row r="893">
      <c r="K893" s="3">
        <f>IF(AND(IF($B$3="(todos)",TRUE,'ORDENES'!$O889=$B$3),IF($D$3="(todos)",TRUE,'ORDENES'!$AC889=$D$3),IF($F$3="(todos)",TRUE,'ORDENES'!$V889=$F$3),'ORDENES'!$AA889=TRUE),'ORDENES'!$AN889&amp;" | "&amp;'ORDENES'!$R889&amp;" | "&amp;IF('ORDENES'!$AB889="","(sin técnico)",'ORDENES'!$AB889)&amp;" | "&amp;'ORDENES'!$D889&amp;" ("&amp;'ORDENES'!$M889&amp;" h)","")</f>
        <v/>
      </c>
    </row>
    <row r="894">
      <c r="K894" s="3">
        <f>IF(AND(IF($B$3="(todos)",TRUE,'ORDENES'!$O890=$B$3),IF($D$3="(todos)",TRUE,'ORDENES'!$AC890=$D$3),IF($F$3="(todos)",TRUE,'ORDENES'!$V890=$F$3),'ORDENES'!$AA890=TRUE),'ORDENES'!$AN890&amp;" | "&amp;'ORDENES'!$R890&amp;" | "&amp;IF('ORDENES'!$AB890="","(sin técnico)",'ORDENES'!$AB890)&amp;" | "&amp;'ORDENES'!$D890&amp;" ("&amp;'ORDENES'!$M890&amp;" h)","")</f>
        <v/>
      </c>
    </row>
    <row r="895">
      <c r="K895" s="3">
        <f>IF(AND(IF($B$3="(todos)",TRUE,'ORDENES'!$O891=$B$3),IF($D$3="(todos)",TRUE,'ORDENES'!$AC891=$D$3),IF($F$3="(todos)",TRUE,'ORDENES'!$V891=$F$3),'ORDENES'!$AA891=TRUE),'ORDENES'!$AN891&amp;" | "&amp;'ORDENES'!$R891&amp;" | "&amp;IF('ORDENES'!$AB891="","(sin técnico)",'ORDENES'!$AB891)&amp;" | "&amp;'ORDENES'!$D891&amp;" ("&amp;'ORDENES'!$M891&amp;" h)","")</f>
        <v/>
      </c>
    </row>
    <row r="896">
      <c r="K896" s="3">
        <f>IF(AND(IF($B$3="(todos)",TRUE,'ORDENES'!$O892=$B$3),IF($D$3="(todos)",TRUE,'ORDENES'!$AC892=$D$3),IF($F$3="(todos)",TRUE,'ORDENES'!$V892=$F$3),'ORDENES'!$AA892=TRUE),'ORDENES'!$AN892&amp;" | "&amp;'ORDENES'!$R892&amp;" | "&amp;IF('ORDENES'!$AB892="","(sin técnico)",'ORDENES'!$AB892)&amp;" | "&amp;'ORDENES'!$D892&amp;" ("&amp;'ORDENES'!$M892&amp;" h)","")</f>
        <v/>
      </c>
    </row>
    <row r="897">
      <c r="K897" s="3">
        <f>IF(AND(IF($B$3="(todos)",TRUE,'ORDENES'!$O893=$B$3),IF($D$3="(todos)",TRUE,'ORDENES'!$AC893=$D$3),IF($F$3="(todos)",TRUE,'ORDENES'!$V893=$F$3),'ORDENES'!$AA893=TRUE),'ORDENES'!$AN893&amp;" | "&amp;'ORDENES'!$R893&amp;" | "&amp;IF('ORDENES'!$AB893="","(sin técnico)",'ORDENES'!$AB893)&amp;" | "&amp;'ORDENES'!$D893&amp;" ("&amp;'ORDENES'!$M893&amp;" h)","")</f>
        <v/>
      </c>
    </row>
    <row r="898">
      <c r="K898" s="3">
        <f>IF(AND(IF($B$3="(todos)",TRUE,'ORDENES'!$O894=$B$3),IF($D$3="(todos)",TRUE,'ORDENES'!$AC894=$D$3),IF($F$3="(todos)",TRUE,'ORDENES'!$V894=$F$3),'ORDENES'!$AA894=TRUE),'ORDENES'!$AN894&amp;" | "&amp;'ORDENES'!$R894&amp;" | "&amp;IF('ORDENES'!$AB894="","(sin técnico)",'ORDENES'!$AB894)&amp;" | "&amp;'ORDENES'!$D894&amp;" ("&amp;'ORDENES'!$M894&amp;" h)","")</f>
        <v/>
      </c>
    </row>
    <row r="899">
      <c r="K899" s="3">
        <f>IF(AND(IF($B$3="(todos)",TRUE,'ORDENES'!$O895=$B$3),IF($D$3="(todos)",TRUE,'ORDENES'!$AC895=$D$3),IF($F$3="(todos)",TRUE,'ORDENES'!$V895=$F$3),'ORDENES'!$AA895=TRUE),'ORDENES'!$AN895&amp;" | "&amp;'ORDENES'!$R895&amp;" | "&amp;IF('ORDENES'!$AB895="","(sin técnico)",'ORDENES'!$AB895)&amp;" | "&amp;'ORDENES'!$D895&amp;" ("&amp;'ORDENES'!$M895&amp;" h)","")</f>
        <v/>
      </c>
    </row>
    <row r="900">
      <c r="K900" s="3">
        <f>IF(AND(IF($B$3="(todos)",TRUE,'ORDENES'!$O896=$B$3),IF($D$3="(todos)",TRUE,'ORDENES'!$AC896=$D$3),IF($F$3="(todos)",TRUE,'ORDENES'!$V896=$F$3),'ORDENES'!$AA896=TRUE),'ORDENES'!$AN896&amp;" | "&amp;'ORDENES'!$R896&amp;" | "&amp;IF('ORDENES'!$AB896="","(sin técnico)",'ORDENES'!$AB896)&amp;" | "&amp;'ORDENES'!$D896&amp;" ("&amp;'ORDENES'!$M896&amp;" h)","")</f>
        <v/>
      </c>
    </row>
    <row r="901">
      <c r="K901" s="3">
        <f>IF(AND(IF($B$3="(todos)",TRUE,'ORDENES'!$O897=$B$3),IF($D$3="(todos)",TRUE,'ORDENES'!$AC897=$D$3),IF($F$3="(todos)",TRUE,'ORDENES'!$V897=$F$3),'ORDENES'!$AA897=TRUE),'ORDENES'!$AN897&amp;" | "&amp;'ORDENES'!$R897&amp;" | "&amp;IF('ORDENES'!$AB897="","(sin técnico)",'ORDENES'!$AB897)&amp;" | "&amp;'ORDENES'!$D897&amp;" ("&amp;'ORDENES'!$M897&amp;" h)","")</f>
        <v/>
      </c>
    </row>
    <row r="902">
      <c r="K902" s="3">
        <f>IF(AND(IF($B$3="(todos)",TRUE,'ORDENES'!$O898=$B$3),IF($D$3="(todos)",TRUE,'ORDENES'!$AC898=$D$3),IF($F$3="(todos)",TRUE,'ORDENES'!$V898=$F$3),'ORDENES'!$AA898=TRUE),'ORDENES'!$AN898&amp;" | "&amp;'ORDENES'!$R898&amp;" | "&amp;IF('ORDENES'!$AB898="","(sin técnico)",'ORDENES'!$AB898)&amp;" | "&amp;'ORDENES'!$D898&amp;" ("&amp;'ORDENES'!$M898&amp;" h)","")</f>
        <v/>
      </c>
    </row>
    <row r="903">
      <c r="K903" s="3">
        <f>IF(AND(IF($B$3="(todos)",TRUE,'ORDENES'!$O899=$B$3),IF($D$3="(todos)",TRUE,'ORDENES'!$AC899=$D$3),IF($F$3="(todos)",TRUE,'ORDENES'!$V899=$F$3),'ORDENES'!$AA899=TRUE),'ORDENES'!$AN899&amp;" | "&amp;'ORDENES'!$R899&amp;" | "&amp;IF('ORDENES'!$AB899="","(sin técnico)",'ORDENES'!$AB899)&amp;" | "&amp;'ORDENES'!$D899&amp;" ("&amp;'ORDENES'!$M899&amp;" h)","")</f>
        <v/>
      </c>
    </row>
    <row r="904">
      <c r="K904" s="3">
        <f>IF(AND(IF($B$3="(todos)",TRUE,'ORDENES'!$O900=$B$3),IF($D$3="(todos)",TRUE,'ORDENES'!$AC900=$D$3),IF($F$3="(todos)",TRUE,'ORDENES'!$V900=$F$3),'ORDENES'!$AA900=TRUE),'ORDENES'!$AN900&amp;" | "&amp;'ORDENES'!$R900&amp;" | "&amp;IF('ORDENES'!$AB900="","(sin técnico)",'ORDENES'!$AB900)&amp;" | "&amp;'ORDENES'!$D900&amp;" ("&amp;'ORDENES'!$M900&amp;" h)","")</f>
        <v/>
      </c>
    </row>
    <row r="905">
      <c r="K905" s="3">
        <f>IF(AND(IF($B$3="(todos)",TRUE,'ORDENES'!$O901=$B$3),IF($D$3="(todos)",TRUE,'ORDENES'!$AC901=$D$3),IF($F$3="(todos)",TRUE,'ORDENES'!$V901=$F$3),'ORDENES'!$AA901=TRUE),'ORDENES'!$AN901&amp;" | "&amp;'ORDENES'!$R901&amp;" | "&amp;IF('ORDENES'!$AB901="","(sin técnico)",'ORDENES'!$AB901)&amp;" | "&amp;'ORDENES'!$D901&amp;" ("&amp;'ORDENES'!$M901&amp;" h)","")</f>
        <v/>
      </c>
    </row>
    <row r="906">
      <c r="K906" s="3">
        <f>IF(AND(IF($B$3="(todos)",TRUE,'ORDENES'!$O902=$B$3),IF($D$3="(todos)",TRUE,'ORDENES'!$AC902=$D$3),IF($F$3="(todos)",TRUE,'ORDENES'!$V902=$F$3),'ORDENES'!$AA902=TRUE),'ORDENES'!$AN902&amp;" | "&amp;'ORDENES'!$R902&amp;" | "&amp;IF('ORDENES'!$AB902="","(sin técnico)",'ORDENES'!$AB902)&amp;" | "&amp;'ORDENES'!$D902&amp;" ("&amp;'ORDENES'!$M902&amp;" h)","")</f>
        <v/>
      </c>
    </row>
    <row r="907">
      <c r="K907" s="3">
        <f>IF(AND(IF($B$3="(todos)",TRUE,'ORDENES'!$O903=$B$3),IF($D$3="(todos)",TRUE,'ORDENES'!$AC903=$D$3),IF($F$3="(todos)",TRUE,'ORDENES'!$V903=$F$3),'ORDENES'!$AA903=TRUE),'ORDENES'!$AN903&amp;" | "&amp;'ORDENES'!$R903&amp;" | "&amp;IF('ORDENES'!$AB903="","(sin técnico)",'ORDENES'!$AB903)&amp;" | "&amp;'ORDENES'!$D903&amp;" ("&amp;'ORDENES'!$M903&amp;" h)","")</f>
        <v/>
      </c>
    </row>
    <row r="908">
      <c r="K908" s="3">
        <f>IF(AND(IF($B$3="(todos)",TRUE,'ORDENES'!$O904=$B$3),IF($D$3="(todos)",TRUE,'ORDENES'!$AC904=$D$3),IF($F$3="(todos)",TRUE,'ORDENES'!$V904=$F$3),'ORDENES'!$AA904=TRUE),'ORDENES'!$AN904&amp;" | "&amp;'ORDENES'!$R904&amp;" | "&amp;IF('ORDENES'!$AB904="","(sin técnico)",'ORDENES'!$AB904)&amp;" | "&amp;'ORDENES'!$D904&amp;" ("&amp;'ORDENES'!$M904&amp;" h)","")</f>
        <v/>
      </c>
    </row>
    <row r="909">
      <c r="K909" s="3">
        <f>IF(AND(IF($B$3="(todos)",TRUE,'ORDENES'!$O905=$B$3),IF($D$3="(todos)",TRUE,'ORDENES'!$AC905=$D$3),IF($F$3="(todos)",TRUE,'ORDENES'!$V905=$F$3),'ORDENES'!$AA905=TRUE),'ORDENES'!$AN905&amp;" | "&amp;'ORDENES'!$R905&amp;" | "&amp;IF('ORDENES'!$AB905="","(sin técnico)",'ORDENES'!$AB905)&amp;" | "&amp;'ORDENES'!$D905&amp;" ("&amp;'ORDENES'!$M905&amp;" h)","")</f>
        <v/>
      </c>
    </row>
    <row r="910">
      <c r="K910" s="3">
        <f>IF(AND(IF($B$3="(todos)",TRUE,'ORDENES'!$O906=$B$3),IF($D$3="(todos)",TRUE,'ORDENES'!$AC906=$D$3),IF($F$3="(todos)",TRUE,'ORDENES'!$V906=$F$3),'ORDENES'!$AA906=TRUE),'ORDENES'!$AN906&amp;" | "&amp;'ORDENES'!$R906&amp;" | "&amp;IF('ORDENES'!$AB906="","(sin técnico)",'ORDENES'!$AB906)&amp;" | "&amp;'ORDENES'!$D906&amp;" ("&amp;'ORDENES'!$M906&amp;" h)","")</f>
        <v/>
      </c>
    </row>
    <row r="911">
      <c r="K911" s="3">
        <f>IF(AND(IF($B$3="(todos)",TRUE,'ORDENES'!$O907=$B$3),IF($D$3="(todos)",TRUE,'ORDENES'!$AC907=$D$3),IF($F$3="(todos)",TRUE,'ORDENES'!$V907=$F$3),'ORDENES'!$AA907=TRUE),'ORDENES'!$AN907&amp;" | "&amp;'ORDENES'!$R907&amp;" | "&amp;IF('ORDENES'!$AB907="","(sin técnico)",'ORDENES'!$AB907)&amp;" | "&amp;'ORDENES'!$D907&amp;" ("&amp;'ORDENES'!$M907&amp;" h)","")</f>
        <v/>
      </c>
    </row>
    <row r="912">
      <c r="K912" s="3">
        <f>IF(AND(IF($B$3="(todos)",TRUE,'ORDENES'!$O908=$B$3),IF($D$3="(todos)",TRUE,'ORDENES'!$AC908=$D$3),IF($F$3="(todos)",TRUE,'ORDENES'!$V908=$F$3),'ORDENES'!$AA908=TRUE),'ORDENES'!$AN908&amp;" | "&amp;'ORDENES'!$R908&amp;" | "&amp;IF('ORDENES'!$AB908="","(sin técnico)",'ORDENES'!$AB908)&amp;" | "&amp;'ORDENES'!$D908&amp;" ("&amp;'ORDENES'!$M908&amp;" h)","")</f>
        <v/>
      </c>
    </row>
    <row r="913">
      <c r="K913" s="3">
        <f>IF(AND(IF($B$3="(todos)",TRUE,'ORDENES'!$O909=$B$3),IF($D$3="(todos)",TRUE,'ORDENES'!$AC909=$D$3),IF($F$3="(todos)",TRUE,'ORDENES'!$V909=$F$3),'ORDENES'!$AA909=TRUE),'ORDENES'!$AN909&amp;" | "&amp;'ORDENES'!$R909&amp;" | "&amp;IF('ORDENES'!$AB909="","(sin técnico)",'ORDENES'!$AB909)&amp;" | "&amp;'ORDENES'!$D909&amp;" ("&amp;'ORDENES'!$M909&amp;" h)","")</f>
        <v/>
      </c>
    </row>
    <row r="914">
      <c r="K914" s="3">
        <f>IF(AND(IF($B$3="(todos)",TRUE,'ORDENES'!$O910=$B$3),IF($D$3="(todos)",TRUE,'ORDENES'!$AC910=$D$3),IF($F$3="(todos)",TRUE,'ORDENES'!$V910=$F$3),'ORDENES'!$AA910=TRUE),'ORDENES'!$AN910&amp;" | "&amp;'ORDENES'!$R910&amp;" | "&amp;IF('ORDENES'!$AB910="","(sin técnico)",'ORDENES'!$AB910)&amp;" | "&amp;'ORDENES'!$D910&amp;" ("&amp;'ORDENES'!$M910&amp;" h)","")</f>
        <v/>
      </c>
    </row>
    <row r="915">
      <c r="K915" s="3">
        <f>IF(AND(IF($B$3="(todos)",TRUE,'ORDENES'!$O911=$B$3),IF($D$3="(todos)",TRUE,'ORDENES'!$AC911=$D$3),IF($F$3="(todos)",TRUE,'ORDENES'!$V911=$F$3),'ORDENES'!$AA911=TRUE),'ORDENES'!$AN911&amp;" | "&amp;'ORDENES'!$R911&amp;" | "&amp;IF('ORDENES'!$AB911="","(sin técnico)",'ORDENES'!$AB911)&amp;" | "&amp;'ORDENES'!$D911&amp;" ("&amp;'ORDENES'!$M911&amp;" h)","")</f>
        <v/>
      </c>
    </row>
    <row r="916">
      <c r="K916" s="3">
        <f>IF(AND(IF($B$3="(todos)",TRUE,'ORDENES'!$O912=$B$3),IF($D$3="(todos)",TRUE,'ORDENES'!$AC912=$D$3),IF($F$3="(todos)",TRUE,'ORDENES'!$V912=$F$3),'ORDENES'!$AA912=TRUE),'ORDENES'!$AN912&amp;" | "&amp;'ORDENES'!$R912&amp;" | "&amp;IF('ORDENES'!$AB912="","(sin técnico)",'ORDENES'!$AB912)&amp;" | "&amp;'ORDENES'!$D912&amp;" ("&amp;'ORDENES'!$M912&amp;" h)","")</f>
        <v/>
      </c>
    </row>
    <row r="917">
      <c r="K917" s="3">
        <f>IF(AND(IF($B$3="(todos)",TRUE,'ORDENES'!$O913=$B$3),IF($D$3="(todos)",TRUE,'ORDENES'!$AC913=$D$3),IF($F$3="(todos)",TRUE,'ORDENES'!$V913=$F$3),'ORDENES'!$AA913=TRUE),'ORDENES'!$AN913&amp;" | "&amp;'ORDENES'!$R913&amp;" | "&amp;IF('ORDENES'!$AB913="","(sin técnico)",'ORDENES'!$AB913)&amp;" | "&amp;'ORDENES'!$D913&amp;" ("&amp;'ORDENES'!$M913&amp;" h)","")</f>
        <v/>
      </c>
    </row>
    <row r="918">
      <c r="K918" s="3">
        <f>IF(AND(IF($B$3="(todos)",TRUE,'ORDENES'!$O914=$B$3),IF($D$3="(todos)",TRUE,'ORDENES'!$AC914=$D$3),IF($F$3="(todos)",TRUE,'ORDENES'!$V914=$F$3),'ORDENES'!$AA914=TRUE),'ORDENES'!$AN914&amp;" | "&amp;'ORDENES'!$R914&amp;" | "&amp;IF('ORDENES'!$AB914="","(sin técnico)",'ORDENES'!$AB914)&amp;" | "&amp;'ORDENES'!$D914&amp;" ("&amp;'ORDENES'!$M914&amp;" h)","")</f>
        <v/>
      </c>
    </row>
    <row r="919">
      <c r="K919" s="3">
        <f>IF(AND(IF($B$3="(todos)",TRUE,'ORDENES'!$O915=$B$3),IF($D$3="(todos)",TRUE,'ORDENES'!$AC915=$D$3),IF($F$3="(todos)",TRUE,'ORDENES'!$V915=$F$3),'ORDENES'!$AA915=TRUE),'ORDENES'!$AN915&amp;" | "&amp;'ORDENES'!$R915&amp;" | "&amp;IF('ORDENES'!$AB915="","(sin técnico)",'ORDENES'!$AB915)&amp;" | "&amp;'ORDENES'!$D915&amp;" ("&amp;'ORDENES'!$M915&amp;" h)","")</f>
        <v/>
      </c>
    </row>
    <row r="920">
      <c r="K920" s="3">
        <f>IF(AND(IF($B$3="(todos)",TRUE,'ORDENES'!$O916=$B$3),IF($D$3="(todos)",TRUE,'ORDENES'!$AC916=$D$3),IF($F$3="(todos)",TRUE,'ORDENES'!$V916=$F$3),'ORDENES'!$AA916=TRUE),'ORDENES'!$AN916&amp;" | "&amp;'ORDENES'!$R916&amp;" | "&amp;IF('ORDENES'!$AB916="","(sin técnico)",'ORDENES'!$AB916)&amp;" | "&amp;'ORDENES'!$D916&amp;" ("&amp;'ORDENES'!$M916&amp;" h)","")</f>
        <v/>
      </c>
    </row>
    <row r="921">
      <c r="K921" s="3">
        <f>IF(AND(IF($B$3="(todos)",TRUE,'ORDENES'!$O917=$B$3),IF($D$3="(todos)",TRUE,'ORDENES'!$AC917=$D$3),IF($F$3="(todos)",TRUE,'ORDENES'!$V917=$F$3),'ORDENES'!$AA917=TRUE),'ORDENES'!$AN917&amp;" | "&amp;'ORDENES'!$R917&amp;" | "&amp;IF('ORDENES'!$AB917="","(sin técnico)",'ORDENES'!$AB917)&amp;" | "&amp;'ORDENES'!$D917&amp;" ("&amp;'ORDENES'!$M917&amp;" h)","")</f>
        <v/>
      </c>
    </row>
    <row r="922">
      <c r="K922" s="3">
        <f>IF(AND(IF($B$3="(todos)",TRUE,'ORDENES'!$O918=$B$3),IF($D$3="(todos)",TRUE,'ORDENES'!$AC918=$D$3),IF($F$3="(todos)",TRUE,'ORDENES'!$V918=$F$3),'ORDENES'!$AA918=TRUE),'ORDENES'!$AN918&amp;" | "&amp;'ORDENES'!$R918&amp;" | "&amp;IF('ORDENES'!$AB918="","(sin técnico)",'ORDENES'!$AB918)&amp;" | "&amp;'ORDENES'!$D918&amp;" ("&amp;'ORDENES'!$M918&amp;" h)","")</f>
        <v/>
      </c>
    </row>
    <row r="923">
      <c r="K923" s="3">
        <f>IF(AND(IF($B$3="(todos)",TRUE,'ORDENES'!$O919=$B$3),IF($D$3="(todos)",TRUE,'ORDENES'!$AC919=$D$3),IF($F$3="(todos)",TRUE,'ORDENES'!$V919=$F$3),'ORDENES'!$AA919=TRUE),'ORDENES'!$AN919&amp;" | "&amp;'ORDENES'!$R919&amp;" | "&amp;IF('ORDENES'!$AB919="","(sin técnico)",'ORDENES'!$AB919)&amp;" | "&amp;'ORDENES'!$D919&amp;" ("&amp;'ORDENES'!$M919&amp;" h)","")</f>
        <v/>
      </c>
    </row>
    <row r="924">
      <c r="K924" s="3">
        <f>IF(AND(IF($B$3="(todos)",TRUE,'ORDENES'!$O920=$B$3),IF($D$3="(todos)",TRUE,'ORDENES'!$AC920=$D$3),IF($F$3="(todos)",TRUE,'ORDENES'!$V920=$F$3),'ORDENES'!$AA920=TRUE),'ORDENES'!$AN920&amp;" | "&amp;'ORDENES'!$R920&amp;" | "&amp;IF('ORDENES'!$AB920="","(sin técnico)",'ORDENES'!$AB920)&amp;" | "&amp;'ORDENES'!$D920&amp;" ("&amp;'ORDENES'!$M920&amp;" h)","")</f>
        <v/>
      </c>
    </row>
    <row r="925">
      <c r="K925" s="3">
        <f>IF(AND(IF($B$3="(todos)",TRUE,'ORDENES'!$O921=$B$3),IF($D$3="(todos)",TRUE,'ORDENES'!$AC921=$D$3),IF($F$3="(todos)",TRUE,'ORDENES'!$V921=$F$3),'ORDENES'!$AA921=TRUE),'ORDENES'!$AN921&amp;" | "&amp;'ORDENES'!$R921&amp;" | "&amp;IF('ORDENES'!$AB921="","(sin técnico)",'ORDENES'!$AB921)&amp;" | "&amp;'ORDENES'!$D921&amp;" ("&amp;'ORDENES'!$M921&amp;" h)","")</f>
        <v/>
      </c>
    </row>
    <row r="926">
      <c r="K926" s="3">
        <f>IF(AND(IF($B$3="(todos)",TRUE,'ORDENES'!$O922=$B$3),IF($D$3="(todos)",TRUE,'ORDENES'!$AC922=$D$3),IF($F$3="(todos)",TRUE,'ORDENES'!$V922=$F$3),'ORDENES'!$AA922=TRUE),'ORDENES'!$AN922&amp;" | "&amp;'ORDENES'!$R922&amp;" | "&amp;IF('ORDENES'!$AB922="","(sin técnico)",'ORDENES'!$AB922)&amp;" | "&amp;'ORDENES'!$D922&amp;" ("&amp;'ORDENES'!$M922&amp;" h)","")</f>
        <v/>
      </c>
    </row>
    <row r="927">
      <c r="K927" s="3">
        <f>IF(AND(IF($B$3="(todos)",TRUE,'ORDENES'!$O923=$B$3),IF($D$3="(todos)",TRUE,'ORDENES'!$AC923=$D$3),IF($F$3="(todos)",TRUE,'ORDENES'!$V923=$F$3),'ORDENES'!$AA923=TRUE),'ORDENES'!$AN923&amp;" | "&amp;'ORDENES'!$R923&amp;" | "&amp;IF('ORDENES'!$AB923="","(sin técnico)",'ORDENES'!$AB923)&amp;" | "&amp;'ORDENES'!$D923&amp;" ("&amp;'ORDENES'!$M923&amp;" h)","")</f>
        <v/>
      </c>
    </row>
    <row r="928">
      <c r="K928" s="3">
        <f>IF(AND(IF($B$3="(todos)",TRUE,'ORDENES'!$O924=$B$3),IF($D$3="(todos)",TRUE,'ORDENES'!$AC924=$D$3),IF($F$3="(todos)",TRUE,'ORDENES'!$V924=$F$3),'ORDENES'!$AA924=TRUE),'ORDENES'!$AN924&amp;" | "&amp;'ORDENES'!$R924&amp;" | "&amp;IF('ORDENES'!$AB924="","(sin técnico)",'ORDENES'!$AB924)&amp;" | "&amp;'ORDENES'!$D924&amp;" ("&amp;'ORDENES'!$M924&amp;" h)","")</f>
        <v/>
      </c>
    </row>
    <row r="929">
      <c r="K929" s="3">
        <f>IF(AND(IF($B$3="(todos)",TRUE,'ORDENES'!$O925=$B$3),IF($D$3="(todos)",TRUE,'ORDENES'!$AC925=$D$3),IF($F$3="(todos)",TRUE,'ORDENES'!$V925=$F$3),'ORDENES'!$AA925=TRUE),'ORDENES'!$AN925&amp;" | "&amp;'ORDENES'!$R925&amp;" | "&amp;IF('ORDENES'!$AB925="","(sin técnico)",'ORDENES'!$AB925)&amp;" | "&amp;'ORDENES'!$D925&amp;" ("&amp;'ORDENES'!$M925&amp;" h)","")</f>
        <v/>
      </c>
    </row>
    <row r="930">
      <c r="K930" s="3">
        <f>IF(AND(IF($B$3="(todos)",TRUE,'ORDENES'!$O926=$B$3),IF($D$3="(todos)",TRUE,'ORDENES'!$AC926=$D$3),IF($F$3="(todos)",TRUE,'ORDENES'!$V926=$F$3),'ORDENES'!$AA926=TRUE),'ORDENES'!$AN926&amp;" | "&amp;'ORDENES'!$R926&amp;" | "&amp;IF('ORDENES'!$AB926="","(sin técnico)",'ORDENES'!$AB926)&amp;" | "&amp;'ORDENES'!$D926&amp;" ("&amp;'ORDENES'!$M926&amp;" h)","")</f>
        <v/>
      </c>
    </row>
    <row r="931">
      <c r="K931" s="3">
        <f>IF(AND(IF($B$3="(todos)",TRUE,'ORDENES'!$O927=$B$3),IF($D$3="(todos)",TRUE,'ORDENES'!$AC927=$D$3),IF($F$3="(todos)",TRUE,'ORDENES'!$V927=$F$3),'ORDENES'!$AA927=TRUE),'ORDENES'!$AN927&amp;" | "&amp;'ORDENES'!$R927&amp;" | "&amp;IF('ORDENES'!$AB927="","(sin técnico)",'ORDENES'!$AB927)&amp;" | "&amp;'ORDENES'!$D927&amp;" ("&amp;'ORDENES'!$M927&amp;" h)","")</f>
        <v/>
      </c>
    </row>
    <row r="932">
      <c r="K932" s="3">
        <f>IF(AND(IF($B$3="(todos)",TRUE,'ORDENES'!$O928=$B$3),IF($D$3="(todos)",TRUE,'ORDENES'!$AC928=$D$3),IF($F$3="(todos)",TRUE,'ORDENES'!$V928=$F$3),'ORDENES'!$AA928=TRUE),'ORDENES'!$AN928&amp;" | "&amp;'ORDENES'!$R928&amp;" | "&amp;IF('ORDENES'!$AB928="","(sin técnico)",'ORDENES'!$AB928)&amp;" | "&amp;'ORDENES'!$D928&amp;" ("&amp;'ORDENES'!$M928&amp;" h)","")</f>
        <v/>
      </c>
    </row>
    <row r="933">
      <c r="K933" s="3">
        <f>IF(AND(IF($B$3="(todos)",TRUE,'ORDENES'!$O929=$B$3),IF($D$3="(todos)",TRUE,'ORDENES'!$AC929=$D$3),IF($F$3="(todos)",TRUE,'ORDENES'!$V929=$F$3),'ORDENES'!$AA929=TRUE),'ORDENES'!$AN929&amp;" | "&amp;'ORDENES'!$R929&amp;" | "&amp;IF('ORDENES'!$AB929="","(sin técnico)",'ORDENES'!$AB929)&amp;" | "&amp;'ORDENES'!$D929&amp;" ("&amp;'ORDENES'!$M929&amp;" h)","")</f>
        <v/>
      </c>
    </row>
    <row r="934">
      <c r="K934" s="3">
        <f>IF(AND(IF($B$3="(todos)",TRUE,'ORDENES'!$O930=$B$3),IF($D$3="(todos)",TRUE,'ORDENES'!$AC930=$D$3),IF($F$3="(todos)",TRUE,'ORDENES'!$V930=$F$3),'ORDENES'!$AA930=TRUE),'ORDENES'!$AN930&amp;" | "&amp;'ORDENES'!$R930&amp;" | "&amp;IF('ORDENES'!$AB930="","(sin técnico)",'ORDENES'!$AB930)&amp;" | "&amp;'ORDENES'!$D930&amp;" ("&amp;'ORDENES'!$M930&amp;" h)","")</f>
        <v/>
      </c>
    </row>
    <row r="935">
      <c r="K935" s="3">
        <f>IF(AND(IF($B$3="(todos)",TRUE,'ORDENES'!$O931=$B$3),IF($D$3="(todos)",TRUE,'ORDENES'!$AC931=$D$3),IF($F$3="(todos)",TRUE,'ORDENES'!$V931=$F$3),'ORDENES'!$AA931=TRUE),'ORDENES'!$AN931&amp;" | "&amp;'ORDENES'!$R931&amp;" | "&amp;IF('ORDENES'!$AB931="","(sin técnico)",'ORDENES'!$AB931)&amp;" | "&amp;'ORDENES'!$D931&amp;" ("&amp;'ORDENES'!$M931&amp;" h)","")</f>
        <v/>
      </c>
    </row>
    <row r="936">
      <c r="K936" s="3">
        <f>IF(AND(IF($B$3="(todos)",TRUE,'ORDENES'!$O932=$B$3),IF($D$3="(todos)",TRUE,'ORDENES'!$AC932=$D$3),IF($F$3="(todos)",TRUE,'ORDENES'!$V932=$F$3),'ORDENES'!$AA932=TRUE),'ORDENES'!$AN932&amp;" | "&amp;'ORDENES'!$R932&amp;" | "&amp;IF('ORDENES'!$AB932="","(sin técnico)",'ORDENES'!$AB932)&amp;" | "&amp;'ORDENES'!$D932&amp;" ("&amp;'ORDENES'!$M932&amp;" h)","")</f>
        <v/>
      </c>
    </row>
    <row r="937">
      <c r="K937" s="3">
        <f>IF(AND(IF($B$3="(todos)",TRUE,'ORDENES'!$O933=$B$3),IF($D$3="(todos)",TRUE,'ORDENES'!$AC933=$D$3),IF($F$3="(todos)",TRUE,'ORDENES'!$V933=$F$3),'ORDENES'!$AA933=TRUE),'ORDENES'!$AN933&amp;" | "&amp;'ORDENES'!$R933&amp;" | "&amp;IF('ORDENES'!$AB933="","(sin técnico)",'ORDENES'!$AB933)&amp;" | "&amp;'ORDENES'!$D933&amp;" ("&amp;'ORDENES'!$M933&amp;" h)","")</f>
        <v/>
      </c>
    </row>
    <row r="938">
      <c r="K938" s="3">
        <f>IF(AND(IF($B$3="(todos)",TRUE,'ORDENES'!$O934=$B$3),IF($D$3="(todos)",TRUE,'ORDENES'!$AC934=$D$3),IF($F$3="(todos)",TRUE,'ORDENES'!$V934=$F$3),'ORDENES'!$AA934=TRUE),'ORDENES'!$AN934&amp;" | "&amp;'ORDENES'!$R934&amp;" | "&amp;IF('ORDENES'!$AB934="","(sin técnico)",'ORDENES'!$AB934)&amp;" | "&amp;'ORDENES'!$D934&amp;" ("&amp;'ORDENES'!$M934&amp;" h)","")</f>
        <v/>
      </c>
    </row>
    <row r="939">
      <c r="K939" s="3">
        <f>IF(AND(IF($B$3="(todos)",TRUE,'ORDENES'!$O935=$B$3),IF($D$3="(todos)",TRUE,'ORDENES'!$AC935=$D$3),IF($F$3="(todos)",TRUE,'ORDENES'!$V935=$F$3),'ORDENES'!$AA935=TRUE),'ORDENES'!$AN935&amp;" | "&amp;'ORDENES'!$R935&amp;" | "&amp;IF('ORDENES'!$AB935="","(sin técnico)",'ORDENES'!$AB935)&amp;" | "&amp;'ORDENES'!$D935&amp;" ("&amp;'ORDENES'!$M935&amp;" h)","")</f>
        <v/>
      </c>
    </row>
    <row r="940">
      <c r="K940" s="3">
        <f>IF(AND(IF($B$3="(todos)",TRUE,'ORDENES'!$O936=$B$3),IF($D$3="(todos)",TRUE,'ORDENES'!$AC936=$D$3),IF($F$3="(todos)",TRUE,'ORDENES'!$V936=$F$3),'ORDENES'!$AA936=TRUE),'ORDENES'!$AN936&amp;" | "&amp;'ORDENES'!$R936&amp;" | "&amp;IF('ORDENES'!$AB936="","(sin técnico)",'ORDENES'!$AB936)&amp;" | "&amp;'ORDENES'!$D936&amp;" ("&amp;'ORDENES'!$M936&amp;" h)","")</f>
        <v/>
      </c>
    </row>
    <row r="941">
      <c r="K941" s="3">
        <f>IF(AND(IF($B$3="(todos)",TRUE,'ORDENES'!$O937=$B$3),IF($D$3="(todos)",TRUE,'ORDENES'!$AC937=$D$3),IF($F$3="(todos)",TRUE,'ORDENES'!$V937=$F$3),'ORDENES'!$AA937=TRUE),'ORDENES'!$AN937&amp;" | "&amp;'ORDENES'!$R937&amp;" | "&amp;IF('ORDENES'!$AB937="","(sin técnico)",'ORDENES'!$AB937)&amp;" | "&amp;'ORDENES'!$D937&amp;" ("&amp;'ORDENES'!$M937&amp;" h)","")</f>
        <v/>
      </c>
    </row>
    <row r="942">
      <c r="K942" s="3">
        <f>IF(AND(IF($B$3="(todos)",TRUE,'ORDENES'!$O938=$B$3),IF($D$3="(todos)",TRUE,'ORDENES'!$AC938=$D$3),IF($F$3="(todos)",TRUE,'ORDENES'!$V938=$F$3),'ORDENES'!$AA938=TRUE),'ORDENES'!$AN938&amp;" | "&amp;'ORDENES'!$R938&amp;" | "&amp;IF('ORDENES'!$AB938="","(sin técnico)",'ORDENES'!$AB938)&amp;" | "&amp;'ORDENES'!$D938&amp;" ("&amp;'ORDENES'!$M938&amp;" h)","")</f>
        <v/>
      </c>
    </row>
    <row r="943">
      <c r="K943" s="3">
        <f>IF(AND(IF($B$3="(todos)",TRUE,'ORDENES'!$O939=$B$3),IF($D$3="(todos)",TRUE,'ORDENES'!$AC939=$D$3),IF($F$3="(todos)",TRUE,'ORDENES'!$V939=$F$3),'ORDENES'!$AA939=TRUE),'ORDENES'!$AN939&amp;" | "&amp;'ORDENES'!$R939&amp;" | "&amp;IF('ORDENES'!$AB939="","(sin técnico)",'ORDENES'!$AB939)&amp;" | "&amp;'ORDENES'!$D939&amp;" ("&amp;'ORDENES'!$M939&amp;" h)","")</f>
        <v/>
      </c>
    </row>
    <row r="944">
      <c r="K944" s="3">
        <f>IF(AND(IF($B$3="(todos)",TRUE,'ORDENES'!$O940=$B$3),IF($D$3="(todos)",TRUE,'ORDENES'!$AC940=$D$3),IF($F$3="(todos)",TRUE,'ORDENES'!$V940=$F$3),'ORDENES'!$AA940=TRUE),'ORDENES'!$AN940&amp;" | "&amp;'ORDENES'!$R940&amp;" | "&amp;IF('ORDENES'!$AB940="","(sin técnico)",'ORDENES'!$AB940)&amp;" | "&amp;'ORDENES'!$D940&amp;" ("&amp;'ORDENES'!$M940&amp;" h)","")</f>
        <v/>
      </c>
    </row>
    <row r="945">
      <c r="K945" s="3">
        <f>IF(AND(IF($B$3="(todos)",TRUE,'ORDENES'!$O941=$B$3),IF($D$3="(todos)",TRUE,'ORDENES'!$AC941=$D$3),IF($F$3="(todos)",TRUE,'ORDENES'!$V941=$F$3),'ORDENES'!$AA941=TRUE),'ORDENES'!$AN941&amp;" | "&amp;'ORDENES'!$R941&amp;" | "&amp;IF('ORDENES'!$AB941="","(sin técnico)",'ORDENES'!$AB941)&amp;" | "&amp;'ORDENES'!$D941&amp;" ("&amp;'ORDENES'!$M941&amp;" h)","")</f>
        <v/>
      </c>
    </row>
    <row r="946">
      <c r="K946" s="3">
        <f>IF(AND(IF($B$3="(todos)",TRUE,'ORDENES'!$O942=$B$3),IF($D$3="(todos)",TRUE,'ORDENES'!$AC942=$D$3),IF($F$3="(todos)",TRUE,'ORDENES'!$V942=$F$3),'ORDENES'!$AA942=TRUE),'ORDENES'!$AN942&amp;" | "&amp;'ORDENES'!$R942&amp;" | "&amp;IF('ORDENES'!$AB942="","(sin técnico)",'ORDENES'!$AB942)&amp;" | "&amp;'ORDENES'!$D942&amp;" ("&amp;'ORDENES'!$M942&amp;" h)","")</f>
        <v/>
      </c>
    </row>
    <row r="947">
      <c r="K947" s="3">
        <f>IF(AND(IF($B$3="(todos)",TRUE,'ORDENES'!$O943=$B$3),IF($D$3="(todos)",TRUE,'ORDENES'!$AC943=$D$3),IF($F$3="(todos)",TRUE,'ORDENES'!$V943=$F$3),'ORDENES'!$AA943=TRUE),'ORDENES'!$AN943&amp;" | "&amp;'ORDENES'!$R943&amp;" | "&amp;IF('ORDENES'!$AB943="","(sin técnico)",'ORDENES'!$AB943)&amp;" | "&amp;'ORDENES'!$D943&amp;" ("&amp;'ORDENES'!$M943&amp;" h)","")</f>
        <v/>
      </c>
    </row>
    <row r="948">
      <c r="K948" s="3">
        <f>IF(AND(IF($B$3="(todos)",TRUE,'ORDENES'!$O944=$B$3),IF($D$3="(todos)",TRUE,'ORDENES'!$AC944=$D$3),IF($F$3="(todos)",TRUE,'ORDENES'!$V944=$F$3),'ORDENES'!$AA944=TRUE),'ORDENES'!$AN944&amp;" | "&amp;'ORDENES'!$R944&amp;" | "&amp;IF('ORDENES'!$AB944="","(sin técnico)",'ORDENES'!$AB944)&amp;" | "&amp;'ORDENES'!$D944&amp;" ("&amp;'ORDENES'!$M944&amp;" h)","")</f>
        <v/>
      </c>
    </row>
    <row r="949">
      <c r="K949" s="3">
        <f>IF(AND(IF($B$3="(todos)",TRUE,'ORDENES'!$O945=$B$3),IF($D$3="(todos)",TRUE,'ORDENES'!$AC945=$D$3),IF($F$3="(todos)",TRUE,'ORDENES'!$V945=$F$3),'ORDENES'!$AA945=TRUE),'ORDENES'!$AN945&amp;" | "&amp;'ORDENES'!$R945&amp;" | "&amp;IF('ORDENES'!$AB945="","(sin técnico)",'ORDENES'!$AB945)&amp;" | "&amp;'ORDENES'!$D945&amp;" ("&amp;'ORDENES'!$M945&amp;" h)","")</f>
        <v/>
      </c>
    </row>
    <row r="950">
      <c r="K950" s="3">
        <f>IF(AND(IF($B$3="(todos)",TRUE,'ORDENES'!$O946=$B$3),IF($D$3="(todos)",TRUE,'ORDENES'!$AC946=$D$3),IF($F$3="(todos)",TRUE,'ORDENES'!$V946=$F$3),'ORDENES'!$AA946=TRUE),'ORDENES'!$AN946&amp;" | "&amp;'ORDENES'!$R946&amp;" | "&amp;IF('ORDENES'!$AB946="","(sin técnico)",'ORDENES'!$AB946)&amp;" | "&amp;'ORDENES'!$D946&amp;" ("&amp;'ORDENES'!$M946&amp;" h)","")</f>
        <v/>
      </c>
    </row>
    <row r="951">
      <c r="K951" s="3">
        <f>IF(AND(IF($B$3="(todos)",TRUE,'ORDENES'!$O947=$B$3),IF($D$3="(todos)",TRUE,'ORDENES'!$AC947=$D$3),IF($F$3="(todos)",TRUE,'ORDENES'!$V947=$F$3),'ORDENES'!$AA947=TRUE),'ORDENES'!$AN947&amp;" | "&amp;'ORDENES'!$R947&amp;" | "&amp;IF('ORDENES'!$AB947="","(sin técnico)",'ORDENES'!$AB947)&amp;" | "&amp;'ORDENES'!$D947&amp;" ("&amp;'ORDENES'!$M947&amp;" h)","")</f>
        <v/>
      </c>
    </row>
    <row r="952">
      <c r="K952" s="3">
        <f>IF(AND(IF($B$3="(todos)",TRUE,'ORDENES'!$O948=$B$3),IF($D$3="(todos)",TRUE,'ORDENES'!$AC948=$D$3),IF($F$3="(todos)",TRUE,'ORDENES'!$V948=$F$3),'ORDENES'!$AA948=TRUE),'ORDENES'!$AN948&amp;" | "&amp;'ORDENES'!$R948&amp;" | "&amp;IF('ORDENES'!$AB948="","(sin técnico)",'ORDENES'!$AB948)&amp;" | "&amp;'ORDENES'!$D948&amp;" ("&amp;'ORDENES'!$M948&amp;" h)","")</f>
        <v/>
      </c>
    </row>
    <row r="953">
      <c r="K953" s="3">
        <f>IF(AND(IF($B$3="(todos)",TRUE,'ORDENES'!$O949=$B$3),IF($D$3="(todos)",TRUE,'ORDENES'!$AC949=$D$3),IF($F$3="(todos)",TRUE,'ORDENES'!$V949=$F$3),'ORDENES'!$AA949=TRUE),'ORDENES'!$AN949&amp;" | "&amp;'ORDENES'!$R949&amp;" | "&amp;IF('ORDENES'!$AB949="","(sin técnico)",'ORDENES'!$AB949)&amp;" | "&amp;'ORDENES'!$D949&amp;" ("&amp;'ORDENES'!$M949&amp;" h)","")</f>
        <v/>
      </c>
    </row>
    <row r="954">
      <c r="K954" s="3">
        <f>IF(AND(IF($B$3="(todos)",TRUE,'ORDENES'!$O950=$B$3),IF($D$3="(todos)",TRUE,'ORDENES'!$AC950=$D$3),IF($F$3="(todos)",TRUE,'ORDENES'!$V950=$F$3),'ORDENES'!$AA950=TRUE),'ORDENES'!$AN950&amp;" | "&amp;'ORDENES'!$R950&amp;" | "&amp;IF('ORDENES'!$AB950="","(sin técnico)",'ORDENES'!$AB950)&amp;" | "&amp;'ORDENES'!$D950&amp;" ("&amp;'ORDENES'!$M950&amp;" h)","")</f>
        <v/>
      </c>
    </row>
    <row r="955">
      <c r="K955" s="3">
        <f>IF(AND(IF($B$3="(todos)",TRUE,'ORDENES'!$O951=$B$3),IF($D$3="(todos)",TRUE,'ORDENES'!$AC951=$D$3),IF($F$3="(todos)",TRUE,'ORDENES'!$V951=$F$3),'ORDENES'!$AA951=TRUE),'ORDENES'!$AN951&amp;" | "&amp;'ORDENES'!$R951&amp;" | "&amp;IF('ORDENES'!$AB951="","(sin técnico)",'ORDENES'!$AB951)&amp;" | "&amp;'ORDENES'!$D951&amp;" ("&amp;'ORDENES'!$M951&amp;" h)","")</f>
        <v/>
      </c>
    </row>
    <row r="956">
      <c r="K956" s="3">
        <f>IF(AND(IF($B$3="(todos)",TRUE,'ORDENES'!$O952=$B$3),IF($D$3="(todos)",TRUE,'ORDENES'!$AC952=$D$3),IF($F$3="(todos)",TRUE,'ORDENES'!$V952=$F$3),'ORDENES'!$AA952=TRUE),'ORDENES'!$AN952&amp;" | "&amp;'ORDENES'!$R952&amp;" | "&amp;IF('ORDENES'!$AB952="","(sin técnico)",'ORDENES'!$AB952)&amp;" | "&amp;'ORDENES'!$D952&amp;" ("&amp;'ORDENES'!$M952&amp;" h)","")</f>
        <v/>
      </c>
    </row>
    <row r="957">
      <c r="K957" s="3">
        <f>IF(AND(IF($B$3="(todos)",TRUE,'ORDENES'!$O953=$B$3),IF($D$3="(todos)",TRUE,'ORDENES'!$AC953=$D$3),IF($F$3="(todos)",TRUE,'ORDENES'!$V953=$F$3),'ORDENES'!$AA953=TRUE),'ORDENES'!$AN953&amp;" | "&amp;'ORDENES'!$R953&amp;" | "&amp;IF('ORDENES'!$AB953="","(sin técnico)",'ORDENES'!$AB953)&amp;" | "&amp;'ORDENES'!$D953&amp;" ("&amp;'ORDENES'!$M953&amp;" h)","")</f>
        <v/>
      </c>
    </row>
    <row r="958">
      <c r="K958" s="3">
        <f>IF(AND(IF($B$3="(todos)",TRUE,'ORDENES'!$O954=$B$3),IF($D$3="(todos)",TRUE,'ORDENES'!$AC954=$D$3),IF($F$3="(todos)",TRUE,'ORDENES'!$V954=$F$3),'ORDENES'!$AA954=TRUE),'ORDENES'!$AN954&amp;" | "&amp;'ORDENES'!$R954&amp;" | "&amp;IF('ORDENES'!$AB954="","(sin técnico)",'ORDENES'!$AB954)&amp;" | "&amp;'ORDENES'!$D954&amp;" ("&amp;'ORDENES'!$M954&amp;" h)","")</f>
        <v/>
      </c>
    </row>
    <row r="959">
      <c r="K959" s="3">
        <f>IF(AND(IF($B$3="(todos)",TRUE,'ORDENES'!$O955=$B$3),IF($D$3="(todos)",TRUE,'ORDENES'!$AC955=$D$3),IF($F$3="(todos)",TRUE,'ORDENES'!$V955=$F$3),'ORDENES'!$AA955=TRUE),'ORDENES'!$AN955&amp;" | "&amp;'ORDENES'!$R955&amp;" | "&amp;IF('ORDENES'!$AB955="","(sin técnico)",'ORDENES'!$AB955)&amp;" | "&amp;'ORDENES'!$D955&amp;" ("&amp;'ORDENES'!$M955&amp;" h)","")</f>
        <v/>
      </c>
    </row>
    <row r="960">
      <c r="K960" s="3">
        <f>IF(AND(IF($B$3="(todos)",TRUE,'ORDENES'!$O956=$B$3),IF($D$3="(todos)",TRUE,'ORDENES'!$AC956=$D$3),IF($F$3="(todos)",TRUE,'ORDENES'!$V956=$F$3),'ORDENES'!$AA956=TRUE),'ORDENES'!$AN956&amp;" | "&amp;'ORDENES'!$R956&amp;" | "&amp;IF('ORDENES'!$AB956="","(sin técnico)",'ORDENES'!$AB956)&amp;" | "&amp;'ORDENES'!$D956&amp;" ("&amp;'ORDENES'!$M956&amp;" h)","")</f>
        <v/>
      </c>
    </row>
    <row r="961">
      <c r="K961" s="3">
        <f>IF(AND(IF($B$3="(todos)",TRUE,'ORDENES'!$O957=$B$3),IF($D$3="(todos)",TRUE,'ORDENES'!$AC957=$D$3),IF($F$3="(todos)",TRUE,'ORDENES'!$V957=$F$3),'ORDENES'!$AA957=TRUE),'ORDENES'!$AN957&amp;" | "&amp;'ORDENES'!$R957&amp;" | "&amp;IF('ORDENES'!$AB957="","(sin técnico)",'ORDENES'!$AB957)&amp;" | "&amp;'ORDENES'!$D957&amp;" ("&amp;'ORDENES'!$M957&amp;" h)","")</f>
        <v/>
      </c>
    </row>
    <row r="962">
      <c r="K962" s="3">
        <f>IF(AND(IF($B$3="(todos)",TRUE,'ORDENES'!$O958=$B$3),IF($D$3="(todos)",TRUE,'ORDENES'!$AC958=$D$3),IF($F$3="(todos)",TRUE,'ORDENES'!$V958=$F$3),'ORDENES'!$AA958=TRUE),'ORDENES'!$AN958&amp;" | "&amp;'ORDENES'!$R958&amp;" | "&amp;IF('ORDENES'!$AB958="","(sin técnico)",'ORDENES'!$AB958)&amp;" | "&amp;'ORDENES'!$D958&amp;" ("&amp;'ORDENES'!$M958&amp;" h)","")</f>
        <v/>
      </c>
    </row>
    <row r="963">
      <c r="K963" s="3">
        <f>IF(AND(IF($B$3="(todos)",TRUE,'ORDENES'!$O959=$B$3),IF($D$3="(todos)",TRUE,'ORDENES'!$AC959=$D$3),IF($F$3="(todos)",TRUE,'ORDENES'!$V959=$F$3),'ORDENES'!$AA959=TRUE),'ORDENES'!$AN959&amp;" | "&amp;'ORDENES'!$R959&amp;" | "&amp;IF('ORDENES'!$AB959="","(sin técnico)",'ORDENES'!$AB959)&amp;" | "&amp;'ORDENES'!$D959&amp;" ("&amp;'ORDENES'!$M959&amp;" h)","")</f>
        <v/>
      </c>
    </row>
    <row r="964">
      <c r="K964" s="3">
        <f>IF(AND(IF($B$3="(todos)",TRUE,'ORDENES'!$O960=$B$3),IF($D$3="(todos)",TRUE,'ORDENES'!$AC960=$D$3),IF($F$3="(todos)",TRUE,'ORDENES'!$V960=$F$3),'ORDENES'!$AA960=TRUE),'ORDENES'!$AN960&amp;" | "&amp;'ORDENES'!$R960&amp;" | "&amp;IF('ORDENES'!$AB960="","(sin técnico)",'ORDENES'!$AB960)&amp;" | "&amp;'ORDENES'!$D960&amp;" ("&amp;'ORDENES'!$M960&amp;" h)","")</f>
        <v/>
      </c>
    </row>
    <row r="965">
      <c r="K965" s="3">
        <f>IF(AND(IF($B$3="(todos)",TRUE,'ORDENES'!$O961=$B$3),IF($D$3="(todos)",TRUE,'ORDENES'!$AC961=$D$3),IF($F$3="(todos)",TRUE,'ORDENES'!$V961=$F$3),'ORDENES'!$AA961=TRUE),'ORDENES'!$AN961&amp;" | "&amp;'ORDENES'!$R961&amp;" | "&amp;IF('ORDENES'!$AB961="","(sin técnico)",'ORDENES'!$AB961)&amp;" | "&amp;'ORDENES'!$D961&amp;" ("&amp;'ORDENES'!$M961&amp;" h)","")</f>
        <v/>
      </c>
    </row>
    <row r="966">
      <c r="K966" s="3">
        <f>IF(AND(IF($B$3="(todos)",TRUE,'ORDENES'!$O962=$B$3),IF($D$3="(todos)",TRUE,'ORDENES'!$AC962=$D$3),IF($F$3="(todos)",TRUE,'ORDENES'!$V962=$F$3),'ORDENES'!$AA962=TRUE),'ORDENES'!$AN962&amp;" | "&amp;'ORDENES'!$R962&amp;" | "&amp;IF('ORDENES'!$AB962="","(sin técnico)",'ORDENES'!$AB962)&amp;" | "&amp;'ORDENES'!$D962&amp;" ("&amp;'ORDENES'!$M962&amp;" h)","")</f>
        <v/>
      </c>
    </row>
    <row r="967">
      <c r="K967" s="3">
        <f>IF(AND(IF($B$3="(todos)",TRUE,'ORDENES'!$O963=$B$3),IF($D$3="(todos)",TRUE,'ORDENES'!$AC963=$D$3),IF($F$3="(todos)",TRUE,'ORDENES'!$V963=$F$3),'ORDENES'!$AA963=TRUE),'ORDENES'!$AN963&amp;" | "&amp;'ORDENES'!$R963&amp;" | "&amp;IF('ORDENES'!$AB963="","(sin técnico)",'ORDENES'!$AB963)&amp;" | "&amp;'ORDENES'!$D963&amp;" ("&amp;'ORDENES'!$M963&amp;" h)","")</f>
        <v/>
      </c>
    </row>
    <row r="968">
      <c r="K968" s="3">
        <f>IF(AND(IF($B$3="(todos)",TRUE,'ORDENES'!$O964=$B$3),IF($D$3="(todos)",TRUE,'ORDENES'!$AC964=$D$3),IF($F$3="(todos)",TRUE,'ORDENES'!$V964=$F$3),'ORDENES'!$AA964=TRUE),'ORDENES'!$AN964&amp;" | "&amp;'ORDENES'!$R964&amp;" | "&amp;IF('ORDENES'!$AB964="","(sin técnico)",'ORDENES'!$AB964)&amp;" | "&amp;'ORDENES'!$D964&amp;" ("&amp;'ORDENES'!$M964&amp;" h)","")</f>
        <v/>
      </c>
    </row>
    <row r="969">
      <c r="K969" s="3">
        <f>IF(AND(IF($B$3="(todos)",TRUE,'ORDENES'!$O965=$B$3),IF($D$3="(todos)",TRUE,'ORDENES'!$AC965=$D$3),IF($F$3="(todos)",TRUE,'ORDENES'!$V965=$F$3),'ORDENES'!$AA965=TRUE),'ORDENES'!$AN965&amp;" | "&amp;'ORDENES'!$R965&amp;" | "&amp;IF('ORDENES'!$AB965="","(sin técnico)",'ORDENES'!$AB965)&amp;" | "&amp;'ORDENES'!$D965&amp;" ("&amp;'ORDENES'!$M965&amp;" h)","")</f>
        <v/>
      </c>
    </row>
    <row r="970">
      <c r="K970" s="3">
        <f>IF(AND(IF($B$3="(todos)",TRUE,'ORDENES'!$O966=$B$3),IF($D$3="(todos)",TRUE,'ORDENES'!$AC966=$D$3),IF($F$3="(todos)",TRUE,'ORDENES'!$V966=$F$3),'ORDENES'!$AA966=TRUE),'ORDENES'!$AN966&amp;" | "&amp;'ORDENES'!$R966&amp;" | "&amp;IF('ORDENES'!$AB966="","(sin técnico)",'ORDENES'!$AB966)&amp;" | "&amp;'ORDENES'!$D966&amp;" ("&amp;'ORDENES'!$M966&amp;" h)","")</f>
        <v/>
      </c>
    </row>
    <row r="971">
      <c r="K971" s="3">
        <f>IF(AND(IF($B$3="(todos)",TRUE,'ORDENES'!$O967=$B$3),IF($D$3="(todos)",TRUE,'ORDENES'!$AC967=$D$3),IF($F$3="(todos)",TRUE,'ORDENES'!$V967=$F$3),'ORDENES'!$AA967=TRUE),'ORDENES'!$AN967&amp;" | "&amp;'ORDENES'!$R967&amp;" | "&amp;IF('ORDENES'!$AB967="","(sin técnico)",'ORDENES'!$AB967)&amp;" | "&amp;'ORDENES'!$D967&amp;" ("&amp;'ORDENES'!$M967&amp;" h)","")</f>
        <v/>
      </c>
    </row>
    <row r="972">
      <c r="K972" s="3">
        <f>IF(AND(IF($B$3="(todos)",TRUE,'ORDENES'!$O968=$B$3),IF($D$3="(todos)",TRUE,'ORDENES'!$AC968=$D$3),IF($F$3="(todos)",TRUE,'ORDENES'!$V968=$F$3),'ORDENES'!$AA968=TRUE),'ORDENES'!$AN968&amp;" | "&amp;'ORDENES'!$R968&amp;" | "&amp;IF('ORDENES'!$AB968="","(sin técnico)",'ORDENES'!$AB968)&amp;" | "&amp;'ORDENES'!$D968&amp;" ("&amp;'ORDENES'!$M968&amp;" h)","")</f>
        <v/>
      </c>
    </row>
    <row r="973">
      <c r="K973" s="3">
        <f>IF(AND(IF($B$3="(todos)",TRUE,'ORDENES'!$O969=$B$3),IF($D$3="(todos)",TRUE,'ORDENES'!$AC969=$D$3),IF($F$3="(todos)",TRUE,'ORDENES'!$V969=$F$3),'ORDENES'!$AA969=TRUE),'ORDENES'!$AN969&amp;" | "&amp;'ORDENES'!$R969&amp;" | "&amp;IF('ORDENES'!$AB969="","(sin técnico)",'ORDENES'!$AB969)&amp;" | "&amp;'ORDENES'!$D969&amp;" ("&amp;'ORDENES'!$M969&amp;" h)","")</f>
        <v/>
      </c>
    </row>
    <row r="974">
      <c r="K974" s="3">
        <f>IF(AND(IF($B$3="(todos)",TRUE,'ORDENES'!$O970=$B$3),IF($D$3="(todos)",TRUE,'ORDENES'!$AC970=$D$3),IF($F$3="(todos)",TRUE,'ORDENES'!$V970=$F$3),'ORDENES'!$AA970=TRUE),'ORDENES'!$AN970&amp;" | "&amp;'ORDENES'!$R970&amp;" | "&amp;IF('ORDENES'!$AB970="","(sin técnico)",'ORDENES'!$AB970)&amp;" | "&amp;'ORDENES'!$D970&amp;" ("&amp;'ORDENES'!$M970&amp;" h)","")</f>
        <v/>
      </c>
    </row>
    <row r="975">
      <c r="K975" s="3">
        <f>IF(AND(IF($B$3="(todos)",TRUE,'ORDENES'!$O971=$B$3),IF($D$3="(todos)",TRUE,'ORDENES'!$AC971=$D$3),IF($F$3="(todos)",TRUE,'ORDENES'!$V971=$F$3),'ORDENES'!$AA971=TRUE),'ORDENES'!$AN971&amp;" | "&amp;'ORDENES'!$R971&amp;" | "&amp;IF('ORDENES'!$AB971="","(sin técnico)",'ORDENES'!$AB971)&amp;" | "&amp;'ORDENES'!$D971&amp;" ("&amp;'ORDENES'!$M971&amp;" h)","")</f>
        <v/>
      </c>
    </row>
    <row r="976">
      <c r="K976" s="3">
        <f>IF(AND(IF($B$3="(todos)",TRUE,'ORDENES'!$O972=$B$3),IF($D$3="(todos)",TRUE,'ORDENES'!$AC972=$D$3),IF($F$3="(todos)",TRUE,'ORDENES'!$V972=$F$3),'ORDENES'!$AA972=TRUE),'ORDENES'!$AN972&amp;" | "&amp;'ORDENES'!$R972&amp;" | "&amp;IF('ORDENES'!$AB972="","(sin técnico)",'ORDENES'!$AB972)&amp;" | "&amp;'ORDENES'!$D972&amp;" ("&amp;'ORDENES'!$M972&amp;" h)","")</f>
        <v/>
      </c>
    </row>
    <row r="977">
      <c r="K977" s="3">
        <f>IF(AND(IF($B$3="(todos)",TRUE,'ORDENES'!$O973=$B$3),IF($D$3="(todos)",TRUE,'ORDENES'!$AC973=$D$3),IF($F$3="(todos)",TRUE,'ORDENES'!$V973=$F$3),'ORDENES'!$AA973=TRUE),'ORDENES'!$AN973&amp;" | "&amp;'ORDENES'!$R973&amp;" | "&amp;IF('ORDENES'!$AB973="","(sin técnico)",'ORDENES'!$AB973)&amp;" | "&amp;'ORDENES'!$D973&amp;" ("&amp;'ORDENES'!$M973&amp;" h)","")</f>
        <v/>
      </c>
    </row>
    <row r="978">
      <c r="K978" s="3">
        <f>IF(AND(IF($B$3="(todos)",TRUE,'ORDENES'!$O974=$B$3),IF($D$3="(todos)",TRUE,'ORDENES'!$AC974=$D$3),IF($F$3="(todos)",TRUE,'ORDENES'!$V974=$F$3),'ORDENES'!$AA974=TRUE),'ORDENES'!$AN974&amp;" | "&amp;'ORDENES'!$R974&amp;" | "&amp;IF('ORDENES'!$AB974="","(sin técnico)",'ORDENES'!$AB974)&amp;" | "&amp;'ORDENES'!$D974&amp;" ("&amp;'ORDENES'!$M974&amp;" h)","")</f>
        <v/>
      </c>
    </row>
    <row r="979">
      <c r="K979" s="3">
        <f>IF(AND(IF($B$3="(todos)",TRUE,'ORDENES'!$O975=$B$3),IF($D$3="(todos)",TRUE,'ORDENES'!$AC975=$D$3),IF($F$3="(todos)",TRUE,'ORDENES'!$V975=$F$3),'ORDENES'!$AA975=TRUE),'ORDENES'!$AN975&amp;" | "&amp;'ORDENES'!$R975&amp;" | "&amp;IF('ORDENES'!$AB975="","(sin técnico)",'ORDENES'!$AB975)&amp;" | "&amp;'ORDENES'!$D975&amp;" ("&amp;'ORDENES'!$M975&amp;" h)","")</f>
        <v/>
      </c>
    </row>
    <row r="980">
      <c r="K980" s="3">
        <f>IF(AND(IF($B$3="(todos)",TRUE,'ORDENES'!$O976=$B$3),IF($D$3="(todos)",TRUE,'ORDENES'!$AC976=$D$3),IF($F$3="(todos)",TRUE,'ORDENES'!$V976=$F$3),'ORDENES'!$AA976=TRUE),'ORDENES'!$AN976&amp;" | "&amp;'ORDENES'!$R976&amp;" | "&amp;IF('ORDENES'!$AB976="","(sin técnico)",'ORDENES'!$AB976)&amp;" | "&amp;'ORDENES'!$D976&amp;" ("&amp;'ORDENES'!$M976&amp;" h)","")</f>
        <v/>
      </c>
    </row>
    <row r="981">
      <c r="K981" s="3">
        <f>IF(AND(IF($B$3="(todos)",TRUE,'ORDENES'!$O977=$B$3),IF($D$3="(todos)",TRUE,'ORDENES'!$AC977=$D$3),IF($F$3="(todos)",TRUE,'ORDENES'!$V977=$F$3),'ORDENES'!$AA977=TRUE),'ORDENES'!$AN977&amp;" | "&amp;'ORDENES'!$R977&amp;" | "&amp;IF('ORDENES'!$AB977="","(sin técnico)",'ORDENES'!$AB977)&amp;" | "&amp;'ORDENES'!$D977&amp;" ("&amp;'ORDENES'!$M977&amp;" h)","")</f>
        <v/>
      </c>
    </row>
    <row r="982">
      <c r="K982" s="3">
        <f>IF(AND(IF($B$3="(todos)",TRUE,'ORDENES'!$O978=$B$3),IF($D$3="(todos)",TRUE,'ORDENES'!$AC978=$D$3),IF($F$3="(todos)",TRUE,'ORDENES'!$V978=$F$3),'ORDENES'!$AA978=TRUE),'ORDENES'!$AN978&amp;" | "&amp;'ORDENES'!$R978&amp;" | "&amp;IF('ORDENES'!$AB978="","(sin técnico)",'ORDENES'!$AB978)&amp;" | "&amp;'ORDENES'!$D978&amp;" ("&amp;'ORDENES'!$M978&amp;" h)","")</f>
        <v/>
      </c>
    </row>
    <row r="983">
      <c r="K983" s="3">
        <f>IF(AND(IF($B$3="(todos)",TRUE,'ORDENES'!$O979=$B$3),IF($D$3="(todos)",TRUE,'ORDENES'!$AC979=$D$3),IF($F$3="(todos)",TRUE,'ORDENES'!$V979=$F$3),'ORDENES'!$AA979=TRUE),'ORDENES'!$AN979&amp;" | "&amp;'ORDENES'!$R979&amp;" | "&amp;IF('ORDENES'!$AB979="","(sin técnico)",'ORDENES'!$AB979)&amp;" | "&amp;'ORDENES'!$D979&amp;" ("&amp;'ORDENES'!$M979&amp;" h)","")</f>
        <v/>
      </c>
    </row>
    <row r="984">
      <c r="K984" s="3">
        <f>IF(AND(IF($B$3="(todos)",TRUE,'ORDENES'!$O980=$B$3),IF($D$3="(todos)",TRUE,'ORDENES'!$AC980=$D$3),IF($F$3="(todos)",TRUE,'ORDENES'!$V980=$F$3),'ORDENES'!$AA980=TRUE),'ORDENES'!$AN980&amp;" | "&amp;'ORDENES'!$R980&amp;" | "&amp;IF('ORDENES'!$AB980="","(sin técnico)",'ORDENES'!$AB980)&amp;" | "&amp;'ORDENES'!$D980&amp;" ("&amp;'ORDENES'!$M980&amp;" h)","")</f>
        <v/>
      </c>
    </row>
    <row r="985">
      <c r="K985" s="3">
        <f>IF(AND(IF($B$3="(todos)",TRUE,'ORDENES'!$O981=$B$3),IF($D$3="(todos)",TRUE,'ORDENES'!$AC981=$D$3),IF($F$3="(todos)",TRUE,'ORDENES'!$V981=$F$3),'ORDENES'!$AA981=TRUE),'ORDENES'!$AN981&amp;" | "&amp;'ORDENES'!$R981&amp;" | "&amp;IF('ORDENES'!$AB981="","(sin técnico)",'ORDENES'!$AB981)&amp;" | "&amp;'ORDENES'!$D981&amp;" ("&amp;'ORDENES'!$M981&amp;" h)","")</f>
        <v/>
      </c>
    </row>
    <row r="986">
      <c r="K986" s="3">
        <f>IF(AND(IF($B$3="(todos)",TRUE,'ORDENES'!$O982=$B$3),IF($D$3="(todos)",TRUE,'ORDENES'!$AC982=$D$3),IF($F$3="(todos)",TRUE,'ORDENES'!$V982=$F$3),'ORDENES'!$AA982=TRUE),'ORDENES'!$AN982&amp;" | "&amp;'ORDENES'!$R982&amp;" | "&amp;IF('ORDENES'!$AB982="","(sin técnico)",'ORDENES'!$AB982)&amp;" | "&amp;'ORDENES'!$D982&amp;" ("&amp;'ORDENES'!$M982&amp;" h)","")</f>
        <v/>
      </c>
    </row>
    <row r="987">
      <c r="K987" s="3">
        <f>IF(AND(IF($B$3="(todos)",TRUE,'ORDENES'!$O983=$B$3),IF($D$3="(todos)",TRUE,'ORDENES'!$AC983=$D$3),IF($F$3="(todos)",TRUE,'ORDENES'!$V983=$F$3),'ORDENES'!$AA983=TRUE),'ORDENES'!$AN983&amp;" | "&amp;'ORDENES'!$R983&amp;" | "&amp;IF('ORDENES'!$AB983="","(sin técnico)",'ORDENES'!$AB983)&amp;" | "&amp;'ORDENES'!$D983&amp;" ("&amp;'ORDENES'!$M983&amp;" h)","")</f>
        <v/>
      </c>
    </row>
    <row r="988">
      <c r="K988" s="3">
        <f>IF(AND(IF($B$3="(todos)",TRUE,'ORDENES'!$O984=$B$3),IF($D$3="(todos)",TRUE,'ORDENES'!$AC984=$D$3),IF($F$3="(todos)",TRUE,'ORDENES'!$V984=$F$3),'ORDENES'!$AA984=TRUE),'ORDENES'!$AN984&amp;" | "&amp;'ORDENES'!$R984&amp;" | "&amp;IF('ORDENES'!$AB984="","(sin técnico)",'ORDENES'!$AB984)&amp;" | "&amp;'ORDENES'!$D984&amp;" ("&amp;'ORDENES'!$M984&amp;" h)","")</f>
        <v/>
      </c>
    </row>
    <row r="989">
      <c r="K989" s="3">
        <f>IF(AND(IF($B$3="(todos)",TRUE,'ORDENES'!$O985=$B$3),IF($D$3="(todos)",TRUE,'ORDENES'!$AC985=$D$3),IF($F$3="(todos)",TRUE,'ORDENES'!$V985=$F$3),'ORDENES'!$AA985=TRUE),'ORDENES'!$AN985&amp;" | "&amp;'ORDENES'!$R985&amp;" | "&amp;IF('ORDENES'!$AB985="","(sin técnico)",'ORDENES'!$AB985)&amp;" | "&amp;'ORDENES'!$D985&amp;" ("&amp;'ORDENES'!$M985&amp;" h)","")</f>
        <v/>
      </c>
    </row>
    <row r="990">
      <c r="K990" s="3">
        <f>IF(AND(IF($B$3="(todos)",TRUE,'ORDENES'!$O986=$B$3),IF($D$3="(todos)",TRUE,'ORDENES'!$AC986=$D$3),IF($F$3="(todos)",TRUE,'ORDENES'!$V986=$F$3),'ORDENES'!$AA986=TRUE),'ORDENES'!$AN986&amp;" | "&amp;'ORDENES'!$R986&amp;" | "&amp;IF('ORDENES'!$AB986="","(sin técnico)",'ORDENES'!$AB986)&amp;" | "&amp;'ORDENES'!$D986&amp;" ("&amp;'ORDENES'!$M986&amp;" h)","")</f>
        <v/>
      </c>
    </row>
    <row r="991">
      <c r="K991" s="3">
        <f>IF(AND(IF($B$3="(todos)",TRUE,'ORDENES'!$O987=$B$3),IF($D$3="(todos)",TRUE,'ORDENES'!$AC987=$D$3),IF($F$3="(todos)",TRUE,'ORDENES'!$V987=$F$3),'ORDENES'!$AA987=TRUE),'ORDENES'!$AN987&amp;" | "&amp;'ORDENES'!$R987&amp;" | "&amp;IF('ORDENES'!$AB987="","(sin técnico)",'ORDENES'!$AB987)&amp;" | "&amp;'ORDENES'!$D987&amp;" ("&amp;'ORDENES'!$M987&amp;" h)","")</f>
        <v/>
      </c>
    </row>
    <row r="992">
      <c r="K992" s="3">
        <f>IF(AND(IF($B$3="(todos)",TRUE,'ORDENES'!$O988=$B$3),IF($D$3="(todos)",TRUE,'ORDENES'!$AC988=$D$3),IF($F$3="(todos)",TRUE,'ORDENES'!$V988=$F$3),'ORDENES'!$AA988=TRUE),'ORDENES'!$AN988&amp;" | "&amp;'ORDENES'!$R988&amp;" | "&amp;IF('ORDENES'!$AB988="","(sin técnico)",'ORDENES'!$AB988)&amp;" | "&amp;'ORDENES'!$D988&amp;" ("&amp;'ORDENES'!$M988&amp;" h)","")</f>
        <v/>
      </c>
    </row>
    <row r="993">
      <c r="K993" s="3">
        <f>IF(AND(IF($B$3="(todos)",TRUE,'ORDENES'!$O989=$B$3),IF($D$3="(todos)",TRUE,'ORDENES'!$AC989=$D$3),IF($F$3="(todos)",TRUE,'ORDENES'!$V989=$F$3),'ORDENES'!$AA989=TRUE),'ORDENES'!$AN989&amp;" | "&amp;'ORDENES'!$R989&amp;" | "&amp;IF('ORDENES'!$AB989="","(sin técnico)",'ORDENES'!$AB989)&amp;" | "&amp;'ORDENES'!$D989&amp;" ("&amp;'ORDENES'!$M989&amp;" h)","")</f>
        <v/>
      </c>
    </row>
    <row r="994">
      <c r="K994" s="3">
        <f>IF(AND(IF($B$3="(todos)",TRUE,'ORDENES'!$O990=$B$3),IF($D$3="(todos)",TRUE,'ORDENES'!$AC990=$D$3),IF($F$3="(todos)",TRUE,'ORDENES'!$V990=$F$3),'ORDENES'!$AA990=TRUE),'ORDENES'!$AN990&amp;" | "&amp;'ORDENES'!$R990&amp;" | "&amp;IF('ORDENES'!$AB990="","(sin técnico)",'ORDENES'!$AB990)&amp;" | "&amp;'ORDENES'!$D990&amp;" ("&amp;'ORDENES'!$M990&amp;" h)","")</f>
        <v/>
      </c>
    </row>
    <row r="995">
      <c r="K995" s="3">
        <f>IF(AND(IF($B$3="(todos)",TRUE,'ORDENES'!$O991=$B$3),IF($D$3="(todos)",TRUE,'ORDENES'!$AC991=$D$3),IF($F$3="(todos)",TRUE,'ORDENES'!$V991=$F$3),'ORDENES'!$AA991=TRUE),'ORDENES'!$AN991&amp;" | "&amp;'ORDENES'!$R991&amp;" | "&amp;IF('ORDENES'!$AB991="","(sin técnico)",'ORDENES'!$AB991)&amp;" | "&amp;'ORDENES'!$D991&amp;" ("&amp;'ORDENES'!$M991&amp;" h)","")</f>
        <v/>
      </c>
    </row>
    <row r="996">
      <c r="K996" s="3">
        <f>IF(AND(IF($B$3="(todos)",TRUE,'ORDENES'!$O992=$B$3),IF($D$3="(todos)",TRUE,'ORDENES'!$AC992=$D$3),IF($F$3="(todos)",TRUE,'ORDENES'!$V992=$F$3),'ORDENES'!$AA992=TRUE),'ORDENES'!$AN992&amp;" | "&amp;'ORDENES'!$R992&amp;" | "&amp;IF('ORDENES'!$AB992="","(sin técnico)",'ORDENES'!$AB992)&amp;" | "&amp;'ORDENES'!$D992&amp;" ("&amp;'ORDENES'!$M992&amp;" h)","")</f>
        <v/>
      </c>
    </row>
    <row r="997">
      <c r="K997" s="3">
        <f>IF(AND(IF($B$3="(todos)",TRUE,'ORDENES'!$O993=$B$3),IF($D$3="(todos)",TRUE,'ORDENES'!$AC993=$D$3),IF($F$3="(todos)",TRUE,'ORDENES'!$V993=$F$3),'ORDENES'!$AA993=TRUE),'ORDENES'!$AN993&amp;" | "&amp;'ORDENES'!$R993&amp;" | "&amp;IF('ORDENES'!$AB993="","(sin técnico)",'ORDENES'!$AB993)&amp;" | "&amp;'ORDENES'!$D993&amp;" ("&amp;'ORDENES'!$M993&amp;" h)","")</f>
        <v/>
      </c>
    </row>
    <row r="998">
      <c r="K998" s="3">
        <f>IF(AND(IF($B$3="(todos)",TRUE,'ORDENES'!$O994=$B$3),IF($D$3="(todos)",TRUE,'ORDENES'!$AC994=$D$3),IF($F$3="(todos)",TRUE,'ORDENES'!$V994=$F$3),'ORDENES'!$AA994=TRUE),'ORDENES'!$AN994&amp;" | "&amp;'ORDENES'!$R994&amp;" | "&amp;IF('ORDENES'!$AB994="","(sin técnico)",'ORDENES'!$AB994)&amp;" | "&amp;'ORDENES'!$D994&amp;" ("&amp;'ORDENES'!$M994&amp;" h)","")</f>
        <v/>
      </c>
    </row>
    <row r="999">
      <c r="K999" s="3">
        <f>IF(AND(IF($B$3="(todos)",TRUE,'ORDENES'!$O995=$B$3),IF($D$3="(todos)",TRUE,'ORDENES'!$AC995=$D$3),IF($F$3="(todos)",TRUE,'ORDENES'!$V995=$F$3),'ORDENES'!$AA995=TRUE),'ORDENES'!$AN995&amp;" | "&amp;'ORDENES'!$R995&amp;" | "&amp;IF('ORDENES'!$AB995="","(sin técnico)",'ORDENES'!$AB995)&amp;" | "&amp;'ORDENES'!$D995&amp;" ("&amp;'ORDENES'!$M995&amp;" h)","")</f>
        <v/>
      </c>
    </row>
    <row r="1000">
      <c r="K1000" s="3">
        <f>IF(AND(IF($B$3="(todos)",TRUE,'ORDENES'!$O996=$B$3),IF($D$3="(todos)",TRUE,'ORDENES'!$AC996=$D$3),IF($F$3="(todos)",TRUE,'ORDENES'!$V996=$F$3),'ORDENES'!$AA996=TRUE),'ORDENES'!$AN996&amp;" | "&amp;'ORDENES'!$R996&amp;" | "&amp;IF('ORDENES'!$AB996="","(sin técnico)",'ORDENES'!$AB996)&amp;" | "&amp;'ORDENES'!$D996&amp;" ("&amp;'ORDENES'!$M996&amp;" h)","")</f>
        <v/>
      </c>
    </row>
    <row r="1001">
      <c r="K1001" s="3">
        <f>IF(AND(IF($B$3="(todos)",TRUE,'ORDENES'!$O997=$B$3),IF($D$3="(todos)",TRUE,'ORDENES'!$AC997=$D$3),IF($F$3="(todos)",TRUE,'ORDENES'!$V997=$F$3),'ORDENES'!$AA997=TRUE),'ORDENES'!$AN997&amp;" | "&amp;'ORDENES'!$R997&amp;" | "&amp;IF('ORDENES'!$AB997="","(sin técnico)",'ORDENES'!$AB997)&amp;" | "&amp;'ORDENES'!$D997&amp;" ("&amp;'ORDENES'!$M997&amp;" h)","")</f>
        <v/>
      </c>
    </row>
    <row r="1002">
      <c r="K1002" s="3">
        <f>IF(AND(IF($B$3="(todos)",TRUE,'ORDENES'!$O998=$B$3),IF($D$3="(todos)",TRUE,'ORDENES'!$AC998=$D$3),IF($F$3="(todos)",TRUE,'ORDENES'!$V998=$F$3),'ORDENES'!$AA998=TRUE),'ORDENES'!$AN998&amp;" | "&amp;'ORDENES'!$R998&amp;" | "&amp;IF('ORDENES'!$AB998="","(sin técnico)",'ORDENES'!$AB998)&amp;" | "&amp;'ORDENES'!$D998&amp;" ("&amp;'ORDENES'!$M998&amp;" h)","")</f>
        <v/>
      </c>
    </row>
    <row r="1003">
      <c r="K1003" s="3">
        <f>IF(AND(IF($B$3="(todos)",TRUE,'ORDENES'!$O999=$B$3),IF($D$3="(todos)",TRUE,'ORDENES'!$AC999=$D$3),IF($F$3="(todos)",TRUE,'ORDENES'!$V999=$F$3),'ORDENES'!$AA999=TRUE),'ORDENES'!$AN999&amp;" | "&amp;'ORDENES'!$R999&amp;" | "&amp;IF('ORDENES'!$AB999="","(sin técnico)",'ORDENES'!$AB999)&amp;" | "&amp;'ORDENES'!$D999&amp;" ("&amp;'ORDENES'!$M999&amp;" h)","")</f>
        <v/>
      </c>
    </row>
    <row r="1004">
      <c r="K1004" s="3">
        <f>IF(AND(IF($B$3="(todos)",TRUE,'ORDENES'!$O1000=$B$3),IF($D$3="(todos)",TRUE,'ORDENES'!$AC1000=$D$3),IF($F$3="(todos)",TRUE,'ORDENES'!$V1000=$F$3),'ORDENES'!$AA1000=TRUE),'ORDENES'!$AN1000&amp;" | "&amp;'ORDENES'!$R1000&amp;" | "&amp;IF('ORDENES'!$AB1000="","(sin técnico)",'ORDENES'!$AB1000)&amp;" | "&amp;'ORDENES'!$D1000&amp;" ("&amp;'ORDENES'!$M1000&amp;" h)","")</f>
        <v/>
      </c>
    </row>
    <row r="1005">
      <c r="K1005" s="3">
        <f>IF(AND(IF($B$3="(todos)",TRUE,'ORDENES'!$O1001=$B$3),IF($D$3="(todos)",TRUE,'ORDENES'!$AC1001=$D$3),IF($F$3="(todos)",TRUE,'ORDENES'!$V1001=$F$3),'ORDENES'!$AA1001=TRUE),'ORDENES'!$AN1001&amp;" | "&amp;'ORDENES'!$R1001&amp;" | "&amp;IF('ORDENES'!$AB1001="","(sin técnico)",'ORDENES'!$AB1001)&amp;" | "&amp;'ORDENES'!$D1001&amp;" ("&amp;'ORDENES'!$M1001&amp;" h)","")</f>
        <v/>
      </c>
    </row>
    <row r="1006">
      <c r="K1006" s="3">
        <f>IF(AND(IF($B$3="(todos)",TRUE,'ORDENES'!$O1002=$B$3),IF($D$3="(todos)",TRUE,'ORDENES'!$AC1002=$D$3),IF($F$3="(todos)",TRUE,'ORDENES'!$V1002=$F$3),'ORDENES'!$AA1002=TRUE),'ORDENES'!$AN1002&amp;" | "&amp;'ORDENES'!$R1002&amp;" | "&amp;IF('ORDENES'!$AB1002="","(sin técnico)",'ORDENES'!$AB1002)&amp;" | "&amp;'ORDENES'!$D1002&amp;" ("&amp;'ORDENES'!$M1002&amp;" h)","")</f>
        <v/>
      </c>
    </row>
    <row r="1007">
      <c r="K1007" s="3">
        <f>IF(AND(IF($B$3="(todos)",TRUE,'ORDENES'!$O1003=$B$3),IF($D$3="(todos)",TRUE,'ORDENES'!$AC1003=$D$3),IF($F$3="(todos)",TRUE,'ORDENES'!$V1003=$F$3),'ORDENES'!$AA1003=TRUE),'ORDENES'!$AN1003&amp;" | "&amp;'ORDENES'!$R1003&amp;" | "&amp;IF('ORDENES'!$AB1003="","(sin técnico)",'ORDENES'!$AB1003)&amp;" | "&amp;'ORDENES'!$D1003&amp;" ("&amp;'ORDENES'!$M1003&amp;" h)","")</f>
        <v/>
      </c>
    </row>
    <row r="1008">
      <c r="K1008" s="3">
        <f>IF(AND(IF($B$3="(todos)",TRUE,'ORDENES'!$O1004=$B$3),IF($D$3="(todos)",TRUE,'ORDENES'!$AC1004=$D$3),IF($F$3="(todos)",TRUE,'ORDENES'!$V1004=$F$3),'ORDENES'!$AA1004=TRUE),'ORDENES'!$AN1004&amp;" | "&amp;'ORDENES'!$R1004&amp;" | "&amp;IF('ORDENES'!$AB1004="","(sin técnico)",'ORDENES'!$AB1004)&amp;" | "&amp;'ORDENES'!$D1004&amp;" ("&amp;'ORDENES'!$M1004&amp;" h)","")</f>
        <v/>
      </c>
    </row>
    <row r="1009">
      <c r="K1009" s="3">
        <f>IF(AND(IF($B$3="(todos)",TRUE,'ORDENES'!$O1005=$B$3),IF($D$3="(todos)",TRUE,'ORDENES'!$AC1005=$D$3),IF($F$3="(todos)",TRUE,'ORDENES'!$V1005=$F$3),'ORDENES'!$AA1005=TRUE),'ORDENES'!$AN1005&amp;" | "&amp;'ORDENES'!$R1005&amp;" | "&amp;IF('ORDENES'!$AB1005="","(sin técnico)",'ORDENES'!$AB1005)&amp;" | "&amp;'ORDENES'!$D1005&amp;" ("&amp;'ORDENES'!$M1005&amp;" h)","")</f>
        <v/>
      </c>
    </row>
    <row r="1010">
      <c r="K1010" s="3">
        <f>IF(AND(IF($B$3="(todos)",TRUE,'ORDENES'!$O1006=$B$3),IF($D$3="(todos)",TRUE,'ORDENES'!$AC1006=$D$3),IF($F$3="(todos)",TRUE,'ORDENES'!$V1006=$F$3),'ORDENES'!$AA1006=TRUE),'ORDENES'!$AN1006&amp;" | "&amp;'ORDENES'!$R1006&amp;" | "&amp;IF('ORDENES'!$AB1006="","(sin técnico)",'ORDENES'!$AB1006)&amp;" | "&amp;'ORDENES'!$D1006&amp;" ("&amp;'ORDENES'!$M1006&amp;" h)","")</f>
        <v/>
      </c>
    </row>
    <row r="1011">
      <c r="K1011" s="3">
        <f>IF(AND(IF($B$3="(todos)",TRUE,'ORDENES'!$O1007=$B$3),IF($D$3="(todos)",TRUE,'ORDENES'!$AC1007=$D$3),IF($F$3="(todos)",TRUE,'ORDENES'!$V1007=$F$3),'ORDENES'!$AA1007=TRUE),'ORDENES'!$AN1007&amp;" | "&amp;'ORDENES'!$R1007&amp;" | "&amp;IF('ORDENES'!$AB1007="","(sin técnico)",'ORDENES'!$AB1007)&amp;" | "&amp;'ORDENES'!$D1007&amp;" ("&amp;'ORDENES'!$M1007&amp;" h)","")</f>
        <v/>
      </c>
    </row>
    <row r="1012">
      <c r="K1012" s="3">
        <f>IF(AND(IF($B$3="(todos)",TRUE,'ORDENES'!$O1008=$B$3),IF($D$3="(todos)",TRUE,'ORDENES'!$AC1008=$D$3),IF($F$3="(todos)",TRUE,'ORDENES'!$V1008=$F$3),'ORDENES'!$AA1008=TRUE),'ORDENES'!$AN1008&amp;" | "&amp;'ORDENES'!$R1008&amp;" | "&amp;IF('ORDENES'!$AB1008="","(sin técnico)",'ORDENES'!$AB1008)&amp;" | "&amp;'ORDENES'!$D1008&amp;" ("&amp;'ORDENES'!$M1008&amp;" h)","")</f>
        <v/>
      </c>
    </row>
    <row r="1013">
      <c r="K1013" s="3">
        <f>IF(AND(IF($B$3="(todos)",TRUE,'ORDENES'!$O1009=$B$3),IF($D$3="(todos)",TRUE,'ORDENES'!$AC1009=$D$3),IF($F$3="(todos)",TRUE,'ORDENES'!$V1009=$F$3),'ORDENES'!$AA1009=TRUE),'ORDENES'!$AN1009&amp;" | "&amp;'ORDENES'!$R1009&amp;" | "&amp;IF('ORDENES'!$AB1009="","(sin técnico)",'ORDENES'!$AB1009)&amp;" | "&amp;'ORDENES'!$D1009&amp;" ("&amp;'ORDENES'!$M1009&amp;" h)","")</f>
        <v/>
      </c>
    </row>
    <row r="1014">
      <c r="K1014" s="3">
        <f>IF(AND(IF($B$3="(todos)",TRUE,'ORDENES'!$O1010=$B$3),IF($D$3="(todos)",TRUE,'ORDENES'!$AC1010=$D$3),IF($F$3="(todos)",TRUE,'ORDENES'!$V1010=$F$3),'ORDENES'!$AA1010=TRUE),'ORDENES'!$AN1010&amp;" | "&amp;'ORDENES'!$R1010&amp;" | "&amp;IF('ORDENES'!$AB1010="","(sin técnico)",'ORDENES'!$AB1010)&amp;" | "&amp;'ORDENES'!$D1010&amp;" ("&amp;'ORDENES'!$M1010&amp;" h)","")</f>
        <v/>
      </c>
    </row>
    <row r="1015">
      <c r="K1015" s="3">
        <f>IF(AND(IF($B$3="(todos)",TRUE,'ORDENES'!$O1011=$B$3),IF($D$3="(todos)",TRUE,'ORDENES'!$AC1011=$D$3),IF($F$3="(todos)",TRUE,'ORDENES'!$V1011=$F$3),'ORDENES'!$AA1011=TRUE),'ORDENES'!$AN1011&amp;" | "&amp;'ORDENES'!$R1011&amp;" | "&amp;IF('ORDENES'!$AB1011="","(sin técnico)",'ORDENES'!$AB1011)&amp;" | "&amp;'ORDENES'!$D1011&amp;" ("&amp;'ORDENES'!$M1011&amp;" h)","")</f>
        <v/>
      </c>
    </row>
    <row r="1016">
      <c r="K1016" s="3">
        <f>IF(AND(IF($B$3="(todos)",TRUE,'ORDENES'!$O1012=$B$3),IF($D$3="(todos)",TRUE,'ORDENES'!$AC1012=$D$3),IF($F$3="(todos)",TRUE,'ORDENES'!$V1012=$F$3),'ORDENES'!$AA1012=TRUE),'ORDENES'!$AN1012&amp;" | "&amp;'ORDENES'!$R1012&amp;" | "&amp;IF('ORDENES'!$AB1012="","(sin técnico)",'ORDENES'!$AB1012)&amp;" | "&amp;'ORDENES'!$D1012&amp;" ("&amp;'ORDENES'!$M1012&amp;" h)","")</f>
        <v/>
      </c>
    </row>
    <row r="1017">
      <c r="K1017" s="3">
        <f>IF(AND(IF($B$3="(todos)",TRUE,'ORDENES'!$O1013=$B$3),IF($D$3="(todos)",TRUE,'ORDENES'!$AC1013=$D$3),IF($F$3="(todos)",TRUE,'ORDENES'!$V1013=$F$3),'ORDENES'!$AA1013=TRUE),'ORDENES'!$AN1013&amp;" | "&amp;'ORDENES'!$R1013&amp;" | "&amp;IF('ORDENES'!$AB1013="","(sin técnico)",'ORDENES'!$AB1013)&amp;" | "&amp;'ORDENES'!$D1013&amp;" ("&amp;'ORDENES'!$M1013&amp;" h)","")</f>
        <v/>
      </c>
    </row>
    <row r="1018">
      <c r="K1018" s="3">
        <f>IF(AND(IF($B$3="(todos)",TRUE,'ORDENES'!$O1014=$B$3),IF($D$3="(todos)",TRUE,'ORDENES'!$AC1014=$D$3),IF($F$3="(todos)",TRUE,'ORDENES'!$V1014=$F$3),'ORDENES'!$AA1014=TRUE),'ORDENES'!$AN1014&amp;" | "&amp;'ORDENES'!$R1014&amp;" | "&amp;IF('ORDENES'!$AB1014="","(sin técnico)",'ORDENES'!$AB1014)&amp;" | "&amp;'ORDENES'!$D1014&amp;" ("&amp;'ORDENES'!$M1014&amp;" h)","")</f>
        <v/>
      </c>
    </row>
    <row r="1019">
      <c r="K1019" s="3">
        <f>IF(AND(IF($B$3="(todos)",TRUE,'ORDENES'!$O1015=$B$3),IF($D$3="(todos)",TRUE,'ORDENES'!$AC1015=$D$3),IF($F$3="(todos)",TRUE,'ORDENES'!$V1015=$F$3),'ORDENES'!$AA1015=TRUE),'ORDENES'!$AN1015&amp;" | "&amp;'ORDENES'!$R1015&amp;" | "&amp;IF('ORDENES'!$AB1015="","(sin técnico)",'ORDENES'!$AB1015)&amp;" | "&amp;'ORDENES'!$D1015&amp;" ("&amp;'ORDENES'!$M1015&amp;" h)","")</f>
        <v/>
      </c>
    </row>
    <row r="1020">
      <c r="K1020" s="3">
        <f>IF(AND(IF($B$3="(todos)",TRUE,'ORDENES'!$O1016=$B$3),IF($D$3="(todos)",TRUE,'ORDENES'!$AC1016=$D$3),IF($F$3="(todos)",TRUE,'ORDENES'!$V1016=$F$3),'ORDENES'!$AA1016=TRUE),'ORDENES'!$AN1016&amp;" | "&amp;'ORDENES'!$R1016&amp;" | "&amp;IF('ORDENES'!$AB1016="","(sin técnico)",'ORDENES'!$AB1016)&amp;" | "&amp;'ORDENES'!$D1016&amp;" ("&amp;'ORDENES'!$M1016&amp;" h)","")</f>
        <v/>
      </c>
    </row>
    <row r="1021">
      <c r="K1021" s="3">
        <f>IF(AND(IF($B$3="(todos)",TRUE,'ORDENES'!$O1017=$B$3),IF($D$3="(todos)",TRUE,'ORDENES'!$AC1017=$D$3),IF($F$3="(todos)",TRUE,'ORDENES'!$V1017=$F$3),'ORDENES'!$AA1017=TRUE),'ORDENES'!$AN1017&amp;" | "&amp;'ORDENES'!$R1017&amp;" | "&amp;IF('ORDENES'!$AB1017="","(sin técnico)",'ORDENES'!$AB1017)&amp;" | "&amp;'ORDENES'!$D1017&amp;" ("&amp;'ORDENES'!$M1017&amp;" h)","")</f>
        <v/>
      </c>
    </row>
    <row r="1022">
      <c r="K1022" s="3">
        <f>IF(AND(IF($B$3="(todos)",TRUE,'ORDENES'!$O1018=$B$3),IF($D$3="(todos)",TRUE,'ORDENES'!$AC1018=$D$3),IF($F$3="(todos)",TRUE,'ORDENES'!$V1018=$F$3),'ORDENES'!$AA1018=TRUE),'ORDENES'!$AN1018&amp;" | "&amp;'ORDENES'!$R1018&amp;" | "&amp;IF('ORDENES'!$AB1018="","(sin técnico)",'ORDENES'!$AB1018)&amp;" | "&amp;'ORDENES'!$D1018&amp;" ("&amp;'ORDENES'!$M1018&amp;" h)","")</f>
        <v/>
      </c>
    </row>
    <row r="1023">
      <c r="K1023" s="3">
        <f>IF(AND(IF($B$3="(todos)",TRUE,'ORDENES'!$O1019=$B$3),IF($D$3="(todos)",TRUE,'ORDENES'!$AC1019=$D$3),IF($F$3="(todos)",TRUE,'ORDENES'!$V1019=$F$3),'ORDENES'!$AA1019=TRUE),'ORDENES'!$AN1019&amp;" | "&amp;'ORDENES'!$R1019&amp;" | "&amp;IF('ORDENES'!$AB1019="","(sin técnico)",'ORDENES'!$AB1019)&amp;" | "&amp;'ORDENES'!$D1019&amp;" ("&amp;'ORDENES'!$M1019&amp;" h)","")</f>
        <v/>
      </c>
    </row>
    <row r="1024">
      <c r="K1024" s="3">
        <f>IF(AND(IF($B$3="(todos)",TRUE,'ORDENES'!$O1020=$B$3),IF($D$3="(todos)",TRUE,'ORDENES'!$AC1020=$D$3),IF($F$3="(todos)",TRUE,'ORDENES'!$V1020=$F$3),'ORDENES'!$AA1020=TRUE),'ORDENES'!$AN1020&amp;" | "&amp;'ORDENES'!$R1020&amp;" | "&amp;IF('ORDENES'!$AB1020="","(sin técnico)",'ORDENES'!$AB1020)&amp;" | "&amp;'ORDENES'!$D1020&amp;" ("&amp;'ORDENES'!$M1020&amp;" h)","")</f>
        <v/>
      </c>
    </row>
    <row r="1025">
      <c r="K1025" s="3">
        <f>IF(AND(IF($B$3="(todos)",TRUE,'ORDENES'!$O1021=$B$3),IF($D$3="(todos)",TRUE,'ORDENES'!$AC1021=$D$3),IF($F$3="(todos)",TRUE,'ORDENES'!$V1021=$F$3),'ORDENES'!$AA1021=TRUE),'ORDENES'!$AN1021&amp;" | "&amp;'ORDENES'!$R1021&amp;" | "&amp;IF('ORDENES'!$AB1021="","(sin técnico)",'ORDENES'!$AB1021)&amp;" | "&amp;'ORDENES'!$D1021&amp;" ("&amp;'ORDENES'!$M1021&amp;" h)","")</f>
        <v/>
      </c>
    </row>
    <row r="1026">
      <c r="K1026" s="3">
        <f>IF(AND(IF($B$3="(todos)",TRUE,'ORDENES'!$O1022=$B$3),IF($D$3="(todos)",TRUE,'ORDENES'!$AC1022=$D$3),IF($F$3="(todos)",TRUE,'ORDENES'!$V1022=$F$3),'ORDENES'!$AA1022=TRUE),'ORDENES'!$AN1022&amp;" | "&amp;'ORDENES'!$R1022&amp;" | "&amp;IF('ORDENES'!$AB1022="","(sin técnico)",'ORDENES'!$AB1022)&amp;" | "&amp;'ORDENES'!$D1022&amp;" ("&amp;'ORDENES'!$M1022&amp;" h)","")</f>
        <v/>
      </c>
    </row>
    <row r="1027">
      <c r="K1027" s="3">
        <f>IF(AND(IF($B$3="(todos)",TRUE,'ORDENES'!$O1023=$B$3),IF($D$3="(todos)",TRUE,'ORDENES'!$AC1023=$D$3),IF($F$3="(todos)",TRUE,'ORDENES'!$V1023=$F$3),'ORDENES'!$AA1023=TRUE),'ORDENES'!$AN1023&amp;" | "&amp;'ORDENES'!$R1023&amp;" | "&amp;IF('ORDENES'!$AB1023="","(sin técnico)",'ORDENES'!$AB1023)&amp;" | "&amp;'ORDENES'!$D1023&amp;" ("&amp;'ORDENES'!$M1023&amp;" h)","")</f>
        <v/>
      </c>
    </row>
    <row r="1028">
      <c r="K1028" s="3">
        <f>IF(AND(IF($B$3="(todos)",TRUE,'ORDENES'!$O1024=$B$3),IF($D$3="(todos)",TRUE,'ORDENES'!$AC1024=$D$3),IF($F$3="(todos)",TRUE,'ORDENES'!$V1024=$F$3),'ORDENES'!$AA1024=TRUE),'ORDENES'!$AN1024&amp;" | "&amp;'ORDENES'!$R1024&amp;" | "&amp;IF('ORDENES'!$AB1024="","(sin técnico)",'ORDENES'!$AB1024)&amp;" | "&amp;'ORDENES'!$D1024&amp;" ("&amp;'ORDENES'!$M1024&amp;" h)","")</f>
        <v/>
      </c>
    </row>
    <row r="1029">
      <c r="K1029" s="3">
        <f>IF(AND(IF($B$3="(todos)",TRUE,'ORDENES'!$O1025=$B$3),IF($D$3="(todos)",TRUE,'ORDENES'!$AC1025=$D$3),IF($F$3="(todos)",TRUE,'ORDENES'!$V1025=$F$3),'ORDENES'!$AA1025=TRUE),'ORDENES'!$AN1025&amp;" | "&amp;'ORDENES'!$R1025&amp;" | "&amp;IF('ORDENES'!$AB1025="","(sin técnico)",'ORDENES'!$AB1025)&amp;" | "&amp;'ORDENES'!$D1025&amp;" ("&amp;'ORDENES'!$M1025&amp;" h)","")</f>
        <v/>
      </c>
    </row>
    <row r="1030">
      <c r="K1030" s="3">
        <f>IF(AND(IF($B$3="(todos)",TRUE,'ORDENES'!$O1026=$B$3),IF($D$3="(todos)",TRUE,'ORDENES'!$AC1026=$D$3),IF($F$3="(todos)",TRUE,'ORDENES'!$V1026=$F$3),'ORDENES'!$AA1026=TRUE),'ORDENES'!$AN1026&amp;" | "&amp;'ORDENES'!$R1026&amp;" | "&amp;IF('ORDENES'!$AB1026="","(sin técnico)",'ORDENES'!$AB1026)&amp;" | "&amp;'ORDENES'!$D1026&amp;" ("&amp;'ORDENES'!$M1026&amp;" h)","")</f>
        <v/>
      </c>
    </row>
    <row r="1031">
      <c r="K1031" s="3">
        <f>IF(AND(IF($B$3="(todos)",TRUE,'ORDENES'!$O1027=$B$3),IF($D$3="(todos)",TRUE,'ORDENES'!$AC1027=$D$3),IF($F$3="(todos)",TRUE,'ORDENES'!$V1027=$F$3),'ORDENES'!$AA1027=TRUE),'ORDENES'!$AN1027&amp;" | "&amp;'ORDENES'!$R1027&amp;" | "&amp;IF('ORDENES'!$AB1027="","(sin técnico)",'ORDENES'!$AB1027)&amp;" | "&amp;'ORDENES'!$D1027&amp;" ("&amp;'ORDENES'!$M1027&amp;" h)","")</f>
        <v/>
      </c>
    </row>
    <row r="1032">
      <c r="K1032" s="3">
        <f>IF(AND(IF($B$3="(todos)",TRUE,'ORDENES'!$O1028=$B$3),IF($D$3="(todos)",TRUE,'ORDENES'!$AC1028=$D$3),IF($F$3="(todos)",TRUE,'ORDENES'!$V1028=$F$3),'ORDENES'!$AA1028=TRUE),'ORDENES'!$AN1028&amp;" | "&amp;'ORDENES'!$R1028&amp;" | "&amp;IF('ORDENES'!$AB1028="","(sin técnico)",'ORDENES'!$AB1028)&amp;" | "&amp;'ORDENES'!$D1028&amp;" ("&amp;'ORDENES'!$M1028&amp;" h)","")</f>
        <v/>
      </c>
    </row>
    <row r="1033">
      <c r="K1033" s="3">
        <f>IF(AND(IF($B$3="(todos)",TRUE,'ORDENES'!$O1029=$B$3),IF($D$3="(todos)",TRUE,'ORDENES'!$AC1029=$D$3),IF($F$3="(todos)",TRUE,'ORDENES'!$V1029=$F$3),'ORDENES'!$AA1029=TRUE),'ORDENES'!$AN1029&amp;" | "&amp;'ORDENES'!$R1029&amp;" | "&amp;IF('ORDENES'!$AB1029="","(sin técnico)",'ORDENES'!$AB1029)&amp;" | "&amp;'ORDENES'!$D1029&amp;" ("&amp;'ORDENES'!$M1029&amp;" h)","")</f>
        <v/>
      </c>
    </row>
    <row r="1034">
      <c r="K1034" s="3">
        <f>IF(AND(IF($B$3="(todos)",TRUE,'ORDENES'!$O1030=$B$3),IF($D$3="(todos)",TRUE,'ORDENES'!$AC1030=$D$3),IF($F$3="(todos)",TRUE,'ORDENES'!$V1030=$F$3),'ORDENES'!$AA1030=TRUE),'ORDENES'!$AN1030&amp;" | "&amp;'ORDENES'!$R1030&amp;" | "&amp;IF('ORDENES'!$AB1030="","(sin técnico)",'ORDENES'!$AB1030)&amp;" | "&amp;'ORDENES'!$D1030&amp;" ("&amp;'ORDENES'!$M1030&amp;" h)","")</f>
        <v/>
      </c>
    </row>
    <row r="1035">
      <c r="K1035" s="3">
        <f>IF(AND(IF($B$3="(todos)",TRUE,'ORDENES'!$O1031=$B$3),IF($D$3="(todos)",TRUE,'ORDENES'!$AC1031=$D$3),IF($F$3="(todos)",TRUE,'ORDENES'!$V1031=$F$3),'ORDENES'!$AA1031=TRUE),'ORDENES'!$AN1031&amp;" | "&amp;'ORDENES'!$R1031&amp;" | "&amp;IF('ORDENES'!$AB1031="","(sin técnico)",'ORDENES'!$AB1031)&amp;" | "&amp;'ORDENES'!$D1031&amp;" ("&amp;'ORDENES'!$M1031&amp;" h)","")</f>
        <v/>
      </c>
    </row>
    <row r="1036">
      <c r="K1036" s="3">
        <f>IF(AND(IF($B$3="(todos)",TRUE,'ORDENES'!$O1032=$B$3),IF($D$3="(todos)",TRUE,'ORDENES'!$AC1032=$D$3),IF($F$3="(todos)",TRUE,'ORDENES'!$V1032=$F$3),'ORDENES'!$AA1032=TRUE),'ORDENES'!$AN1032&amp;" | "&amp;'ORDENES'!$R1032&amp;" | "&amp;IF('ORDENES'!$AB1032="","(sin técnico)",'ORDENES'!$AB1032)&amp;" | "&amp;'ORDENES'!$D1032&amp;" ("&amp;'ORDENES'!$M1032&amp;" h)","")</f>
        <v/>
      </c>
    </row>
    <row r="1037">
      <c r="K1037" s="3">
        <f>IF(AND(IF($B$3="(todos)",TRUE,'ORDENES'!$O1033=$B$3),IF($D$3="(todos)",TRUE,'ORDENES'!$AC1033=$D$3),IF($F$3="(todos)",TRUE,'ORDENES'!$V1033=$F$3),'ORDENES'!$AA1033=TRUE),'ORDENES'!$AN1033&amp;" | "&amp;'ORDENES'!$R1033&amp;" | "&amp;IF('ORDENES'!$AB1033="","(sin técnico)",'ORDENES'!$AB1033)&amp;" | "&amp;'ORDENES'!$D1033&amp;" ("&amp;'ORDENES'!$M1033&amp;" h)","")</f>
        <v/>
      </c>
    </row>
    <row r="1038">
      <c r="K1038" s="3">
        <f>IF(AND(IF($B$3="(todos)",TRUE,'ORDENES'!$O1034=$B$3),IF($D$3="(todos)",TRUE,'ORDENES'!$AC1034=$D$3),IF($F$3="(todos)",TRUE,'ORDENES'!$V1034=$F$3),'ORDENES'!$AA1034=TRUE),'ORDENES'!$AN1034&amp;" | "&amp;'ORDENES'!$R1034&amp;" | "&amp;IF('ORDENES'!$AB1034="","(sin técnico)",'ORDENES'!$AB1034)&amp;" | "&amp;'ORDENES'!$D1034&amp;" ("&amp;'ORDENES'!$M1034&amp;" h)","")</f>
        <v/>
      </c>
    </row>
    <row r="1039">
      <c r="K1039" s="3">
        <f>IF(AND(IF($B$3="(todos)",TRUE,'ORDENES'!$O1035=$B$3),IF($D$3="(todos)",TRUE,'ORDENES'!$AC1035=$D$3),IF($F$3="(todos)",TRUE,'ORDENES'!$V1035=$F$3),'ORDENES'!$AA1035=TRUE),'ORDENES'!$AN1035&amp;" | "&amp;'ORDENES'!$R1035&amp;" | "&amp;IF('ORDENES'!$AB1035="","(sin técnico)",'ORDENES'!$AB1035)&amp;" | "&amp;'ORDENES'!$D1035&amp;" ("&amp;'ORDENES'!$M1035&amp;" h)","")</f>
        <v/>
      </c>
    </row>
    <row r="1040">
      <c r="K1040" s="3">
        <f>IF(AND(IF($B$3="(todos)",TRUE,'ORDENES'!$O1036=$B$3),IF($D$3="(todos)",TRUE,'ORDENES'!$AC1036=$D$3),IF($F$3="(todos)",TRUE,'ORDENES'!$V1036=$F$3),'ORDENES'!$AA1036=TRUE),'ORDENES'!$AN1036&amp;" | "&amp;'ORDENES'!$R1036&amp;" | "&amp;IF('ORDENES'!$AB1036="","(sin técnico)",'ORDENES'!$AB1036)&amp;" | "&amp;'ORDENES'!$D1036&amp;" ("&amp;'ORDENES'!$M1036&amp;" h)","")</f>
        <v/>
      </c>
    </row>
    <row r="1041">
      <c r="K1041" s="3">
        <f>IF(AND(IF($B$3="(todos)",TRUE,'ORDENES'!$O1037=$B$3),IF($D$3="(todos)",TRUE,'ORDENES'!$AC1037=$D$3),IF($F$3="(todos)",TRUE,'ORDENES'!$V1037=$F$3),'ORDENES'!$AA1037=TRUE),'ORDENES'!$AN1037&amp;" | "&amp;'ORDENES'!$R1037&amp;" | "&amp;IF('ORDENES'!$AB1037="","(sin técnico)",'ORDENES'!$AB1037)&amp;" | "&amp;'ORDENES'!$D1037&amp;" ("&amp;'ORDENES'!$M1037&amp;" h)","")</f>
        <v/>
      </c>
    </row>
    <row r="1042">
      <c r="K1042" s="3">
        <f>IF(AND(IF($B$3="(todos)",TRUE,'ORDENES'!$O1038=$B$3),IF($D$3="(todos)",TRUE,'ORDENES'!$AC1038=$D$3),IF($F$3="(todos)",TRUE,'ORDENES'!$V1038=$F$3),'ORDENES'!$AA1038=TRUE),'ORDENES'!$AN1038&amp;" | "&amp;'ORDENES'!$R1038&amp;" | "&amp;IF('ORDENES'!$AB1038="","(sin técnico)",'ORDENES'!$AB1038)&amp;" | "&amp;'ORDENES'!$D1038&amp;" ("&amp;'ORDENES'!$M1038&amp;" h)","")</f>
        <v/>
      </c>
    </row>
    <row r="1043">
      <c r="K1043" s="3">
        <f>IF(AND(IF($B$3="(todos)",TRUE,'ORDENES'!$O1039=$B$3),IF($D$3="(todos)",TRUE,'ORDENES'!$AC1039=$D$3),IF($F$3="(todos)",TRUE,'ORDENES'!$V1039=$F$3),'ORDENES'!$AA1039=TRUE),'ORDENES'!$AN1039&amp;" | "&amp;'ORDENES'!$R1039&amp;" | "&amp;IF('ORDENES'!$AB1039="","(sin técnico)",'ORDENES'!$AB1039)&amp;" | "&amp;'ORDENES'!$D1039&amp;" ("&amp;'ORDENES'!$M1039&amp;" h)","")</f>
        <v/>
      </c>
    </row>
    <row r="1044">
      <c r="K1044" s="3">
        <f>IF(AND(IF($B$3="(todos)",TRUE,'ORDENES'!$O1040=$B$3),IF($D$3="(todos)",TRUE,'ORDENES'!$AC1040=$D$3),IF($F$3="(todos)",TRUE,'ORDENES'!$V1040=$F$3),'ORDENES'!$AA1040=TRUE),'ORDENES'!$AN1040&amp;" | "&amp;'ORDENES'!$R1040&amp;" | "&amp;IF('ORDENES'!$AB1040="","(sin técnico)",'ORDENES'!$AB1040)&amp;" | "&amp;'ORDENES'!$D1040&amp;" ("&amp;'ORDENES'!$M1040&amp;" h)","")</f>
        <v/>
      </c>
    </row>
    <row r="1045">
      <c r="K1045" s="3">
        <f>IF(AND(IF($B$3="(todos)",TRUE,'ORDENES'!$O1041=$B$3),IF($D$3="(todos)",TRUE,'ORDENES'!$AC1041=$D$3),IF($F$3="(todos)",TRUE,'ORDENES'!$V1041=$F$3),'ORDENES'!$AA1041=TRUE),'ORDENES'!$AN1041&amp;" | "&amp;'ORDENES'!$R1041&amp;" | "&amp;IF('ORDENES'!$AB1041="","(sin técnico)",'ORDENES'!$AB1041)&amp;" | "&amp;'ORDENES'!$D1041&amp;" ("&amp;'ORDENES'!$M1041&amp;" h)","")</f>
        <v/>
      </c>
    </row>
    <row r="1046">
      <c r="K1046" s="3">
        <f>IF(AND(IF($B$3="(todos)",TRUE,'ORDENES'!$O1042=$B$3),IF($D$3="(todos)",TRUE,'ORDENES'!$AC1042=$D$3),IF($F$3="(todos)",TRUE,'ORDENES'!$V1042=$F$3),'ORDENES'!$AA1042=TRUE),'ORDENES'!$AN1042&amp;" | "&amp;'ORDENES'!$R1042&amp;" | "&amp;IF('ORDENES'!$AB1042="","(sin técnico)",'ORDENES'!$AB1042)&amp;" | "&amp;'ORDENES'!$D1042&amp;" ("&amp;'ORDENES'!$M1042&amp;" h)","")</f>
        <v/>
      </c>
    </row>
    <row r="1047">
      <c r="K1047" s="3">
        <f>IF(AND(IF($B$3="(todos)",TRUE,'ORDENES'!$O1043=$B$3),IF($D$3="(todos)",TRUE,'ORDENES'!$AC1043=$D$3),IF($F$3="(todos)",TRUE,'ORDENES'!$V1043=$F$3),'ORDENES'!$AA1043=TRUE),'ORDENES'!$AN1043&amp;" | "&amp;'ORDENES'!$R1043&amp;" | "&amp;IF('ORDENES'!$AB1043="","(sin técnico)",'ORDENES'!$AB1043)&amp;" | "&amp;'ORDENES'!$D1043&amp;" ("&amp;'ORDENES'!$M1043&amp;" h)","")</f>
        <v/>
      </c>
    </row>
    <row r="1048">
      <c r="K1048" s="3">
        <f>IF(AND(IF($B$3="(todos)",TRUE,'ORDENES'!$O1044=$B$3),IF($D$3="(todos)",TRUE,'ORDENES'!$AC1044=$D$3),IF($F$3="(todos)",TRUE,'ORDENES'!$V1044=$F$3),'ORDENES'!$AA1044=TRUE),'ORDENES'!$AN1044&amp;" | "&amp;'ORDENES'!$R1044&amp;" | "&amp;IF('ORDENES'!$AB1044="","(sin técnico)",'ORDENES'!$AB1044)&amp;" | "&amp;'ORDENES'!$D1044&amp;" ("&amp;'ORDENES'!$M1044&amp;" h)","")</f>
        <v/>
      </c>
    </row>
    <row r="1049">
      <c r="K1049" s="3">
        <f>IF(AND(IF($B$3="(todos)",TRUE,'ORDENES'!$O1045=$B$3),IF($D$3="(todos)",TRUE,'ORDENES'!$AC1045=$D$3),IF($F$3="(todos)",TRUE,'ORDENES'!$V1045=$F$3),'ORDENES'!$AA1045=TRUE),'ORDENES'!$AN1045&amp;" | "&amp;'ORDENES'!$R1045&amp;" | "&amp;IF('ORDENES'!$AB1045="","(sin técnico)",'ORDENES'!$AB1045)&amp;" | "&amp;'ORDENES'!$D1045&amp;" ("&amp;'ORDENES'!$M1045&amp;" h)","")</f>
        <v/>
      </c>
    </row>
    <row r="1050">
      <c r="K1050" s="3">
        <f>IF(AND(IF($B$3="(todos)",TRUE,'ORDENES'!$O1046=$B$3),IF($D$3="(todos)",TRUE,'ORDENES'!$AC1046=$D$3),IF($F$3="(todos)",TRUE,'ORDENES'!$V1046=$F$3),'ORDENES'!$AA1046=TRUE),'ORDENES'!$AN1046&amp;" | "&amp;'ORDENES'!$R1046&amp;" | "&amp;IF('ORDENES'!$AB1046="","(sin técnico)",'ORDENES'!$AB1046)&amp;" | "&amp;'ORDENES'!$D1046&amp;" ("&amp;'ORDENES'!$M1046&amp;" h)","")</f>
        <v/>
      </c>
    </row>
    <row r="1051">
      <c r="K1051" s="3">
        <f>IF(AND(IF($B$3="(todos)",TRUE,'ORDENES'!$O1047=$B$3),IF($D$3="(todos)",TRUE,'ORDENES'!$AC1047=$D$3),IF($F$3="(todos)",TRUE,'ORDENES'!$V1047=$F$3),'ORDENES'!$AA1047=TRUE),'ORDENES'!$AN1047&amp;" | "&amp;'ORDENES'!$R1047&amp;" | "&amp;IF('ORDENES'!$AB1047="","(sin técnico)",'ORDENES'!$AB1047)&amp;" | "&amp;'ORDENES'!$D1047&amp;" ("&amp;'ORDENES'!$M1047&amp;" h)","")</f>
        <v/>
      </c>
    </row>
    <row r="1052">
      <c r="K1052" s="3">
        <f>IF(AND(IF($B$3="(todos)",TRUE,'ORDENES'!$O1048=$B$3),IF($D$3="(todos)",TRUE,'ORDENES'!$AC1048=$D$3),IF($F$3="(todos)",TRUE,'ORDENES'!$V1048=$F$3),'ORDENES'!$AA1048=TRUE),'ORDENES'!$AN1048&amp;" | "&amp;'ORDENES'!$R1048&amp;" | "&amp;IF('ORDENES'!$AB1048="","(sin técnico)",'ORDENES'!$AB1048)&amp;" | "&amp;'ORDENES'!$D1048&amp;" ("&amp;'ORDENES'!$M1048&amp;" h)","")</f>
        <v/>
      </c>
    </row>
    <row r="1053">
      <c r="K1053" s="3">
        <f>IF(AND(IF($B$3="(todos)",TRUE,'ORDENES'!$O1049=$B$3),IF($D$3="(todos)",TRUE,'ORDENES'!$AC1049=$D$3),IF($F$3="(todos)",TRUE,'ORDENES'!$V1049=$F$3),'ORDENES'!$AA1049=TRUE),'ORDENES'!$AN1049&amp;" | "&amp;'ORDENES'!$R1049&amp;" | "&amp;IF('ORDENES'!$AB1049="","(sin técnico)",'ORDENES'!$AB1049)&amp;" | "&amp;'ORDENES'!$D1049&amp;" ("&amp;'ORDENES'!$M1049&amp;" h)","")</f>
        <v/>
      </c>
    </row>
    <row r="1054">
      <c r="K1054" s="3">
        <f>IF(AND(IF($B$3="(todos)",TRUE,'ORDENES'!$O1050=$B$3),IF($D$3="(todos)",TRUE,'ORDENES'!$AC1050=$D$3),IF($F$3="(todos)",TRUE,'ORDENES'!$V1050=$F$3),'ORDENES'!$AA1050=TRUE),'ORDENES'!$AN1050&amp;" | "&amp;'ORDENES'!$R1050&amp;" | "&amp;IF('ORDENES'!$AB1050="","(sin técnico)",'ORDENES'!$AB1050)&amp;" | "&amp;'ORDENES'!$D1050&amp;" ("&amp;'ORDENES'!$M1050&amp;" h)","")</f>
        <v/>
      </c>
    </row>
    <row r="1055">
      <c r="K1055" s="3">
        <f>IF(AND(IF($B$3="(todos)",TRUE,'ORDENES'!$O1051=$B$3),IF($D$3="(todos)",TRUE,'ORDENES'!$AC1051=$D$3),IF($F$3="(todos)",TRUE,'ORDENES'!$V1051=$F$3),'ORDENES'!$AA1051=TRUE),'ORDENES'!$AN1051&amp;" | "&amp;'ORDENES'!$R1051&amp;" | "&amp;IF('ORDENES'!$AB1051="","(sin técnico)",'ORDENES'!$AB1051)&amp;" | "&amp;'ORDENES'!$D1051&amp;" ("&amp;'ORDENES'!$M1051&amp;" h)","")</f>
        <v/>
      </c>
    </row>
    <row r="1056">
      <c r="K1056" s="3">
        <f>IF(AND(IF($B$3="(todos)",TRUE,'ORDENES'!$O1052=$B$3),IF($D$3="(todos)",TRUE,'ORDENES'!$AC1052=$D$3),IF($F$3="(todos)",TRUE,'ORDENES'!$V1052=$F$3),'ORDENES'!$AA1052=TRUE),'ORDENES'!$AN1052&amp;" | "&amp;'ORDENES'!$R1052&amp;" | "&amp;IF('ORDENES'!$AB1052="","(sin técnico)",'ORDENES'!$AB1052)&amp;" | "&amp;'ORDENES'!$D1052&amp;" ("&amp;'ORDENES'!$M1052&amp;" h)","")</f>
        <v/>
      </c>
    </row>
    <row r="1057">
      <c r="K1057" s="3">
        <f>IF(AND(IF($B$3="(todos)",TRUE,'ORDENES'!$O1053=$B$3),IF($D$3="(todos)",TRUE,'ORDENES'!$AC1053=$D$3),IF($F$3="(todos)",TRUE,'ORDENES'!$V1053=$F$3),'ORDENES'!$AA1053=TRUE),'ORDENES'!$AN1053&amp;" | "&amp;'ORDENES'!$R1053&amp;" | "&amp;IF('ORDENES'!$AB1053="","(sin técnico)",'ORDENES'!$AB1053)&amp;" | "&amp;'ORDENES'!$D1053&amp;" ("&amp;'ORDENES'!$M1053&amp;" h)","")</f>
        <v/>
      </c>
    </row>
    <row r="1058">
      <c r="K1058" s="3">
        <f>IF(AND(IF($B$3="(todos)",TRUE,'ORDENES'!$O1054=$B$3),IF($D$3="(todos)",TRUE,'ORDENES'!$AC1054=$D$3),IF($F$3="(todos)",TRUE,'ORDENES'!$V1054=$F$3),'ORDENES'!$AA1054=TRUE),'ORDENES'!$AN1054&amp;" | "&amp;'ORDENES'!$R1054&amp;" | "&amp;IF('ORDENES'!$AB1054="","(sin técnico)",'ORDENES'!$AB1054)&amp;" | "&amp;'ORDENES'!$D1054&amp;" ("&amp;'ORDENES'!$M1054&amp;" h)","")</f>
        <v/>
      </c>
    </row>
    <row r="1059">
      <c r="K1059" s="3">
        <f>IF(AND(IF($B$3="(todos)",TRUE,'ORDENES'!$O1055=$B$3),IF($D$3="(todos)",TRUE,'ORDENES'!$AC1055=$D$3),IF($F$3="(todos)",TRUE,'ORDENES'!$V1055=$F$3),'ORDENES'!$AA1055=TRUE),'ORDENES'!$AN1055&amp;" | "&amp;'ORDENES'!$R1055&amp;" | "&amp;IF('ORDENES'!$AB1055="","(sin técnico)",'ORDENES'!$AB1055)&amp;" | "&amp;'ORDENES'!$D1055&amp;" ("&amp;'ORDENES'!$M1055&amp;" h)","")</f>
        <v/>
      </c>
    </row>
    <row r="1060">
      <c r="K1060" s="3">
        <f>IF(AND(IF($B$3="(todos)",TRUE,'ORDENES'!$O1056=$B$3),IF($D$3="(todos)",TRUE,'ORDENES'!$AC1056=$D$3),IF($F$3="(todos)",TRUE,'ORDENES'!$V1056=$F$3),'ORDENES'!$AA1056=TRUE),'ORDENES'!$AN1056&amp;" | "&amp;'ORDENES'!$R1056&amp;" | "&amp;IF('ORDENES'!$AB1056="","(sin técnico)",'ORDENES'!$AB1056)&amp;" | "&amp;'ORDENES'!$D1056&amp;" ("&amp;'ORDENES'!$M1056&amp;" h)","")</f>
        <v/>
      </c>
    </row>
    <row r="1061">
      <c r="K1061" s="3">
        <f>IF(AND(IF($B$3="(todos)",TRUE,'ORDENES'!$O1057=$B$3),IF($D$3="(todos)",TRUE,'ORDENES'!$AC1057=$D$3),IF($F$3="(todos)",TRUE,'ORDENES'!$V1057=$F$3),'ORDENES'!$AA1057=TRUE),'ORDENES'!$AN1057&amp;" | "&amp;'ORDENES'!$R1057&amp;" | "&amp;IF('ORDENES'!$AB1057="","(sin técnico)",'ORDENES'!$AB1057)&amp;" | "&amp;'ORDENES'!$D1057&amp;" ("&amp;'ORDENES'!$M1057&amp;" h)","")</f>
        <v/>
      </c>
    </row>
    <row r="1062">
      <c r="K1062" s="3">
        <f>IF(AND(IF($B$3="(todos)",TRUE,'ORDENES'!$O1058=$B$3),IF($D$3="(todos)",TRUE,'ORDENES'!$AC1058=$D$3),IF($F$3="(todos)",TRUE,'ORDENES'!$V1058=$F$3),'ORDENES'!$AA1058=TRUE),'ORDENES'!$AN1058&amp;" | "&amp;'ORDENES'!$R1058&amp;" | "&amp;IF('ORDENES'!$AB1058="","(sin técnico)",'ORDENES'!$AB1058)&amp;" | "&amp;'ORDENES'!$D1058&amp;" ("&amp;'ORDENES'!$M1058&amp;" h)","")</f>
        <v/>
      </c>
    </row>
    <row r="1063">
      <c r="K1063" s="3">
        <f>IF(AND(IF($B$3="(todos)",TRUE,'ORDENES'!$O1059=$B$3),IF($D$3="(todos)",TRUE,'ORDENES'!$AC1059=$D$3),IF($F$3="(todos)",TRUE,'ORDENES'!$V1059=$F$3),'ORDENES'!$AA1059=TRUE),'ORDENES'!$AN1059&amp;" | "&amp;'ORDENES'!$R1059&amp;" | "&amp;IF('ORDENES'!$AB1059="","(sin técnico)",'ORDENES'!$AB1059)&amp;" | "&amp;'ORDENES'!$D1059&amp;" ("&amp;'ORDENES'!$M1059&amp;" h)","")</f>
        <v/>
      </c>
    </row>
    <row r="1064">
      <c r="K1064" s="3">
        <f>IF(AND(IF($B$3="(todos)",TRUE,'ORDENES'!$O1060=$B$3),IF($D$3="(todos)",TRUE,'ORDENES'!$AC1060=$D$3),IF($F$3="(todos)",TRUE,'ORDENES'!$V1060=$F$3),'ORDENES'!$AA1060=TRUE),'ORDENES'!$AN1060&amp;" | "&amp;'ORDENES'!$R1060&amp;" | "&amp;IF('ORDENES'!$AB1060="","(sin técnico)",'ORDENES'!$AB1060)&amp;" | "&amp;'ORDENES'!$D1060&amp;" ("&amp;'ORDENES'!$M1060&amp;" h)","")</f>
        <v/>
      </c>
    </row>
    <row r="1065">
      <c r="K1065" s="3">
        <f>IF(AND(IF($B$3="(todos)",TRUE,'ORDENES'!$O1061=$B$3),IF($D$3="(todos)",TRUE,'ORDENES'!$AC1061=$D$3),IF($F$3="(todos)",TRUE,'ORDENES'!$V1061=$F$3),'ORDENES'!$AA1061=TRUE),'ORDENES'!$AN1061&amp;" | "&amp;'ORDENES'!$R1061&amp;" | "&amp;IF('ORDENES'!$AB1061="","(sin técnico)",'ORDENES'!$AB1061)&amp;" | "&amp;'ORDENES'!$D1061&amp;" ("&amp;'ORDENES'!$M1061&amp;" h)","")</f>
        <v/>
      </c>
    </row>
    <row r="1066">
      <c r="K1066" s="3">
        <f>IF(AND(IF($B$3="(todos)",TRUE,'ORDENES'!$O1062=$B$3),IF($D$3="(todos)",TRUE,'ORDENES'!$AC1062=$D$3),IF($F$3="(todos)",TRUE,'ORDENES'!$V1062=$F$3),'ORDENES'!$AA1062=TRUE),'ORDENES'!$AN1062&amp;" | "&amp;'ORDENES'!$R1062&amp;" | "&amp;IF('ORDENES'!$AB1062="","(sin técnico)",'ORDENES'!$AB1062)&amp;" | "&amp;'ORDENES'!$D1062&amp;" ("&amp;'ORDENES'!$M1062&amp;" h)","")</f>
        <v/>
      </c>
    </row>
    <row r="1067">
      <c r="K1067" s="3">
        <f>IF(AND(IF($B$3="(todos)",TRUE,'ORDENES'!$O1063=$B$3),IF($D$3="(todos)",TRUE,'ORDENES'!$AC1063=$D$3),IF($F$3="(todos)",TRUE,'ORDENES'!$V1063=$F$3),'ORDENES'!$AA1063=TRUE),'ORDENES'!$AN1063&amp;" | "&amp;'ORDENES'!$R1063&amp;" | "&amp;IF('ORDENES'!$AB1063="","(sin técnico)",'ORDENES'!$AB1063)&amp;" | "&amp;'ORDENES'!$D1063&amp;" ("&amp;'ORDENES'!$M1063&amp;" h)","")</f>
        <v/>
      </c>
    </row>
    <row r="1068">
      <c r="K1068" s="3">
        <f>IF(AND(IF($B$3="(todos)",TRUE,'ORDENES'!$O1064=$B$3),IF($D$3="(todos)",TRUE,'ORDENES'!$AC1064=$D$3),IF($F$3="(todos)",TRUE,'ORDENES'!$V1064=$F$3),'ORDENES'!$AA1064=TRUE),'ORDENES'!$AN1064&amp;" | "&amp;'ORDENES'!$R1064&amp;" | "&amp;IF('ORDENES'!$AB1064="","(sin técnico)",'ORDENES'!$AB1064)&amp;" | "&amp;'ORDENES'!$D1064&amp;" ("&amp;'ORDENES'!$M1064&amp;" h)","")</f>
        <v/>
      </c>
    </row>
    <row r="1069">
      <c r="K1069" s="3">
        <f>IF(AND(IF($B$3="(todos)",TRUE,'ORDENES'!$O1065=$B$3),IF($D$3="(todos)",TRUE,'ORDENES'!$AC1065=$D$3),IF($F$3="(todos)",TRUE,'ORDENES'!$V1065=$F$3),'ORDENES'!$AA1065=TRUE),'ORDENES'!$AN1065&amp;" | "&amp;'ORDENES'!$R1065&amp;" | "&amp;IF('ORDENES'!$AB1065="","(sin técnico)",'ORDENES'!$AB1065)&amp;" | "&amp;'ORDENES'!$D1065&amp;" ("&amp;'ORDENES'!$M1065&amp;" h)","")</f>
        <v/>
      </c>
    </row>
    <row r="1070">
      <c r="K1070" s="3">
        <f>IF(AND(IF($B$3="(todos)",TRUE,'ORDENES'!$O1066=$B$3),IF($D$3="(todos)",TRUE,'ORDENES'!$AC1066=$D$3),IF($F$3="(todos)",TRUE,'ORDENES'!$V1066=$F$3),'ORDENES'!$AA1066=TRUE),'ORDENES'!$AN1066&amp;" | "&amp;'ORDENES'!$R1066&amp;" | "&amp;IF('ORDENES'!$AB1066="","(sin técnico)",'ORDENES'!$AB1066)&amp;" | "&amp;'ORDENES'!$D1066&amp;" ("&amp;'ORDENES'!$M1066&amp;" h)","")</f>
        <v/>
      </c>
    </row>
    <row r="1071">
      <c r="K1071" s="3">
        <f>IF(AND(IF($B$3="(todos)",TRUE,'ORDENES'!$O1067=$B$3),IF($D$3="(todos)",TRUE,'ORDENES'!$AC1067=$D$3),IF($F$3="(todos)",TRUE,'ORDENES'!$V1067=$F$3),'ORDENES'!$AA1067=TRUE),'ORDENES'!$AN1067&amp;" | "&amp;'ORDENES'!$R1067&amp;" | "&amp;IF('ORDENES'!$AB1067="","(sin técnico)",'ORDENES'!$AB1067)&amp;" | "&amp;'ORDENES'!$D1067&amp;" ("&amp;'ORDENES'!$M1067&amp;" h)","")</f>
        <v/>
      </c>
    </row>
    <row r="1072">
      <c r="K1072" s="3">
        <f>IF(AND(IF($B$3="(todos)",TRUE,'ORDENES'!$O1068=$B$3),IF($D$3="(todos)",TRUE,'ORDENES'!$AC1068=$D$3),IF($F$3="(todos)",TRUE,'ORDENES'!$V1068=$F$3),'ORDENES'!$AA1068=TRUE),'ORDENES'!$AN1068&amp;" | "&amp;'ORDENES'!$R1068&amp;" | "&amp;IF('ORDENES'!$AB1068="","(sin técnico)",'ORDENES'!$AB1068)&amp;" | "&amp;'ORDENES'!$D1068&amp;" ("&amp;'ORDENES'!$M1068&amp;" h)","")</f>
        <v/>
      </c>
    </row>
    <row r="1073">
      <c r="K1073" s="3">
        <f>IF(AND(IF($B$3="(todos)",TRUE,'ORDENES'!$O1069=$B$3),IF($D$3="(todos)",TRUE,'ORDENES'!$AC1069=$D$3),IF($F$3="(todos)",TRUE,'ORDENES'!$V1069=$F$3),'ORDENES'!$AA1069=TRUE),'ORDENES'!$AN1069&amp;" | "&amp;'ORDENES'!$R1069&amp;" | "&amp;IF('ORDENES'!$AB1069="","(sin técnico)",'ORDENES'!$AB1069)&amp;" | "&amp;'ORDENES'!$D1069&amp;" ("&amp;'ORDENES'!$M1069&amp;" h)","")</f>
        <v/>
      </c>
    </row>
    <row r="1074">
      <c r="K1074" s="3">
        <f>IF(AND(IF($B$3="(todos)",TRUE,'ORDENES'!$O1070=$B$3),IF($D$3="(todos)",TRUE,'ORDENES'!$AC1070=$D$3),IF($F$3="(todos)",TRUE,'ORDENES'!$V1070=$F$3),'ORDENES'!$AA1070=TRUE),'ORDENES'!$AN1070&amp;" | "&amp;'ORDENES'!$R1070&amp;" | "&amp;IF('ORDENES'!$AB1070="","(sin técnico)",'ORDENES'!$AB1070)&amp;" | "&amp;'ORDENES'!$D1070&amp;" ("&amp;'ORDENES'!$M1070&amp;" h)","")</f>
        <v/>
      </c>
    </row>
    <row r="1075">
      <c r="K1075" s="3">
        <f>IF(AND(IF($B$3="(todos)",TRUE,'ORDENES'!$O1071=$B$3),IF($D$3="(todos)",TRUE,'ORDENES'!$AC1071=$D$3),IF($F$3="(todos)",TRUE,'ORDENES'!$V1071=$F$3),'ORDENES'!$AA1071=TRUE),'ORDENES'!$AN1071&amp;" | "&amp;'ORDENES'!$R1071&amp;" | "&amp;IF('ORDENES'!$AB1071="","(sin técnico)",'ORDENES'!$AB1071)&amp;" | "&amp;'ORDENES'!$D1071&amp;" ("&amp;'ORDENES'!$M1071&amp;" h)","")</f>
        <v/>
      </c>
    </row>
    <row r="1076">
      <c r="K1076" s="3">
        <f>IF(AND(IF($B$3="(todos)",TRUE,'ORDENES'!$O1072=$B$3),IF($D$3="(todos)",TRUE,'ORDENES'!$AC1072=$D$3),IF($F$3="(todos)",TRUE,'ORDENES'!$V1072=$F$3),'ORDENES'!$AA1072=TRUE),'ORDENES'!$AN1072&amp;" | "&amp;'ORDENES'!$R1072&amp;" | "&amp;IF('ORDENES'!$AB1072="","(sin técnico)",'ORDENES'!$AB1072)&amp;" | "&amp;'ORDENES'!$D1072&amp;" ("&amp;'ORDENES'!$M1072&amp;" h)","")</f>
        <v/>
      </c>
    </row>
    <row r="1077">
      <c r="K1077" s="3">
        <f>IF(AND(IF($B$3="(todos)",TRUE,'ORDENES'!$O1073=$B$3),IF($D$3="(todos)",TRUE,'ORDENES'!$AC1073=$D$3),IF($F$3="(todos)",TRUE,'ORDENES'!$V1073=$F$3),'ORDENES'!$AA1073=TRUE),'ORDENES'!$AN1073&amp;" | "&amp;'ORDENES'!$R1073&amp;" | "&amp;IF('ORDENES'!$AB1073="","(sin técnico)",'ORDENES'!$AB1073)&amp;" | "&amp;'ORDENES'!$D1073&amp;" ("&amp;'ORDENES'!$M1073&amp;" h)","")</f>
        <v/>
      </c>
    </row>
    <row r="1078">
      <c r="K1078" s="3">
        <f>IF(AND(IF($B$3="(todos)",TRUE,'ORDENES'!$O1074=$B$3),IF($D$3="(todos)",TRUE,'ORDENES'!$AC1074=$D$3),IF($F$3="(todos)",TRUE,'ORDENES'!$V1074=$F$3),'ORDENES'!$AA1074=TRUE),'ORDENES'!$AN1074&amp;" | "&amp;'ORDENES'!$R1074&amp;" | "&amp;IF('ORDENES'!$AB1074="","(sin técnico)",'ORDENES'!$AB1074)&amp;" | "&amp;'ORDENES'!$D1074&amp;" ("&amp;'ORDENES'!$M1074&amp;" h)","")</f>
        <v/>
      </c>
    </row>
    <row r="1079">
      <c r="K1079" s="3">
        <f>IF(AND(IF($B$3="(todos)",TRUE,'ORDENES'!$O1075=$B$3),IF($D$3="(todos)",TRUE,'ORDENES'!$AC1075=$D$3),IF($F$3="(todos)",TRUE,'ORDENES'!$V1075=$F$3),'ORDENES'!$AA1075=TRUE),'ORDENES'!$AN1075&amp;" | "&amp;'ORDENES'!$R1075&amp;" | "&amp;IF('ORDENES'!$AB1075="","(sin técnico)",'ORDENES'!$AB1075)&amp;" | "&amp;'ORDENES'!$D1075&amp;" ("&amp;'ORDENES'!$M1075&amp;" h)","")</f>
        <v/>
      </c>
    </row>
    <row r="1080">
      <c r="K1080" s="3">
        <f>IF(AND(IF($B$3="(todos)",TRUE,'ORDENES'!$O1076=$B$3),IF($D$3="(todos)",TRUE,'ORDENES'!$AC1076=$D$3),IF($F$3="(todos)",TRUE,'ORDENES'!$V1076=$F$3),'ORDENES'!$AA1076=TRUE),'ORDENES'!$AN1076&amp;" | "&amp;'ORDENES'!$R1076&amp;" | "&amp;IF('ORDENES'!$AB1076="","(sin técnico)",'ORDENES'!$AB1076)&amp;" | "&amp;'ORDENES'!$D1076&amp;" ("&amp;'ORDENES'!$M1076&amp;" h)","")</f>
        <v/>
      </c>
    </row>
    <row r="1081">
      <c r="K1081" s="3">
        <f>IF(AND(IF($B$3="(todos)",TRUE,'ORDENES'!$O1077=$B$3),IF($D$3="(todos)",TRUE,'ORDENES'!$AC1077=$D$3),IF($F$3="(todos)",TRUE,'ORDENES'!$V1077=$F$3),'ORDENES'!$AA1077=TRUE),'ORDENES'!$AN1077&amp;" | "&amp;'ORDENES'!$R1077&amp;" | "&amp;IF('ORDENES'!$AB1077="","(sin técnico)",'ORDENES'!$AB1077)&amp;" | "&amp;'ORDENES'!$D1077&amp;" ("&amp;'ORDENES'!$M1077&amp;" h)","")</f>
        <v/>
      </c>
    </row>
    <row r="1082">
      <c r="K1082" s="3">
        <f>IF(AND(IF($B$3="(todos)",TRUE,'ORDENES'!$O1078=$B$3),IF($D$3="(todos)",TRUE,'ORDENES'!$AC1078=$D$3),IF($F$3="(todos)",TRUE,'ORDENES'!$V1078=$F$3),'ORDENES'!$AA1078=TRUE),'ORDENES'!$AN1078&amp;" | "&amp;'ORDENES'!$R1078&amp;" | "&amp;IF('ORDENES'!$AB1078="","(sin técnico)",'ORDENES'!$AB1078)&amp;" | "&amp;'ORDENES'!$D1078&amp;" ("&amp;'ORDENES'!$M1078&amp;" h)","")</f>
        <v/>
      </c>
    </row>
    <row r="1083">
      <c r="K1083" s="3">
        <f>IF(AND(IF($B$3="(todos)",TRUE,'ORDENES'!$O1079=$B$3),IF($D$3="(todos)",TRUE,'ORDENES'!$AC1079=$D$3),IF($F$3="(todos)",TRUE,'ORDENES'!$V1079=$F$3),'ORDENES'!$AA1079=TRUE),'ORDENES'!$AN1079&amp;" | "&amp;'ORDENES'!$R1079&amp;" | "&amp;IF('ORDENES'!$AB1079="","(sin técnico)",'ORDENES'!$AB1079)&amp;" | "&amp;'ORDENES'!$D1079&amp;" ("&amp;'ORDENES'!$M1079&amp;" h)","")</f>
        <v/>
      </c>
    </row>
    <row r="1084">
      <c r="K1084" s="3">
        <f>IF(AND(IF($B$3="(todos)",TRUE,'ORDENES'!$O1080=$B$3),IF($D$3="(todos)",TRUE,'ORDENES'!$AC1080=$D$3),IF($F$3="(todos)",TRUE,'ORDENES'!$V1080=$F$3),'ORDENES'!$AA1080=TRUE),'ORDENES'!$AN1080&amp;" | "&amp;'ORDENES'!$R1080&amp;" | "&amp;IF('ORDENES'!$AB1080="","(sin técnico)",'ORDENES'!$AB1080)&amp;" | "&amp;'ORDENES'!$D1080&amp;" ("&amp;'ORDENES'!$M1080&amp;" h)","")</f>
        <v/>
      </c>
    </row>
    <row r="1085">
      <c r="K1085" s="3">
        <f>IF(AND(IF($B$3="(todos)",TRUE,'ORDENES'!$O1081=$B$3),IF($D$3="(todos)",TRUE,'ORDENES'!$AC1081=$D$3),IF($F$3="(todos)",TRUE,'ORDENES'!$V1081=$F$3),'ORDENES'!$AA1081=TRUE),'ORDENES'!$AN1081&amp;" | "&amp;'ORDENES'!$R1081&amp;" | "&amp;IF('ORDENES'!$AB1081="","(sin técnico)",'ORDENES'!$AB1081)&amp;" | "&amp;'ORDENES'!$D1081&amp;" ("&amp;'ORDENES'!$M1081&amp;" h)","")</f>
        <v/>
      </c>
    </row>
    <row r="1086">
      <c r="K1086" s="3">
        <f>IF(AND(IF($B$3="(todos)",TRUE,'ORDENES'!$O1082=$B$3),IF($D$3="(todos)",TRUE,'ORDENES'!$AC1082=$D$3),IF($F$3="(todos)",TRUE,'ORDENES'!$V1082=$F$3),'ORDENES'!$AA1082=TRUE),'ORDENES'!$AN1082&amp;" | "&amp;'ORDENES'!$R1082&amp;" | "&amp;IF('ORDENES'!$AB1082="","(sin técnico)",'ORDENES'!$AB1082)&amp;" | "&amp;'ORDENES'!$D1082&amp;" ("&amp;'ORDENES'!$M1082&amp;" h)","")</f>
        <v/>
      </c>
    </row>
    <row r="1087">
      <c r="K1087" s="3">
        <f>IF(AND(IF($B$3="(todos)",TRUE,'ORDENES'!$O1083=$B$3),IF($D$3="(todos)",TRUE,'ORDENES'!$AC1083=$D$3),IF($F$3="(todos)",TRUE,'ORDENES'!$V1083=$F$3),'ORDENES'!$AA1083=TRUE),'ORDENES'!$AN1083&amp;" | "&amp;'ORDENES'!$R1083&amp;" | "&amp;IF('ORDENES'!$AB1083="","(sin técnico)",'ORDENES'!$AB1083)&amp;" | "&amp;'ORDENES'!$D1083&amp;" ("&amp;'ORDENES'!$M1083&amp;" h)","")</f>
        <v/>
      </c>
    </row>
    <row r="1088">
      <c r="K1088" s="3">
        <f>IF(AND(IF($B$3="(todos)",TRUE,'ORDENES'!$O1084=$B$3),IF($D$3="(todos)",TRUE,'ORDENES'!$AC1084=$D$3),IF($F$3="(todos)",TRUE,'ORDENES'!$V1084=$F$3),'ORDENES'!$AA1084=TRUE),'ORDENES'!$AN1084&amp;" | "&amp;'ORDENES'!$R1084&amp;" | "&amp;IF('ORDENES'!$AB1084="","(sin técnico)",'ORDENES'!$AB1084)&amp;" | "&amp;'ORDENES'!$D1084&amp;" ("&amp;'ORDENES'!$M1084&amp;" h)","")</f>
        <v/>
      </c>
    </row>
    <row r="1089">
      <c r="K1089" s="3">
        <f>IF(AND(IF($B$3="(todos)",TRUE,'ORDENES'!$O1085=$B$3),IF($D$3="(todos)",TRUE,'ORDENES'!$AC1085=$D$3),IF($F$3="(todos)",TRUE,'ORDENES'!$V1085=$F$3),'ORDENES'!$AA1085=TRUE),'ORDENES'!$AN1085&amp;" | "&amp;'ORDENES'!$R1085&amp;" | "&amp;IF('ORDENES'!$AB1085="","(sin técnico)",'ORDENES'!$AB1085)&amp;" | "&amp;'ORDENES'!$D1085&amp;" ("&amp;'ORDENES'!$M1085&amp;" h)","")</f>
        <v/>
      </c>
    </row>
    <row r="1090">
      <c r="K1090" s="3">
        <f>IF(AND(IF($B$3="(todos)",TRUE,'ORDENES'!$O1086=$B$3),IF($D$3="(todos)",TRUE,'ORDENES'!$AC1086=$D$3),IF($F$3="(todos)",TRUE,'ORDENES'!$V1086=$F$3),'ORDENES'!$AA1086=TRUE),'ORDENES'!$AN1086&amp;" | "&amp;'ORDENES'!$R1086&amp;" | "&amp;IF('ORDENES'!$AB1086="","(sin técnico)",'ORDENES'!$AB1086)&amp;" | "&amp;'ORDENES'!$D1086&amp;" ("&amp;'ORDENES'!$M1086&amp;" h)","")</f>
        <v/>
      </c>
    </row>
    <row r="1091">
      <c r="K1091" s="3">
        <f>IF(AND(IF($B$3="(todos)",TRUE,'ORDENES'!$O1087=$B$3),IF($D$3="(todos)",TRUE,'ORDENES'!$AC1087=$D$3),IF($F$3="(todos)",TRUE,'ORDENES'!$V1087=$F$3),'ORDENES'!$AA1087=TRUE),'ORDENES'!$AN1087&amp;" | "&amp;'ORDENES'!$R1087&amp;" | "&amp;IF('ORDENES'!$AB1087="","(sin técnico)",'ORDENES'!$AB1087)&amp;" | "&amp;'ORDENES'!$D1087&amp;" ("&amp;'ORDENES'!$M1087&amp;" h)","")</f>
        <v/>
      </c>
    </row>
    <row r="1092">
      <c r="K1092" s="3">
        <f>IF(AND(IF($B$3="(todos)",TRUE,'ORDENES'!$O1088=$B$3),IF($D$3="(todos)",TRUE,'ORDENES'!$AC1088=$D$3),IF($F$3="(todos)",TRUE,'ORDENES'!$V1088=$F$3),'ORDENES'!$AA1088=TRUE),'ORDENES'!$AN1088&amp;" | "&amp;'ORDENES'!$R1088&amp;" | "&amp;IF('ORDENES'!$AB1088="","(sin técnico)",'ORDENES'!$AB1088)&amp;" | "&amp;'ORDENES'!$D1088&amp;" ("&amp;'ORDENES'!$M1088&amp;" h)","")</f>
        <v/>
      </c>
    </row>
    <row r="1093">
      <c r="K1093" s="3">
        <f>IF(AND(IF($B$3="(todos)",TRUE,'ORDENES'!$O1089=$B$3),IF($D$3="(todos)",TRUE,'ORDENES'!$AC1089=$D$3),IF($F$3="(todos)",TRUE,'ORDENES'!$V1089=$F$3),'ORDENES'!$AA1089=TRUE),'ORDENES'!$AN1089&amp;" | "&amp;'ORDENES'!$R1089&amp;" | "&amp;IF('ORDENES'!$AB1089="","(sin técnico)",'ORDENES'!$AB1089)&amp;" | "&amp;'ORDENES'!$D1089&amp;" ("&amp;'ORDENES'!$M1089&amp;" h)","")</f>
        <v/>
      </c>
    </row>
    <row r="1094">
      <c r="K1094" s="3">
        <f>IF(AND(IF($B$3="(todos)",TRUE,'ORDENES'!$O1090=$B$3),IF($D$3="(todos)",TRUE,'ORDENES'!$AC1090=$D$3),IF($F$3="(todos)",TRUE,'ORDENES'!$V1090=$F$3),'ORDENES'!$AA1090=TRUE),'ORDENES'!$AN1090&amp;" | "&amp;'ORDENES'!$R1090&amp;" | "&amp;IF('ORDENES'!$AB1090="","(sin técnico)",'ORDENES'!$AB1090)&amp;" | "&amp;'ORDENES'!$D1090&amp;" ("&amp;'ORDENES'!$M1090&amp;" h)","")</f>
        <v/>
      </c>
    </row>
    <row r="1095">
      <c r="K1095" s="3">
        <f>IF(AND(IF($B$3="(todos)",TRUE,'ORDENES'!$O1091=$B$3),IF($D$3="(todos)",TRUE,'ORDENES'!$AC1091=$D$3),IF($F$3="(todos)",TRUE,'ORDENES'!$V1091=$F$3),'ORDENES'!$AA1091=TRUE),'ORDENES'!$AN1091&amp;" | "&amp;'ORDENES'!$R1091&amp;" | "&amp;IF('ORDENES'!$AB1091="","(sin técnico)",'ORDENES'!$AB1091)&amp;" | "&amp;'ORDENES'!$D1091&amp;" ("&amp;'ORDENES'!$M1091&amp;" h)","")</f>
        <v/>
      </c>
    </row>
    <row r="1096">
      <c r="K1096" s="3">
        <f>IF(AND(IF($B$3="(todos)",TRUE,'ORDENES'!$O1092=$B$3),IF($D$3="(todos)",TRUE,'ORDENES'!$AC1092=$D$3),IF($F$3="(todos)",TRUE,'ORDENES'!$V1092=$F$3),'ORDENES'!$AA1092=TRUE),'ORDENES'!$AN1092&amp;" | "&amp;'ORDENES'!$R1092&amp;" | "&amp;IF('ORDENES'!$AB1092="","(sin técnico)",'ORDENES'!$AB1092)&amp;" | "&amp;'ORDENES'!$D1092&amp;" ("&amp;'ORDENES'!$M1092&amp;" h)","")</f>
        <v/>
      </c>
    </row>
    <row r="1097">
      <c r="K1097" s="3">
        <f>IF(AND(IF($B$3="(todos)",TRUE,'ORDENES'!$O1093=$B$3),IF($D$3="(todos)",TRUE,'ORDENES'!$AC1093=$D$3),IF($F$3="(todos)",TRUE,'ORDENES'!$V1093=$F$3),'ORDENES'!$AA1093=TRUE),'ORDENES'!$AN1093&amp;" | "&amp;'ORDENES'!$R1093&amp;" | "&amp;IF('ORDENES'!$AB1093="","(sin técnico)",'ORDENES'!$AB1093)&amp;" | "&amp;'ORDENES'!$D1093&amp;" ("&amp;'ORDENES'!$M1093&amp;" h)","")</f>
        <v/>
      </c>
    </row>
    <row r="1098">
      <c r="K1098" s="3">
        <f>IF(AND(IF($B$3="(todos)",TRUE,'ORDENES'!$O1094=$B$3),IF($D$3="(todos)",TRUE,'ORDENES'!$AC1094=$D$3),IF($F$3="(todos)",TRUE,'ORDENES'!$V1094=$F$3),'ORDENES'!$AA1094=TRUE),'ORDENES'!$AN1094&amp;" | "&amp;'ORDENES'!$R1094&amp;" | "&amp;IF('ORDENES'!$AB1094="","(sin técnico)",'ORDENES'!$AB1094)&amp;" | "&amp;'ORDENES'!$D1094&amp;" ("&amp;'ORDENES'!$M1094&amp;" h)","")</f>
        <v/>
      </c>
    </row>
    <row r="1099">
      <c r="K1099" s="3">
        <f>IF(AND(IF($B$3="(todos)",TRUE,'ORDENES'!$O1095=$B$3),IF($D$3="(todos)",TRUE,'ORDENES'!$AC1095=$D$3),IF($F$3="(todos)",TRUE,'ORDENES'!$V1095=$F$3),'ORDENES'!$AA1095=TRUE),'ORDENES'!$AN1095&amp;" | "&amp;'ORDENES'!$R1095&amp;" | "&amp;IF('ORDENES'!$AB1095="","(sin técnico)",'ORDENES'!$AB1095)&amp;" | "&amp;'ORDENES'!$D1095&amp;" ("&amp;'ORDENES'!$M1095&amp;" h)","")</f>
        <v/>
      </c>
    </row>
    <row r="1100">
      <c r="K1100" s="3">
        <f>IF(AND(IF($B$3="(todos)",TRUE,'ORDENES'!$O1096=$B$3),IF($D$3="(todos)",TRUE,'ORDENES'!$AC1096=$D$3),IF($F$3="(todos)",TRUE,'ORDENES'!$V1096=$F$3),'ORDENES'!$AA1096=TRUE),'ORDENES'!$AN1096&amp;" | "&amp;'ORDENES'!$R1096&amp;" | "&amp;IF('ORDENES'!$AB1096="","(sin técnico)",'ORDENES'!$AB1096)&amp;" | "&amp;'ORDENES'!$D1096&amp;" ("&amp;'ORDENES'!$M1096&amp;" h)","")</f>
        <v/>
      </c>
    </row>
    <row r="1101">
      <c r="K1101" s="3">
        <f>IF(AND(IF($B$3="(todos)",TRUE,'ORDENES'!$O1097=$B$3),IF($D$3="(todos)",TRUE,'ORDENES'!$AC1097=$D$3),IF($F$3="(todos)",TRUE,'ORDENES'!$V1097=$F$3),'ORDENES'!$AA1097=TRUE),'ORDENES'!$AN1097&amp;" | "&amp;'ORDENES'!$R1097&amp;" | "&amp;IF('ORDENES'!$AB1097="","(sin técnico)",'ORDENES'!$AB1097)&amp;" | "&amp;'ORDENES'!$D1097&amp;" ("&amp;'ORDENES'!$M1097&amp;" h)","")</f>
        <v/>
      </c>
    </row>
    <row r="1102">
      <c r="K1102" s="3">
        <f>IF(AND(IF($B$3="(todos)",TRUE,'ORDENES'!$O1098=$B$3),IF($D$3="(todos)",TRUE,'ORDENES'!$AC1098=$D$3),IF($F$3="(todos)",TRUE,'ORDENES'!$V1098=$F$3),'ORDENES'!$AA1098=TRUE),'ORDENES'!$AN1098&amp;" | "&amp;'ORDENES'!$R1098&amp;" | "&amp;IF('ORDENES'!$AB1098="","(sin técnico)",'ORDENES'!$AB1098)&amp;" | "&amp;'ORDENES'!$D1098&amp;" ("&amp;'ORDENES'!$M1098&amp;" h)","")</f>
        <v/>
      </c>
    </row>
    <row r="1103">
      <c r="K1103" s="3">
        <f>IF(AND(IF($B$3="(todos)",TRUE,'ORDENES'!$O1099=$B$3),IF($D$3="(todos)",TRUE,'ORDENES'!$AC1099=$D$3),IF($F$3="(todos)",TRUE,'ORDENES'!$V1099=$F$3),'ORDENES'!$AA1099=TRUE),'ORDENES'!$AN1099&amp;" | "&amp;'ORDENES'!$R1099&amp;" | "&amp;IF('ORDENES'!$AB1099="","(sin técnico)",'ORDENES'!$AB1099)&amp;" | "&amp;'ORDENES'!$D1099&amp;" ("&amp;'ORDENES'!$M1099&amp;" h)","")</f>
        <v/>
      </c>
    </row>
    <row r="1104">
      <c r="K1104" s="3">
        <f>IF(AND(IF($B$3="(todos)",TRUE,'ORDENES'!$O1100=$B$3),IF($D$3="(todos)",TRUE,'ORDENES'!$AC1100=$D$3),IF($F$3="(todos)",TRUE,'ORDENES'!$V1100=$F$3),'ORDENES'!$AA1100=TRUE),'ORDENES'!$AN1100&amp;" | "&amp;'ORDENES'!$R1100&amp;" | "&amp;IF('ORDENES'!$AB1100="","(sin técnico)",'ORDENES'!$AB1100)&amp;" | "&amp;'ORDENES'!$D1100&amp;" ("&amp;'ORDENES'!$M1100&amp;" h)","")</f>
        <v/>
      </c>
    </row>
    <row r="1105">
      <c r="K1105" s="3">
        <f>IF(AND(IF($B$3="(todos)",TRUE,'ORDENES'!$O1101=$B$3),IF($D$3="(todos)",TRUE,'ORDENES'!$AC1101=$D$3),IF($F$3="(todos)",TRUE,'ORDENES'!$V1101=$F$3),'ORDENES'!$AA1101=TRUE),'ORDENES'!$AN1101&amp;" | "&amp;'ORDENES'!$R1101&amp;" | "&amp;IF('ORDENES'!$AB1101="","(sin técnico)",'ORDENES'!$AB1101)&amp;" | "&amp;'ORDENES'!$D1101&amp;" ("&amp;'ORDENES'!$M1101&amp;" h)","")</f>
        <v/>
      </c>
    </row>
    <row r="1106">
      <c r="K1106" s="3">
        <f>IF(AND(IF($B$3="(todos)",TRUE,'ORDENES'!$O1102=$B$3),IF($D$3="(todos)",TRUE,'ORDENES'!$AC1102=$D$3),IF($F$3="(todos)",TRUE,'ORDENES'!$V1102=$F$3),'ORDENES'!$AA1102=TRUE),'ORDENES'!$AN1102&amp;" | "&amp;'ORDENES'!$R1102&amp;" | "&amp;IF('ORDENES'!$AB1102="","(sin técnico)",'ORDENES'!$AB1102)&amp;" | "&amp;'ORDENES'!$D1102&amp;" ("&amp;'ORDENES'!$M1102&amp;" h)","")</f>
        <v/>
      </c>
    </row>
    <row r="1107">
      <c r="K1107" s="3">
        <f>IF(AND(IF($B$3="(todos)",TRUE,'ORDENES'!$O1103=$B$3),IF($D$3="(todos)",TRUE,'ORDENES'!$AC1103=$D$3),IF($F$3="(todos)",TRUE,'ORDENES'!$V1103=$F$3),'ORDENES'!$AA1103=TRUE),'ORDENES'!$AN1103&amp;" | "&amp;'ORDENES'!$R1103&amp;" | "&amp;IF('ORDENES'!$AB1103="","(sin técnico)",'ORDENES'!$AB1103)&amp;" | "&amp;'ORDENES'!$D1103&amp;" ("&amp;'ORDENES'!$M1103&amp;" h)","")</f>
        <v/>
      </c>
    </row>
    <row r="1108">
      <c r="K1108" s="3">
        <f>IF(AND(IF($B$3="(todos)",TRUE,'ORDENES'!$O1104=$B$3),IF($D$3="(todos)",TRUE,'ORDENES'!$AC1104=$D$3),IF($F$3="(todos)",TRUE,'ORDENES'!$V1104=$F$3),'ORDENES'!$AA1104=TRUE),'ORDENES'!$AN1104&amp;" | "&amp;'ORDENES'!$R1104&amp;" | "&amp;IF('ORDENES'!$AB1104="","(sin técnico)",'ORDENES'!$AB1104)&amp;" | "&amp;'ORDENES'!$D1104&amp;" ("&amp;'ORDENES'!$M1104&amp;" h)","")</f>
        <v/>
      </c>
    </row>
    <row r="1109">
      <c r="K1109" s="3">
        <f>IF(AND(IF($B$3="(todos)",TRUE,'ORDENES'!$O1105=$B$3),IF($D$3="(todos)",TRUE,'ORDENES'!$AC1105=$D$3),IF($F$3="(todos)",TRUE,'ORDENES'!$V1105=$F$3),'ORDENES'!$AA1105=TRUE),'ORDENES'!$AN1105&amp;" | "&amp;'ORDENES'!$R1105&amp;" | "&amp;IF('ORDENES'!$AB1105="","(sin técnico)",'ORDENES'!$AB1105)&amp;" | "&amp;'ORDENES'!$D1105&amp;" ("&amp;'ORDENES'!$M1105&amp;" h)","")</f>
        <v/>
      </c>
    </row>
    <row r="1110">
      <c r="K1110" s="3">
        <f>IF(AND(IF($B$3="(todos)",TRUE,'ORDENES'!$O1106=$B$3),IF($D$3="(todos)",TRUE,'ORDENES'!$AC1106=$D$3),IF($F$3="(todos)",TRUE,'ORDENES'!$V1106=$F$3),'ORDENES'!$AA1106=TRUE),'ORDENES'!$AN1106&amp;" | "&amp;'ORDENES'!$R1106&amp;" | "&amp;IF('ORDENES'!$AB1106="","(sin técnico)",'ORDENES'!$AB1106)&amp;" | "&amp;'ORDENES'!$D1106&amp;" ("&amp;'ORDENES'!$M1106&amp;" h)","")</f>
        <v/>
      </c>
    </row>
    <row r="1111">
      <c r="K1111" s="3">
        <f>IF(AND(IF($B$3="(todos)",TRUE,'ORDENES'!$O1107=$B$3),IF($D$3="(todos)",TRUE,'ORDENES'!$AC1107=$D$3),IF($F$3="(todos)",TRUE,'ORDENES'!$V1107=$F$3),'ORDENES'!$AA1107=TRUE),'ORDENES'!$AN1107&amp;" | "&amp;'ORDENES'!$R1107&amp;" | "&amp;IF('ORDENES'!$AB1107="","(sin técnico)",'ORDENES'!$AB1107)&amp;" | "&amp;'ORDENES'!$D1107&amp;" ("&amp;'ORDENES'!$M1107&amp;" h)","")</f>
        <v/>
      </c>
    </row>
    <row r="1112">
      <c r="K1112" s="3">
        <f>IF(AND(IF($B$3="(todos)",TRUE,'ORDENES'!$O1108=$B$3),IF($D$3="(todos)",TRUE,'ORDENES'!$AC1108=$D$3),IF($F$3="(todos)",TRUE,'ORDENES'!$V1108=$F$3),'ORDENES'!$AA1108=TRUE),'ORDENES'!$AN1108&amp;" | "&amp;'ORDENES'!$R1108&amp;" | "&amp;IF('ORDENES'!$AB1108="","(sin técnico)",'ORDENES'!$AB1108)&amp;" | "&amp;'ORDENES'!$D1108&amp;" ("&amp;'ORDENES'!$M1108&amp;" h)","")</f>
        <v/>
      </c>
    </row>
    <row r="1113">
      <c r="K1113" s="3">
        <f>IF(AND(IF($B$3="(todos)",TRUE,'ORDENES'!$O1109=$B$3),IF($D$3="(todos)",TRUE,'ORDENES'!$AC1109=$D$3),IF($F$3="(todos)",TRUE,'ORDENES'!$V1109=$F$3),'ORDENES'!$AA1109=TRUE),'ORDENES'!$AN1109&amp;" | "&amp;'ORDENES'!$R1109&amp;" | "&amp;IF('ORDENES'!$AB1109="","(sin técnico)",'ORDENES'!$AB1109)&amp;" | "&amp;'ORDENES'!$D1109&amp;" ("&amp;'ORDENES'!$M1109&amp;" h)","")</f>
        <v/>
      </c>
    </row>
    <row r="1114">
      <c r="K1114" s="3">
        <f>IF(AND(IF($B$3="(todos)",TRUE,'ORDENES'!$O1110=$B$3),IF($D$3="(todos)",TRUE,'ORDENES'!$AC1110=$D$3),IF($F$3="(todos)",TRUE,'ORDENES'!$V1110=$F$3),'ORDENES'!$AA1110=TRUE),'ORDENES'!$AN1110&amp;" | "&amp;'ORDENES'!$R1110&amp;" | "&amp;IF('ORDENES'!$AB1110="","(sin técnico)",'ORDENES'!$AB1110)&amp;" | "&amp;'ORDENES'!$D1110&amp;" ("&amp;'ORDENES'!$M1110&amp;" h)","")</f>
        <v/>
      </c>
    </row>
    <row r="1115">
      <c r="K1115" s="3">
        <f>IF(AND(IF($B$3="(todos)",TRUE,'ORDENES'!$O1111=$B$3),IF($D$3="(todos)",TRUE,'ORDENES'!$AC1111=$D$3),IF($F$3="(todos)",TRUE,'ORDENES'!$V1111=$F$3),'ORDENES'!$AA1111=TRUE),'ORDENES'!$AN1111&amp;" | "&amp;'ORDENES'!$R1111&amp;" | "&amp;IF('ORDENES'!$AB1111="","(sin técnico)",'ORDENES'!$AB1111)&amp;" | "&amp;'ORDENES'!$D1111&amp;" ("&amp;'ORDENES'!$M1111&amp;" h)","")</f>
        <v/>
      </c>
    </row>
    <row r="1116">
      <c r="K1116" s="3">
        <f>IF(AND(IF($B$3="(todos)",TRUE,'ORDENES'!$O1112=$B$3),IF($D$3="(todos)",TRUE,'ORDENES'!$AC1112=$D$3),IF($F$3="(todos)",TRUE,'ORDENES'!$V1112=$F$3),'ORDENES'!$AA1112=TRUE),'ORDENES'!$AN1112&amp;" | "&amp;'ORDENES'!$R1112&amp;" | "&amp;IF('ORDENES'!$AB1112="","(sin técnico)",'ORDENES'!$AB1112)&amp;" | "&amp;'ORDENES'!$D1112&amp;" ("&amp;'ORDENES'!$M1112&amp;" h)","")</f>
        <v/>
      </c>
    </row>
    <row r="1117">
      <c r="K1117" s="3">
        <f>IF(AND(IF($B$3="(todos)",TRUE,'ORDENES'!$O1113=$B$3),IF($D$3="(todos)",TRUE,'ORDENES'!$AC1113=$D$3),IF($F$3="(todos)",TRUE,'ORDENES'!$V1113=$F$3),'ORDENES'!$AA1113=TRUE),'ORDENES'!$AN1113&amp;" | "&amp;'ORDENES'!$R1113&amp;" | "&amp;IF('ORDENES'!$AB1113="","(sin técnico)",'ORDENES'!$AB1113)&amp;" | "&amp;'ORDENES'!$D1113&amp;" ("&amp;'ORDENES'!$M1113&amp;" h)","")</f>
        <v/>
      </c>
    </row>
    <row r="1118">
      <c r="K1118" s="3">
        <f>IF(AND(IF($B$3="(todos)",TRUE,'ORDENES'!$O1114=$B$3),IF($D$3="(todos)",TRUE,'ORDENES'!$AC1114=$D$3),IF($F$3="(todos)",TRUE,'ORDENES'!$V1114=$F$3),'ORDENES'!$AA1114=TRUE),'ORDENES'!$AN1114&amp;" | "&amp;'ORDENES'!$R1114&amp;" | "&amp;IF('ORDENES'!$AB1114="","(sin técnico)",'ORDENES'!$AB1114)&amp;" | "&amp;'ORDENES'!$D1114&amp;" ("&amp;'ORDENES'!$M1114&amp;" h)","")</f>
        <v/>
      </c>
    </row>
    <row r="1119">
      <c r="K1119" s="3">
        <f>IF(AND(IF($B$3="(todos)",TRUE,'ORDENES'!$O1115=$B$3),IF($D$3="(todos)",TRUE,'ORDENES'!$AC1115=$D$3),IF($F$3="(todos)",TRUE,'ORDENES'!$V1115=$F$3),'ORDENES'!$AA1115=TRUE),'ORDENES'!$AN1115&amp;" | "&amp;'ORDENES'!$R1115&amp;" | "&amp;IF('ORDENES'!$AB1115="","(sin técnico)",'ORDENES'!$AB1115)&amp;" | "&amp;'ORDENES'!$D1115&amp;" ("&amp;'ORDENES'!$M1115&amp;" h)","")</f>
        <v/>
      </c>
    </row>
    <row r="1120">
      <c r="K1120" s="3">
        <f>IF(AND(IF($B$3="(todos)",TRUE,'ORDENES'!$O1116=$B$3),IF($D$3="(todos)",TRUE,'ORDENES'!$AC1116=$D$3),IF($F$3="(todos)",TRUE,'ORDENES'!$V1116=$F$3),'ORDENES'!$AA1116=TRUE),'ORDENES'!$AN1116&amp;" | "&amp;'ORDENES'!$R1116&amp;" | "&amp;IF('ORDENES'!$AB1116="","(sin técnico)",'ORDENES'!$AB1116)&amp;" | "&amp;'ORDENES'!$D1116&amp;" ("&amp;'ORDENES'!$M1116&amp;" h)","")</f>
        <v/>
      </c>
    </row>
    <row r="1121">
      <c r="K1121" s="3">
        <f>IF(AND(IF($B$3="(todos)",TRUE,'ORDENES'!$O1117=$B$3),IF($D$3="(todos)",TRUE,'ORDENES'!$AC1117=$D$3),IF($F$3="(todos)",TRUE,'ORDENES'!$V1117=$F$3),'ORDENES'!$AA1117=TRUE),'ORDENES'!$AN1117&amp;" | "&amp;'ORDENES'!$R1117&amp;" | "&amp;IF('ORDENES'!$AB1117="","(sin técnico)",'ORDENES'!$AB1117)&amp;" | "&amp;'ORDENES'!$D1117&amp;" ("&amp;'ORDENES'!$M1117&amp;" h)","")</f>
        <v/>
      </c>
    </row>
    <row r="1122">
      <c r="K1122" s="3">
        <f>IF(AND(IF($B$3="(todos)",TRUE,'ORDENES'!$O1118=$B$3),IF($D$3="(todos)",TRUE,'ORDENES'!$AC1118=$D$3),IF($F$3="(todos)",TRUE,'ORDENES'!$V1118=$F$3),'ORDENES'!$AA1118=TRUE),'ORDENES'!$AN1118&amp;" | "&amp;'ORDENES'!$R1118&amp;" | "&amp;IF('ORDENES'!$AB1118="","(sin técnico)",'ORDENES'!$AB1118)&amp;" | "&amp;'ORDENES'!$D1118&amp;" ("&amp;'ORDENES'!$M1118&amp;" h)","")</f>
        <v/>
      </c>
    </row>
    <row r="1123">
      <c r="K1123" s="3">
        <f>IF(AND(IF($B$3="(todos)",TRUE,'ORDENES'!$O1119=$B$3),IF($D$3="(todos)",TRUE,'ORDENES'!$AC1119=$D$3),IF($F$3="(todos)",TRUE,'ORDENES'!$V1119=$F$3),'ORDENES'!$AA1119=TRUE),'ORDENES'!$AN1119&amp;" | "&amp;'ORDENES'!$R1119&amp;" | "&amp;IF('ORDENES'!$AB1119="","(sin técnico)",'ORDENES'!$AB1119)&amp;" | "&amp;'ORDENES'!$D1119&amp;" ("&amp;'ORDENES'!$M1119&amp;" h)","")</f>
        <v/>
      </c>
    </row>
    <row r="1124">
      <c r="K1124" s="3">
        <f>IF(AND(IF($B$3="(todos)",TRUE,'ORDENES'!$O1120=$B$3),IF($D$3="(todos)",TRUE,'ORDENES'!$AC1120=$D$3),IF($F$3="(todos)",TRUE,'ORDENES'!$V1120=$F$3),'ORDENES'!$AA1120=TRUE),'ORDENES'!$AN1120&amp;" | "&amp;'ORDENES'!$R1120&amp;" | "&amp;IF('ORDENES'!$AB1120="","(sin técnico)",'ORDENES'!$AB1120)&amp;" | "&amp;'ORDENES'!$D1120&amp;" ("&amp;'ORDENES'!$M1120&amp;" h)","")</f>
        <v/>
      </c>
    </row>
    <row r="1125">
      <c r="K1125" s="3">
        <f>IF(AND(IF($B$3="(todos)",TRUE,'ORDENES'!$O1121=$B$3),IF($D$3="(todos)",TRUE,'ORDENES'!$AC1121=$D$3),IF($F$3="(todos)",TRUE,'ORDENES'!$V1121=$F$3),'ORDENES'!$AA1121=TRUE),'ORDENES'!$AN1121&amp;" | "&amp;'ORDENES'!$R1121&amp;" | "&amp;IF('ORDENES'!$AB1121="","(sin técnico)",'ORDENES'!$AB1121)&amp;" | "&amp;'ORDENES'!$D1121&amp;" ("&amp;'ORDENES'!$M1121&amp;" h)","")</f>
        <v/>
      </c>
    </row>
    <row r="1126">
      <c r="K1126" s="3">
        <f>IF(AND(IF($B$3="(todos)",TRUE,'ORDENES'!$O1122=$B$3),IF($D$3="(todos)",TRUE,'ORDENES'!$AC1122=$D$3),IF($F$3="(todos)",TRUE,'ORDENES'!$V1122=$F$3),'ORDENES'!$AA1122=TRUE),'ORDENES'!$AN1122&amp;" | "&amp;'ORDENES'!$R1122&amp;" | "&amp;IF('ORDENES'!$AB1122="","(sin técnico)",'ORDENES'!$AB1122)&amp;" | "&amp;'ORDENES'!$D1122&amp;" ("&amp;'ORDENES'!$M1122&amp;" h)","")</f>
        <v/>
      </c>
    </row>
    <row r="1127">
      <c r="K1127" s="3">
        <f>IF(AND(IF($B$3="(todos)",TRUE,'ORDENES'!$O1123=$B$3),IF($D$3="(todos)",TRUE,'ORDENES'!$AC1123=$D$3),IF($F$3="(todos)",TRUE,'ORDENES'!$V1123=$F$3),'ORDENES'!$AA1123=TRUE),'ORDENES'!$AN1123&amp;" | "&amp;'ORDENES'!$R1123&amp;" | "&amp;IF('ORDENES'!$AB1123="","(sin técnico)",'ORDENES'!$AB1123)&amp;" | "&amp;'ORDENES'!$D1123&amp;" ("&amp;'ORDENES'!$M1123&amp;" h)","")</f>
        <v/>
      </c>
    </row>
    <row r="1128">
      <c r="K1128" s="3">
        <f>IF(AND(IF($B$3="(todos)",TRUE,'ORDENES'!$O1124=$B$3),IF($D$3="(todos)",TRUE,'ORDENES'!$AC1124=$D$3),IF($F$3="(todos)",TRUE,'ORDENES'!$V1124=$F$3),'ORDENES'!$AA1124=TRUE),'ORDENES'!$AN1124&amp;" | "&amp;'ORDENES'!$R1124&amp;" | "&amp;IF('ORDENES'!$AB1124="","(sin técnico)",'ORDENES'!$AB1124)&amp;" | "&amp;'ORDENES'!$D1124&amp;" ("&amp;'ORDENES'!$M1124&amp;" h)","")</f>
        <v/>
      </c>
    </row>
    <row r="1129">
      <c r="K1129" s="3">
        <f>IF(AND(IF($B$3="(todos)",TRUE,'ORDENES'!$O1125=$B$3),IF($D$3="(todos)",TRUE,'ORDENES'!$AC1125=$D$3),IF($F$3="(todos)",TRUE,'ORDENES'!$V1125=$F$3),'ORDENES'!$AA1125=TRUE),'ORDENES'!$AN1125&amp;" | "&amp;'ORDENES'!$R1125&amp;" | "&amp;IF('ORDENES'!$AB1125="","(sin técnico)",'ORDENES'!$AB1125)&amp;" | "&amp;'ORDENES'!$D1125&amp;" ("&amp;'ORDENES'!$M1125&amp;" h)","")</f>
        <v/>
      </c>
    </row>
    <row r="1130">
      <c r="K1130" s="3">
        <f>IF(AND(IF($B$3="(todos)",TRUE,'ORDENES'!$O1126=$B$3),IF($D$3="(todos)",TRUE,'ORDENES'!$AC1126=$D$3),IF($F$3="(todos)",TRUE,'ORDENES'!$V1126=$F$3),'ORDENES'!$AA1126=TRUE),'ORDENES'!$AN1126&amp;" | "&amp;'ORDENES'!$R1126&amp;" | "&amp;IF('ORDENES'!$AB1126="","(sin técnico)",'ORDENES'!$AB1126)&amp;" | "&amp;'ORDENES'!$D1126&amp;" ("&amp;'ORDENES'!$M1126&amp;" h)","")</f>
        <v/>
      </c>
    </row>
    <row r="1131">
      <c r="K1131" s="3">
        <f>IF(AND(IF($B$3="(todos)",TRUE,'ORDENES'!$O1127=$B$3),IF($D$3="(todos)",TRUE,'ORDENES'!$AC1127=$D$3),IF($F$3="(todos)",TRUE,'ORDENES'!$V1127=$F$3),'ORDENES'!$AA1127=TRUE),'ORDENES'!$AN1127&amp;" | "&amp;'ORDENES'!$R1127&amp;" | "&amp;IF('ORDENES'!$AB1127="","(sin técnico)",'ORDENES'!$AB1127)&amp;" | "&amp;'ORDENES'!$D1127&amp;" ("&amp;'ORDENES'!$M1127&amp;" h)","")</f>
        <v/>
      </c>
    </row>
    <row r="1132">
      <c r="K1132" s="3">
        <f>IF(AND(IF($B$3="(todos)",TRUE,'ORDENES'!$O1128=$B$3),IF($D$3="(todos)",TRUE,'ORDENES'!$AC1128=$D$3),IF($F$3="(todos)",TRUE,'ORDENES'!$V1128=$F$3),'ORDENES'!$AA1128=TRUE),'ORDENES'!$AN1128&amp;" | "&amp;'ORDENES'!$R1128&amp;" | "&amp;IF('ORDENES'!$AB1128="","(sin técnico)",'ORDENES'!$AB1128)&amp;" | "&amp;'ORDENES'!$D1128&amp;" ("&amp;'ORDENES'!$M1128&amp;" h)","")</f>
        <v/>
      </c>
    </row>
    <row r="1133">
      <c r="K1133" s="3">
        <f>IF(AND(IF($B$3="(todos)",TRUE,'ORDENES'!$O1129=$B$3),IF($D$3="(todos)",TRUE,'ORDENES'!$AC1129=$D$3),IF($F$3="(todos)",TRUE,'ORDENES'!$V1129=$F$3),'ORDENES'!$AA1129=TRUE),'ORDENES'!$AN1129&amp;" | "&amp;'ORDENES'!$R1129&amp;" | "&amp;IF('ORDENES'!$AB1129="","(sin técnico)",'ORDENES'!$AB1129)&amp;" | "&amp;'ORDENES'!$D1129&amp;" ("&amp;'ORDENES'!$M1129&amp;" h)","")</f>
        <v/>
      </c>
    </row>
    <row r="1134">
      <c r="K1134" s="3">
        <f>IF(AND(IF($B$3="(todos)",TRUE,'ORDENES'!$O1130=$B$3),IF($D$3="(todos)",TRUE,'ORDENES'!$AC1130=$D$3),IF($F$3="(todos)",TRUE,'ORDENES'!$V1130=$F$3),'ORDENES'!$AA1130=TRUE),'ORDENES'!$AN1130&amp;" | "&amp;'ORDENES'!$R1130&amp;" | "&amp;IF('ORDENES'!$AB1130="","(sin técnico)",'ORDENES'!$AB1130)&amp;" | "&amp;'ORDENES'!$D1130&amp;" ("&amp;'ORDENES'!$M1130&amp;" h)","")</f>
        <v/>
      </c>
    </row>
    <row r="1135">
      <c r="K1135" s="3">
        <f>IF(AND(IF($B$3="(todos)",TRUE,'ORDENES'!$O1131=$B$3),IF($D$3="(todos)",TRUE,'ORDENES'!$AC1131=$D$3),IF($F$3="(todos)",TRUE,'ORDENES'!$V1131=$F$3),'ORDENES'!$AA1131=TRUE),'ORDENES'!$AN1131&amp;" | "&amp;'ORDENES'!$R1131&amp;" | "&amp;IF('ORDENES'!$AB1131="","(sin técnico)",'ORDENES'!$AB1131)&amp;" | "&amp;'ORDENES'!$D1131&amp;" ("&amp;'ORDENES'!$M1131&amp;" h)","")</f>
        <v/>
      </c>
    </row>
    <row r="1136">
      <c r="K1136" s="3">
        <f>IF(AND(IF($B$3="(todos)",TRUE,'ORDENES'!$O1132=$B$3),IF($D$3="(todos)",TRUE,'ORDENES'!$AC1132=$D$3),IF($F$3="(todos)",TRUE,'ORDENES'!$V1132=$F$3),'ORDENES'!$AA1132=TRUE),'ORDENES'!$AN1132&amp;" | "&amp;'ORDENES'!$R1132&amp;" | "&amp;IF('ORDENES'!$AB1132="","(sin técnico)",'ORDENES'!$AB1132)&amp;" | "&amp;'ORDENES'!$D1132&amp;" ("&amp;'ORDENES'!$M1132&amp;" h)","")</f>
        <v/>
      </c>
    </row>
    <row r="1137">
      <c r="K1137" s="3">
        <f>IF(AND(IF($B$3="(todos)",TRUE,'ORDENES'!$O1133=$B$3),IF($D$3="(todos)",TRUE,'ORDENES'!$AC1133=$D$3),IF($F$3="(todos)",TRUE,'ORDENES'!$V1133=$F$3),'ORDENES'!$AA1133=TRUE),'ORDENES'!$AN1133&amp;" | "&amp;'ORDENES'!$R1133&amp;" | "&amp;IF('ORDENES'!$AB1133="","(sin técnico)",'ORDENES'!$AB1133)&amp;" | "&amp;'ORDENES'!$D1133&amp;" ("&amp;'ORDENES'!$M1133&amp;" h)","")</f>
        <v/>
      </c>
    </row>
    <row r="1138">
      <c r="K1138" s="3">
        <f>IF(AND(IF($B$3="(todos)",TRUE,'ORDENES'!$O1134=$B$3),IF($D$3="(todos)",TRUE,'ORDENES'!$AC1134=$D$3),IF($F$3="(todos)",TRUE,'ORDENES'!$V1134=$F$3),'ORDENES'!$AA1134=TRUE),'ORDENES'!$AN1134&amp;" | "&amp;'ORDENES'!$R1134&amp;" | "&amp;IF('ORDENES'!$AB1134="","(sin técnico)",'ORDENES'!$AB1134)&amp;" | "&amp;'ORDENES'!$D1134&amp;" ("&amp;'ORDENES'!$M1134&amp;" h)","")</f>
        <v/>
      </c>
    </row>
    <row r="1139">
      <c r="K1139" s="3">
        <f>IF(AND(IF($B$3="(todos)",TRUE,'ORDENES'!$O1135=$B$3),IF($D$3="(todos)",TRUE,'ORDENES'!$AC1135=$D$3),IF($F$3="(todos)",TRUE,'ORDENES'!$V1135=$F$3),'ORDENES'!$AA1135=TRUE),'ORDENES'!$AN1135&amp;" | "&amp;'ORDENES'!$R1135&amp;" | "&amp;IF('ORDENES'!$AB1135="","(sin técnico)",'ORDENES'!$AB1135)&amp;" | "&amp;'ORDENES'!$D1135&amp;" ("&amp;'ORDENES'!$M1135&amp;" h)","")</f>
        <v/>
      </c>
    </row>
    <row r="1140">
      <c r="K1140" s="3">
        <f>IF(AND(IF($B$3="(todos)",TRUE,'ORDENES'!$O1136=$B$3),IF($D$3="(todos)",TRUE,'ORDENES'!$AC1136=$D$3),IF($F$3="(todos)",TRUE,'ORDENES'!$V1136=$F$3),'ORDENES'!$AA1136=TRUE),'ORDENES'!$AN1136&amp;" | "&amp;'ORDENES'!$R1136&amp;" | "&amp;IF('ORDENES'!$AB1136="","(sin técnico)",'ORDENES'!$AB1136)&amp;" | "&amp;'ORDENES'!$D1136&amp;" ("&amp;'ORDENES'!$M1136&amp;" h)","")</f>
        <v/>
      </c>
    </row>
    <row r="1141">
      <c r="K1141" s="3">
        <f>IF(AND(IF($B$3="(todos)",TRUE,'ORDENES'!$O1137=$B$3),IF($D$3="(todos)",TRUE,'ORDENES'!$AC1137=$D$3),IF($F$3="(todos)",TRUE,'ORDENES'!$V1137=$F$3),'ORDENES'!$AA1137=TRUE),'ORDENES'!$AN1137&amp;" | "&amp;'ORDENES'!$R1137&amp;" | "&amp;IF('ORDENES'!$AB1137="","(sin técnico)",'ORDENES'!$AB1137)&amp;" | "&amp;'ORDENES'!$D1137&amp;" ("&amp;'ORDENES'!$M1137&amp;" h)","")</f>
        <v/>
      </c>
    </row>
    <row r="1142">
      <c r="K1142" s="3">
        <f>IF(AND(IF($B$3="(todos)",TRUE,'ORDENES'!$O1138=$B$3),IF($D$3="(todos)",TRUE,'ORDENES'!$AC1138=$D$3),IF($F$3="(todos)",TRUE,'ORDENES'!$V1138=$F$3),'ORDENES'!$AA1138=TRUE),'ORDENES'!$AN1138&amp;" | "&amp;'ORDENES'!$R1138&amp;" | "&amp;IF('ORDENES'!$AB1138="","(sin técnico)",'ORDENES'!$AB1138)&amp;" | "&amp;'ORDENES'!$D1138&amp;" ("&amp;'ORDENES'!$M1138&amp;" h)","")</f>
        <v/>
      </c>
    </row>
    <row r="1143">
      <c r="K1143" s="3">
        <f>IF(AND(IF($B$3="(todos)",TRUE,'ORDENES'!$O1139=$B$3),IF($D$3="(todos)",TRUE,'ORDENES'!$AC1139=$D$3),IF($F$3="(todos)",TRUE,'ORDENES'!$V1139=$F$3),'ORDENES'!$AA1139=TRUE),'ORDENES'!$AN1139&amp;" | "&amp;'ORDENES'!$R1139&amp;" | "&amp;IF('ORDENES'!$AB1139="","(sin técnico)",'ORDENES'!$AB1139)&amp;" | "&amp;'ORDENES'!$D1139&amp;" ("&amp;'ORDENES'!$M1139&amp;" h)","")</f>
        <v/>
      </c>
    </row>
    <row r="1144">
      <c r="K1144" s="3">
        <f>IF(AND(IF($B$3="(todos)",TRUE,'ORDENES'!$O1140=$B$3),IF($D$3="(todos)",TRUE,'ORDENES'!$AC1140=$D$3),IF($F$3="(todos)",TRUE,'ORDENES'!$V1140=$F$3),'ORDENES'!$AA1140=TRUE),'ORDENES'!$AN1140&amp;" | "&amp;'ORDENES'!$R1140&amp;" | "&amp;IF('ORDENES'!$AB1140="","(sin técnico)",'ORDENES'!$AB1140)&amp;" | "&amp;'ORDENES'!$D1140&amp;" ("&amp;'ORDENES'!$M1140&amp;" h)","")</f>
        <v/>
      </c>
    </row>
    <row r="1145">
      <c r="K1145" s="3">
        <f>IF(AND(IF($B$3="(todos)",TRUE,'ORDENES'!$O1141=$B$3),IF($D$3="(todos)",TRUE,'ORDENES'!$AC1141=$D$3),IF($F$3="(todos)",TRUE,'ORDENES'!$V1141=$F$3),'ORDENES'!$AA1141=TRUE),'ORDENES'!$AN1141&amp;" | "&amp;'ORDENES'!$R1141&amp;" | "&amp;IF('ORDENES'!$AB1141="","(sin técnico)",'ORDENES'!$AB1141)&amp;" | "&amp;'ORDENES'!$D1141&amp;" ("&amp;'ORDENES'!$M1141&amp;" h)","")</f>
        <v/>
      </c>
    </row>
    <row r="1146">
      <c r="K1146" s="3">
        <f>IF(AND(IF($B$3="(todos)",TRUE,'ORDENES'!$O1142=$B$3),IF($D$3="(todos)",TRUE,'ORDENES'!$AC1142=$D$3),IF($F$3="(todos)",TRUE,'ORDENES'!$V1142=$F$3),'ORDENES'!$AA1142=TRUE),'ORDENES'!$AN1142&amp;" | "&amp;'ORDENES'!$R1142&amp;" | "&amp;IF('ORDENES'!$AB1142="","(sin técnico)",'ORDENES'!$AB1142)&amp;" | "&amp;'ORDENES'!$D1142&amp;" ("&amp;'ORDENES'!$M1142&amp;" h)","")</f>
        <v/>
      </c>
    </row>
    <row r="1147">
      <c r="K1147" s="3">
        <f>IF(AND(IF($B$3="(todos)",TRUE,'ORDENES'!$O1143=$B$3),IF($D$3="(todos)",TRUE,'ORDENES'!$AC1143=$D$3),IF($F$3="(todos)",TRUE,'ORDENES'!$V1143=$F$3),'ORDENES'!$AA1143=TRUE),'ORDENES'!$AN1143&amp;" | "&amp;'ORDENES'!$R1143&amp;" | "&amp;IF('ORDENES'!$AB1143="","(sin técnico)",'ORDENES'!$AB1143)&amp;" | "&amp;'ORDENES'!$D1143&amp;" ("&amp;'ORDENES'!$M1143&amp;" h)","")</f>
        <v/>
      </c>
    </row>
    <row r="1148">
      <c r="K1148" s="3">
        <f>IF(AND(IF($B$3="(todos)",TRUE,'ORDENES'!$O1144=$B$3),IF($D$3="(todos)",TRUE,'ORDENES'!$AC1144=$D$3),IF($F$3="(todos)",TRUE,'ORDENES'!$V1144=$F$3),'ORDENES'!$AA1144=TRUE),'ORDENES'!$AN1144&amp;" | "&amp;'ORDENES'!$R1144&amp;" | "&amp;IF('ORDENES'!$AB1144="","(sin técnico)",'ORDENES'!$AB1144)&amp;" | "&amp;'ORDENES'!$D1144&amp;" ("&amp;'ORDENES'!$M1144&amp;" h)","")</f>
        <v/>
      </c>
    </row>
    <row r="1149">
      <c r="K1149" s="3">
        <f>IF(AND(IF($B$3="(todos)",TRUE,'ORDENES'!$O1145=$B$3),IF($D$3="(todos)",TRUE,'ORDENES'!$AC1145=$D$3),IF($F$3="(todos)",TRUE,'ORDENES'!$V1145=$F$3),'ORDENES'!$AA1145=TRUE),'ORDENES'!$AN1145&amp;" | "&amp;'ORDENES'!$R1145&amp;" | "&amp;IF('ORDENES'!$AB1145="","(sin técnico)",'ORDENES'!$AB1145)&amp;" | "&amp;'ORDENES'!$D1145&amp;" ("&amp;'ORDENES'!$M1145&amp;" h)","")</f>
        <v/>
      </c>
    </row>
    <row r="1150">
      <c r="K1150" s="3">
        <f>IF(AND(IF($B$3="(todos)",TRUE,'ORDENES'!$O1146=$B$3),IF($D$3="(todos)",TRUE,'ORDENES'!$AC1146=$D$3),IF($F$3="(todos)",TRUE,'ORDENES'!$V1146=$F$3),'ORDENES'!$AA1146=TRUE),'ORDENES'!$AN1146&amp;" | "&amp;'ORDENES'!$R1146&amp;" | "&amp;IF('ORDENES'!$AB1146="","(sin técnico)",'ORDENES'!$AB1146)&amp;" | "&amp;'ORDENES'!$D1146&amp;" ("&amp;'ORDENES'!$M1146&amp;" h)","")</f>
        <v/>
      </c>
    </row>
    <row r="1151">
      <c r="K1151" s="3">
        <f>IF(AND(IF($B$3="(todos)",TRUE,'ORDENES'!$O1147=$B$3),IF($D$3="(todos)",TRUE,'ORDENES'!$AC1147=$D$3),IF($F$3="(todos)",TRUE,'ORDENES'!$V1147=$F$3),'ORDENES'!$AA1147=TRUE),'ORDENES'!$AN1147&amp;" | "&amp;'ORDENES'!$R1147&amp;" | "&amp;IF('ORDENES'!$AB1147="","(sin técnico)",'ORDENES'!$AB1147)&amp;" | "&amp;'ORDENES'!$D1147&amp;" ("&amp;'ORDENES'!$M1147&amp;" h)","")</f>
        <v/>
      </c>
    </row>
    <row r="1152">
      <c r="K1152" s="3">
        <f>IF(AND(IF($B$3="(todos)",TRUE,'ORDENES'!$O1148=$B$3),IF($D$3="(todos)",TRUE,'ORDENES'!$AC1148=$D$3),IF($F$3="(todos)",TRUE,'ORDENES'!$V1148=$F$3),'ORDENES'!$AA1148=TRUE),'ORDENES'!$AN1148&amp;" | "&amp;'ORDENES'!$R1148&amp;" | "&amp;IF('ORDENES'!$AB1148="","(sin técnico)",'ORDENES'!$AB1148)&amp;" | "&amp;'ORDENES'!$D1148&amp;" ("&amp;'ORDENES'!$M1148&amp;" h)","")</f>
        <v/>
      </c>
    </row>
    <row r="1153">
      <c r="K1153" s="3">
        <f>IF(AND(IF($B$3="(todos)",TRUE,'ORDENES'!$O1149=$B$3),IF($D$3="(todos)",TRUE,'ORDENES'!$AC1149=$D$3),IF($F$3="(todos)",TRUE,'ORDENES'!$V1149=$F$3),'ORDENES'!$AA1149=TRUE),'ORDENES'!$AN1149&amp;" | "&amp;'ORDENES'!$R1149&amp;" | "&amp;IF('ORDENES'!$AB1149="","(sin técnico)",'ORDENES'!$AB1149)&amp;" | "&amp;'ORDENES'!$D1149&amp;" ("&amp;'ORDENES'!$M1149&amp;" h)","")</f>
        <v/>
      </c>
    </row>
    <row r="1154">
      <c r="K1154" s="3">
        <f>IF(AND(IF($B$3="(todos)",TRUE,'ORDENES'!$O1150=$B$3),IF($D$3="(todos)",TRUE,'ORDENES'!$AC1150=$D$3),IF($F$3="(todos)",TRUE,'ORDENES'!$V1150=$F$3),'ORDENES'!$AA1150=TRUE),'ORDENES'!$AN1150&amp;" | "&amp;'ORDENES'!$R1150&amp;" | "&amp;IF('ORDENES'!$AB1150="","(sin técnico)",'ORDENES'!$AB1150)&amp;" | "&amp;'ORDENES'!$D1150&amp;" ("&amp;'ORDENES'!$M1150&amp;" h)","")</f>
        <v/>
      </c>
    </row>
    <row r="1155">
      <c r="K1155" s="3">
        <f>IF(AND(IF($B$3="(todos)",TRUE,'ORDENES'!$O1151=$B$3),IF($D$3="(todos)",TRUE,'ORDENES'!$AC1151=$D$3),IF($F$3="(todos)",TRUE,'ORDENES'!$V1151=$F$3),'ORDENES'!$AA1151=TRUE),'ORDENES'!$AN1151&amp;" | "&amp;'ORDENES'!$R1151&amp;" | "&amp;IF('ORDENES'!$AB1151="","(sin técnico)",'ORDENES'!$AB1151)&amp;" | "&amp;'ORDENES'!$D1151&amp;" ("&amp;'ORDENES'!$M1151&amp;" h)","")</f>
        <v/>
      </c>
    </row>
    <row r="1156">
      <c r="K1156" s="3">
        <f>IF(AND(IF($B$3="(todos)",TRUE,'ORDENES'!$O1152=$B$3),IF($D$3="(todos)",TRUE,'ORDENES'!$AC1152=$D$3),IF($F$3="(todos)",TRUE,'ORDENES'!$V1152=$F$3),'ORDENES'!$AA1152=TRUE),'ORDENES'!$AN1152&amp;" | "&amp;'ORDENES'!$R1152&amp;" | "&amp;IF('ORDENES'!$AB1152="","(sin técnico)",'ORDENES'!$AB1152)&amp;" | "&amp;'ORDENES'!$D1152&amp;" ("&amp;'ORDENES'!$M1152&amp;" h)","")</f>
        <v/>
      </c>
    </row>
    <row r="1157">
      <c r="K1157" s="3">
        <f>IF(AND(IF($B$3="(todos)",TRUE,'ORDENES'!$O1153=$B$3),IF($D$3="(todos)",TRUE,'ORDENES'!$AC1153=$D$3),IF($F$3="(todos)",TRUE,'ORDENES'!$V1153=$F$3),'ORDENES'!$AA1153=TRUE),'ORDENES'!$AN1153&amp;" | "&amp;'ORDENES'!$R1153&amp;" | "&amp;IF('ORDENES'!$AB1153="","(sin técnico)",'ORDENES'!$AB1153)&amp;" | "&amp;'ORDENES'!$D1153&amp;" ("&amp;'ORDENES'!$M1153&amp;" h)","")</f>
        <v/>
      </c>
    </row>
    <row r="1158">
      <c r="K1158" s="3">
        <f>IF(AND(IF($B$3="(todos)",TRUE,'ORDENES'!$O1154=$B$3),IF($D$3="(todos)",TRUE,'ORDENES'!$AC1154=$D$3),IF($F$3="(todos)",TRUE,'ORDENES'!$V1154=$F$3),'ORDENES'!$AA1154=TRUE),'ORDENES'!$AN1154&amp;" | "&amp;'ORDENES'!$R1154&amp;" | "&amp;IF('ORDENES'!$AB1154="","(sin técnico)",'ORDENES'!$AB1154)&amp;" | "&amp;'ORDENES'!$D1154&amp;" ("&amp;'ORDENES'!$M1154&amp;" h)","")</f>
        <v/>
      </c>
    </row>
    <row r="1159">
      <c r="K1159" s="3">
        <f>IF(AND(IF($B$3="(todos)",TRUE,'ORDENES'!$O1155=$B$3),IF($D$3="(todos)",TRUE,'ORDENES'!$AC1155=$D$3),IF($F$3="(todos)",TRUE,'ORDENES'!$V1155=$F$3),'ORDENES'!$AA1155=TRUE),'ORDENES'!$AN1155&amp;" | "&amp;'ORDENES'!$R1155&amp;" | "&amp;IF('ORDENES'!$AB1155="","(sin técnico)",'ORDENES'!$AB1155)&amp;" | "&amp;'ORDENES'!$D1155&amp;" ("&amp;'ORDENES'!$M1155&amp;" h)","")</f>
        <v/>
      </c>
    </row>
    <row r="1160">
      <c r="K1160" s="3">
        <f>IF(AND(IF($B$3="(todos)",TRUE,'ORDENES'!$O1156=$B$3),IF($D$3="(todos)",TRUE,'ORDENES'!$AC1156=$D$3),IF($F$3="(todos)",TRUE,'ORDENES'!$V1156=$F$3),'ORDENES'!$AA1156=TRUE),'ORDENES'!$AN1156&amp;" | "&amp;'ORDENES'!$R1156&amp;" | "&amp;IF('ORDENES'!$AB1156="","(sin técnico)",'ORDENES'!$AB1156)&amp;" | "&amp;'ORDENES'!$D1156&amp;" ("&amp;'ORDENES'!$M1156&amp;" h)","")</f>
        <v/>
      </c>
    </row>
    <row r="1161">
      <c r="K1161" s="3">
        <f>IF(AND(IF($B$3="(todos)",TRUE,'ORDENES'!$O1157=$B$3),IF($D$3="(todos)",TRUE,'ORDENES'!$AC1157=$D$3),IF($F$3="(todos)",TRUE,'ORDENES'!$V1157=$F$3),'ORDENES'!$AA1157=TRUE),'ORDENES'!$AN1157&amp;" | "&amp;'ORDENES'!$R1157&amp;" | "&amp;IF('ORDENES'!$AB1157="","(sin técnico)",'ORDENES'!$AB1157)&amp;" | "&amp;'ORDENES'!$D1157&amp;" ("&amp;'ORDENES'!$M1157&amp;" h)","")</f>
        <v/>
      </c>
    </row>
    <row r="1162">
      <c r="K1162" s="3">
        <f>IF(AND(IF($B$3="(todos)",TRUE,'ORDENES'!$O1158=$B$3),IF($D$3="(todos)",TRUE,'ORDENES'!$AC1158=$D$3),IF($F$3="(todos)",TRUE,'ORDENES'!$V1158=$F$3),'ORDENES'!$AA1158=TRUE),'ORDENES'!$AN1158&amp;" | "&amp;'ORDENES'!$R1158&amp;" | "&amp;IF('ORDENES'!$AB1158="","(sin técnico)",'ORDENES'!$AB1158)&amp;" | "&amp;'ORDENES'!$D1158&amp;" ("&amp;'ORDENES'!$M1158&amp;" h)","")</f>
        <v/>
      </c>
    </row>
    <row r="1163">
      <c r="K1163" s="3">
        <f>IF(AND(IF($B$3="(todos)",TRUE,'ORDENES'!$O1159=$B$3),IF($D$3="(todos)",TRUE,'ORDENES'!$AC1159=$D$3),IF($F$3="(todos)",TRUE,'ORDENES'!$V1159=$F$3),'ORDENES'!$AA1159=TRUE),'ORDENES'!$AN1159&amp;" | "&amp;'ORDENES'!$R1159&amp;" | "&amp;IF('ORDENES'!$AB1159="","(sin técnico)",'ORDENES'!$AB1159)&amp;" | "&amp;'ORDENES'!$D1159&amp;" ("&amp;'ORDENES'!$M1159&amp;" h)","")</f>
        <v/>
      </c>
    </row>
    <row r="1164">
      <c r="K1164" s="3">
        <f>IF(AND(IF($B$3="(todos)",TRUE,'ORDENES'!$O1160=$B$3),IF($D$3="(todos)",TRUE,'ORDENES'!$AC1160=$D$3),IF($F$3="(todos)",TRUE,'ORDENES'!$V1160=$F$3),'ORDENES'!$AA1160=TRUE),'ORDENES'!$AN1160&amp;" | "&amp;'ORDENES'!$R1160&amp;" | "&amp;IF('ORDENES'!$AB1160="","(sin técnico)",'ORDENES'!$AB1160)&amp;" | "&amp;'ORDENES'!$D1160&amp;" ("&amp;'ORDENES'!$M1160&amp;" h)","")</f>
        <v/>
      </c>
    </row>
    <row r="1165">
      <c r="K1165" s="3">
        <f>IF(AND(IF($B$3="(todos)",TRUE,'ORDENES'!$O1161=$B$3),IF($D$3="(todos)",TRUE,'ORDENES'!$AC1161=$D$3),IF($F$3="(todos)",TRUE,'ORDENES'!$V1161=$F$3),'ORDENES'!$AA1161=TRUE),'ORDENES'!$AN1161&amp;" | "&amp;'ORDENES'!$R1161&amp;" | "&amp;IF('ORDENES'!$AB1161="","(sin técnico)",'ORDENES'!$AB1161)&amp;" | "&amp;'ORDENES'!$D1161&amp;" ("&amp;'ORDENES'!$M1161&amp;" h)","")</f>
        <v/>
      </c>
    </row>
    <row r="1166">
      <c r="K1166" s="3">
        <f>IF(AND(IF($B$3="(todos)",TRUE,'ORDENES'!$O1162=$B$3),IF($D$3="(todos)",TRUE,'ORDENES'!$AC1162=$D$3),IF($F$3="(todos)",TRUE,'ORDENES'!$V1162=$F$3),'ORDENES'!$AA1162=TRUE),'ORDENES'!$AN1162&amp;" | "&amp;'ORDENES'!$R1162&amp;" | "&amp;IF('ORDENES'!$AB1162="","(sin técnico)",'ORDENES'!$AB1162)&amp;" | "&amp;'ORDENES'!$D1162&amp;" ("&amp;'ORDENES'!$M1162&amp;" h)","")</f>
        <v/>
      </c>
    </row>
    <row r="1167">
      <c r="K1167" s="3">
        <f>IF(AND(IF($B$3="(todos)",TRUE,'ORDENES'!$O1163=$B$3),IF($D$3="(todos)",TRUE,'ORDENES'!$AC1163=$D$3),IF($F$3="(todos)",TRUE,'ORDENES'!$V1163=$F$3),'ORDENES'!$AA1163=TRUE),'ORDENES'!$AN1163&amp;" | "&amp;'ORDENES'!$R1163&amp;" | "&amp;IF('ORDENES'!$AB1163="","(sin técnico)",'ORDENES'!$AB1163)&amp;" | "&amp;'ORDENES'!$D1163&amp;" ("&amp;'ORDENES'!$M1163&amp;" h)","")</f>
        <v/>
      </c>
    </row>
    <row r="1168">
      <c r="K1168" s="3">
        <f>IF(AND(IF($B$3="(todos)",TRUE,'ORDENES'!$O1164=$B$3),IF($D$3="(todos)",TRUE,'ORDENES'!$AC1164=$D$3),IF($F$3="(todos)",TRUE,'ORDENES'!$V1164=$F$3),'ORDENES'!$AA1164=TRUE),'ORDENES'!$AN1164&amp;" | "&amp;'ORDENES'!$R1164&amp;" | "&amp;IF('ORDENES'!$AB1164="","(sin técnico)",'ORDENES'!$AB1164)&amp;" | "&amp;'ORDENES'!$D1164&amp;" ("&amp;'ORDENES'!$M1164&amp;" h)","")</f>
        <v/>
      </c>
    </row>
    <row r="1169">
      <c r="K1169" s="3">
        <f>IF(AND(IF($B$3="(todos)",TRUE,'ORDENES'!$O1165=$B$3),IF($D$3="(todos)",TRUE,'ORDENES'!$AC1165=$D$3),IF($F$3="(todos)",TRUE,'ORDENES'!$V1165=$F$3),'ORDENES'!$AA1165=TRUE),'ORDENES'!$AN1165&amp;" | "&amp;'ORDENES'!$R1165&amp;" | "&amp;IF('ORDENES'!$AB1165="","(sin técnico)",'ORDENES'!$AB1165)&amp;" | "&amp;'ORDENES'!$D1165&amp;" ("&amp;'ORDENES'!$M1165&amp;" h)","")</f>
        <v/>
      </c>
    </row>
    <row r="1170">
      <c r="K1170" s="3">
        <f>IF(AND(IF($B$3="(todos)",TRUE,'ORDENES'!$O1166=$B$3),IF($D$3="(todos)",TRUE,'ORDENES'!$AC1166=$D$3),IF($F$3="(todos)",TRUE,'ORDENES'!$V1166=$F$3),'ORDENES'!$AA1166=TRUE),'ORDENES'!$AN1166&amp;" | "&amp;'ORDENES'!$R1166&amp;" | "&amp;IF('ORDENES'!$AB1166="","(sin técnico)",'ORDENES'!$AB1166)&amp;" | "&amp;'ORDENES'!$D1166&amp;" ("&amp;'ORDENES'!$M1166&amp;" h)","")</f>
        <v/>
      </c>
    </row>
    <row r="1171">
      <c r="K1171" s="3">
        <f>IF(AND(IF($B$3="(todos)",TRUE,'ORDENES'!$O1167=$B$3),IF($D$3="(todos)",TRUE,'ORDENES'!$AC1167=$D$3),IF($F$3="(todos)",TRUE,'ORDENES'!$V1167=$F$3),'ORDENES'!$AA1167=TRUE),'ORDENES'!$AN1167&amp;" | "&amp;'ORDENES'!$R1167&amp;" | "&amp;IF('ORDENES'!$AB1167="","(sin técnico)",'ORDENES'!$AB1167)&amp;" | "&amp;'ORDENES'!$D1167&amp;" ("&amp;'ORDENES'!$M1167&amp;" h)","")</f>
        <v/>
      </c>
    </row>
    <row r="1172">
      <c r="K1172" s="3">
        <f>IF(AND(IF($B$3="(todos)",TRUE,'ORDENES'!$O1168=$B$3),IF($D$3="(todos)",TRUE,'ORDENES'!$AC1168=$D$3),IF($F$3="(todos)",TRUE,'ORDENES'!$V1168=$F$3),'ORDENES'!$AA1168=TRUE),'ORDENES'!$AN1168&amp;" | "&amp;'ORDENES'!$R1168&amp;" | "&amp;IF('ORDENES'!$AB1168="","(sin técnico)",'ORDENES'!$AB1168)&amp;" | "&amp;'ORDENES'!$D1168&amp;" ("&amp;'ORDENES'!$M1168&amp;" h)","")</f>
        <v/>
      </c>
    </row>
    <row r="1173">
      <c r="K1173" s="3">
        <f>IF(AND(IF($B$3="(todos)",TRUE,'ORDENES'!$O1169=$B$3),IF($D$3="(todos)",TRUE,'ORDENES'!$AC1169=$D$3),IF($F$3="(todos)",TRUE,'ORDENES'!$V1169=$F$3),'ORDENES'!$AA1169=TRUE),'ORDENES'!$AN1169&amp;" | "&amp;'ORDENES'!$R1169&amp;" | "&amp;IF('ORDENES'!$AB1169="","(sin técnico)",'ORDENES'!$AB1169)&amp;" | "&amp;'ORDENES'!$D1169&amp;" ("&amp;'ORDENES'!$M1169&amp;" h)","")</f>
        <v/>
      </c>
    </row>
    <row r="1174">
      <c r="K1174" s="3">
        <f>IF(AND(IF($B$3="(todos)",TRUE,'ORDENES'!$O1170=$B$3),IF($D$3="(todos)",TRUE,'ORDENES'!$AC1170=$D$3),IF($F$3="(todos)",TRUE,'ORDENES'!$V1170=$F$3),'ORDENES'!$AA1170=TRUE),'ORDENES'!$AN1170&amp;" | "&amp;'ORDENES'!$R1170&amp;" | "&amp;IF('ORDENES'!$AB1170="","(sin técnico)",'ORDENES'!$AB1170)&amp;" | "&amp;'ORDENES'!$D1170&amp;" ("&amp;'ORDENES'!$M1170&amp;" h)","")</f>
        <v/>
      </c>
    </row>
    <row r="1175">
      <c r="K1175" s="3">
        <f>IF(AND(IF($B$3="(todos)",TRUE,'ORDENES'!$O1171=$B$3),IF($D$3="(todos)",TRUE,'ORDENES'!$AC1171=$D$3),IF($F$3="(todos)",TRUE,'ORDENES'!$V1171=$F$3),'ORDENES'!$AA1171=TRUE),'ORDENES'!$AN1171&amp;" | "&amp;'ORDENES'!$R1171&amp;" | "&amp;IF('ORDENES'!$AB1171="","(sin técnico)",'ORDENES'!$AB1171)&amp;" | "&amp;'ORDENES'!$D1171&amp;" ("&amp;'ORDENES'!$M1171&amp;" h)","")</f>
        <v/>
      </c>
    </row>
    <row r="1176">
      <c r="K1176" s="3">
        <f>IF(AND(IF($B$3="(todos)",TRUE,'ORDENES'!$O1172=$B$3),IF($D$3="(todos)",TRUE,'ORDENES'!$AC1172=$D$3),IF($F$3="(todos)",TRUE,'ORDENES'!$V1172=$F$3),'ORDENES'!$AA1172=TRUE),'ORDENES'!$AN1172&amp;" | "&amp;'ORDENES'!$R1172&amp;" | "&amp;IF('ORDENES'!$AB1172="","(sin técnico)",'ORDENES'!$AB1172)&amp;" | "&amp;'ORDENES'!$D1172&amp;" ("&amp;'ORDENES'!$M1172&amp;" h)","")</f>
        <v/>
      </c>
    </row>
    <row r="1177">
      <c r="K1177" s="3">
        <f>IF(AND(IF($B$3="(todos)",TRUE,'ORDENES'!$O1173=$B$3),IF($D$3="(todos)",TRUE,'ORDENES'!$AC1173=$D$3),IF($F$3="(todos)",TRUE,'ORDENES'!$V1173=$F$3),'ORDENES'!$AA1173=TRUE),'ORDENES'!$AN1173&amp;" | "&amp;'ORDENES'!$R1173&amp;" | "&amp;IF('ORDENES'!$AB1173="","(sin técnico)",'ORDENES'!$AB1173)&amp;" | "&amp;'ORDENES'!$D1173&amp;" ("&amp;'ORDENES'!$M1173&amp;" h)","")</f>
        <v/>
      </c>
    </row>
    <row r="1178">
      <c r="K1178" s="3">
        <f>IF(AND(IF($B$3="(todos)",TRUE,'ORDENES'!$O1174=$B$3),IF($D$3="(todos)",TRUE,'ORDENES'!$AC1174=$D$3),IF($F$3="(todos)",TRUE,'ORDENES'!$V1174=$F$3),'ORDENES'!$AA1174=TRUE),'ORDENES'!$AN1174&amp;" | "&amp;'ORDENES'!$R1174&amp;" | "&amp;IF('ORDENES'!$AB1174="","(sin técnico)",'ORDENES'!$AB1174)&amp;" | "&amp;'ORDENES'!$D1174&amp;" ("&amp;'ORDENES'!$M1174&amp;" h)","")</f>
        <v/>
      </c>
    </row>
    <row r="1179">
      <c r="K1179" s="3">
        <f>IF(AND(IF($B$3="(todos)",TRUE,'ORDENES'!$O1175=$B$3),IF($D$3="(todos)",TRUE,'ORDENES'!$AC1175=$D$3),IF($F$3="(todos)",TRUE,'ORDENES'!$V1175=$F$3),'ORDENES'!$AA1175=TRUE),'ORDENES'!$AN1175&amp;" | "&amp;'ORDENES'!$R1175&amp;" | "&amp;IF('ORDENES'!$AB1175="","(sin técnico)",'ORDENES'!$AB1175)&amp;" | "&amp;'ORDENES'!$D1175&amp;" ("&amp;'ORDENES'!$M1175&amp;" h)","")</f>
        <v/>
      </c>
    </row>
    <row r="1180">
      <c r="K1180" s="3">
        <f>IF(AND(IF($B$3="(todos)",TRUE,'ORDENES'!$O1176=$B$3),IF($D$3="(todos)",TRUE,'ORDENES'!$AC1176=$D$3),IF($F$3="(todos)",TRUE,'ORDENES'!$V1176=$F$3),'ORDENES'!$AA1176=TRUE),'ORDENES'!$AN1176&amp;" | "&amp;'ORDENES'!$R1176&amp;" | "&amp;IF('ORDENES'!$AB1176="","(sin técnico)",'ORDENES'!$AB1176)&amp;" | "&amp;'ORDENES'!$D1176&amp;" ("&amp;'ORDENES'!$M1176&amp;" h)","")</f>
        <v/>
      </c>
    </row>
    <row r="1181">
      <c r="K1181" s="3">
        <f>IF(AND(IF($B$3="(todos)",TRUE,'ORDENES'!$O1177=$B$3),IF($D$3="(todos)",TRUE,'ORDENES'!$AC1177=$D$3),IF($F$3="(todos)",TRUE,'ORDENES'!$V1177=$F$3),'ORDENES'!$AA1177=TRUE),'ORDENES'!$AN1177&amp;" | "&amp;'ORDENES'!$R1177&amp;" | "&amp;IF('ORDENES'!$AB1177="","(sin técnico)",'ORDENES'!$AB1177)&amp;" | "&amp;'ORDENES'!$D1177&amp;" ("&amp;'ORDENES'!$M1177&amp;" h)","")</f>
        <v/>
      </c>
    </row>
    <row r="1182">
      <c r="K1182" s="3">
        <f>IF(AND(IF($B$3="(todos)",TRUE,'ORDENES'!$O1178=$B$3),IF($D$3="(todos)",TRUE,'ORDENES'!$AC1178=$D$3),IF($F$3="(todos)",TRUE,'ORDENES'!$V1178=$F$3),'ORDENES'!$AA1178=TRUE),'ORDENES'!$AN1178&amp;" | "&amp;'ORDENES'!$R1178&amp;" | "&amp;IF('ORDENES'!$AB1178="","(sin técnico)",'ORDENES'!$AB1178)&amp;" | "&amp;'ORDENES'!$D1178&amp;" ("&amp;'ORDENES'!$M1178&amp;" h)","")</f>
        <v/>
      </c>
    </row>
    <row r="1183">
      <c r="K1183" s="3">
        <f>IF(AND(IF($B$3="(todos)",TRUE,'ORDENES'!$O1179=$B$3),IF($D$3="(todos)",TRUE,'ORDENES'!$AC1179=$D$3),IF($F$3="(todos)",TRUE,'ORDENES'!$V1179=$F$3),'ORDENES'!$AA1179=TRUE),'ORDENES'!$AN1179&amp;" | "&amp;'ORDENES'!$R1179&amp;" | "&amp;IF('ORDENES'!$AB1179="","(sin técnico)",'ORDENES'!$AB1179)&amp;" | "&amp;'ORDENES'!$D1179&amp;" ("&amp;'ORDENES'!$M1179&amp;" h)","")</f>
        <v/>
      </c>
    </row>
    <row r="1184">
      <c r="K1184" s="3">
        <f>IF(AND(IF($B$3="(todos)",TRUE,'ORDENES'!$O1180=$B$3),IF($D$3="(todos)",TRUE,'ORDENES'!$AC1180=$D$3),IF($F$3="(todos)",TRUE,'ORDENES'!$V1180=$F$3),'ORDENES'!$AA1180=TRUE),'ORDENES'!$AN1180&amp;" | "&amp;'ORDENES'!$R1180&amp;" | "&amp;IF('ORDENES'!$AB1180="","(sin técnico)",'ORDENES'!$AB1180)&amp;" | "&amp;'ORDENES'!$D1180&amp;" ("&amp;'ORDENES'!$M1180&amp;" h)","")</f>
        <v/>
      </c>
    </row>
    <row r="1185">
      <c r="K1185" s="3">
        <f>IF(AND(IF($B$3="(todos)",TRUE,'ORDENES'!$O1181=$B$3),IF($D$3="(todos)",TRUE,'ORDENES'!$AC1181=$D$3),IF($F$3="(todos)",TRUE,'ORDENES'!$V1181=$F$3),'ORDENES'!$AA1181=TRUE),'ORDENES'!$AN1181&amp;" | "&amp;'ORDENES'!$R1181&amp;" | "&amp;IF('ORDENES'!$AB1181="","(sin técnico)",'ORDENES'!$AB1181)&amp;" | "&amp;'ORDENES'!$D1181&amp;" ("&amp;'ORDENES'!$M1181&amp;" h)","")</f>
        <v/>
      </c>
    </row>
    <row r="1186">
      <c r="K1186" s="3">
        <f>IF(AND(IF($B$3="(todos)",TRUE,'ORDENES'!$O1182=$B$3),IF($D$3="(todos)",TRUE,'ORDENES'!$AC1182=$D$3),IF($F$3="(todos)",TRUE,'ORDENES'!$V1182=$F$3),'ORDENES'!$AA1182=TRUE),'ORDENES'!$AN1182&amp;" | "&amp;'ORDENES'!$R1182&amp;" | "&amp;IF('ORDENES'!$AB1182="","(sin técnico)",'ORDENES'!$AB1182)&amp;" | "&amp;'ORDENES'!$D1182&amp;" ("&amp;'ORDENES'!$M1182&amp;" h)","")</f>
        <v/>
      </c>
    </row>
    <row r="1187">
      <c r="K1187" s="3">
        <f>IF(AND(IF($B$3="(todos)",TRUE,'ORDENES'!$O1183=$B$3),IF($D$3="(todos)",TRUE,'ORDENES'!$AC1183=$D$3),IF($F$3="(todos)",TRUE,'ORDENES'!$V1183=$F$3),'ORDENES'!$AA1183=TRUE),'ORDENES'!$AN1183&amp;" | "&amp;'ORDENES'!$R1183&amp;" | "&amp;IF('ORDENES'!$AB1183="","(sin técnico)",'ORDENES'!$AB1183)&amp;" | "&amp;'ORDENES'!$D1183&amp;" ("&amp;'ORDENES'!$M1183&amp;" h)","")</f>
        <v/>
      </c>
    </row>
    <row r="1188">
      <c r="K1188" s="3">
        <f>IF(AND(IF($B$3="(todos)",TRUE,'ORDENES'!$O1184=$B$3),IF($D$3="(todos)",TRUE,'ORDENES'!$AC1184=$D$3),IF($F$3="(todos)",TRUE,'ORDENES'!$V1184=$F$3),'ORDENES'!$AA1184=TRUE),'ORDENES'!$AN1184&amp;" | "&amp;'ORDENES'!$R1184&amp;" | "&amp;IF('ORDENES'!$AB1184="","(sin técnico)",'ORDENES'!$AB1184)&amp;" | "&amp;'ORDENES'!$D1184&amp;" ("&amp;'ORDENES'!$M1184&amp;" h)","")</f>
        <v/>
      </c>
    </row>
    <row r="1189">
      <c r="K1189" s="3">
        <f>IF(AND(IF($B$3="(todos)",TRUE,'ORDENES'!$O1185=$B$3),IF($D$3="(todos)",TRUE,'ORDENES'!$AC1185=$D$3),IF($F$3="(todos)",TRUE,'ORDENES'!$V1185=$F$3),'ORDENES'!$AA1185=TRUE),'ORDENES'!$AN1185&amp;" | "&amp;'ORDENES'!$R1185&amp;" | "&amp;IF('ORDENES'!$AB1185="","(sin técnico)",'ORDENES'!$AB1185)&amp;" | "&amp;'ORDENES'!$D1185&amp;" ("&amp;'ORDENES'!$M1185&amp;" h)","")</f>
        <v/>
      </c>
    </row>
    <row r="1190">
      <c r="K1190" s="3">
        <f>IF(AND(IF($B$3="(todos)",TRUE,'ORDENES'!$O1186=$B$3),IF($D$3="(todos)",TRUE,'ORDENES'!$AC1186=$D$3),IF($F$3="(todos)",TRUE,'ORDENES'!$V1186=$F$3),'ORDENES'!$AA1186=TRUE),'ORDENES'!$AN1186&amp;" | "&amp;'ORDENES'!$R1186&amp;" | "&amp;IF('ORDENES'!$AB1186="","(sin técnico)",'ORDENES'!$AB1186)&amp;" | "&amp;'ORDENES'!$D1186&amp;" ("&amp;'ORDENES'!$M1186&amp;" h)","")</f>
        <v/>
      </c>
    </row>
    <row r="1191">
      <c r="K1191" s="3">
        <f>IF(AND(IF($B$3="(todos)",TRUE,'ORDENES'!$O1187=$B$3),IF($D$3="(todos)",TRUE,'ORDENES'!$AC1187=$D$3),IF($F$3="(todos)",TRUE,'ORDENES'!$V1187=$F$3),'ORDENES'!$AA1187=TRUE),'ORDENES'!$AN1187&amp;" | "&amp;'ORDENES'!$R1187&amp;" | "&amp;IF('ORDENES'!$AB1187="","(sin técnico)",'ORDENES'!$AB1187)&amp;" | "&amp;'ORDENES'!$D1187&amp;" ("&amp;'ORDENES'!$M1187&amp;" h)","")</f>
        <v/>
      </c>
    </row>
    <row r="1192">
      <c r="K1192" s="3">
        <f>IF(AND(IF($B$3="(todos)",TRUE,'ORDENES'!$O1188=$B$3),IF($D$3="(todos)",TRUE,'ORDENES'!$AC1188=$D$3),IF($F$3="(todos)",TRUE,'ORDENES'!$V1188=$F$3),'ORDENES'!$AA1188=TRUE),'ORDENES'!$AN1188&amp;" | "&amp;'ORDENES'!$R1188&amp;" | "&amp;IF('ORDENES'!$AB1188="","(sin técnico)",'ORDENES'!$AB1188)&amp;" | "&amp;'ORDENES'!$D1188&amp;" ("&amp;'ORDENES'!$M1188&amp;" h)","")</f>
        <v/>
      </c>
    </row>
    <row r="1193">
      <c r="K1193" s="3">
        <f>IF(AND(IF($B$3="(todos)",TRUE,'ORDENES'!$O1189=$B$3),IF($D$3="(todos)",TRUE,'ORDENES'!$AC1189=$D$3),IF($F$3="(todos)",TRUE,'ORDENES'!$V1189=$F$3),'ORDENES'!$AA1189=TRUE),'ORDENES'!$AN1189&amp;" | "&amp;'ORDENES'!$R1189&amp;" | "&amp;IF('ORDENES'!$AB1189="","(sin técnico)",'ORDENES'!$AB1189)&amp;" | "&amp;'ORDENES'!$D1189&amp;" ("&amp;'ORDENES'!$M1189&amp;" h)","")</f>
        <v/>
      </c>
    </row>
    <row r="1194">
      <c r="K1194" s="3">
        <f>IF(AND(IF($B$3="(todos)",TRUE,'ORDENES'!$O1190=$B$3),IF($D$3="(todos)",TRUE,'ORDENES'!$AC1190=$D$3),IF($F$3="(todos)",TRUE,'ORDENES'!$V1190=$F$3),'ORDENES'!$AA1190=TRUE),'ORDENES'!$AN1190&amp;" | "&amp;'ORDENES'!$R1190&amp;" | "&amp;IF('ORDENES'!$AB1190="","(sin técnico)",'ORDENES'!$AB1190)&amp;" | "&amp;'ORDENES'!$D1190&amp;" ("&amp;'ORDENES'!$M1190&amp;" h)","")</f>
        <v/>
      </c>
    </row>
    <row r="1195">
      <c r="K1195" s="3">
        <f>IF(AND(IF($B$3="(todos)",TRUE,'ORDENES'!$O1191=$B$3),IF($D$3="(todos)",TRUE,'ORDENES'!$AC1191=$D$3),IF($F$3="(todos)",TRUE,'ORDENES'!$V1191=$F$3),'ORDENES'!$AA1191=TRUE),'ORDENES'!$AN1191&amp;" | "&amp;'ORDENES'!$R1191&amp;" | "&amp;IF('ORDENES'!$AB1191="","(sin técnico)",'ORDENES'!$AB1191)&amp;" | "&amp;'ORDENES'!$D1191&amp;" ("&amp;'ORDENES'!$M1191&amp;" h)","")</f>
        <v/>
      </c>
    </row>
    <row r="1196">
      <c r="K1196" s="3">
        <f>IF(AND(IF($B$3="(todos)",TRUE,'ORDENES'!$O1192=$B$3),IF($D$3="(todos)",TRUE,'ORDENES'!$AC1192=$D$3),IF($F$3="(todos)",TRUE,'ORDENES'!$V1192=$F$3),'ORDENES'!$AA1192=TRUE),'ORDENES'!$AN1192&amp;" | "&amp;'ORDENES'!$R1192&amp;" | "&amp;IF('ORDENES'!$AB1192="","(sin técnico)",'ORDENES'!$AB1192)&amp;" | "&amp;'ORDENES'!$D1192&amp;" ("&amp;'ORDENES'!$M1192&amp;" h)","")</f>
        <v/>
      </c>
    </row>
    <row r="1197">
      <c r="K1197" s="3">
        <f>IF(AND(IF($B$3="(todos)",TRUE,'ORDENES'!$O1193=$B$3),IF($D$3="(todos)",TRUE,'ORDENES'!$AC1193=$D$3),IF($F$3="(todos)",TRUE,'ORDENES'!$V1193=$F$3),'ORDENES'!$AA1193=TRUE),'ORDENES'!$AN1193&amp;" | "&amp;'ORDENES'!$R1193&amp;" | "&amp;IF('ORDENES'!$AB1193="","(sin técnico)",'ORDENES'!$AB1193)&amp;" | "&amp;'ORDENES'!$D1193&amp;" ("&amp;'ORDENES'!$M1193&amp;" h)","")</f>
        <v/>
      </c>
    </row>
    <row r="1198">
      <c r="K1198" s="3">
        <f>IF(AND(IF($B$3="(todos)",TRUE,'ORDENES'!$O1194=$B$3),IF($D$3="(todos)",TRUE,'ORDENES'!$AC1194=$D$3),IF($F$3="(todos)",TRUE,'ORDENES'!$V1194=$F$3),'ORDENES'!$AA1194=TRUE),'ORDENES'!$AN1194&amp;" | "&amp;'ORDENES'!$R1194&amp;" | "&amp;IF('ORDENES'!$AB1194="","(sin técnico)",'ORDENES'!$AB1194)&amp;" | "&amp;'ORDENES'!$D1194&amp;" ("&amp;'ORDENES'!$M1194&amp;" h)","")</f>
        <v/>
      </c>
    </row>
    <row r="1199">
      <c r="K1199" s="3">
        <f>IF(AND(IF($B$3="(todos)",TRUE,'ORDENES'!$O1195=$B$3),IF($D$3="(todos)",TRUE,'ORDENES'!$AC1195=$D$3),IF($F$3="(todos)",TRUE,'ORDENES'!$V1195=$F$3),'ORDENES'!$AA1195=TRUE),'ORDENES'!$AN1195&amp;" | "&amp;'ORDENES'!$R1195&amp;" | "&amp;IF('ORDENES'!$AB1195="","(sin técnico)",'ORDENES'!$AB1195)&amp;" | "&amp;'ORDENES'!$D1195&amp;" ("&amp;'ORDENES'!$M1195&amp;" h)","")</f>
        <v/>
      </c>
    </row>
    <row r="1200">
      <c r="K1200" s="3">
        <f>IF(AND(IF($B$3="(todos)",TRUE,'ORDENES'!$O1196=$B$3),IF($D$3="(todos)",TRUE,'ORDENES'!$AC1196=$D$3),IF($F$3="(todos)",TRUE,'ORDENES'!$V1196=$F$3),'ORDENES'!$AA1196=TRUE),'ORDENES'!$AN1196&amp;" | "&amp;'ORDENES'!$R1196&amp;" | "&amp;IF('ORDENES'!$AB1196="","(sin técnico)",'ORDENES'!$AB1196)&amp;" | "&amp;'ORDENES'!$D1196&amp;" ("&amp;'ORDENES'!$M1196&amp;" h)","")</f>
        <v/>
      </c>
    </row>
    <row r="1201">
      <c r="K1201" s="3">
        <f>IF(AND(IF($B$3="(todos)",TRUE,'ORDENES'!$O1197=$B$3),IF($D$3="(todos)",TRUE,'ORDENES'!$AC1197=$D$3),IF($F$3="(todos)",TRUE,'ORDENES'!$V1197=$F$3),'ORDENES'!$AA1197=TRUE),'ORDENES'!$AN1197&amp;" | "&amp;'ORDENES'!$R1197&amp;" | "&amp;IF('ORDENES'!$AB1197="","(sin técnico)",'ORDENES'!$AB1197)&amp;" | "&amp;'ORDENES'!$D1197&amp;" ("&amp;'ORDENES'!$M1197&amp;" h)","")</f>
        <v/>
      </c>
    </row>
    <row r="1202">
      <c r="K1202" s="3">
        <f>IF(AND(IF($B$3="(todos)",TRUE,'ORDENES'!$O1198=$B$3),IF($D$3="(todos)",TRUE,'ORDENES'!$AC1198=$D$3),IF($F$3="(todos)",TRUE,'ORDENES'!$V1198=$F$3),'ORDENES'!$AA1198=TRUE),'ORDENES'!$AN1198&amp;" | "&amp;'ORDENES'!$R1198&amp;" | "&amp;IF('ORDENES'!$AB1198="","(sin técnico)",'ORDENES'!$AB1198)&amp;" | "&amp;'ORDENES'!$D1198&amp;" ("&amp;'ORDENES'!$M1198&amp;" h)","")</f>
        <v/>
      </c>
    </row>
    <row r="1203">
      <c r="K1203" s="3">
        <f>IF(AND(IF($B$3="(todos)",TRUE,'ORDENES'!$O1199=$B$3),IF($D$3="(todos)",TRUE,'ORDENES'!$AC1199=$D$3),IF($F$3="(todos)",TRUE,'ORDENES'!$V1199=$F$3),'ORDENES'!$AA1199=TRUE),'ORDENES'!$AN1199&amp;" | "&amp;'ORDENES'!$R1199&amp;" | "&amp;IF('ORDENES'!$AB1199="","(sin técnico)",'ORDENES'!$AB1199)&amp;" | "&amp;'ORDENES'!$D1199&amp;" ("&amp;'ORDENES'!$M1199&amp;" h)","")</f>
        <v/>
      </c>
    </row>
    <row r="1204">
      <c r="K1204" s="3">
        <f>IF(AND(IF($B$3="(todos)",TRUE,'ORDENES'!$O1200=$B$3),IF($D$3="(todos)",TRUE,'ORDENES'!$AC1200=$D$3),IF($F$3="(todos)",TRUE,'ORDENES'!$V1200=$F$3),'ORDENES'!$AA1200=TRUE),'ORDENES'!$AN1200&amp;" | "&amp;'ORDENES'!$R1200&amp;" | "&amp;IF('ORDENES'!$AB1200="","(sin técnico)",'ORDENES'!$AB1200)&amp;" | "&amp;'ORDENES'!$D1200&amp;" ("&amp;'ORDENES'!$M1200&amp;" h)","")</f>
        <v/>
      </c>
    </row>
    <row r="1205">
      <c r="K1205" s="3">
        <f>IF(AND(IF($B$3="(todos)",TRUE,'ORDENES'!$O1201=$B$3),IF($D$3="(todos)",TRUE,'ORDENES'!$AC1201=$D$3),IF($F$3="(todos)",TRUE,'ORDENES'!$V1201=$F$3),'ORDENES'!$AA1201=TRUE),'ORDENES'!$AN1201&amp;" | "&amp;'ORDENES'!$R1201&amp;" | "&amp;IF('ORDENES'!$AB1201="","(sin técnico)",'ORDENES'!$AB1201)&amp;" | "&amp;'ORDENES'!$D1201&amp;" ("&amp;'ORDENES'!$M1201&amp;" h)","")</f>
        <v/>
      </c>
    </row>
    <row r="1206">
      <c r="K1206" s="3">
        <f>IF(AND(IF($B$3="(todos)",TRUE,'ORDENES'!$O1202=$B$3),IF($D$3="(todos)",TRUE,'ORDENES'!$AC1202=$D$3),IF($F$3="(todos)",TRUE,'ORDENES'!$V1202=$F$3),'ORDENES'!$AA1202=TRUE),'ORDENES'!$AN1202&amp;" | "&amp;'ORDENES'!$R1202&amp;" | "&amp;IF('ORDENES'!$AB1202="","(sin técnico)",'ORDENES'!$AB1202)&amp;" | "&amp;'ORDENES'!$D1202&amp;" ("&amp;'ORDENES'!$M1202&amp;" h)","")</f>
        <v/>
      </c>
    </row>
    <row r="1207">
      <c r="K1207" s="3">
        <f>IF(AND(IF($B$3="(todos)",TRUE,'ORDENES'!$O1203=$B$3),IF($D$3="(todos)",TRUE,'ORDENES'!$AC1203=$D$3),IF($F$3="(todos)",TRUE,'ORDENES'!$V1203=$F$3),'ORDENES'!$AA1203=TRUE),'ORDENES'!$AN1203&amp;" | "&amp;'ORDENES'!$R1203&amp;" | "&amp;IF('ORDENES'!$AB1203="","(sin técnico)",'ORDENES'!$AB1203)&amp;" | "&amp;'ORDENES'!$D1203&amp;" ("&amp;'ORDENES'!$M1203&amp;" h)","")</f>
        <v/>
      </c>
    </row>
  </sheetData>
  <mergeCells count="1">
    <mergeCell ref="A6:H40"/>
  </mergeCells>
  <dataValidations count="3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IFERROR(INDEX(tblEstados[estado_normalizado],MATCH(IFERROR(INDEX(tblEjecucion[estado_sistema],MATCH('ORDENES'!$AN$4,tblEjecucion[id_operacion],0)),""),tblEstados[estado_sistema],0)),"Pendiente")</t>
        </is>
      </c>
      <c r="D5" s="3">
        <f>IFERROR(INDEX(tblEstados[estado_normalizado],MATCH(IFERROR(INDEX(tblEjecucion[estado_sistema],MATCH('ORDENES'!$AN$4,tblEjecucion[id_operacion],0)),""),tblEstados[estado_sistema],0)),"Pendiente")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coordinador</t>
        </is>
      </c>
      <c r="B9" s="22" t="inlineStr">
        <is>
          <t>IF(tblOrdenes[[#This Row],[centro_costo]]="","",XLOOKUP(tblOrdenes[[#This Row],[centro_costo]],tblCECO[codigo],tblCECO[coordinador],"(sin catálogo)"))</t>
        </is>
      </c>
      <c r="C9" s="22" t="inlineStr">
        <is>
          <t>IFERROR(INDEX(tblCECO[coordinador],MATCH('ORDENES'!$F$4,tblCECO[codigo],0)),"(sin catálogo)")</t>
        </is>
      </c>
      <c r="D9" s="3">
        <f>IFERROR(INDEX(tblCECO[coordinador],MATCH('ORDENES'!$F$4,tblCECO[codigo],0)),"(sin catálogo)")</f>
        <v/>
      </c>
    </row>
    <row r="10">
      <c r="A10" s="3" t="inlineStr">
        <is>
          <t>especialidad</t>
        </is>
      </c>
      <c r="B10" s="22" t="inlineStr">
        <is>
          <t>IF(tblOrdenes[[#This Row],[puesto_trabajo]]="","",XLOOKUP(tblOrdenes[[#This Row],[puesto_trabajo]],tblPuestos[codigo],tblPuestos[especialidad],"(sin catálogo)"))</t>
        </is>
      </c>
      <c r="C10" s="22" t="inlineStr">
        <is>
          <t>IFERROR(INDEX(tblPuestos[especialidad],MATCH('ORDENES'!$G$4,tblPuestos[codigo],0)),"(sin catálogo)")</t>
        </is>
      </c>
      <c r="D10" s="3">
        <f>IFERROR(INDEX(tblPuestos[especialidad],MATCH('ORDENES'!$G$4,tblPuestos[codigo],0)),"(sin catálogo)")</f>
        <v/>
      </c>
    </row>
    <row r="11">
      <c r="A11" s="3" t="inlineStr">
        <is>
          <t>actividad</t>
        </is>
      </c>
      <c r="B11" s="22" t="inlineStr">
        <is>
          <t>IF(tblOrdenes[[#This Row],[cod_actividad]]="","",XLOOKUP(tblOrdenes[[#This Row],[cod_actividad]],tblActividades[codigo],tblActividades[descripcion],"(sin catálogo)"))</t>
        </is>
      </c>
      <c r="C11" s="22" t="inlineStr">
        <is>
          <t>IFERROR(INDEX(tblActividades[descripcion],MATCH('ORDENES'!$H$4,tblActividades[codigo],0)),"(sin catálogo)")</t>
        </is>
      </c>
      <c r="D11" s="3">
        <f>IFERROR(INDEX(tblActividades[descripcion],MATCH('ORDENES'!$H$4,tblActividades[codigo],0)),"(sin catálogo)")</f>
        <v/>
      </c>
    </row>
    <row r="12">
      <c r="A12" s="3" t="inlineStr">
        <is>
          <t>horas_efectivas</t>
        </is>
      </c>
      <c r="B12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2" s="22" t="inlineStr">
        <is>
          <t>IFERROR(INDEX(tblAjustes[horas_ajustadas],MATCH('ORDENES'!$AN$4,tblAjustes[id_operacion],0)),IF('ORDENES'!$K$4="","",'ORDENES'!$K$4))</t>
        </is>
      </c>
      <c r="D12" s="3">
        <f>IFERROR(INDEX(tblAjustes[horas_ajustadas],MATCH('ORDENES'!$AN$4,tblAjustes[id_operacion],0)),IF('ORDENES'!$K$4="","",'ORDENES'!$K$4))</f>
        <v/>
      </c>
    </row>
    <row r="13">
      <c r="A13" s="3" t="inlineStr">
        <is>
          <t>turno_asignado</t>
        </is>
      </c>
      <c r="B13" s="22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3" s="22" t="inlineStr">
        <is>
          <t>IF('ORDENES'!$AB$4="","",IFERROR(INDEX(tblAsignaciones[turno],MATCH('ORDENES'!$O$4&amp;"|"&amp;'ORDENES'!$R$4&amp;"|"&amp;'ORDENES'!$AB$4,tblAsignaciones[clave],0)),""))</t>
        </is>
      </c>
      <c r="D13" s="3">
        <f>IF('ORDENES'!$AB$4="","",IFERROR(INDEX(tblAsignaciones[turno],MATCH('ORDENES'!$O$4&amp;"|"&amp;'ORDENES'!$R$4&amp;"|"&amp;'ORDENES'!$AB$4,tblAsignaciones[clave],0)),""))</f>
        <v/>
      </c>
    </row>
    <row r="14">
      <c r="A14" s="3" t="inlineStr">
        <is>
          <t>costo_servicio</t>
        </is>
      </c>
      <c r="B14" s="22" t="inlineStr">
        <is>
          <t>IF(tblOrdenes[[#This Row],[orden]]="","",XLOOKUP(tblOrdenes[[#This Row],[id_operacion]],tblEjecucion[id_operacion],tblEjecucion[precio],0))</t>
        </is>
      </c>
      <c r="C14" s="22" t="inlineStr">
        <is>
          <t>IFERROR(INDEX(tblEjecucion[precio],MATCH('ORDENES'!$AN$4,tblEjecucion[id_operacion],0)),0)</t>
        </is>
      </c>
      <c r="D14" s="3">
        <f>IFERROR(INDEX(tblEjecucion[precio],MATCH('ORDENES'!$AN$4,tblEjecucion[id_operacion],0)),0)</f>
        <v/>
      </c>
    </row>
    <row r="15">
      <c r="A15" s="3" t="inlineStr">
        <is>
          <t>costo_materiales</t>
        </is>
      </c>
      <c r="B15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5" s="22" t="inlineStr">
        <is>
          <t>MAX(0,IFERROR(INDEX(tblEjecucion[costo_plan_total],MATCH('ORDENES'!$AN$4,tblEjecucion[id_operacion],0)),0)-'ORDENES'!$AF$4)</t>
        </is>
      </c>
      <c r="D15" s="3">
        <f>MAX(0,IFERROR(INDEX(tblEjecucion[costo_plan_total],MATCH('ORDENES'!$AN$4,tblEjecucion[id_operacion],0)),0)-'ORDENES'!$AF$4)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2026-07-20T19:37:09Z</dcterms:created>
  <dcterms:modified xsi:type="dcterms:W3CDTF">2026-07-20T19:37:10Z</dcterms:modified>
</cp:coreProperties>
</file>